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0BDD6E03-3508-4F22-B8AF-0D04F596F579}" xr6:coauthVersionLast="47" xr6:coauthVersionMax="47" xr10:uidLastSave="{00000000-0000-0000-0000-000000000000}"/>
  <bookViews>
    <workbookView xWindow="-120" yWindow="-120" windowWidth="20730" windowHeight="11160" activeTab="3"/>
    <workbookView xWindow="-120" yWindow="-120" windowWidth="20730" windowHeight="11160" activeTab="3"/>
  </bookViews>
  <sheets>
    <sheet name="DATA" sheetId="1" r:id="rId1"/>
    <sheet name="FORECASTING" sheetId="4" r:id="rId2"/>
    <sheet name="TABLES" sheetId="2" r:id="rId3"/>
    <sheet name="DASHBOARD" sheetId="5" r:id="rId4"/>
  </sheets>
  <calcPr calcId="0"/>
</workbook>
</file>

<file path=xl/calcChain.xml><?xml version="1.0" encoding="utf-8"?>
<calcChain xmlns="http://schemas.openxmlformats.org/spreadsheetml/2006/main">
  <c r="E14" i="2" l="1"/>
  <c r="O25" i="2"/>
  <c r="O24" i="2"/>
  <c r="O23" i="2"/>
  <c r="O22" i="2"/>
  <c r="O21" i="2"/>
  <c r="O20" i="2"/>
  <c r="O19" i="2"/>
  <c r="O18" i="2"/>
  <c r="O17" i="2"/>
  <c r="O16" i="2"/>
  <c r="O15" i="2"/>
  <c r="O14" i="2"/>
  <c r="H27" i="2"/>
  <c r="H31" i="2"/>
  <c r="H34" i="2"/>
  <c r="H33" i="2"/>
  <c r="H24" i="2"/>
  <c r="H25" i="2"/>
  <c r="H26" i="2"/>
  <c r="H28" i="2"/>
  <c r="H29" i="2"/>
  <c r="H30" i="2"/>
  <c r="H32" i="2"/>
  <c r="H23" i="2"/>
  <c r="E24" i="2"/>
  <c r="E23" i="2"/>
  <c r="L19" i="2"/>
  <c r="L20" i="2"/>
  <c r="L21" i="2"/>
  <c r="L22" i="2"/>
  <c r="L23" i="2"/>
  <c r="L24" i="2"/>
  <c r="L25" i="2"/>
  <c r="L18" i="2"/>
  <c r="L17" i="2"/>
  <c r="L16" i="2"/>
  <c r="L15" i="2"/>
  <c r="L14" i="2"/>
  <c r="B19" i="2"/>
  <c r="B18" i="2"/>
  <c r="B17" i="2"/>
  <c r="B16" i="2"/>
  <c r="B15" i="2"/>
  <c r="B14" i="2"/>
  <c r="E8" i="2"/>
  <c r="A8" i="2"/>
  <c r="H16" i="2"/>
  <c r="B24" i="2"/>
  <c r="H14" i="2"/>
  <c r="E16" i="2"/>
  <c r="E15" i="2"/>
  <c r="B20" i="2"/>
  <c r="I8" i="2"/>
  <c r="B23" i="2"/>
  <c r="C14" i="4"/>
  <c r="C15" i="4"/>
  <c r="C16" i="4"/>
  <c r="H15" i="2" l="1"/>
  <c r="G8" i="2"/>
  <c r="C8" i="2"/>
  <c r="E16" i="4"/>
  <c r="E14" i="4"/>
  <c r="D16" i="4"/>
  <c r="D14" i="4"/>
  <c r="D15" i="4"/>
  <c r="E15" i="4"/>
</calcChain>
</file>

<file path=xl/sharedStrings.xml><?xml version="1.0" encoding="utf-8"?>
<sst xmlns="http://schemas.openxmlformats.org/spreadsheetml/2006/main" count="30092" uniqueCount="5092">
  <si>
    <t>Transaction_ID</t>
  </si>
  <si>
    <t>Date</t>
  </si>
  <si>
    <t>Year</t>
  </si>
  <si>
    <t>Month</t>
  </si>
  <si>
    <t>Month_Name</t>
  </si>
  <si>
    <t>Quarter</t>
  </si>
  <si>
    <t>Region</t>
  </si>
  <si>
    <t>Department</t>
  </si>
  <si>
    <t>Product</t>
  </si>
  <si>
    <t>Units_Sold</t>
  </si>
  <si>
    <t>Average_Price</t>
  </si>
  <si>
    <t>Revenue</t>
  </si>
  <si>
    <t>COGS</t>
  </si>
  <si>
    <t>Salaries</t>
  </si>
  <si>
    <t>Marketing_Expense</t>
  </si>
  <si>
    <t>Rent</t>
  </si>
  <si>
    <t>Utilities</t>
  </si>
  <si>
    <t>Operations_Expense</t>
  </si>
  <si>
    <t>Other_Expenses</t>
  </si>
  <si>
    <t>Total_Expenses</t>
  </si>
  <si>
    <t>Gross_Profit</t>
  </si>
  <si>
    <t>Operating_Profit</t>
  </si>
  <si>
    <t>Net_Profit</t>
  </si>
  <si>
    <t>Budget_Revenue</t>
  </si>
  <si>
    <t>Budget_Expenses</t>
  </si>
  <si>
    <t>TXN-03375</t>
  </si>
  <si>
    <t>Jan</t>
  </si>
  <si>
    <t>Q1</t>
  </si>
  <si>
    <t>South</t>
  </si>
  <si>
    <t>Marketing</t>
  </si>
  <si>
    <t>Product F</t>
  </si>
  <si>
    <t>TXN-03102</t>
  </si>
  <si>
    <t>Sales</t>
  </si>
  <si>
    <t>Product D</t>
  </si>
  <si>
    <t>TXN-02925</t>
  </si>
  <si>
    <t>East</t>
  </si>
  <si>
    <t>Operations</t>
  </si>
  <si>
    <t>Product H</t>
  </si>
  <si>
    <t>TXN-00938</t>
  </si>
  <si>
    <t>Product G</t>
  </si>
  <si>
    <t>TXN-00720</t>
  </si>
  <si>
    <t>TXN-01848</t>
  </si>
  <si>
    <t>TXN-00186</t>
  </si>
  <si>
    <t>TXN-00237</t>
  </si>
  <si>
    <t>North</t>
  </si>
  <si>
    <t>Product A</t>
  </si>
  <si>
    <t>TXN-02068</t>
  </si>
  <si>
    <t>TXN-01731</t>
  </si>
  <si>
    <t>TXN-01436</t>
  </si>
  <si>
    <t>TXN-04392</t>
  </si>
  <si>
    <t>Product E</t>
  </si>
  <si>
    <t>TXN-01489</t>
  </si>
  <si>
    <t>TXN-03677</t>
  </si>
  <si>
    <t>HR</t>
  </si>
  <si>
    <t>TXN-01254</t>
  </si>
  <si>
    <t>West</t>
  </si>
  <si>
    <t>Product C</t>
  </si>
  <si>
    <t>TXN-00916</t>
  </si>
  <si>
    <t>Finance</t>
  </si>
  <si>
    <t>TXN-00387</t>
  </si>
  <si>
    <t>TXN-03659</t>
  </si>
  <si>
    <t>TXN-00977</t>
  </si>
  <si>
    <t>TXN-00912</t>
  </si>
  <si>
    <t>TXN-04806</t>
  </si>
  <si>
    <t>TXN-01206</t>
  </si>
  <si>
    <t>Product B</t>
  </si>
  <si>
    <t>TXN-01557</t>
  </si>
  <si>
    <t>TXN-01764</t>
  </si>
  <si>
    <t>TXN-03196</t>
  </si>
  <si>
    <t>TXN-03721</t>
  </si>
  <si>
    <t>TXN-02817</t>
  </si>
  <si>
    <t>TXN-00834</t>
  </si>
  <si>
    <t>TXN-00245</t>
  </si>
  <si>
    <t>TXN-01751</t>
  </si>
  <si>
    <t>TXN-00947</t>
  </si>
  <si>
    <t>TXN-03749</t>
  </si>
  <si>
    <t>TXN-02098</t>
  </si>
  <si>
    <t>TXN-00679</t>
  </si>
  <si>
    <t>TXN-03885</t>
  </si>
  <si>
    <t>TXN-01459</t>
  </si>
  <si>
    <t>TXN-01711</t>
  </si>
  <si>
    <t>TXN-01048</t>
  </si>
  <si>
    <t>TXN-01297</t>
  </si>
  <si>
    <t>TXN-04719</t>
  </si>
  <si>
    <t>TXN-03590</t>
  </si>
  <si>
    <t>TXN-01345</t>
  </si>
  <si>
    <t>TXN-02251</t>
  </si>
  <si>
    <t>TXN-00482</t>
  </si>
  <si>
    <t>TXN-02025</t>
  </si>
  <si>
    <t>TXN-04855</t>
  </si>
  <si>
    <t>TXN-04624</t>
  </si>
  <si>
    <t>TXN-00951</t>
  </si>
  <si>
    <t>TXN-01777</t>
  </si>
  <si>
    <t>TXN-01856</t>
  </si>
  <si>
    <t>TXN-00051</t>
  </si>
  <si>
    <t>TXN-01033</t>
  </si>
  <si>
    <t>TXN-03665</t>
  </si>
  <si>
    <t>TXN-00093</t>
  </si>
  <si>
    <t>TXN-01405</t>
  </si>
  <si>
    <t>TXN-04022</t>
  </si>
  <si>
    <t>TXN-03566</t>
  </si>
  <si>
    <t>TXN-01576</t>
  </si>
  <si>
    <t>TXN-02393</t>
  </si>
  <si>
    <t>TXN-04324</t>
  </si>
  <si>
    <t>TXN-00305</t>
  </si>
  <si>
    <t>TXN-01155</t>
  </si>
  <si>
    <t>TXN-00331</t>
  </si>
  <si>
    <t>TXN-01988</t>
  </si>
  <si>
    <t>TXN-04000</t>
  </si>
  <si>
    <t>TXN-03364</t>
  </si>
  <si>
    <t>TXN-04302</t>
  </si>
  <si>
    <t>TXN-02535</t>
  </si>
  <si>
    <t>TXN-03104</t>
  </si>
  <si>
    <t>TXN-04558</t>
  </si>
  <si>
    <t>TXN-02628</t>
  </si>
  <si>
    <t>TXN-04045</t>
  </si>
  <si>
    <t>TXN-00356</t>
  </si>
  <si>
    <t>TXN-01837</t>
  </si>
  <si>
    <t>TXN-02387</t>
  </si>
  <si>
    <t>TXN-02041</t>
  </si>
  <si>
    <t>TXN-04209</t>
  </si>
  <si>
    <t>TXN-02728</t>
  </si>
  <si>
    <t>TXN-00044</t>
  </si>
  <si>
    <t>TXN-01655</t>
  </si>
  <si>
    <t>TXN-01770</t>
  </si>
  <si>
    <t>TXN-01612</t>
  </si>
  <si>
    <t>TXN-00026</t>
  </si>
  <si>
    <t>TXN-02761</t>
  </si>
  <si>
    <t>TXN-03351</t>
  </si>
  <si>
    <t>TXN-04039</t>
  </si>
  <si>
    <t>TXN-00453</t>
  </si>
  <si>
    <t>TXN-03186</t>
  </si>
  <si>
    <t>TXN-03496</t>
  </si>
  <si>
    <t>TXN-01054</t>
  </si>
  <si>
    <t>TXN-02536</t>
  </si>
  <si>
    <t>TXN-01812</t>
  </si>
  <si>
    <t>TXN-04084</t>
  </si>
  <si>
    <t>TXN-04343</t>
  </si>
  <si>
    <t>TXN-01118</t>
  </si>
  <si>
    <t>TXN-03374</t>
  </si>
  <si>
    <t>TXN-01330</t>
  </si>
  <si>
    <t>TXN-00875</t>
  </si>
  <si>
    <t>TXN-03637</t>
  </si>
  <si>
    <t>TXN-03036</t>
  </si>
  <si>
    <t>TXN-01274</t>
  </si>
  <si>
    <t>TXN-04517</t>
  </si>
  <si>
    <t>TXN-00291</t>
  </si>
  <si>
    <t>TXN-02750</t>
  </si>
  <si>
    <t>TXN-00864</t>
  </si>
  <si>
    <t>TXN-00844</t>
  </si>
  <si>
    <t>TXN-01864</t>
  </si>
  <si>
    <t>TXN-01420</t>
  </si>
  <si>
    <t>TXN-00581</t>
  </si>
  <si>
    <t>TXN-01257</t>
  </si>
  <si>
    <t>TXN-01628</t>
  </si>
  <si>
    <t>TXN-01294</t>
  </si>
  <si>
    <t>TXN-02400</t>
  </si>
  <si>
    <t>TXN-03524</t>
  </si>
  <si>
    <t>TXN-03430</t>
  </si>
  <si>
    <t>TXN-04718</t>
  </si>
  <si>
    <t>TXN-02779</t>
  </si>
  <si>
    <t>Feb</t>
  </si>
  <si>
    <t>TXN-01147</t>
  </si>
  <si>
    <t>TXN-03878</t>
  </si>
  <si>
    <t>TXN-03586</t>
  </si>
  <si>
    <t>TXN-01268</t>
  </si>
  <si>
    <t>TXN-00883</t>
  </si>
  <si>
    <t>TXN-00727</t>
  </si>
  <si>
    <t>TXN-01802</t>
  </si>
  <si>
    <t>TXN-00061</t>
  </si>
  <si>
    <t>TXN-00487</t>
  </si>
  <si>
    <t>TXN-02158</t>
  </si>
  <si>
    <t>TXN-02085</t>
  </si>
  <si>
    <t>TXN-04710</t>
  </si>
  <si>
    <t>TXN-00354</t>
  </si>
  <si>
    <t>TXN-01521</t>
  </si>
  <si>
    <t>TXN-00517</t>
  </si>
  <si>
    <t>TXN-01596</t>
  </si>
  <si>
    <t>TXN-01515</t>
  </si>
  <si>
    <t>TXN-00286</t>
  </si>
  <si>
    <t>TXN-02591</t>
  </si>
  <si>
    <t>TXN-00599</t>
  </si>
  <si>
    <t>TXN-04122</t>
  </si>
  <si>
    <t>TXN-02500</t>
  </si>
  <si>
    <t>TXN-04706</t>
  </si>
  <si>
    <t>TXN-01641</t>
  </si>
  <si>
    <t>TXN-01399</t>
  </si>
  <si>
    <t>TXN-03824</t>
  </si>
  <si>
    <t>TXN-04755</t>
  </si>
  <si>
    <t>TXN-02841</t>
  </si>
  <si>
    <t>TXN-04394</t>
  </si>
  <si>
    <t>TXN-01508</t>
  </si>
  <si>
    <t>TXN-01537</t>
  </si>
  <si>
    <t>TXN-02897</t>
  </si>
  <si>
    <t>TXN-00108</t>
  </si>
  <si>
    <t>TXN-02998</t>
  </si>
  <si>
    <t>TXN-01266</t>
  </si>
  <si>
    <t>TXN-03139</t>
  </si>
  <si>
    <t>TXN-00661</t>
  </si>
  <si>
    <t>TXN-01329</t>
  </si>
  <si>
    <t>TXN-02254</t>
  </si>
  <si>
    <t>TXN-01265</t>
  </si>
  <si>
    <t>TXN-02752</t>
  </si>
  <si>
    <t>TXN-04117</t>
  </si>
  <si>
    <t>TXN-02032</t>
  </si>
  <si>
    <t>TXN-00788</t>
  </si>
  <si>
    <t>TXN-03936</t>
  </si>
  <si>
    <t>TXN-02304</t>
  </si>
  <si>
    <t>TXN-02428</t>
  </si>
  <si>
    <t>TXN-04423</t>
  </si>
  <si>
    <t>TXN-03397</t>
  </si>
  <si>
    <t>TXN-04096</t>
  </si>
  <si>
    <t>TXN-01359</t>
  </si>
  <si>
    <t>TXN-01037</t>
  </si>
  <si>
    <t>TXN-00394</t>
  </si>
  <si>
    <t>TXN-00821</t>
  </si>
  <si>
    <t>TXN-00634</t>
  </si>
  <si>
    <t>TXN-00829</t>
  </si>
  <si>
    <t>TXN-04769</t>
  </si>
  <si>
    <t>TXN-03166</t>
  </si>
  <si>
    <t>TXN-03551</t>
  </si>
  <si>
    <t>TXN-02670</t>
  </si>
  <si>
    <t>TXN-03074</t>
  </si>
  <si>
    <t>TXN-02109</t>
  </si>
  <si>
    <t>TXN-02660</t>
  </si>
  <si>
    <t>TXN-03687</t>
  </si>
  <si>
    <t>TXN-04685</t>
  </si>
  <si>
    <t>TXN-03999</t>
  </si>
  <si>
    <t>TXN-01079</t>
  </si>
  <si>
    <t>TXN-00368</t>
  </si>
  <si>
    <t>TXN-00721</t>
  </si>
  <si>
    <t>TXN-02051</t>
  </si>
  <si>
    <t>TXN-04227</t>
  </si>
  <si>
    <t>TXN-03443</t>
  </si>
  <si>
    <t>TXN-04793</t>
  </si>
  <si>
    <t>TXN-00785</t>
  </si>
  <si>
    <t>TXN-03556</t>
  </si>
  <si>
    <t>TXN-01477</t>
  </si>
  <si>
    <t>TXN-00253</t>
  </si>
  <si>
    <t>TXN-04105</t>
  </si>
  <si>
    <t>TXN-03553</t>
  </si>
  <si>
    <t>TXN-04442</t>
  </si>
  <si>
    <t>TXN-01306</t>
  </si>
  <si>
    <t>TXN-02202</t>
  </si>
  <si>
    <t>TXN-01170</t>
  </si>
  <si>
    <t>TXN-03587</t>
  </si>
  <si>
    <t>TXN-01175</t>
  </si>
  <si>
    <t>TXN-00840</t>
  </si>
  <si>
    <t>TXN-04696</t>
  </si>
  <si>
    <t>TXN-04505</t>
  </si>
  <si>
    <t>TXN-03361</t>
  </si>
  <si>
    <t>TXN-04364</t>
  </si>
  <si>
    <t>TXN-00621</t>
  </si>
  <si>
    <t>TXN-02179</t>
  </si>
  <si>
    <t>TXN-02797</t>
  </si>
  <si>
    <t>TXN-04937</t>
  </si>
  <si>
    <t>TXN-04395</t>
  </si>
  <si>
    <t>TXN-01239</t>
  </si>
  <si>
    <t>TXN-03244</t>
  </si>
  <si>
    <t>TXN-02614</t>
  </si>
  <si>
    <t>Mar</t>
  </si>
  <si>
    <t>TXN-04225</t>
  </si>
  <si>
    <t>TXN-00803</t>
  </si>
  <si>
    <t>TXN-01452</t>
  </si>
  <si>
    <t>TXN-01327</t>
  </si>
  <si>
    <t>TXN-04136</t>
  </si>
  <si>
    <t>TXN-04474</t>
  </si>
  <si>
    <t>TXN-01486</t>
  </si>
  <si>
    <t>TXN-00523</t>
  </si>
  <si>
    <t>TXN-04468</t>
  </si>
  <si>
    <t>TXN-00696</t>
  </si>
  <si>
    <t>TXN-01124</t>
  </si>
  <si>
    <t>TXN-04182</t>
  </si>
  <si>
    <t>TXN-03293</t>
  </si>
  <si>
    <t>TXN-02361</t>
  </si>
  <si>
    <t>TXN-03929</t>
  </si>
  <si>
    <t>TXN-00094</t>
  </si>
  <si>
    <t>TXN-02801</t>
  </si>
  <si>
    <t>TXN-01865</t>
  </si>
  <si>
    <t>TXN-00876</t>
  </si>
  <si>
    <t>TXN-02176</t>
  </si>
  <si>
    <t>TXN-03250</t>
  </si>
  <si>
    <t>TXN-02999</t>
  </si>
  <si>
    <t>TXN-04556</t>
  </si>
  <si>
    <t>TXN-04217</t>
  </si>
  <si>
    <t>TXN-00783</t>
  </si>
  <si>
    <t>TXN-04130</t>
  </si>
  <si>
    <t>TXN-01047</t>
  </si>
  <si>
    <t>TXN-01311</t>
  </si>
  <si>
    <t>TXN-04325</t>
  </si>
  <si>
    <t>TXN-01705</t>
  </si>
  <si>
    <t>TXN-04804</t>
  </si>
  <si>
    <t>TXN-04891</t>
  </si>
  <si>
    <t>TXN-02161</t>
  </si>
  <si>
    <t>TXN-04113</t>
  </si>
  <si>
    <t>TXN-03915</t>
  </si>
  <si>
    <t>TXN-04058</t>
  </si>
  <si>
    <t>TXN-03177</t>
  </si>
  <si>
    <t>TXN-02263</t>
  </si>
  <si>
    <t>TXN-01322</t>
  </si>
  <si>
    <t>TXN-03734</t>
  </si>
  <si>
    <t>TXN-04560</t>
  </si>
  <si>
    <t>TXN-02654</t>
  </si>
  <si>
    <t>TXN-00752</t>
  </si>
  <si>
    <t>TXN-01104</t>
  </si>
  <si>
    <t>TXN-03220</t>
  </si>
  <si>
    <t>TXN-00915</t>
  </si>
  <si>
    <t>TXN-01261</t>
  </si>
  <si>
    <t>TXN-03048</t>
  </si>
  <si>
    <t>TXN-04253</t>
  </si>
  <si>
    <t>TXN-00534</t>
  </si>
  <si>
    <t>TXN-03243</t>
  </si>
  <si>
    <t>TXN-04509</t>
  </si>
  <si>
    <t>TXN-02652</t>
  </si>
  <si>
    <t>TXN-03938</t>
  </si>
  <si>
    <t>TXN-00979</t>
  </si>
  <si>
    <t>TXN-00845</t>
  </si>
  <si>
    <t>TXN-01632</t>
  </si>
  <si>
    <t>TXN-02414</t>
  </si>
  <si>
    <t>TXN-02791</t>
  </si>
  <si>
    <t>TXN-00627</t>
  </si>
  <si>
    <t>TXN-00774</t>
  </si>
  <si>
    <t>TXN-04383</t>
  </si>
  <si>
    <t>TXN-01215</t>
  </si>
  <si>
    <t>TXN-03326</t>
  </si>
  <si>
    <t>TXN-01567</t>
  </si>
  <si>
    <t>TXN-04946</t>
  </si>
  <si>
    <t>TXN-02966</t>
  </si>
  <si>
    <t>TXN-04093</t>
  </si>
  <si>
    <t>TXN-03398</t>
  </si>
  <si>
    <t>TXN-00715</t>
  </si>
  <si>
    <t>TXN-02321</t>
  </si>
  <si>
    <t>TXN-03807</t>
  </si>
  <si>
    <t>TXN-01658</t>
  </si>
  <si>
    <t>TXN-02017</t>
  </si>
  <si>
    <t>TXN-03730</t>
  </si>
  <si>
    <t>TXN-01949</t>
  </si>
  <si>
    <t>TXN-00869</t>
  </si>
  <si>
    <t>TXN-01174</t>
  </si>
  <si>
    <t>TXN-01782</t>
  </si>
  <si>
    <t>TXN-02422</t>
  </si>
  <si>
    <t>TXN-04998</t>
  </si>
  <si>
    <t>TXN-04251</t>
  </si>
  <si>
    <t>TXN-02427</t>
  </si>
  <si>
    <t>TXN-02527</t>
  </si>
  <si>
    <t>TXN-00011</t>
  </si>
  <si>
    <t>TXN-04193</t>
  </si>
  <si>
    <t>TXN-04654</t>
  </si>
  <si>
    <t>TXN-02992</t>
  </si>
  <si>
    <t>TXN-00984</t>
  </si>
  <si>
    <t>TXN-00654</t>
  </si>
  <si>
    <t>TXN-02071</t>
  </si>
  <si>
    <t>TXN-00490</t>
  </si>
  <si>
    <t>TXN-01741</t>
  </si>
  <si>
    <t>TXN-04622</t>
  </si>
  <si>
    <t>TXN-00939</t>
  </si>
  <si>
    <t>TXN-00597</t>
  </si>
  <si>
    <t>Apr</t>
  </si>
  <si>
    <t>Q2</t>
  </si>
  <si>
    <t>TXN-02297</t>
  </si>
  <si>
    <t>TXN-04181</t>
  </si>
  <si>
    <t>TXN-01544</t>
  </si>
  <si>
    <t>TXN-02348</t>
  </si>
  <si>
    <t>TXN-01726</t>
  </si>
  <si>
    <t>TXN-00057</t>
  </si>
  <si>
    <t>TXN-04312</t>
  </si>
  <si>
    <t>TXN-04604</t>
  </si>
  <si>
    <t>TXN-03729</t>
  </si>
  <si>
    <t>TXN-01804</t>
  </si>
  <si>
    <t>TXN-00801</t>
  </si>
  <si>
    <t>TXN-03065</t>
  </si>
  <si>
    <t>TXN-00439</t>
  </si>
  <si>
    <t>TXN-01041</t>
  </si>
  <si>
    <t>TXN-00728</t>
  </si>
  <si>
    <t>TXN-02276</t>
  </si>
  <si>
    <t>TXN-00793</t>
  </si>
  <si>
    <t>TXN-04402</t>
  </si>
  <si>
    <t>TXN-00141</t>
  </si>
  <si>
    <t>TXN-04721</t>
  </si>
  <si>
    <t>TXN-01191</t>
  </si>
  <si>
    <t>TXN-00514</t>
  </si>
  <si>
    <t>TXN-04237</t>
  </si>
  <si>
    <t>TXN-01305</t>
  </si>
  <si>
    <t>TXN-02766</t>
  </si>
  <si>
    <t>TXN-04034</t>
  </si>
  <si>
    <t>TXN-00759</t>
  </si>
  <si>
    <t>TXN-00312</t>
  </si>
  <si>
    <t>TXN-00119</t>
  </si>
  <si>
    <t>TXN-03791</t>
  </si>
  <si>
    <t>TXN-00262</t>
  </si>
  <si>
    <t>TXN-04063</t>
  </si>
  <si>
    <t>TXN-01841</t>
  </si>
  <si>
    <t>TXN-02335</t>
  </si>
  <si>
    <t>TXN-04711</t>
  </si>
  <si>
    <t>TXN-02423</t>
  </si>
  <si>
    <t>TXN-02008</t>
  </si>
  <si>
    <t>TXN-01336</t>
  </si>
  <si>
    <t>TXN-01715</t>
  </si>
  <si>
    <t>TXN-00754</t>
  </si>
  <si>
    <t>TXN-03115</t>
  </si>
  <si>
    <t>TXN-03903</t>
  </si>
  <si>
    <t>TXN-00257</t>
  </si>
  <si>
    <t>TXN-04508</t>
  </si>
  <si>
    <t>TXN-03281</t>
  </si>
  <si>
    <t>TXN-03580</t>
  </si>
  <si>
    <t>TXN-01001</t>
  </si>
  <si>
    <t>TXN-04923</t>
  </si>
  <si>
    <t>TXN-02391</t>
  </si>
  <si>
    <t>TXN-04990</t>
  </si>
  <si>
    <t>TXN-03779</t>
  </si>
  <si>
    <t>TXN-03141</t>
  </si>
  <si>
    <t>TXN-00701</t>
  </si>
  <si>
    <t>TXN-01745</t>
  </si>
  <si>
    <t>TXN-02066</t>
  </si>
  <si>
    <t>TXN-04748</t>
  </si>
  <si>
    <t>TXN-04737</t>
  </si>
  <si>
    <t>TXN-04895</t>
  </si>
  <si>
    <t>TXN-00827</t>
  </si>
  <si>
    <t>TXN-01334</t>
  </si>
  <si>
    <t>TXN-02539</t>
  </si>
  <si>
    <t>TXN-03247</t>
  </si>
  <si>
    <t>TXN-00552</t>
  </si>
  <si>
    <t>TXN-00878</t>
  </si>
  <si>
    <t>TXN-03926</t>
  </si>
  <si>
    <t>TXN-04838</t>
  </si>
  <si>
    <t>TXN-04244</t>
  </si>
  <si>
    <t>TXN-04698</t>
  </si>
  <si>
    <t>TXN-03564</t>
  </si>
  <si>
    <t>TXN-01761</t>
  </si>
  <si>
    <t>TXN-00882</t>
  </si>
  <si>
    <t>TXN-00880</t>
  </si>
  <si>
    <t>TXN-03410</t>
  </si>
  <si>
    <t>TXN-00789</t>
  </si>
  <si>
    <t>TXN-02561</t>
  </si>
  <si>
    <t>TXN-03814</t>
  </si>
  <si>
    <t>TXN-00185</t>
  </si>
  <si>
    <t>TXN-00935</t>
  </si>
  <si>
    <t>TXN-02496</t>
  </si>
  <si>
    <t>TXN-02632</t>
  </si>
  <si>
    <t>TXN-03367</t>
  </si>
  <si>
    <t>TXN-03982</t>
  </si>
  <si>
    <t>TXN-01956</t>
  </si>
  <si>
    <t>TXN-03773</t>
  </si>
  <si>
    <t>TXN-01164</t>
  </si>
  <si>
    <t>TXN-04545</t>
  </si>
  <si>
    <t>TXN-02231</t>
  </si>
  <si>
    <t>TXN-00496</t>
  </si>
  <si>
    <t>TXN-01533</t>
  </si>
  <si>
    <t>TXN-04285</t>
  </si>
  <si>
    <t>TXN-04379</t>
  </si>
  <si>
    <t>TXN-02189</t>
  </si>
  <si>
    <t>TXN-01735</t>
  </si>
  <si>
    <t>TXN-03766</t>
  </si>
  <si>
    <t>TXN-03335</t>
  </si>
  <si>
    <t>TXN-01099</t>
  </si>
  <si>
    <t>TXN-00408</t>
  </si>
  <si>
    <t>TXN-01698</t>
  </si>
  <si>
    <t>TXN-03552</t>
  </si>
  <si>
    <t>TXN-00918</t>
  </si>
  <si>
    <t>TXN-03994</t>
  </si>
  <si>
    <t>TXN-00734</t>
  </si>
  <si>
    <t>TXN-04295</t>
  </si>
  <si>
    <t>TXN-01907</t>
  </si>
  <si>
    <t>TXN-02466</t>
  </si>
  <si>
    <t>TXN-03576</t>
  </si>
  <si>
    <t>TXN-04791</t>
  </si>
  <si>
    <t>TXN-00404</t>
  </si>
  <si>
    <t>TXN-04201</t>
  </si>
  <si>
    <t>May</t>
  </si>
  <si>
    <t>TXN-01742</t>
  </si>
  <si>
    <t>TXN-03232</t>
  </si>
  <si>
    <t>TXN-00007</t>
  </si>
  <si>
    <t>TXN-02498</t>
  </si>
  <si>
    <t>TXN-01786</t>
  </si>
  <si>
    <t>TXN-04174</t>
  </si>
  <si>
    <t>TXN-00199</t>
  </si>
  <si>
    <t>TXN-03235</t>
  </si>
  <si>
    <t>TXN-02653</t>
  </si>
  <si>
    <t>TXN-02489</t>
  </si>
  <si>
    <t>TXN-02924</t>
  </si>
  <si>
    <t>TXN-02340</t>
  </si>
  <si>
    <t>TXN-03233</t>
  </si>
  <si>
    <t>TXN-03710</t>
  </si>
  <si>
    <t>TXN-03227</t>
  </si>
  <si>
    <t>TXN-03355</t>
  </si>
  <si>
    <t>TXN-03206</t>
  </si>
  <si>
    <t>TXN-00787</t>
  </si>
  <si>
    <t>TXN-00870</t>
  </si>
  <si>
    <t>TXN-01924</t>
  </si>
  <si>
    <t>TXN-03101</t>
  </si>
  <si>
    <t>TXN-01074</t>
  </si>
  <si>
    <t>TXN-01264</t>
  </si>
  <si>
    <t>TXN-02296</t>
  </si>
  <si>
    <t>TXN-04011</t>
  </si>
  <si>
    <t>TXN-01240</t>
  </si>
  <si>
    <t>TXN-00330</t>
  </si>
  <si>
    <t>TXN-03755</t>
  </si>
  <si>
    <t>TXN-02397</t>
  </si>
  <si>
    <t>TXN-02547</t>
  </si>
  <si>
    <t>TXN-01945</t>
  </si>
  <si>
    <t>TXN-02267</t>
  </si>
  <si>
    <t>TXN-01040</t>
  </si>
  <si>
    <t>TXN-01860</t>
  </si>
  <si>
    <t>TXN-01288</t>
  </si>
  <si>
    <t>TXN-00014</t>
  </si>
  <si>
    <t>TXN-02871</t>
  </si>
  <si>
    <t>TXN-01332</t>
  </si>
  <si>
    <t>TXN-01391</t>
  </si>
  <si>
    <t>TXN-02580</t>
  </si>
  <si>
    <t>TXN-00981</t>
  </si>
  <si>
    <t>TXN-03804</t>
  </si>
  <si>
    <t>TXN-03044</t>
  </si>
  <si>
    <t>TXN-00775</t>
  </si>
  <si>
    <t>TXN-01881</t>
  </si>
  <si>
    <t>TXN-01558</t>
  </si>
  <si>
    <t>TXN-02259</t>
  </si>
  <si>
    <t>TXN-00620</t>
  </si>
  <si>
    <t>TXN-04190</t>
  </si>
  <si>
    <t>TXN-00110</t>
  </si>
  <si>
    <t>TXN-02544</t>
  </si>
  <si>
    <t>TXN-02655</t>
  </si>
  <si>
    <t>TXN-01371</t>
  </si>
  <si>
    <t>TXN-03477</t>
  </si>
  <si>
    <t>TXN-04961</t>
  </si>
  <si>
    <t>TXN-04241</t>
  </si>
  <si>
    <t>TXN-03732</t>
  </si>
  <si>
    <t>TXN-04298</t>
  </si>
  <si>
    <t>TXN-00778</t>
  </si>
  <si>
    <t>TXN-02659</t>
  </si>
  <si>
    <t>TXN-04553</t>
  </si>
  <si>
    <t>TXN-02449</t>
  </si>
  <si>
    <t>TXN-00942</t>
  </si>
  <si>
    <t>TXN-04899</t>
  </si>
  <si>
    <t>TXN-04361</t>
  </si>
  <si>
    <t>TXN-03267</t>
  </si>
  <si>
    <t>TXN-03275</t>
  </si>
  <si>
    <t>TXN-04917</t>
  </si>
  <si>
    <t>TXN-03987</t>
  </si>
  <si>
    <t>TXN-04996</t>
  </si>
  <si>
    <t>TXN-00936</t>
  </si>
  <si>
    <t>TXN-04220</t>
  </si>
  <si>
    <t>TXN-04885</t>
  </si>
  <si>
    <t>TXN-03482</t>
  </si>
  <si>
    <t>TXN-02090</t>
  </si>
  <si>
    <t>TXN-03377</t>
  </si>
  <si>
    <t>TXN-02054</t>
  </si>
  <si>
    <t>TXN-04309</t>
  </si>
  <si>
    <t>TXN-01061</t>
  </si>
  <si>
    <t>TXN-02953</t>
  </si>
  <si>
    <t>TXN-03068</t>
  </si>
  <si>
    <t>TXN-02724</t>
  </si>
  <si>
    <t>TXN-04868</t>
  </si>
  <si>
    <t>TXN-02245</t>
  </si>
  <si>
    <t>TXN-02932</t>
  </si>
  <si>
    <t>TXN-00993</t>
  </si>
  <si>
    <t>TXN-02001</t>
  </si>
  <si>
    <t>TXN-01743</t>
  </si>
  <si>
    <t>TXN-00540</t>
  </si>
  <si>
    <t>TXN-00232</t>
  </si>
  <si>
    <t>TXN-00208</t>
  </si>
  <si>
    <t>TXN-00873</t>
  </si>
  <si>
    <t>TXN-00996</t>
  </si>
  <si>
    <t>TXN-01440</t>
  </si>
  <si>
    <t>TXN-00690</t>
  </si>
  <si>
    <t>TXN-02116</t>
  </si>
  <si>
    <t>TXN-03307</t>
  </si>
  <si>
    <t>TXN-01211</t>
  </si>
  <si>
    <t>TXN-04294</t>
  </si>
  <si>
    <t>TXN-00219</t>
  </si>
  <si>
    <t>TXN-03341</t>
  </si>
  <si>
    <t>TXN-01134</t>
  </si>
  <si>
    <t>TXN-04048</t>
  </si>
  <si>
    <t>TXN-02432</t>
  </si>
  <si>
    <t>TXN-02218</t>
  </si>
  <si>
    <t>TXN-01295</t>
  </si>
  <si>
    <t>TXN-02173</t>
  </si>
  <si>
    <t>TXN-02470</t>
  </si>
  <si>
    <t>TXN-02323</t>
  </si>
  <si>
    <t>TXN-02505</t>
  </si>
  <si>
    <t>TXN-00372</t>
  </si>
  <si>
    <t>TXN-01936</t>
  </si>
  <si>
    <t>TXN-01209</t>
  </si>
  <si>
    <t>TXN-00229</t>
  </si>
  <si>
    <t>TXN-04125</t>
  </si>
  <si>
    <t>TXN-00252</t>
  </si>
  <si>
    <t>Jun</t>
  </si>
  <si>
    <t>TXN-02103</t>
  </si>
  <si>
    <t>TXN-04981</t>
  </si>
  <si>
    <t>TXN-01819</t>
  </si>
  <si>
    <t>TXN-04228</t>
  </si>
  <si>
    <t>TXN-00263</t>
  </si>
  <si>
    <t>TXN-03891</t>
  </si>
  <si>
    <t>TXN-03775</t>
  </si>
  <si>
    <t>TXN-01321</t>
  </si>
  <si>
    <t>TXN-03705</t>
  </si>
  <si>
    <t>TXN-00430</t>
  </si>
  <si>
    <t>TXN-04040</t>
  </si>
  <si>
    <t>TXN-02963</t>
  </si>
  <si>
    <t>TXN-03800</t>
  </si>
  <si>
    <t>TXN-00730</t>
  </si>
  <si>
    <t>TXN-04651</t>
  </si>
  <si>
    <t>TXN-00340</t>
  </si>
  <si>
    <t>TXN-02347</t>
  </si>
  <si>
    <t>TXN-02892</t>
  </si>
  <si>
    <t>TXN-01128</t>
  </si>
  <si>
    <t>TXN-04846</t>
  </si>
  <si>
    <t>TXN-01895</t>
  </si>
  <si>
    <t>TXN-02920</t>
  </si>
  <si>
    <t>TXN-04478</t>
  </si>
  <si>
    <t>TXN-01645</t>
  </si>
  <si>
    <t>TXN-03613</t>
  </si>
  <si>
    <t>TXN-01014</t>
  </si>
  <si>
    <t>TXN-00308</t>
  </si>
  <si>
    <t>TXN-02078</t>
  </si>
  <si>
    <t>TXN-01810</t>
  </si>
  <si>
    <t>TXN-03654</t>
  </si>
  <si>
    <t>TXN-02612</t>
  </si>
  <si>
    <t>TXN-03600</t>
  </si>
  <si>
    <t>TXN-00471</t>
  </si>
  <si>
    <t>TXN-01490</t>
  </si>
  <si>
    <t>TXN-02475</t>
  </si>
  <si>
    <t>TXN-02172</t>
  </si>
  <si>
    <t>TXN-03438</t>
  </si>
  <si>
    <t>TXN-02738</t>
  </si>
  <si>
    <t>TXN-00270</t>
  </si>
  <si>
    <t>TXN-04491</t>
  </si>
  <si>
    <t>TXN-02645</t>
  </si>
  <si>
    <t>TXN-02610</t>
  </si>
  <si>
    <t>TXN-04992</t>
  </si>
  <si>
    <t>TXN-03404</t>
  </si>
  <si>
    <t>TXN-01173</t>
  </si>
  <si>
    <t>TXN-03880</t>
  </si>
  <si>
    <t>TXN-03533</t>
  </si>
  <si>
    <t>TXN-00071</t>
  </si>
  <si>
    <t>TXN-02700</t>
  </si>
  <si>
    <t>TXN-03331</t>
  </si>
  <si>
    <t>TXN-02821</t>
  </si>
  <si>
    <t>TXN-02275</t>
  </si>
  <si>
    <t>TXN-02370</t>
  </si>
  <si>
    <t>TXN-03292</t>
  </si>
  <si>
    <t>TXN-01893</t>
  </si>
  <si>
    <t>TXN-02726</t>
  </si>
  <si>
    <t>TXN-01199</t>
  </si>
  <si>
    <t>TXN-03285</t>
  </si>
  <si>
    <t>TXN-04542</t>
  </si>
  <si>
    <t>TXN-04038</t>
  </si>
  <si>
    <t>TXN-01710</t>
  </si>
  <si>
    <t>TXN-04618</t>
  </si>
  <si>
    <t>TXN-00767</t>
  </si>
  <si>
    <t>TXN-04715</t>
  </si>
  <si>
    <t>TXN-03909</t>
  </si>
  <si>
    <t>TXN-00046</t>
  </si>
  <si>
    <t>TXN-00596</t>
  </si>
  <si>
    <t>TXN-01278</t>
  </si>
  <si>
    <t>TXN-02463</t>
  </si>
  <si>
    <t>TXN-04576</t>
  </si>
  <si>
    <t>TXN-01506</t>
  </si>
  <si>
    <t>TXN-03234</t>
  </si>
  <si>
    <t>TXN-04120</t>
  </si>
  <si>
    <t>TXN-03738</t>
  </si>
  <si>
    <t>TXN-00576</t>
  </si>
  <si>
    <t>TXN-03570</t>
  </si>
  <si>
    <t>TXN-03737</t>
  </si>
  <si>
    <t>TXN-04336</t>
  </si>
  <si>
    <t>TXN-01335</t>
  </si>
  <si>
    <t>TXN-00949</t>
  </si>
  <si>
    <t>TXN-02368</t>
  </si>
  <si>
    <t>TXN-00601</t>
  </si>
  <si>
    <t>TXN-00624</t>
  </si>
  <si>
    <t>TXN-00927</t>
  </si>
  <si>
    <t>TXN-02972</t>
  </si>
  <si>
    <t>TXN-03121</t>
  </si>
  <si>
    <t>TXN-03032</t>
  </si>
  <si>
    <t>TXN-03495</t>
  </si>
  <si>
    <t>TXN-04305</t>
  </si>
  <si>
    <t>TXN-03582</t>
  </si>
  <si>
    <t>TXN-03925</t>
  </si>
  <si>
    <t>TXN-04100</t>
  </si>
  <si>
    <t>TXN-02754</t>
  </si>
  <si>
    <t>TXN-04935</t>
  </si>
  <si>
    <t>TXN-00693</t>
  </si>
  <si>
    <t>TXN-03484</t>
  </si>
  <si>
    <t>TXN-01122</t>
  </si>
  <si>
    <t>TXN-00530</t>
  </si>
  <si>
    <t>TXN-04658</t>
  </si>
  <si>
    <t>TXN-03043</t>
  </si>
  <si>
    <t>TXN-00317</t>
  </si>
  <si>
    <t>TXN-04738</t>
  </si>
  <si>
    <t>TXN-03841</t>
  </si>
  <si>
    <t>TXN-01200</t>
  </si>
  <si>
    <t>Jul</t>
  </si>
  <si>
    <t>Q3</t>
  </si>
  <si>
    <t>TXN-01396</t>
  </si>
  <si>
    <t>TXN-04999</t>
  </si>
  <si>
    <t>TXN-03927</t>
  </si>
  <si>
    <t>TXN-03095</t>
  </si>
  <si>
    <t>TXN-02631</t>
  </si>
  <si>
    <t>TXN-02486</t>
  </si>
  <si>
    <t>TXN-03432</t>
  </si>
  <si>
    <t>TXN-02378</t>
  </si>
  <si>
    <t>TXN-03409</t>
  </si>
  <si>
    <t>TXN-04929</t>
  </si>
  <si>
    <t>TXN-00779</t>
  </si>
  <si>
    <t>TXN-04739</t>
  </si>
  <si>
    <t>TXN-04964</t>
  </si>
  <si>
    <t>TXN-04375</t>
  </si>
  <si>
    <t>TXN-04805</t>
  </si>
  <si>
    <t>TXN-01831</t>
  </si>
  <si>
    <t>TXN-00212</t>
  </si>
  <si>
    <t>TXN-01451</t>
  </si>
  <si>
    <t>TXN-01300</t>
  </si>
  <si>
    <t>TXN-03727</t>
  </si>
  <si>
    <t>TXN-04772</t>
  </si>
  <si>
    <t>TXN-02593</t>
  </si>
  <si>
    <t>TXN-02689</t>
  </si>
  <si>
    <t>TXN-04782</t>
  </si>
  <si>
    <t>TXN-03379</t>
  </si>
  <si>
    <t>TXN-03395</t>
  </si>
  <si>
    <t>TXN-01389</t>
  </si>
  <si>
    <t>TXN-00088</t>
  </si>
  <si>
    <t>TXN-04579</t>
  </si>
  <si>
    <t>TXN-03825</t>
  </si>
  <si>
    <t>TXN-02894</t>
  </si>
  <si>
    <t>TXN-02326</t>
  </si>
  <si>
    <t>TXN-02467</t>
  </si>
  <si>
    <t>TXN-00035</t>
  </si>
  <si>
    <t>TXN-00162</t>
  </si>
  <si>
    <t>TXN-00613</t>
  </si>
  <si>
    <t>TXN-02929</t>
  </si>
  <si>
    <t>TXN-01554</t>
  </si>
  <si>
    <t>TXN-00323</t>
  </si>
  <si>
    <t>TXN-04724</t>
  </si>
  <si>
    <t>TXN-03928</t>
  </si>
  <si>
    <t>TXN-01605</t>
  </si>
  <si>
    <t>TXN-04699</t>
  </si>
  <si>
    <t>TXN-04912</t>
  </si>
  <si>
    <t>TXN-02392</t>
  </si>
  <si>
    <t>TXN-00509</t>
  </si>
  <si>
    <t>TXN-03952</t>
  </si>
  <si>
    <t>TXN-04599</t>
  </si>
  <si>
    <t>TXN-04334</t>
  </si>
  <si>
    <t>TXN-00923</t>
  </si>
  <si>
    <t>TXN-04370</t>
  </si>
  <si>
    <t>TXN-01738</t>
  </si>
  <si>
    <t>TXN-03051</t>
  </si>
  <si>
    <t>TXN-03385</t>
  </si>
  <si>
    <t>TXN-01160</t>
  </si>
  <si>
    <t>TXN-03358</t>
  </si>
  <si>
    <t>TXN-04471</t>
  </si>
  <si>
    <t>TXN-03611</t>
  </si>
  <si>
    <t>TXN-03180</t>
  </si>
  <si>
    <t>TXN-04303</t>
  </si>
  <si>
    <t>TXN-01022</t>
  </si>
  <si>
    <t>TXN-02713</t>
  </si>
  <si>
    <t>TXN-02873</t>
  </si>
  <si>
    <t>TXN-04219</t>
  </si>
  <si>
    <t>TXN-04002</t>
  </si>
  <si>
    <t>TXN-03485</t>
  </si>
  <si>
    <t>TXN-02647</t>
  </si>
  <si>
    <t>TXN-02757</t>
  </si>
  <si>
    <t>TXN-01003</t>
  </si>
  <si>
    <t>TXN-01909</t>
  </si>
  <si>
    <t>TXN-00205</t>
  </si>
  <si>
    <t>TXN-01677</t>
  </si>
  <si>
    <t>TXN-03797</t>
  </si>
  <si>
    <t>TXN-02721</t>
  </si>
  <si>
    <t>TXN-02412</t>
  </si>
  <si>
    <t>TXN-00111</t>
  </si>
  <si>
    <t>TXN-03240</t>
  </si>
  <si>
    <t>TXN-03381</t>
  </si>
  <si>
    <t>TXN-04761</t>
  </si>
  <si>
    <t>TXN-02923</t>
  </si>
  <si>
    <t>TXN-01320</t>
  </si>
  <si>
    <t>TXN-02590</t>
  </si>
  <si>
    <t>TXN-03142</t>
  </si>
  <si>
    <t>TXN-00072</t>
  </si>
  <si>
    <t>TXN-04021</t>
  </si>
  <si>
    <t>TXN-01097</t>
  </si>
  <si>
    <t>TXN-04135</t>
  </si>
  <si>
    <t>TXN-00630</t>
  </si>
  <si>
    <t>TXN-00197</t>
  </si>
  <si>
    <t>TXN-02513</t>
  </si>
  <si>
    <t>TXN-04490</t>
  </si>
  <si>
    <t>TXN-04314</t>
  </si>
  <si>
    <t>TXN-00786</t>
  </si>
  <si>
    <t>TXN-02706</t>
  </si>
  <si>
    <t>TXN-01688</t>
  </si>
  <si>
    <t>TXN-04290</t>
  </si>
  <si>
    <t>TXN-00062</t>
  </si>
  <si>
    <t>TXN-03865</t>
  </si>
  <si>
    <t>TXN-04393</t>
  </si>
  <si>
    <t>TXN-04612</t>
  </si>
  <si>
    <t>TXN-04547</t>
  </si>
  <si>
    <t>TXN-00133</t>
  </si>
  <si>
    <t>TXN-04036</t>
  </si>
  <si>
    <t>TXN-00249</t>
  </si>
  <si>
    <t>TXN-02197</t>
  </si>
  <si>
    <t>TXN-01669</t>
  </si>
  <si>
    <t>TXN-01767</t>
  </si>
  <si>
    <t>TXN-03465</t>
  </si>
  <si>
    <t>TXN-02571</t>
  </si>
  <si>
    <t>TXN-01615</t>
  </si>
  <si>
    <t>TXN-03146</t>
  </si>
  <si>
    <t>TXN-03673</t>
  </si>
  <si>
    <t>TXN-04951</t>
  </si>
  <si>
    <t>TXN-02944</t>
  </si>
  <si>
    <t>TXN-03520</t>
  </si>
  <si>
    <t>TXN-02617</t>
  </si>
  <si>
    <t>TXN-02881</t>
  </si>
  <si>
    <t>TXN-04565</t>
  </si>
  <si>
    <t>TXN-04121</t>
  </si>
  <si>
    <t>TXN-03851</t>
  </si>
  <si>
    <t>TXN-04659</t>
  </si>
  <si>
    <t>TXN-02790</t>
  </si>
  <si>
    <t>Aug</t>
  </si>
  <si>
    <t>TXN-03871</t>
  </si>
  <si>
    <t>TXN-02523</t>
  </si>
  <si>
    <t>TXN-02363</t>
  </si>
  <si>
    <t>TXN-01717</t>
  </si>
  <si>
    <t>TXN-00823</t>
  </si>
  <si>
    <t>TXN-02787</t>
  </si>
  <si>
    <t>TXN-03057</t>
  </si>
  <si>
    <t>TXN-04009</t>
  </si>
  <si>
    <t>TXN-04010</t>
  </si>
  <si>
    <t>TXN-01142</t>
  </si>
  <si>
    <t>TXN-01031</t>
  </si>
  <si>
    <t>TXN-01540</t>
  </si>
  <si>
    <t>TXN-01488</t>
  </si>
  <si>
    <t>TXN-01347</t>
  </si>
  <si>
    <t>TXN-03652</t>
  </si>
  <si>
    <t>TXN-00519</t>
  </si>
  <si>
    <t>TXN-01925</t>
  </si>
  <si>
    <t>TXN-00588</t>
  </si>
  <si>
    <t>TXN-00086</t>
  </si>
  <si>
    <t>TXN-02464</t>
  </si>
  <si>
    <t>TXN-00445</t>
  </si>
  <si>
    <t>TXN-01060</t>
  </si>
  <si>
    <t>TXN-04020</t>
  </si>
  <si>
    <t>TXN-01472</t>
  </si>
  <si>
    <t>TXN-03490</t>
  </si>
  <si>
    <t>TXN-04042</t>
  </si>
  <si>
    <t>TXN-02948</t>
  </si>
  <si>
    <t>TXN-02844</t>
  </si>
  <si>
    <t>TXN-04429</t>
  </si>
  <si>
    <t>TXN-04792</t>
  </si>
  <si>
    <t>TXN-00188</t>
  </si>
  <si>
    <t>TXN-03811</t>
  </si>
  <si>
    <t>TXN-04389</t>
  </si>
  <si>
    <t>TXN-02997</t>
  </si>
  <si>
    <t>TXN-03168</t>
  </si>
  <si>
    <t>TXN-01754</t>
  </si>
  <si>
    <t>TXN-01530</t>
  </si>
  <si>
    <t>TXN-00691</t>
  </si>
  <si>
    <t>TXN-04774</t>
  </si>
  <si>
    <t>TXN-00933</t>
  </si>
  <si>
    <t>TXN-03603</t>
  </si>
  <si>
    <t>TXN-01732</t>
  </si>
  <si>
    <t>TXN-00292</t>
  </si>
  <si>
    <t>TXN-01461</t>
  </si>
  <si>
    <t>TXN-01470</t>
  </si>
  <si>
    <t>TXN-04740</t>
  </si>
  <si>
    <t>TXN-02935</t>
  </si>
  <si>
    <t>TXN-04768</t>
  </si>
  <si>
    <t>TXN-02585</t>
  </si>
  <si>
    <t>TXN-03515</t>
  </si>
  <si>
    <t>TXN-02806</t>
  </si>
  <si>
    <t>TXN-04916</t>
  </si>
  <si>
    <t>TXN-03549</t>
  </si>
  <si>
    <t>TXN-02877</t>
  </si>
  <si>
    <t>TXN-00881</t>
  </si>
  <si>
    <t>TXN-01030</t>
  </si>
  <si>
    <t>TXN-00908</t>
  </si>
  <si>
    <t>TXN-04044</t>
  </si>
  <si>
    <t>TXN-03575</t>
  </si>
  <si>
    <t>TXN-04510</t>
  </si>
  <si>
    <t>TXN-00287</t>
  </si>
  <si>
    <t>TXN-01858</t>
  </si>
  <si>
    <t>TXN-00143</t>
  </si>
  <si>
    <t>TXN-00106</t>
  </si>
  <si>
    <t>TXN-02557</t>
  </si>
  <si>
    <t>TXN-03040</t>
  </si>
  <si>
    <t>TXN-02434</t>
  </si>
  <si>
    <t>TXN-02404</t>
  </si>
  <si>
    <t>TXN-00877</t>
  </si>
  <si>
    <t>TXN-03633</t>
  </si>
  <si>
    <t>TXN-00812</t>
  </si>
  <si>
    <t>TXN-03089</t>
  </si>
  <si>
    <t>TXN-02566</t>
  </si>
  <si>
    <t>TXN-03497</t>
  </si>
  <si>
    <t>TXN-04278</t>
  </si>
  <si>
    <t>TXN-03548</t>
  </si>
  <si>
    <t>TXN-00563</t>
  </si>
  <si>
    <t>TXN-02517</t>
  </si>
  <si>
    <t>TXN-03161</t>
  </si>
  <si>
    <t>TXN-00961</t>
  </si>
  <si>
    <t>TXN-02512</t>
  </si>
  <si>
    <t>TXN-00739</t>
  </si>
  <si>
    <t>TXN-04695</t>
  </si>
  <si>
    <t>TXN-01248</t>
  </si>
  <si>
    <t>TXN-02208</t>
  </si>
  <si>
    <t>TXN-04728</t>
  </si>
  <si>
    <t>TXN-02509</t>
  </si>
  <si>
    <t>TXN-02281</t>
  </si>
  <si>
    <t>TXN-02827</t>
  </si>
  <si>
    <t>TXN-04858</t>
  </si>
  <si>
    <t>TXN-04470</t>
  </si>
  <si>
    <t>TXN-04313</t>
  </si>
  <si>
    <t>TXN-00824</t>
  </si>
  <si>
    <t>TXN-02119</t>
  </si>
  <si>
    <t>TXN-02403</t>
  </si>
  <si>
    <t>TXN-02364</t>
  </si>
  <si>
    <t>TXN-01730</t>
  </si>
  <si>
    <t>TXN-01921</t>
  </si>
  <si>
    <t>TXN-00052</t>
  </si>
  <si>
    <t>TXN-04210</t>
  </si>
  <si>
    <t>TXN-00905</t>
  </si>
  <si>
    <t>TXN-02776</t>
  </si>
  <si>
    <t>TXN-01102</t>
  </si>
  <si>
    <t>Sep</t>
  </si>
  <si>
    <t>TXN-02249</t>
  </si>
  <si>
    <t>TXN-03713</t>
  </si>
  <si>
    <t>TXN-03921</t>
  </si>
  <si>
    <t>TXN-01424</t>
  </si>
  <si>
    <t>TXN-03229</t>
  </si>
  <si>
    <t>TXN-04316</t>
  </si>
  <si>
    <t>TXN-00344</t>
  </si>
  <si>
    <t>TXN-02356</t>
  </si>
  <si>
    <t>TXN-03298</t>
  </si>
  <si>
    <t>TXN-04803</t>
  </si>
  <si>
    <t>TXN-04291</t>
  </si>
  <si>
    <t>TXN-00428</t>
  </si>
  <si>
    <t>TXN-00195</t>
  </si>
  <si>
    <t>TXN-02870</t>
  </si>
  <si>
    <t>TXN-02919</t>
  </si>
  <si>
    <t>TXN-03662</t>
  </si>
  <si>
    <t>TXN-00766</t>
  </si>
  <si>
    <t>TXN-00820</t>
  </si>
  <si>
    <t>TXN-02711</t>
  </si>
  <si>
    <t>TXN-04417</t>
  </si>
  <si>
    <t>TXN-00731</t>
  </si>
  <si>
    <t>TXN-01367</t>
  </si>
  <si>
    <t>TXN-01762</t>
  </si>
  <si>
    <t>TXN-01414</t>
  </si>
  <si>
    <t>TXN-04337</t>
  </si>
  <si>
    <t>TXN-04948</t>
  </si>
  <si>
    <t>TXN-02272</t>
  </si>
  <si>
    <t>TXN-04529</t>
  </si>
  <si>
    <t>TXN-00027</t>
  </si>
  <si>
    <t>TXN-00324</t>
  </si>
  <si>
    <t>TXN-03882</t>
  </si>
  <si>
    <t>TXN-00240</t>
  </si>
  <si>
    <t>TXN-02305</t>
  </si>
  <si>
    <t>TXN-03840</t>
  </si>
  <si>
    <t>TXN-00258</t>
  </si>
  <si>
    <t>TXN-02662</t>
  </si>
  <si>
    <t>TXN-02514</t>
  </si>
  <si>
    <t>TXN-00676</t>
  </si>
  <si>
    <t>TXN-04189</t>
  </si>
  <si>
    <t>TXN-03383</t>
  </si>
  <si>
    <t>TXN-03157</t>
  </si>
  <si>
    <t>TXN-04066</t>
  </si>
  <si>
    <t>TXN-00468</t>
  </si>
  <si>
    <t>TXN-02839</t>
  </si>
  <si>
    <t>TXN-01476</t>
  </si>
  <si>
    <t>TXN-00944</t>
  </si>
  <si>
    <t>TXN-02852</t>
  </si>
  <si>
    <t>TXN-03449</t>
  </si>
  <si>
    <t>TXN-04250</t>
  </si>
  <si>
    <t>TXN-00948</t>
  </si>
  <si>
    <t>TXN-02674</t>
  </si>
  <si>
    <t>TXN-01868</t>
  </si>
  <si>
    <t>TXN-01225</t>
  </si>
  <si>
    <t>TXN-02243</t>
  </si>
  <si>
    <t>TXN-04099</t>
  </si>
  <si>
    <t>TXN-03060</t>
  </si>
  <si>
    <t>TXN-03918</t>
  </si>
  <si>
    <t>TXN-03226</t>
  </si>
  <si>
    <t>TXN-00231</t>
  </si>
  <si>
    <t>TXN-02328</t>
  </si>
  <si>
    <t>TXN-02143</t>
  </si>
  <si>
    <t>TXN-00384</t>
  </si>
  <si>
    <t>TXN-03365</t>
  </si>
  <si>
    <t>TXN-02879</t>
  </si>
  <si>
    <t>TXN-02988</t>
  </si>
  <si>
    <t>TXN-00535</t>
  </si>
  <si>
    <t>TXN-04071</t>
  </si>
  <si>
    <t>TXN-01430</t>
  </si>
  <si>
    <t>TXN-02270</t>
  </si>
  <si>
    <t>TXN-03296</t>
  </si>
  <si>
    <t>TXN-03642</t>
  </si>
  <si>
    <t>TXN-04441</t>
  </si>
  <si>
    <t>TXN-03159</t>
  </si>
  <si>
    <t>TXN-00737</t>
  </si>
  <si>
    <t>TXN-03010</t>
  </si>
  <si>
    <t>TXN-01280</t>
  </si>
  <si>
    <t>TXN-02816</t>
  </si>
  <si>
    <t>TXN-02865</t>
  </si>
  <si>
    <t>TXN-00399</t>
  </si>
  <si>
    <t>TXN-00972</t>
  </si>
  <si>
    <t>TXN-02962</t>
  </si>
  <si>
    <t>TXN-01876</t>
  </si>
  <si>
    <t>TXN-00074</t>
  </si>
  <si>
    <t>TXN-04783</t>
  </si>
  <si>
    <t>TXN-02702</t>
  </si>
  <si>
    <t>TXN-04987</t>
  </si>
  <si>
    <t>TXN-03819</t>
  </si>
  <si>
    <t>TXN-02915</t>
  </si>
  <si>
    <t>TXN-03875</t>
  </si>
  <si>
    <t>TXN-03689</t>
  </si>
  <si>
    <t>TXN-01427</t>
  </si>
  <si>
    <t>TXN-04902</t>
  </si>
  <si>
    <t>TXN-02907</t>
  </si>
  <si>
    <t>TXN-02597</t>
  </si>
  <si>
    <t>TXN-03279</t>
  </si>
  <si>
    <t>TXN-04926</t>
  </si>
  <si>
    <t>TXN-02484</t>
  </si>
  <si>
    <t>TXN-03536</t>
  </si>
  <si>
    <t>Oct</t>
  </si>
  <si>
    <t>Q4</t>
  </si>
  <si>
    <t>TXN-03764</t>
  </si>
  <si>
    <t>TXN-03700</t>
  </si>
  <si>
    <t>TXN-01706</t>
  </si>
  <si>
    <t>TXN-01339</t>
  </si>
  <si>
    <t>TXN-04146</t>
  </si>
  <si>
    <t>TXN-04684</t>
  </si>
  <si>
    <t>TXN-01919</t>
  </si>
  <si>
    <t>TXN-04670</t>
  </si>
  <si>
    <t>TXN-04828</t>
  </si>
  <si>
    <t>TXN-04224</t>
  </si>
  <si>
    <t>TXN-00022</t>
  </si>
  <si>
    <t>TXN-02433</t>
  </si>
  <si>
    <t>TXN-02781</t>
  </si>
  <si>
    <t>TXN-03172</t>
  </si>
  <si>
    <t>TXN-03668</t>
  </si>
  <si>
    <t>TXN-04586</t>
  </si>
  <si>
    <t>TXN-03356</t>
  </si>
  <si>
    <t>TXN-00896</t>
  </si>
  <si>
    <t>TXN-01598</t>
  </si>
  <si>
    <t>TXN-03632</t>
  </si>
  <si>
    <t>TXN-02530</t>
  </si>
  <si>
    <t>TXN-00518</t>
  </si>
  <si>
    <t>TXN-02904</t>
  </si>
  <si>
    <t>TXN-03836</t>
  </si>
  <si>
    <t>TXN-00314</t>
  </si>
  <si>
    <t>TXN-00203</t>
  </si>
  <si>
    <t>TXN-02959</t>
  </si>
  <si>
    <t>TXN-00797</t>
  </si>
  <si>
    <t>TXN-03793</t>
  </si>
  <si>
    <t>TXN-01904</t>
  </si>
  <si>
    <t>TXN-02526</t>
  </si>
  <si>
    <t>TXN-03953</t>
  </si>
  <si>
    <t>TXN-02840</t>
  </si>
  <si>
    <t>TXN-04221</t>
  </si>
  <si>
    <t>TXN-03062</t>
  </si>
  <si>
    <t>TXN-00295</t>
  </si>
  <si>
    <t>TXN-02970</t>
  </si>
  <si>
    <t>TXN-04085</t>
  </si>
  <si>
    <t>TXN-01149</t>
  </si>
  <si>
    <t>TXN-01620</t>
  </si>
  <si>
    <t>TXN-00480</t>
  </si>
  <si>
    <t>TXN-01123</t>
  </si>
  <si>
    <t>TXN-01152</t>
  </si>
  <si>
    <t>TXN-02217</t>
  </si>
  <si>
    <t>TXN-02987</t>
  </si>
  <si>
    <t>TXN-02310</t>
  </si>
  <si>
    <t>TXN-01873</t>
  </si>
  <si>
    <t>TXN-04819</t>
  </si>
  <si>
    <t>TXN-02193</t>
  </si>
  <si>
    <t>TXN-03347</t>
  </si>
  <si>
    <t>TXN-02154</t>
  </si>
  <si>
    <t>TXN-01792</t>
  </si>
  <si>
    <t>TXN-04578</t>
  </si>
  <si>
    <t>TXN-02912</t>
  </si>
  <si>
    <t>TXN-04005</t>
  </si>
  <si>
    <t>TXN-00104</t>
  </si>
  <si>
    <t>TXN-01020</t>
  </si>
  <si>
    <t>TXN-02747</t>
  </si>
  <si>
    <t>TXN-04275</t>
  </si>
  <si>
    <t>TXN-03830</t>
  </si>
  <si>
    <t>TXN-02064</t>
  </si>
  <si>
    <t>TXN-02007</t>
  </si>
  <si>
    <t>TXN-04376</t>
  </si>
  <si>
    <t>TXN-01850</t>
  </si>
  <si>
    <t>TXN-01441</t>
  </si>
  <si>
    <t>TXN-04932</t>
  </si>
  <si>
    <t>TXN-03464</t>
  </si>
  <si>
    <t>TXN-00202</t>
  </si>
  <si>
    <t>TXN-04163</t>
  </si>
  <si>
    <t>TXN-03413</t>
  </si>
  <si>
    <t>TXN-04320</t>
  </si>
  <si>
    <t>TXN-01829</t>
  </si>
  <si>
    <t>TXN-01571</t>
  </si>
  <si>
    <t>TXN-03156</t>
  </si>
  <si>
    <t>TXN-04634</t>
  </si>
  <si>
    <t>TXN-00080</t>
  </si>
  <si>
    <t>TXN-00986</t>
  </si>
  <si>
    <t>TXN-04134</t>
  </si>
  <si>
    <t>TXN-01324</t>
  </si>
  <si>
    <t>TXN-02083</t>
  </si>
  <si>
    <t>TXN-04131</t>
  </si>
  <si>
    <t>TXN-04519</t>
  </si>
  <si>
    <t>TXN-04453</t>
  </si>
  <si>
    <t>TXN-03266</t>
  </si>
  <si>
    <t>TXN-01870</t>
  </si>
  <si>
    <t>TXN-04087</t>
  </si>
  <si>
    <t>TXN-02508</t>
  </si>
  <si>
    <t>TXN-00316</t>
  </si>
  <si>
    <t>TXN-01057</t>
  </si>
  <si>
    <t>TXN-02150</t>
  </si>
  <si>
    <t>TXN-02556</t>
  </si>
  <si>
    <t>TXN-03675</t>
  </si>
  <si>
    <t>TXN-00838</t>
  </si>
  <si>
    <t>TXN-01958</t>
  </si>
  <si>
    <t>TXN-01656</t>
  </si>
  <si>
    <t>TXN-04214</t>
  </si>
  <si>
    <t>TXN-02027</t>
  </si>
  <si>
    <t>TXN-00376</t>
  </si>
  <si>
    <t>Nov</t>
  </si>
  <si>
    <t>TXN-03253</t>
  </si>
  <si>
    <t>TXN-02732</t>
  </si>
  <si>
    <t>TXN-01894</t>
  </si>
  <si>
    <t>TXN-04328</t>
  </si>
  <si>
    <t>TXN-02005</t>
  </si>
  <si>
    <t>TXN-01616</t>
  </si>
  <si>
    <t>TXN-03860</t>
  </si>
  <si>
    <t>TXN-01793</t>
  </si>
  <si>
    <t>TXN-02898</t>
  </si>
  <si>
    <t>TXN-02813</t>
  </si>
  <si>
    <t>TXN-03598</t>
  </si>
  <si>
    <t>TXN-04816</t>
  </si>
  <si>
    <t>TXN-01938</t>
  </si>
  <si>
    <t>TXN-02377</t>
  </si>
  <si>
    <t>TXN-04878</t>
  </si>
  <si>
    <t>TXN-04939</t>
  </si>
  <si>
    <t>TXN-01790</t>
  </si>
  <si>
    <t>TXN-04784</t>
  </si>
  <si>
    <t>TXN-03872</t>
  </si>
  <si>
    <t>TXN-02196</t>
  </si>
  <si>
    <t>TXN-02242</t>
  </si>
  <si>
    <t>TXN-01952</t>
  </si>
  <si>
    <t>TXN-03702</t>
  </si>
  <si>
    <t>TXN-01409</t>
  </si>
  <si>
    <t>TXN-02080</t>
  </si>
  <si>
    <t>TXN-04222</t>
  </si>
  <si>
    <t>TXN-01797</t>
  </si>
  <si>
    <t>TXN-03969</t>
  </si>
  <si>
    <t>TXN-03911</t>
  </si>
  <si>
    <t>TXN-01885</t>
  </si>
  <si>
    <t>TXN-01098</t>
  </si>
  <si>
    <t>TXN-01179</t>
  </si>
  <si>
    <t>TXN-02568</t>
  </si>
  <si>
    <t>TXN-04234</t>
  </si>
  <si>
    <t>TXN-02727</t>
  </si>
  <si>
    <t>TXN-04418</t>
  </si>
  <si>
    <t>TXN-00373</t>
  </si>
  <si>
    <t>TXN-00892</t>
  </si>
  <si>
    <t>TXN-03777</t>
  </si>
  <si>
    <t>TXN-04841</t>
  </si>
  <si>
    <t>TXN-00050</t>
  </si>
  <si>
    <t>TXN-01749</t>
  </si>
  <si>
    <t>TXN-04412</t>
  </si>
  <si>
    <t>TXN-00960</t>
  </si>
  <si>
    <t>TXN-03086</t>
  </si>
  <si>
    <t>TXN-01531</t>
  </si>
  <si>
    <t>TXN-00171</t>
  </si>
  <si>
    <t>TXN-01854</t>
  </si>
  <si>
    <t>TXN-01423</t>
  </si>
  <si>
    <t>TXN-04148</t>
  </si>
  <si>
    <t>TXN-02989</t>
  </si>
  <si>
    <t>TXN-00941</t>
  </si>
  <si>
    <t>TXN-03354</t>
  </si>
  <si>
    <t>TXN-00357</t>
  </si>
  <si>
    <t>TXN-00953</t>
  </si>
  <si>
    <t>TXN-03421</t>
  </si>
  <si>
    <t>TXN-02216</t>
  </si>
  <si>
    <t>TXN-03740</t>
  </si>
  <si>
    <t>TXN-04023</t>
  </si>
  <si>
    <t>TXN-03406</t>
  </si>
  <si>
    <t>TXN-04391</t>
  </si>
  <si>
    <t>TXN-01439</t>
  </si>
  <si>
    <t>TXN-03771</t>
  </si>
  <si>
    <t>TXN-01038</t>
  </si>
  <si>
    <t>TXN-02052</t>
  </si>
  <si>
    <t>TXN-03211</t>
  </si>
  <si>
    <t>TXN-03470</t>
  </si>
  <si>
    <t>TXN-00929</t>
  </si>
  <si>
    <t>TXN-03539</t>
  </si>
  <si>
    <t>TXN-02744</t>
  </si>
  <si>
    <t>TXN-01139</t>
  </si>
  <si>
    <t>TXN-03758</t>
  </si>
  <si>
    <t>TXN-03799</t>
  </si>
  <si>
    <t>TXN-02018</t>
  </si>
  <si>
    <t>TXN-01182</t>
  </si>
  <si>
    <t>TXN-01516</t>
  </si>
  <si>
    <t>TXN-04840</t>
  </si>
  <si>
    <t>TXN-02457</t>
  </si>
  <si>
    <t>TXN-01495</t>
  </si>
  <si>
    <t>TXN-00955</t>
  </si>
  <si>
    <t>TXN-03527</t>
  </si>
  <si>
    <t>TXN-01344</t>
  </si>
  <si>
    <t>TXN-04304</t>
  </si>
  <si>
    <t>TXN-01207</t>
  </si>
  <si>
    <t>TXN-03601</t>
  </si>
  <si>
    <t>TXN-03985</t>
  </si>
  <si>
    <t>TXN-04513</t>
  </si>
  <si>
    <t>TXN-04141</t>
  </si>
  <si>
    <t>TXN-00010</t>
  </si>
  <si>
    <t>TXN-03685</t>
  </si>
  <si>
    <t>TXN-03030</t>
  </si>
  <si>
    <t>TXN-03137</t>
  </si>
  <si>
    <t>TXN-04385</t>
  </si>
  <si>
    <t>TXN-03686</t>
  </si>
  <si>
    <t>TXN-01899</t>
  </si>
  <si>
    <t>TXN-02996</t>
  </si>
  <si>
    <t>TXN-00962</t>
  </si>
  <si>
    <t>TXN-01847</t>
  </si>
  <si>
    <t>TXN-01369</t>
  </si>
  <si>
    <t>Dec</t>
  </si>
  <si>
    <t>TXN-01827</t>
  </si>
  <si>
    <t>TXN-04387</t>
  </si>
  <si>
    <t>TXN-01594</t>
  </si>
  <si>
    <t>TXN-00467</t>
  </si>
  <si>
    <t>TXN-04349</t>
  </si>
  <si>
    <t>TXN-02279</t>
  </si>
  <si>
    <t>TXN-02045</t>
  </si>
  <si>
    <t>TXN-02603</t>
  </si>
  <si>
    <t>TXN-01542</t>
  </si>
  <si>
    <t>TXN-03337</t>
  </si>
  <si>
    <t>TXN-03431</t>
  </si>
  <si>
    <t>TXN-04831</t>
  </si>
  <si>
    <t>TXN-00830</t>
  </si>
  <si>
    <t>TXN-00266</t>
  </si>
  <si>
    <t>TXN-01708</t>
  </si>
  <si>
    <t>TXN-00082</t>
  </si>
  <si>
    <t>TXN-04015</t>
  </si>
  <si>
    <t>TXN-02900</t>
  </si>
  <si>
    <t>TXN-02367</t>
  </si>
  <si>
    <t>TXN-00225</t>
  </si>
  <si>
    <t>TXN-04142</t>
  </si>
  <si>
    <t>TXN-04356</t>
  </si>
  <si>
    <t>TXN-04554</t>
  </si>
  <si>
    <t>TXN-01348</t>
  </si>
  <si>
    <t>TXN-03951</t>
  </si>
  <si>
    <t>TXN-00583</t>
  </si>
  <si>
    <t>TXN-04638</t>
  </si>
  <si>
    <t>TXN-01433</t>
  </si>
  <si>
    <t>TXN-04489</t>
  </si>
  <si>
    <t>TXN-03084</t>
  </si>
  <si>
    <t>TXN-00448</t>
  </si>
  <si>
    <t>TXN-02234</t>
  </si>
  <si>
    <t>TXN-03262</t>
  </si>
  <si>
    <t>TXN-01273</t>
  </si>
  <si>
    <t>TXN-03853</t>
  </si>
  <si>
    <t>TXN-01135</t>
  </si>
  <si>
    <t>TXN-02246</t>
  </si>
  <si>
    <t>TXN-04908</t>
  </si>
  <si>
    <t>TXN-02181</t>
  </si>
  <si>
    <t>TXN-03029</t>
  </si>
  <si>
    <t>TXN-02034</t>
  </si>
  <si>
    <t>TXN-03257</t>
  </si>
  <si>
    <t>TXN-00017</t>
  </si>
  <si>
    <t>TXN-02772</t>
  </si>
  <si>
    <t>TXN-02313</t>
  </si>
  <si>
    <t>TXN-01962</t>
  </si>
  <si>
    <t>TXN-04773</t>
  </si>
  <si>
    <t>TXN-00814</t>
  </si>
  <si>
    <t>TXN-00233</t>
  </si>
  <si>
    <t>TXN-01056</t>
  </si>
  <si>
    <t>TXN-01109</t>
  </si>
  <si>
    <t>TXN-03053</t>
  </si>
  <si>
    <t>TXN-00612</t>
  </si>
  <si>
    <t>TXN-02210</t>
  </si>
  <si>
    <t>TXN-04409</t>
  </si>
  <si>
    <t>TXN-03045</t>
  </si>
  <si>
    <t>TXN-03747</t>
  </si>
  <si>
    <t>TXN-01532</t>
  </si>
  <si>
    <t>TXN-01679</t>
  </si>
  <si>
    <t>TXN-04814</t>
  </si>
  <si>
    <t>TXN-00826</t>
  </si>
  <si>
    <t>TXN-02446</t>
  </si>
  <si>
    <t>TXN-02073</t>
  </si>
  <si>
    <t>TXN-00900</t>
  </si>
  <si>
    <t>TXN-04528</t>
  </si>
  <si>
    <t>TXN-02476</t>
  </si>
  <si>
    <t>TXN-04993</t>
  </si>
  <si>
    <t>TXN-02160</t>
  </si>
  <si>
    <t>TXN-01545</t>
  </si>
  <si>
    <t>TXN-02872</t>
  </si>
  <si>
    <t>TXN-01806</t>
  </si>
  <si>
    <t>TXN-02188</t>
  </si>
  <si>
    <t>TXN-03456</t>
  </si>
  <si>
    <t>TXN-03782</t>
  </si>
  <si>
    <t>TXN-01069</t>
  </si>
  <si>
    <t>TXN-03546</t>
  </si>
  <si>
    <t>TXN-02675</t>
  </si>
  <si>
    <t>TXN-01568</t>
  </si>
  <si>
    <t>TXN-01553</t>
  </si>
  <si>
    <t>TXN-00452</t>
  </si>
  <si>
    <t>TXN-03699</t>
  </si>
  <si>
    <t>TXN-03400</t>
  </si>
  <si>
    <t>TXN-00647</t>
  </si>
  <si>
    <t>TXN-03268</t>
  </si>
  <si>
    <t>TXN-01577</t>
  </si>
  <si>
    <t>TXN-03187</t>
  </si>
  <si>
    <t>TXN-00795</t>
  </si>
  <si>
    <t>TXN-02455</t>
  </si>
  <si>
    <t>TXN-04697</t>
  </si>
  <si>
    <t>TXN-02233</t>
  </si>
  <si>
    <t>TXN-04018</t>
  </si>
  <si>
    <t>TXN-01971</t>
  </si>
  <si>
    <t>TXN-03660</t>
  </si>
  <si>
    <t>TXN-03063</t>
  </si>
  <si>
    <t>TXN-03720</t>
  </si>
  <si>
    <t>TXN-02545</t>
  </si>
  <si>
    <t>TXN-03636</t>
  </si>
  <si>
    <t>TXN-04173</t>
  </si>
  <si>
    <t>TXN-03223</t>
  </si>
  <si>
    <t>TXN-01566</t>
  </si>
  <si>
    <t>TXN-01549</t>
  </si>
  <si>
    <t>TXN-00857</t>
  </si>
  <si>
    <t>TXN-04297</t>
  </si>
  <si>
    <t>TXN-01058</t>
  </si>
  <si>
    <t>TXN-04681</t>
  </si>
  <si>
    <t>TXN-02215</t>
  </si>
  <si>
    <t>TXN-01398</t>
  </si>
  <si>
    <t>TXN-02037</t>
  </si>
  <si>
    <t>TXN-01318</t>
  </si>
  <si>
    <t>TXN-03255</t>
  </si>
  <si>
    <t>TXN-04526</t>
  </si>
  <si>
    <t>TXN-00847</t>
  </si>
  <si>
    <t>TXN-03330</t>
  </si>
  <si>
    <t>TXN-01583</t>
  </si>
  <si>
    <t>TXN-04669</t>
  </si>
  <si>
    <t>TXN-02435</t>
  </si>
  <si>
    <t>TXN-02855</t>
  </si>
  <si>
    <t>TXN-04506</t>
  </si>
  <si>
    <t>TXN-04962</t>
  </si>
  <si>
    <t>TXN-04052</t>
  </si>
  <si>
    <t>TXN-04109</t>
  </si>
  <si>
    <t>TXN-02451</t>
  </si>
  <si>
    <t>TXN-05000</t>
  </si>
  <si>
    <t>TXN-03934</t>
  </si>
  <si>
    <t>TXN-03241</t>
  </si>
  <si>
    <t>TXN-04123</t>
  </si>
  <si>
    <t>TXN-04104</t>
  </si>
  <si>
    <t>TXN-00400</t>
  </si>
  <si>
    <t>TXN-04958</t>
  </si>
  <si>
    <t>TXN-02469</t>
  </si>
  <si>
    <t>TXN-02733</t>
  </si>
  <si>
    <t>TXN-01091</t>
  </si>
  <si>
    <t>TXN-04461</t>
  </si>
  <si>
    <t>TXN-01379</t>
  </si>
  <si>
    <t>TXN-03593</t>
  </si>
  <si>
    <t>TXN-02060</t>
  </si>
  <si>
    <t>TXN-00650</t>
  </si>
  <si>
    <t>TXN-02473</t>
  </si>
  <si>
    <t>TXN-01351</t>
  </si>
  <si>
    <t>TXN-00688</t>
  </si>
  <si>
    <t>TXN-01849</t>
  </si>
  <si>
    <t>TXN-01942</t>
  </si>
  <si>
    <t>TXN-03403</t>
  </si>
  <si>
    <t>TXN-03176</t>
  </si>
  <si>
    <t>TXN-04609</t>
  </si>
  <si>
    <t>TXN-03973</t>
  </si>
  <si>
    <t>TXN-01438</t>
  </si>
  <si>
    <t>TXN-00963</t>
  </si>
  <si>
    <t>TXN-02788</t>
  </si>
  <si>
    <t>TXN-04118</t>
  </si>
  <si>
    <t>TXN-01429</t>
  </si>
  <si>
    <t>TXN-02465</t>
  </si>
  <si>
    <t>TXN-01682</t>
  </si>
  <si>
    <t>TXN-02100</t>
  </si>
  <si>
    <t>TXN-00105</t>
  </si>
  <si>
    <t>TXN-04112</t>
  </si>
  <si>
    <t>TXN-02810</t>
  </si>
  <si>
    <t>TXN-00474</t>
  </si>
  <si>
    <t>TXN-04671</t>
  </si>
  <si>
    <t>TXN-00089</t>
  </si>
  <si>
    <t>TXN-01855</t>
  </si>
  <si>
    <t>TXN-01625</t>
  </si>
  <si>
    <t>TXN-02178</t>
  </si>
  <si>
    <t>TXN-02282</t>
  </si>
  <si>
    <t>TXN-03088</t>
  </si>
  <si>
    <t>TXN-02315</t>
  </si>
  <si>
    <t>TXN-04823</t>
  </si>
  <si>
    <t>TXN-04557</t>
  </si>
  <si>
    <t>TXN-02784</t>
  </si>
  <si>
    <t>TXN-03264</t>
  </si>
  <si>
    <t>TXN-01763</t>
  </si>
  <si>
    <t>TXN-04716</t>
  </si>
  <si>
    <t>TXN-04875</t>
  </si>
  <si>
    <t>TXN-01937</t>
  </si>
  <si>
    <t>TXN-04368</t>
  </si>
  <si>
    <t>TXN-04467</t>
  </si>
  <si>
    <t>TXN-03852</t>
  </si>
  <si>
    <t>TXN-02735</t>
  </si>
  <si>
    <t>TXN-00191</t>
  </si>
  <si>
    <t>TXN-00704</t>
  </si>
  <si>
    <t>TXN-00019</t>
  </si>
  <si>
    <t>TXN-04449</t>
  </si>
  <si>
    <t>TXN-02354</t>
  </si>
  <si>
    <t>TXN-02834</t>
  </si>
  <si>
    <t>TXN-01699</t>
  </si>
  <si>
    <t>TXN-01105</t>
  </si>
  <si>
    <t>TXN-03155</t>
  </si>
  <si>
    <t>TXN-03563</t>
  </si>
  <si>
    <t>TXN-04032</t>
  </si>
  <si>
    <t>TXN-04809</t>
  </si>
  <si>
    <t>TXN-04151</t>
  </si>
  <si>
    <t>TXN-02837</t>
  </si>
  <si>
    <t>TXN-01678</t>
  </si>
  <si>
    <t>TXN-00611</t>
  </si>
  <si>
    <t>TXN-04824</t>
  </si>
  <si>
    <t>TXN-04485</t>
  </si>
  <si>
    <t>TXN-00048</t>
  </si>
  <si>
    <t>TXN-01434</t>
  </si>
  <si>
    <t>TXN-00740</t>
  </si>
  <si>
    <t>TXN-03469</t>
  </si>
  <si>
    <t>TXN-00674</t>
  </si>
  <si>
    <t>TXN-04162</t>
  </si>
  <si>
    <t>TXN-04907</t>
  </si>
  <si>
    <t>TXN-03955</t>
  </si>
  <si>
    <t>TXN-02302</t>
  </si>
  <si>
    <t>TXN-01005</t>
  </si>
  <si>
    <t>TXN-02780</t>
  </si>
  <si>
    <t>TXN-03848</t>
  </si>
  <si>
    <t>TXN-04008</t>
  </si>
  <si>
    <t>TXN-01368</t>
  </si>
  <si>
    <t>TXN-04492</t>
  </si>
  <si>
    <t>TXN-00102</t>
  </si>
  <si>
    <t>TXN-04754</t>
  </si>
  <si>
    <t>TXN-03624</t>
  </si>
  <si>
    <t>TXN-02941</t>
  </si>
  <si>
    <t>TXN-02395</t>
  </si>
  <si>
    <t>TXN-00132</t>
  </si>
  <si>
    <t>TXN-01702</t>
  </si>
  <si>
    <t>TXN-03207</t>
  </si>
  <si>
    <t>TXN-02375</t>
  </si>
  <si>
    <t>TXN-04454</t>
  </si>
  <si>
    <t>TXN-03299</t>
  </si>
  <si>
    <t>TXN-01224</t>
  </si>
  <si>
    <t>TXN-00531</t>
  </si>
  <si>
    <t>TXN-01059</t>
  </si>
  <si>
    <t>TXN-00544</t>
  </si>
  <si>
    <t>TXN-04460</t>
  </si>
  <si>
    <t>TXN-02389</t>
  </si>
  <si>
    <t>TXN-03522</t>
  </si>
  <si>
    <t>TXN-01989</t>
  </si>
  <si>
    <t>TXN-01640</t>
  </si>
  <si>
    <t>TXN-00481</t>
  </si>
  <si>
    <t>TXN-00527</t>
  </si>
  <si>
    <t>TXN-03097</t>
  </si>
  <si>
    <t>TXN-03560</t>
  </si>
  <si>
    <t>TXN-00556</t>
  </si>
  <si>
    <t>TXN-02981</t>
  </si>
  <si>
    <t>TXN-00129</t>
  </si>
  <si>
    <t>TXN-00272</t>
  </si>
  <si>
    <t>TXN-02651</t>
  </si>
  <si>
    <t>TXN-02048</t>
  </si>
  <si>
    <t>TXN-02438</t>
  </si>
  <si>
    <t>TXN-02264</t>
  </si>
  <si>
    <t>TXN-03320</t>
  </si>
  <si>
    <t>TXN-01446</t>
  </si>
  <si>
    <t>TXN-02330</t>
  </si>
  <si>
    <t>TXN-00359</t>
  </si>
  <si>
    <t>TXN-00277</t>
  </si>
  <si>
    <t>TXN-01609</t>
  </si>
  <si>
    <t>TXN-01719</t>
  </si>
  <si>
    <t>TXN-00743</t>
  </si>
  <si>
    <t>TXN-02646</t>
  </si>
  <si>
    <t>TXN-04431</t>
  </si>
  <si>
    <t>TXN-01364</t>
  </si>
  <si>
    <t>TXN-00200</t>
  </si>
  <si>
    <t>TXN-03488</t>
  </si>
  <si>
    <t>TXN-00985</t>
  </si>
  <si>
    <t>TXN-00069</t>
  </si>
  <si>
    <t>TXN-01382</t>
  </si>
  <si>
    <t>TXN-00218</t>
  </si>
  <si>
    <t>TXN-04050</t>
  </si>
  <si>
    <t>TXN-03794</t>
  </si>
  <si>
    <t>TXN-03080</t>
  </si>
  <si>
    <t>TXN-04013</t>
  </si>
  <si>
    <t>TXN-03760</t>
  </si>
  <si>
    <t>TXN-01813</t>
  </si>
  <si>
    <t>TXN-00251</t>
  </si>
  <si>
    <t>TXN-00705</t>
  </si>
  <si>
    <t>TXN-04498</t>
  </si>
  <si>
    <t>TXN-03802</t>
  </si>
  <si>
    <t>TXN-02355</t>
  </si>
  <si>
    <t>TXN-02589</t>
  </si>
  <si>
    <t>TXN-02244</t>
  </si>
  <si>
    <t>TXN-04601</t>
  </si>
  <si>
    <t>TXN-04798</t>
  </si>
  <si>
    <t>TXN-02220</t>
  </si>
  <si>
    <t>TXN-03039</t>
  </si>
  <si>
    <t>TXN-02618</t>
  </si>
  <si>
    <t>TXN-01310</t>
  </si>
  <si>
    <t>TXN-03319</t>
  </si>
  <si>
    <t>TXN-00117</t>
  </si>
  <si>
    <t>TXN-02949</t>
  </si>
  <si>
    <t>TXN-03908</t>
  </si>
  <si>
    <t>TXN-02042</t>
  </si>
  <si>
    <t>TXN-00350</t>
  </si>
  <si>
    <t>TXN-02429</t>
  </si>
  <si>
    <t>TXN-03444</t>
  </si>
  <si>
    <t>TXN-03571</t>
  </si>
  <si>
    <t>TXN-01771</t>
  </si>
  <si>
    <t>TXN-04296</t>
  </si>
  <si>
    <t>TXN-03133</t>
  </si>
  <si>
    <t>TXN-03441</t>
  </si>
  <si>
    <t>TXN-03616</t>
  </si>
  <si>
    <t>TXN-02537</t>
  </si>
  <si>
    <t>TXN-04067</t>
  </si>
  <si>
    <t>TXN-00501</t>
  </si>
  <si>
    <t>TXN-03392</t>
  </si>
  <si>
    <t>TXN-04083</t>
  </si>
  <si>
    <t>TXN-04255</t>
  </si>
  <si>
    <t>TXN-01413</t>
  </si>
  <si>
    <t>TXN-01588</t>
  </si>
  <si>
    <t>TXN-02492</t>
  </si>
  <si>
    <t>TXN-02696</t>
  </si>
  <si>
    <t>TXN-04903</t>
  </si>
  <si>
    <t>TXN-04279</t>
  </si>
  <si>
    <t>TXN-04340</t>
  </si>
  <si>
    <t>TXN-04877</t>
  </si>
  <si>
    <t>TXN-00495</t>
  </si>
  <si>
    <t>TXN-01108</t>
  </si>
  <si>
    <t>TXN-03160</t>
  </si>
  <si>
    <t>TXN-01483</t>
  </si>
  <si>
    <t>TXN-02130</t>
  </si>
  <si>
    <t>TXN-00103</t>
  </si>
  <si>
    <t>TXN-04178</t>
  </si>
  <si>
    <t>TXN-01013</t>
  </si>
  <si>
    <t>TXN-01822</t>
  </si>
  <si>
    <t>TXN-01085</t>
  </si>
  <si>
    <t>TXN-03130</t>
  </si>
  <si>
    <t>TXN-03174</t>
  </si>
  <si>
    <t>TXN-03856</t>
  </si>
  <si>
    <t>TXN-02339</t>
  </si>
  <si>
    <t>TXN-03198</t>
  </si>
  <si>
    <t>TXN-02531</t>
  </si>
  <si>
    <t>TXN-03733</t>
  </si>
  <si>
    <t>TXN-03820</t>
  </si>
  <si>
    <t>TXN-04801</t>
  </si>
  <si>
    <t>TXN-01555</t>
  </si>
  <si>
    <t>TXN-00990</t>
  </si>
  <si>
    <t>TXN-03664</t>
  </si>
  <si>
    <t>TXN-02341</t>
  </si>
  <si>
    <t>TXN-02753</t>
  </si>
  <si>
    <t>TXN-02960</t>
  </si>
  <si>
    <t>TXN-04906</t>
  </si>
  <si>
    <t>TXN-04248</t>
  </si>
  <si>
    <t>TXN-04029</t>
  </si>
  <si>
    <t>TXN-02164</t>
  </si>
  <si>
    <t>TXN-00887</t>
  </si>
  <si>
    <t>TXN-02396</t>
  </si>
  <si>
    <t>TXN-04350</t>
  </si>
  <si>
    <t>TXN-02737</t>
  </si>
  <si>
    <t>TXN-01564</t>
  </si>
  <si>
    <t>TXN-01932</t>
  </si>
  <si>
    <t>TXN-01955</t>
  </si>
  <si>
    <t>TXN-02039</t>
  </si>
  <si>
    <t>TXN-03478</t>
  </si>
  <si>
    <t>TXN-02171</t>
  </si>
  <si>
    <t>TXN-01747</t>
  </si>
  <si>
    <t>TXN-03965</t>
  </si>
  <si>
    <t>TXN-01151</t>
  </si>
  <si>
    <t>TXN-04359</t>
  </si>
  <si>
    <t>TXN-01671</t>
  </si>
  <si>
    <t>TXN-04605</t>
  </si>
  <si>
    <t>TXN-03502</t>
  </si>
  <si>
    <t>TXN-03245</t>
  </si>
  <si>
    <t>TXN-03124</t>
  </si>
  <si>
    <t>TXN-01442</t>
  </si>
  <si>
    <t>TXN-00447</t>
  </si>
  <si>
    <t>TXN-03009</t>
  </si>
  <si>
    <t>TXN-02629</t>
  </si>
  <si>
    <t>TXN-03831</t>
  </si>
  <si>
    <t>TXN-04994</t>
  </si>
  <si>
    <t>TXN-04607</t>
  </si>
  <si>
    <t>TXN-03628</t>
  </si>
  <si>
    <t>TXN-00753</t>
  </si>
  <si>
    <t>TXN-03277</t>
  </si>
  <si>
    <t>TXN-02768</t>
  </si>
  <si>
    <t>TXN-00763</t>
  </si>
  <si>
    <t>TXN-04367</t>
  </si>
  <si>
    <t>TXN-01143</t>
  </si>
  <si>
    <t>TXN-03889</t>
  </si>
  <si>
    <t>TXN-02525</t>
  </si>
  <si>
    <t>TXN-02437</t>
  </si>
  <si>
    <t>TXN-03424</t>
  </si>
  <si>
    <t>TXN-03031</t>
  </si>
  <si>
    <t>TXN-00289</t>
  </si>
  <si>
    <t>TXN-00733</t>
  </si>
  <si>
    <t>TXN-04640</t>
  </si>
  <si>
    <t>TXN-03194</t>
  </si>
  <si>
    <t>TXN-02138</t>
  </si>
  <si>
    <t>TXN-03064</t>
  </si>
  <si>
    <t>TXN-00460</t>
  </si>
  <si>
    <t>TXN-02931</t>
  </si>
  <si>
    <t>TXN-01256</t>
  </si>
  <si>
    <t>TXN-00178</t>
  </si>
  <si>
    <t>TXN-02443</t>
  </si>
  <si>
    <t>TXN-03343</t>
  </si>
  <si>
    <t>TXN-01181</t>
  </si>
  <si>
    <t>TXN-03219</t>
  </si>
  <si>
    <t>TXN-03879</t>
  </si>
  <si>
    <t>TXN-04765</t>
  </si>
  <si>
    <t>TXN-00381</t>
  </si>
  <si>
    <t>TXN-02736</t>
  </si>
  <si>
    <t>TXN-03111</t>
  </si>
  <si>
    <t>TXN-02082</t>
  </si>
  <si>
    <t>TXN-01803</t>
  </si>
  <si>
    <t>TXN-04172</t>
  </si>
  <si>
    <t>TXN-00532</t>
  </si>
  <si>
    <t>TXN-00593</t>
  </si>
  <si>
    <t>TXN-03672</t>
  </si>
  <si>
    <t>TXN-02199</t>
  </si>
  <si>
    <t>TXN-03695</t>
  </si>
  <si>
    <t>TXN-02301</t>
  </si>
  <si>
    <t>TXN-04954</t>
  </si>
  <si>
    <t>TXN-00764</t>
  </si>
  <si>
    <t>TXN-04762</t>
  </si>
  <si>
    <t>TXN-02800</t>
  </si>
  <si>
    <t>TXN-03224</t>
  </si>
  <si>
    <t>TXN-01581</t>
  </si>
  <si>
    <t>TXN-00724</t>
  </si>
  <si>
    <t>TXN-02238</t>
  </si>
  <si>
    <t>TXN-02421</t>
  </si>
  <si>
    <t>TXN-02550</t>
  </si>
  <si>
    <t>TXN-04307</t>
  </si>
  <si>
    <t>TXN-04268</t>
  </si>
  <si>
    <t>TXN-03143</t>
  </si>
  <si>
    <t>TXN-00678</t>
  </si>
  <si>
    <t>TXN-03715</t>
  </si>
  <si>
    <t>TXN-03407</t>
  </si>
  <si>
    <t>TXN-03974</t>
  </si>
  <si>
    <t>TXN-04004</t>
  </si>
  <si>
    <t>TXN-01198</t>
  </si>
  <si>
    <t>TXN-03964</t>
  </si>
  <si>
    <t>TXN-00442</t>
  </si>
  <si>
    <t>TXN-04723</t>
  </si>
  <si>
    <t>TXN-03669</t>
  </si>
  <si>
    <t>TXN-00298</t>
  </si>
  <si>
    <t>TXN-02192</t>
  </si>
  <si>
    <t>TXN-00241</t>
  </si>
  <si>
    <t>TXN-02922</t>
  </si>
  <si>
    <t>TXN-02020</t>
  </si>
  <si>
    <t>TXN-03152</t>
  </si>
  <si>
    <t>TXN-01520</t>
  </si>
  <si>
    <t>TXN-00536</t>
  </si>
  <si>
    <t>TXN-02350</t>
  </si>
  <si>
    <t>TXN-04211</t>
  </si>
  <si>
    <t>TXN-01689</t>
  </si>
  <si>
    <t>TXN-01282</t>
  </si>
  <si>
    <t>TXN-01996</t>
  </si>
  <si>
    <t>TXN-04507</t>
  </si>
  <si>
    <t>TXN-00607</t>
  </si>
  <si>
    <t>TXN-02222</t>
  </si>
  <si>
    <t>TXN-03741</t>
  </si>
  <si>
    <t>TXN-03644</t>
  </si>
  <si>
    <t>TXN-03107</t>
  </si>
  <si>
    <t>TXN-00077</t>
  </si>
  <si>
    <t>TXN-03599</t>
  </si>
  <si>
    <t>TXN-02319</t>
  </si>
  <si>
    <t>TXN-00719</t>
  </si>
  <si>
    <t>TXN-04259</t>
  </si>
  <si>
    <t>TXN-02883</t>
  </si>
  <si>
    <t>TXN-00507</t>
  </si>
  <si>
    <t>TXN-04593</t>
  </si>
  <si>
    <t>TXN-04525</t>
  </si>
  <si>
    <t>TXN-03661</t>
  </si>
  <si>
    <t>TXN-01634</t>
  </si>
  <si>
    <t>TXN-02146</t>
  </si>
  <si>
    <t>TXN-01765</t>
  </si>
  <si>
    <t>TXN-04533</t>
  </si>
  <si>
    <t>TXN-00024</t>
  </si>
  <si>
    <t>TXN-01626</t>
  </si>
  <si>
    <t>TXN-00281</t>
  </si>
  <si>
    <t>TXN-01869</t>
  </si>
  <si>
    <t>TXN-02227</t>
  </si>
  <si>
    <t>TXN-04955</t>
  </si>
  <si>
    <t>TXN-02939</t>
  </si>
  <si>
    <t>TXN-04989</t>
  </si>
  <si>
    <t>TXN-03643</t>
  </si>
  <si>
    <t>TXN-00668</t>
  </si>
  <si>
    <t>TXN-02529</t>
  </si>
  <si>
    <t>TXN-04543</t>
  </si>
  <si>
    <t>TXN-03803</t>
  </si>
  <si>
    <t>TXN-02524</t>
  </si>
  <si>
    <t>TXN-02459</t>
  </si>
  <si>
    <t>TXN-00214</t>
  </si>
  <si>
    <t>TXN-04985</t>
  </si>
  <si>
    <t>TXN-03980</t>
  </si>
  <si>
    <t>TXN-02371</t>
  </si>
  <si>
    <t>TXN-02986</t>
  </si>
  <si>
    <t>TXN-04252</t>
  </si>
  <si>
    <t>TXN-03579</t>
  </si>
  <si>
    <t>TXN-04661</t>
  </si>
  <si>
    <t>TXN-01355</t>
  </si>
  <si>
    <t>TXN-02309</t>
  </si>
  <si>
    <t>TXN-01587</t>
  </si>
  <si>
    <t>TXN-02418</t>
  </si>
  <si>
    <t>TXN-00008</t>
  </si>
  <si>
    <t>TXN-02832</t>
  </si>
  <si>
    <t>TXN-00914</t>
  </si>
  <si>
    <t>TXN-01201</t>
  </si>
  <si>
    <t>TXN-02055</t>
  </si>
  <si>
    <t>TXN-00283</t>
  </si>
  <si>
    <t>TXN-03620</t>
  </si>
  <si>
    <t>TXN-04254</t>
  </si>
  <si>
    <t>TXN-00362</t>
  </si>
  <si>
    <t>TXN-04874</t>
  </si>
  <si>
    <t>TXN-01222</t>
  </si>
  <si>
    <t>TXN-00640</t>
  </si>
  <si>
    <t>TXN-03832</t>
  </si>
  <si>
    <t>TXN-03489</t>
  </si>
  <si>
    <t>TXN-04584</t>
  </si>
  <si>
    <t>TXN-04966</t>
  </si>
  <si>
    <t>TXN-04957</t>
  </si>
  <si>
    <t>TXN-02554</t>
  </si>
  <si>
    <t>TXN-00228</t>
  </si>
  <si>
    <t>TXN-01613</t>
  </si>
  <si>
    <t>TXN-00446</t>
  </si>
  <si>
    <t>TXN-00843</t>
  </si>
  <si>
    <t>TXN-03817</t>
  </si>
  <si>
    <t>TXN-00030</t>
  </si>
  <si>
    <t>TXN-01107</t>
  </si>
  <si>
    <t>TXN-01136</t>
  </si>
  <si>
    <t>TXN-02639</t>
  </si>
  <si>
    <t>TXN-02889</t>
  </si>
  <si>
    <t>TXN-03300</t>
  </si>
  <si>
    <t>TXN-02819</t>
  </si>
  <si>
    <t>TXN-00708</t>
  </si>
  <si>
    <t>TXN-00606</t>
  </si>
  <si>
    <t>TXN-00309</t>
  </si>
  <si>
    <t>TXN-03006</t>
  </si>
  <si>
    <t>TXN-03914</t>
  </si>
  <si>
    <t>TXN-01422</t>
  </si>
  <si>
    <t>TXN-03722</t>
  </si>
  <si>
    <t>TXN-01010</t>
  </si>
  <si>
    <t>TXN-01843</t>
  </si>
  <si>
    <t>TXN-04872</t>
  </si>
  <si>
    <t>TXN-03025</t>
  </si>
  <si>
    <t>TXN-03350</t>
  </si>
  <si>
    <t>TXN-04523</t>
  </si>
  <si>
    <t>TXN-04059</t>
  </si>
  <si>
    <t>TXN-02230</t>
  </si>
  <si>
    <t>TXN-02634</t>
  </si>
  <si>
    <t>TXN-04833</t>
  </si>
  <si>
    <t>TXN-01319</t>
  </si>
  <si>
    <t>TXN-02288</t>
  </si>
  <si>
    <t>TXN-03023</t>
  </si>
  <si>
    <t>TXN-03271</t>
  </si>
  <si>
    <t>TXN-02917</t>
  </si>
  <si>
    <t>TXN-02284</t>
  </si>
  <si>
    <t>TXN-02345</t>
  </si>
  <si>
    <t>TXN-02122</t>
  </si>
  <si>
    <t>TXN-03594</t>
  </si>
  <si>
    <t>TXN-01601</t>
  </si>
  <si>
    <t>TXN-02822</t>
  </si>
  <si>
    <t>TXN-04421</t>
  </si>
  <si>
    <t>TXN-00142</t>
  </si>
  <si>
    <t>TXN-04691</t>
  </si>
  <si>
    <t>TXN-04269</t>
  </si>
  <si>
    <t>TXN-00863</t>
  </si>
  <si>
    <t>TXN-03231</t>
  </si>
  <si>
    <t>TXN-01910</t>
  </si>
  <si>
    <t>TXN-03132</t>
  </si>
  <si>
    <t>TXN-04725</t>
  </si>
  <si>
    <t>TXN-04789</t>
  </si>
  <si>
    <t>TXN-02842</t>
  </si>
  <si>
    <t>TXN-04776</t>
  </si>
  <si>
    <t>TXN-00726</t>
  </si>
  <si>
    <t>TXN-03543</t>
  </si>
  <si>
    <t>TXN-00419</t>
  </si>
  <si>
    <t>TXN-03937</t>
  </si>
  <si>
    <t>TXN-02487</t>
  </si>
  <si>
    <t>TXN-03612</t>
  </si>
  <si>
    <t>TXN-03655</t>
  </si>
  <si>
    <t>TXN-03899</t>
  </si>
  <si>
    <t>TXN-00222</t>
  </si>
  <si>
    <t>TXN-01358</t>
  </si>
  <si>
    <t>TXN-01983</t>
  </si>
  <si>
    <t>TXN-02250</t>
  </si>
  <si>
    <t>TXN-04437</t>
  </si>
  <si>
    <t>TXN-00341</t>
  </si>
  <si>
    <t>TXN-01918</t>
  </si>
  <si>
    <t>TXN-04158</t>
  </si>
  <si>
    <t>TXN-02742</t>
  </si>
  <si>
    <t>TXN-01197</t>
  </si>
  <si>
    <t>TXN-03648</t>
  </si>
  <si>
    <t>TXN-01668</t>
  </si>
  <si>
    <t>TXN-02722</t>
  </si>
  <si>
    <t>TXN-00570</t>
  </si>
  <si>
    <t>TXN-04911</t>
  </si>
  <si>
    <t>TXN-00090</t>
  </si>
  <si>
    <t>TXN-01406</t>
  </si>
  <si>
    <t>TXN-02365</t>
  </si>
  <si>
    <t>TXN-03681</t>
  </si>
  <si>
    <t>TXN-02061</t>
  </si>
  <si>
    <t>TXN-04678</t>
  </si>
  <si>
    <t>TXN-04157</t>
  </si>
  <si>
    <t>TXN-03013</t>
  </si>
  <si>
    <t>TXN-01987</t>
  </si>
  <si>
    <t>TXN-01253</t>
  </si>
  <si>
    <t>TXN-04264</t>
  </si>
  <si>
    <t>TXN-01931</t>
  </si>
  <si>
    <t>TXN-03723</t>
  </si>
  <si>
    <t>TXN-03867</t>
  </si>
  <si>
    <t>TXN-02373</t>
  </si>
  <si>
    <t>TXN-01400</t>
  </si>
  <si>
    <t>TXN-00315</t>
  </si>
  <si>
    <t>TXN-00469</t>
  </si>
  <si>
    <t>TXN-02501</t>
  </si>
  <si>
    <t>TXN-04857</t>
  </si>
  <si>
    <t>TXN-02036</t>
  </si>
  <si>
    <t>TXN-03324</t>
  </si>
  <si>
    <t>TXN-04351</t>
  </si>
  <si>
    <t>TXN-04535</t>
  </si>
  <si>
    <t>TXN-00485</t>
  </si>
  <si>
    <t>TXN-02440</t>
  </si>
  <si>
    <t>TXN-04913</t>
  </si>
  <si>
    <t>TXN-04281</t>
  </si>
  <si>
    <t>TXN-02606</t>
  </si>
  <si>
    <t>TXN-03979</t>
  </si>
  <si>
    <t>TXN-02658</t>
  </si>
  <si>
    <t>TXN-02563</t>
  </si>
  <si>
    <t>TXN-04829</t>
  </si>
  <si>
    <t>TXN-00585</t>
  </si>
  <si>
    <t>TXN-02955</t>
  </si>
  <si>
    <t>TXN-04539</t>
  </si>
  <si>
    <t>TXN-01697</t>
  </si>
  <si>
    <t>TXN-01161</t>
  </si>
  <si>
    <t>TXN-00663</t>
  </si>
  <si>
    <t>TXN-00127</t>
  </si>
  <si>
    <t>TXN-00999</t>
  </si>
  <si>
    <t>TXN-00116</t>
  </si>
  <si>
    <t>TXN-00920</t>
  </si>
  <si>
    <t>TXN-02815</t>
  </si>
  <si>
    <t>TXN-01857</t>
  </si>
  <si>
    <t>TXN-04150</t>
  </si>
  <si>
    <t>TXN-03869</t>
  </si>
  <si>
    <t>TXN-03042</t>
  </si>
  <si>
    <t>TXN-03887</t>
  </si>
  <si>
    <t>TXN-04469</t>
  </si>
  <si>
    <t>TXN-00614</t>
  </si>
  <si>
    <t>TXN-04348</t>
  </si>
  <si>
    <t>TXN-04904</t>
  </si>
  <si>
    <t>TXN-01475</t>
  </si>
  <si>
    <t>TXN-03639</t>
  </si>
  <si>
    <t>TXN-03411</t>
  </si>
  <si>
    <t>TXN-04065</t>
  </si>
  <si>
    <t>TXN-02818</t>
  </si>
  <si>
    <t>TXN-04537</t>
  </si>
  <si>
    <t>TXN-02137</t>
  </si>
  <si>
    <t>TXN-03278</t>
  </si>
  <si>
    <t>TXN-04161</t>
  </si>
  <si>
    <t>TXN-02229</t>
  </si>
  <si>
    <t>TXN-00059</t>
  </si>
  <si>
    <t>TXN-03910</t>
  </si>
  <si>
    <t>TXN-02380</t>
  </si>
  <si>
    <t>TXN-00261</t>
  </si>
  <si>
    <t>TXN-04973</t>
  </si>
  <si>
    <t>TXN-02352</t>
  </si>
  <si>
    <t>TXN-00586</t>
  </si>
  <si>
    <t>TXN-00032</t>
  </si>
  <si>
    <t>TXN-01901</t>
  </si>
  <si>
    <t>TXN-03333</t>
  </si>
  <si>
    <t>TXN-00703</t>
  </si>
  <si>
    <t>TXN-04183</t>
  </si>
  <si>
    <t>TXN-00358</t>
  </si>
  <si>
    <t>TXN-00966</t>
  </si>
  <si>
    <t>TXN-00414</t>
  </si>
  <si>
    <t>TXN-01884</t>
  </si>
  <si>
    <t>TXN-03001</t>
  </si>
  <si>
    <t>TXN-01216</t>
  </si>
  <si>
    <t>TXN-04458</t>
  </si>
  <si>
    <t>TXN-04549</t>
  </si>
  <si>
    <t>TXN-02207</t>
  </si>
  <si>
    <t>TXN-02533</t>
  </si>
  <si>
    <t>TXN-02549</t>
  </si>
  <si>
    <t>TXN-01773</t>
  </si>
  <si>
    <t>TXN-01815</t>
  </si>
  <si>
    <t>TXN-01638</t>
  </si>
  <si>
    <t>TXN-02930</t>
  </si>
  <si>
    <t>TXN-00898</t>
  </si>
  <si>
    <t>TXN-03622</t>
  </si>
  <si>
    <t>TXN-02600</t>
  </si>
  <si>
    <t>TXN-00464</t>
  </si>
  <si>
    <t>TXN-03289</t>
  </si>
  <si>
    <t>TXN-01024</t>
  </si>
  <si>
    <t>TXN-02170</t>
  </si>
  <si>
    <t>TXN-01948</t>
  </si>
  <si>
    <t>TXN-03990</t>
  </si>
  <si>
    <t>TXN-04372</t>
  </si>
  <si>
    <t>TXN-04024</t>
  </si>
  <si>
    <t>TXN-00707</t>
  </si>
  <si>
    <t>TXN-00311</t>
  </si>
  <si>
    <t>TXN-03588</t>
  </si>
  <si>
    <t>TXN-02346</t>
  </si>
  <si>
    <t>TXN-04644</t>
  </si>
  <si>
    <t>TXN-03971</t>
  </si>
  <si>
    <t>TXN-03287</t>
  </si>
  <si>
    <t>TXN-01674</t>
  </si>
  <si>
    <t>TXN-03118</t>
  </si>
  <si>
    <t>TXN-02447</t>
  </si>
  <si>
    <t>TXN-03680</t>
  </si>
  <si>
    <t>TXN-03718</t>
  </si>
  <si>
    <t>TXN-03883</t>
  </si>
  <si>
    <t>TXN-01246</t>
  </si>
  <si>
    <t>TXN-00095</t>
  </si>
  <si>
    <t>TXN-02097</t>
  </si>
  <si>
    <t>TXN-01507</t>
  </si>
  <si>
    <t>TXN-01692</t>
  </si>
  <si>
    <t>TXN-00454</t>
  </si>
  <si>
    <t>TXN-02482</t>
  </si>
  <si>
    <t>TXN-02481</t>
  </si>
  <si>
    <t>TXN-03501</t>
  </si>
  <si>
    <t>TXN-01338</t>
  </si>
  <si>
    <t>TXN-00813</t>
  </si>
  <si>
    <t>TXN-01607</t>
  </si>
  <si>
    <t>TXN-04825</t>
  </si>
  <si>
    <t>TXN-00148</t>
  </si>
  <si>
    <t>TXN-03957</t>
  </si>
  <si>
    <t>TXN-00351</t>
  </si>
  <si>
    <t>TXN-00849</t>
  </si>
  <si>
    <t>TXN-01846</t>
  </si>
  <si>
    <t>TXN-01245</t>
  </si>
  <si>
    <t>TXN-02602</t>
  </si>
  <si>
    <t>TXN-00842</t>
  </si>
  <si>
    <t>TXN-01685</t>
  </si>
  <si>
    <t>TXN-03034</t>
  </si>
  <si>
    <t>TXN-04443</t>
  </si>
  <si>
    <t>TXN-02755</t>
  </si>
  <si>
    <t>TXN-04335</t>
  </si>
  <si>
    <t>TXN-04745</t>
  </si>
  <si>
    <t>TXN-01836</t>
  </si>
  <si>
    <t>TXN-02111</t>
  </si>
  <si>
    <t>TXN-00934</t>
  </si>
  <si>
    <t>TXN-04616</t>
  </si>
  <si>
    <t>TXN-02782</t>
  </si>
  <si>
    <t>TXN-01817</t>
  </si>
  <si>
    <t>TXN-04388</t>
  </si>
  <si>
    <t>TXN-03041</t>
  </si>
  <si>
    <t>TXN-02934</t>
  </si>
  <si>
    <t>TXN-03504</t>
  </si>
  <si>
    <t>TXN-04371</t>
  </si>
  <si>
    <t>TXN-02519</t>
  </si>
  <si>
    <t>TXN-04495</t>
  </si>
  <si>
    <t>TXN-00809</t>
  </si>
  <si>
    <t>TXN-01563</t>
  </si>
  <si>
    <t>TXN-02609</t>
  </si>
  <si>
    <t>TXN-02583</t>
  </si>
  <si>
    <t>TXN-03828</t>
  </si>
  <si>
    <t>TXN-03863</t>
  </si>
  <si>
    <t>TXN-04969</t>
  </si>
  <si>
    <t>TXN-04555</t>
  </si>
  <si>
    <t>TXN-00872</t>
  </si>
  <si>
    <t>TXN-02292</t>
  </si>
  <si>
    <t>TXN-01103</t>
  </si>
  <si>
    <t>TXN-00348</t>
  </si>
  <si>
    <t>TXN-03046</t>
  </si>
  <si>
    <t>TXN-02441</t>
  </si>
  <si>
    <t>TXN-04570</t>
  </si>
  <si>
    <t>TXN-03631</t>
  </si>
  <si>
    <t>TXN-03542</t>
  </si>
  <si>
    <t>TXN-03512</t>
  </si>
  <si>
    <t>TXN-00658</t>
  </si>
  <si>
    <t>TXN-02522</t>
  </si>
  <si>
    <t>TXN-00146</t>
  </si>
  <si>
    <t>TXN-04339</t>
  </si>
  <si>
    <t>TXN-03569</t>
  </si>
  <si>
    <t>TXN-02622</t>
  </si>
  <si>
    <t>TXN-03230</t>
  </si>
  <si>
    <t>TXN-00771</t>
  </si>
  <si>
    <t>TXN-04363</t>
  </si>
  <si>
    <t>TXN-03369</t>
  </si>
  <si>
    <t>TXN-00906</t>
  </si>
  <si>
    <t>TXN-02298</t>
  </si>
  <si>
    <t>TXN-04230</t>
  </si>
  <si>
    <t>TXN-03434</t>
  </si>
  <si>
    <t>TXN-02856</t>
  </si>
  <si>
    <t>TXN-02896</t>
  </si>
  <si>
    <t>TXN-02381</t>
  </si>
  <si>
    <t>TXN-00816</t>
  </si>
  <si>
    <t>TXN-03754</t>
  </si>
  <si>
    <t>TXN-00784</t>
  </si>
  <si>
    <t>TXN-01412</t>
  </si>
  <si>
    <t>TXN-04245</t>
  </si>
  <si>
    <t>TXN-02666</t>
  </si>
  <si>
    <t>TXN-00302</t>
  </si>
  <si>
    <t>TXN-03384</t>
  </si>
  <si>
    <t>TXN-02691</t>
  </si>
  <si>
    <t>TXN-00909</t>
  </si>
  <si>
    <t>TXN-01796</t>
  </si>
  <si>
    <t>TXN-04166</t>
  </si>
  <si>
    <t>TXN-02952</t>
  </si>
  <si>
    <t>TXN-01015</t>
  </si>
  <si>
    <t>TXN-01051</t>
  </si>
  <si>
    <t>TXN-00224</t>
  </si>
  <si>
    <t>TXN-02940</t>
  </si>
  <si>
    <t>TXN-00449</t>
  </si>
  <si>
    <t>TXN-01247</t>
  </si>
  <si>
    <t>TXN-03801</t>
  </si>
  <si>
    <t>TXN-01755</t>
  </si>
  <si>
    <t>TXN-03812</t>
  </si>
  <si>
    <t>TXN-01853</t>
  </si>
  <si>
    <t>TXN-04046</t>
  </si>
  <si>
    <t>TXN-03092</t>
  </si>
  <si>
    <t>TXN-02386</t>
  </si>
  <si>
    <t>TXN-02388</t>
  </si>
  <si>
    <t>TXN-02153</t>
  </si>
  <si>
    <t>TXN-01007</t>
  </si>
  <si>
    <t>TXN-02830</t>
  </si>
  <si>
    <t>TXN-03592</t>
  </si>
  <si>
    <t>TXN-03079</t>
  </si>
  <si>
    <t>TXN-01559</t>
  </si>
  <si>
    <t>TXN-04386</t>
  </si>
  <si>
    <t>TXN-03221</t>
  </si>
  <si>
    <t>TXN-00154</t>
  </si>
  <si>
    <t>TXN-01550</t>
  </si>
  <si>
    <t>TXN-03557</t>
  </si>
  <si>
    <t>TXN-03304</t>
  </si>
  <si>
    <t>TXN-02951</t>
  </si>
  <si>
    <t>TXN-03033</t>
  </si>
  <si>
    <t>TXN-04003</t>
  </si>
  <si>
    <t>TXN-03201</t>
  </si>
  <si>
    <t>TXN-03653</t>
  </si>
  <si>
    <t>TXN-00937</t>
  </si>
  <si>
    <t>TXN-02826</t>
  </si>
  <si>
    <t>TXN-02088</t>
  </si>
  <si>
    <t>TXN-00418</t>
  </si>
  <si>
    <t>TXN-04077</t>
  </si>
  <si>
    <t>TXN-04315</t>
  </si>
  <si>
    <t>TXN-04369</t>
  </si>
  <si>
    <t>TXN-04060</t>
  </si>
  <si>
    <t>TXN-03189</t>
  </si>
  <si>
    <t>TXN-03692</t>
  </si>
  <si>
    <t>TXN-01138</t>
  </si>
  <si>
    <t>TXN-03923</t>
  </si>
  <si>
    <t>TXN-02777</t>
  </si>
  <si>
    <t>TXN-02253</t>
  </si>
  <si>
    <t>TXN-04407</t>
  </si>
  <si>
    <t>TXN-02167</t>
  </si>
  <si>
    <t>TXN-02442</t>
  </si>
  <si>
    <t>TXN-02664</t>
  </si>
  <si>
    <t>TXN-00288</t>
  </si>
  <si>
    <t>TXN-03897</t>
  </si>
  <si>
    <t>TXN-00039</t>
  </si>
  <si>
    <t>TXN-03147</t>
  </si>
  <si>
    <t>TXN-01463</t>
  </si>
  <si>
    <t>TXN-03650</t>
  </si>
  <si>
    <t>TXN-04689</t>
  </si>
  <si>
    <t>TXN-00179</t>
  </si>
  <si>
    <t>TXN-00139</t>
  </si>
  <si>
    <t>TXN-03554</t>
  </si>
  <si>
    <t>TXN-00054</t>
  </si>
  <si>
    <t>TXN-04873</t>
  </si>
  <si>
    <t>TXN-03845</t>
  </si>
  <si>
    <t>TXN-00332</t>
  </si>
  <si>
    <t>TXN-00066</t>
  </si>
  <si>
    <t>TXN-02569</t>
  </si>
  <si>
    <t>TXN-01090</t>
  </si>
  <si>
    <t>TXN-04231</t>
  </si>
  <si>
    <t>TXN-02824</t>
  </si>
  <si>
    <t>TXN-04703</t>
  </si>
  <si>
    <t>TXN-04168</t>
  </si>
  <si>
    <t>TXN-00550</t>
  </si>
  <si>
    <t>TXN-04019</t>
  </si>
  <si>
    <t>TXN-03991</t>
  </si>
  <si>
    <t>TXN-01635</t>
  </si>
  <si>
    <t>TXN-00333</t>
  </si>
  <si>
    <t>TXN-00374</t>
  </si>
  <si>
    <t>TXN-04682</t>
  </si>
  <si>
    <t>TXN-01660</t>
  </si>
  <si>
    <t>TXN-01546</t>
  </si>
  <si>
    <t>TXN-02774</t>
  </si>
  <si>
    <t>TXN-04589</t>
  </si>
  <si>
    <t>TXN-04424</t>
  </si>
  <si>
    <t>TXN-02399</t>
  </si>
  <si>
    <t>TXN-01593</t>
  </si>
  <si>
    <t>TXN-04561</t>
  </si>
  <si>
    <t>TXN-03058</t>
  </si>
  <si>
    <t>TXN-02749</t>
  </si>
  <si>
    <t>TXN-04524</t>
  </si>
  <si>
    <t>TXN-04397</t>
  </si>
  <si>
    <t>TXN-00922</t>
  </si>
  <si>
    <t>TXN-03165</t>
  </si>
  <si>
    <t>TXN-00980</t>
  </si>
  <si>
    <t>TXN-00992</t>
  </si>
  <si>
    <t>TXN-04494</t>
  </si>
  <si>
    <t>TXN-01101</t>
  </si>
  <si>
    <t>TXN-01975</t>
  </si>
  <si>
    <t>TXN-02861</t>
  </si>
  <si>
    <t>TXN-00369</t>
  </si>
  <si>
    <t>TXN-03210</t>
  </si>
  <si>
    <t>TXN-01886</t>
  </si>
  <si>
    <t>TXN-03476</t>
  </si>
  <si>
    <t>TXN-01435</t>
  </si>
  <si>
    <t>TXN-01826</t>
  </si>
  <si>
    <t>TXN-02265</t>
  </si>
  <si>
    <t>TXN-00751</t>
  </si>
  <si>
    <t>TXN-00152</t>
  </si>
  <si>
    <t>TXN-03371</t>
  </si>
  <si>
    <t>TXN-03049</t>
  </si>
  <si>
    <t>TXN-01004</t>
  </si>
  <si>
    <t>TXN-01187</t>
  </si>
  <si>
    <t>TXN-03690</t>
  </si>
  <si>
    <t>TXN-01496</t>
  </si>
  <si>
    <t>TXN-00425</t>
  </si>
  <si>
    <t>TXN-02669</t>
  </si>
  <si>
    <t>TXN-03838</t>
  </si>
  <si>
    <t>TXN-02120</t>
  </si>
  <si>
    <t>TXN-02419</t>
  </si>
  <si>
    <t>TXN-03917</t>
  </si>
  <si>
    <t>TXN-02707</t>
  </si>
  <si>
    <t>TXN-03313</t>
  </si>
  <si>
    <t>TXN-04425</t>
  </si>
  <si>
    <t>TXN-02599</t>
  </si>
  <si>
    <t>TXN-03106</t>
  </si>
  <si>
    <t>TXN-02102</t>
  </si>
  <si>
    <t>TXN-01701</t>
  </si>
  <si>
    <t>TXN-04693</t>
  </si>
  <si>
    <t>TXN-01445</t>
  </si>
  <si>
    <t>TXN-01980</t>
  </si>
  <si>
    <t>TXN-04037</t>
  </si>
  <si>
    <t>TXN-01589</t>
  </si>
  <si>
    <t>TXN-00256</t>
  </si>
  <si>
    <t>TXN-02574</t>
  </si>
  <si>
    <t>TXN-00965</t>
  </si>
  <si>
    <t>TXN-02771</t>
  </si>
  <si>
    <t>TXN-03792</t>
  </si>
  <si>
    <t>TXN-01272</t>
  </si>
  <si>
    <t>TXN-01720</t>
  </si>
  <si>
    <t>TXN-01960</t>
  </si>
  <si>
    <t>TXN-00566</t>
  </si>
  <si>
    <t>TXN-02888</t>
  </si>
  <si>
    <t>TXN-02069</t>
  </si>
  <si>
    <t>TXN-01734</t>
  </si>
  <si>
    <t>TXN-01570</t>
  </si>
  <si>
    <t>TXN-01981</t>
  </si>
  <si>
    <t>TXN-04149</t>
  </si>
  <si>
    <t>TXN-01157</t>
  </si>
  <si>
    <t>TXN-02135</t>
  </si>
  <si>
    <t>TXN-01675</t>
  </si>
  <si>
    <t>TXN-01723</t>
  </si>
  <si>
    <t>TXN-01877</t>
  </si>
  <si>
    <t>TXN-02748</t>
  </si>
  <si>
    <t>TXN-00101</t>
  </si>
  <si>
    <t>TXN-01235</t>
  </si>
  <si>
    <t>TXN-01526</t>
  </si>
  <si>
    <t>TXN-04457</t>
  </si>
  <si>
    <t>TXN-03726</t>
  </si>
  <si>
    <t>TXN-03131</t>
  </si>
  <si>
    <t>TXN-02256</t>
  </si>
  <si>
    <t>TXN-02383</t>
  </si>
  <si>
    <t>TXN-01376</t>
  </si>
  <si>
    <t>TXN-02611</t>
  </si>
  <si>
    <t>TXN-03976</t>
  </si>
  <si>
    <t>TXN-04069</t>
  </si>
  <si>
    <t>TXN-00886</t>
  </si>
  <si>
    <t>TXN-02958</t>
  </si>
  <si>
    <t>TXN-02710</t>
  </si>
  <si>
    <t>TXN-00524</t>
  </si>
  <si>
    <t>TXN-04051</t>
  </si>
  <si>
    <t>TXN-04267</t>
  </si>
  <si>
    <t>TXN-02515</t>
  </si>
  <si>
    <t>TXN-04541</t>
  </si>
  <si>
    <t>TXN-02565</t>
  </si>
  <si>
    <t>TXN-01023</t>
  </si>
  <si>
    <t>TXN-03671</t>
  </si>
  <si>
    <t>TXN-02745</t>
  </si>
  <si>
    <t>TXN-02351</t>
  </si>
  <si>
    <t>TXN-03756</t>
  </si>
  <si>
    <t>TXN-00049</t>
  </si>
  <si>
    <t>TXN-00982</t>
  </si>
  <si>
    <t>TXN-02809</t>
  </si>
  <si>
    <t>TXN-02567</t>
  </si>
  <si>
    <t>TXN-03083</t>
  </si>
  <si>
    <t>TXN-02656</t>
  </si>
  <si>
    <t>TXN-03114</t>
  </si>
  <si>
    <t>TXN-04155</t>
  </si>
  <si>
    <t>TXN-02793</t>
  </si>
  <si>
    <t>TXN-01077</t>
  </si>
  <si>
    <t>TXN-00807</t>
  </si>
  <si>
    <t>TXN-03327</t>
  </si>
  <si>
    <t>TXN-03757</t>
  </si>
  <si>
    <t>TXN-02004</t>
  </si>
  <si>
    <t>TXN-00492</t>
  </si>
  <si>
    <t>TXN-03038</t>
  </si>
  <si>
    <t>TXN-04863</t>
  </si>
  <si>
    <t>TXN-04667</t>
  </si>
  <si>
    <t>TXN-00318</t>
  </si>
  <si>
    <t>TXN-01709</t>
  </si>
  <si>
    <t>TXN-04799</t>
  </si>
  <si>
    <t>TXN-04499</t>
  </si>
  <si>
    <t>TXN-01821</t>
  </si>
  <si>
    <t>TXN-04856</t>
  </si>
  <si>
    <t>TXN-03626</t>
  </si>
  <si>
    <t>TXN-00209</t>
  </si>
  <si>
    <t>TXN-04953</t>
  </si>
  <si>
    <t>TXN-02332</t>
  </si>
  <si>
    <t>TXN-03614</t>
  </si>
  <si>
    <t>TXN-02758</t>
  </si>
  <si>
    <t>TXN-04082</t>
  </si>
  <si>
    <t>TXN-01279</t>
  </si>
  <si>
    <t>TXN-01259</t>
  </si>
  <si>
    <t>TXN-02775</t>
  </si>
  <si>
    <t>TXN-03175</t>
  </si>
  <si>
    <t>TXN-02685</t>
  </si>
  <si>
    <t>TXN-03479</t>
  </si>
  <si>
    <t>TXN-02954</t>
  </si>
  <si>
    <t>TXN-00382</t>
  </si>
  <si>
    <t>TXN-00888</t>
  </si>
  <si>
    <t>TXN-00123</t>
  </si>
  <si>
    <t>TXN-02851</t>
  </si>
  <si>
    <t>TXN-03291</t>
  </si>
  <si>
    <t>TXN-02848</t>
  </si>
  <si>
    <t>TXN-03744</t>
  </si>
  <si>
    <t>TXN-02186</t>
  </si>
  <si>
    <t>TXN-03565</t>
  </si>
  <si>
    <t>TXN-02964</t>
  </si>
  <si>
    <t>TXN-04910</t>
  </si>
  <si>
    <t>TXN-01383</t>
  </si>
  <si>
    <t>TXN-04900</t>
  </si>
  <si>
    <t>TXN-03815</t>
  </si>
  <si>
    <t>TXN-03610</t>
  </si>
  <si>
    <t>TXN-00988</t>
  </si>
  <si>
    <t>TXN-04444</t>
  </si>
  <si>
    <t>TXN-04600</t>
  </si>
  <si>
    <t>TXN-00497</t>
  </si>
  <si>
    <t>TXN-02695</t>
  </si>
  <si>
    <t>TXN-03087</t>
  </si>
  <si>
    <t>TXN-02198</t>
  </si>
  <si>
    <t>TXN-04097</t>
  </si>
  <si>
    <t>TXN-03712</t>
  </si>
  <si>
    <t>TXN-02043</t>
  </si>
  <si>
    <t>TXN-04401</t>
  </si>
  <si>
    <t>TXN-01896</t>
  </si>
  <si>
    <t>TXN-01388</t>
  </si>
  <si>
    <t>TXN-03683</t>
  </si>
  <si>
    <t>TXN-03707</t>
  </si>
  <si>
    <t>TXN-03310</t>
  </si>
  <si>
    <t>TXN-04271</t>
  </si>
  <si>
    <t>TXN-02909</t>
  </si>
  <si>
    <t>TXN-04213</t>
  </si>
  <si>
    <t>TXN-03531</t>
  </si>
  <si>
    <t>TXN-02156</t>
  </si>
  <si>
    <t>TXN-04232</t>
  </si>
  <si>
    <t>TXN-00884</t>
  </si>
  <si>
    <t>TXN-03597</t>
  </si>
  <si>
    <t>TXN-01307</t>
  </si>
  <si>
    <t>TXN-00744</t>
  </si>
  <si>
    <t>TXN-02382</t>
  </si>
  <si>
    <t>TXN-00234</t>
  </si>
  <si>
    <t>TXN-03486</t>
  </si>
  <si>
    <t>TXN-00897</t>
  </si>
  <si>
    <t>TXN-00835</t>
  </si>
  <si>
    <t>TXN-02390</t>
  </si>
  <si>
    <t>TXN-00336</t>
  </si>
  <si>
    <t>TXN-01042</t>
  </si>
  <si>
    <t>TXN-02211</t>
  </si>
  <si>
    <t>TXN-02792</t>
  </si>
  <si>
    <t>TXN-00255</t>
  </si>
  <si>
    <t>TXN-03809</t>
  </si>
  <si>
    <t>TXN-03835</t>
  </si>
  <si>
    <t>TXN-00166</t>
  </si>
  <si>
    <t>TXN-04867</t>
  </si>
  <si>
    <t>TXN-04639</t>
  </si>
  <si>
    <t>TXN-01370</t>
  </si>
  <si>
    <t>TXN-02740</t>
  </si>
  <si>
    <t>TXN-03154</t>
  </si>
  <si>
    <t>TXN-02021</t>
  </si>
  <si>
    <t>TXN-03761</t>
  </si>
  <si>
    <t>TXN-02379</t>
  </si>
  <si>
    <t>TXN-02213</t>
  </si>
  <si>
    <t>TXN-04974</t>
  </si>
  <si>
    <t>TXN-01875</t>
  </si>
  <si>
    <t>TXN-04353</t>
  </si>
  <si>
    <t>TXN-04249</t>
  </si>
  <si>
    <t>TXN-04663</t>
  </si>
  <si>
    <t>TXN-03625</t>
  </si>
  <si>
    <t>TXN-02126</t>
  </si>
  <si>
    <t>TXN-03417</t>
  </si>
  <si>
    <t>TXN-02703</t>
  </si>
  <si>
    <t>TXN-04346</t>
  </si>
  <si>
    <t>TXN-03492</t>
  </si>
  <si>
    <t>TXN-01238</t>
  </si>
  <si>
    <t>TXN-03475</t>
  </si>
  <si>
    <t>TXN-02201</t>
  </si>
  <si>
    <t>TXN-02977</t>
  </si>
  <si>
    <t>TXN-00165</t>
  </si>
  <si>
    <t>TXN-00804</t>
  </si>
  <si>
    <t>TXN-00413</t>
  </si>
  <si>
    <t>TXN-04283</t>
  </si>
  <si>
    <t>TXN-00558</t>
  </si>
  <si>
    <t>TXN-00579</t>
  </si>
  <si>
    <t>TXN-01287</t>
  </si>
  <si>
    <t>TXN-01750</t>
  </si>
  <si>
    <t>TXN-01500</t>
  </si>
  <si>
    <t>TXN-04390</t>
  </si>
  <si>
    <t>TXN-00401</t>
  </si>
  <si>
    <t>TXN-04708</t>
  </si>
  <si>
    <t>TXN-02144</t>
  </si>
  <si>
    <t>TXN-01833</t>
  </si>
  <si>
    <t>TXN-02769</t>
  </si>
  <si>
    <t>TXN-02677</t>
  </si>
  <si>
    <t>TXN-03246</t>
  </si>
  <si>
    <t>TXN-04277</t>
  </si>
  <si>
    <t>TXN-02716</t>
  </si>
  <si>
    <t>TXN-04826</t>
  </si>
  <si>
    <t>TXN-03129</t>
  </si>
  <si>
    <t>TXN-00839</t>
  </si>
  <si>
    <t>TXN-04145</t>
  </si>
  <si>
    <t>TXN-01110</t>
  </si>
  <si>
    <t>TXN-04637</t>
  </si>
  <si>
    <t>TXN-00278</t>
  </si>
  <si>
    <t>TXN-02928</t>
  </si>
  <si>
    <t>TXN-04321</t>
  </si>
  <si>
    <t>TXN-02682</t>
  </si>
  <si>
    <t>TXN-00227</t>
  </si>
  <si>
    <t>TXN-02314</t>
  </si>
  <si>
    <t>TXN-00187</t>
  </si>
  <si>
    <t>TXN-04619</t>
  </si>
  <si>
    <t>TXN-00124</t>
  </si>
  <si>
    <t>TXN-03609</t>
  </si>
  <si>
    <t>TXN-04398</t>
  </si>
  <si>
    <t>TXN-02070</t>
  </si>
  <si>
    <t>TXN-04111</t>
  </si>
  <si>
    <t>TXN-00811</t>
  </si>
  <si>
    <t>TXN-02876</t>
  </si>
  <si>
    <t>TXN-04206</t>
  </si>
  <si>
    <t>TXN-02880</t>
  </si>
  <si>
    <t>TXN-04270</t>
  </si>
  <si>
    <t>TXN-00156</t>
  </si>
  <si>
    <t>TXN-02946</t>
  </si>
  <si>
    <t>TXN-01276</t>
  </si>
  <si>
    <t>TXN-00917</t>
  </si>
  <si>
    <t>TXN-03238</t>
  </si>
  <si>
    <t>TXN-00043</t>
  </si>
  <si>
    <t>TXN-02510</t>
  </si>
  <si>
    <t>TXN-03370</t>
  </si>
  <si>
    <t>TXN-03378</t>
  </si>
  <si>
    <t>TXN-00098</t>
  </si>
  <si>
    <t>TXN-02162</t>
  </si>
  <si>
    <t>TXN-04879</t>
  </si>
  <si>
    <t>TXN-02857</t>
  </si>
  <si>
    <t>TXN-04167</t>
  </si>
  <si>
    <t>TXN-00170</t>
  </si>
  <si>
    <t>TXN-03526</t>
  </si>
  <si>
    <t>TXN-02359</t>
  </si>
  <si>
    <t>TXN-02133</t>
  </si>
  <si>
    <t>TXN-04452</t>
  </si>
  <si>
    <t>TXN-04705</t>
  </si>
  <si>
    <t>TXN-03787</t>
  </si>
  <si>
    <t>TXN-04567</t>
  </si>
  <si>
    <t>TXN-02471</t>
  </si>
  <si>
    <t>TXN-00602</t>
  </si>
  <si>
    <t>TXN-03071</t>
  </si>
  <si>
    <t>TXN-04262</t>
  </si>
  <si>
    <t>TXN-04606</t>
  </si>
  <si>
    <t>TXN-04967</t>
  </si>
  <si>
    <t>TXN-00940</t>
  </si>
  <si>
    <t>TXN-00360</t>
  </si>
  <si>
    <t>TXN-03138</t>
  </si>
  <si>
    <t>TXN-00639</t>
  </si>
  <si>
    <t>TXN-00398</t>
  </si>
  <si>
    <t>TXN-00403</t>
  </si>
  <si>
    <t>TXN-04102</t>
  </si>
  <si>
    <t>TXN-03290</t>
  </si>
  <si>
    <t>TXN-02205</t>
  </si>
  <si>
    <t>TXN-00564</t>
  </si>
  <si>
    <t>TXN-04366</t>
  </si>
  <si>
    <t>TXN-04464</t>
  </si>
  <si>
    <t>TXN-00301</t>
  </si>
  <si>
    <t>TXN-03959</t>
  </si>
  <si>
    <t>TXN-03035</t>
  </si>
  <si>
    <t>TXN-04357</t>
  </si>
  <si>
    <t>TXN-04756</t>
  </si>
  <si>
    <t>TXN-03437</t>
  </si>
  <si>
    <t>TXN-04631</t>
  </si>
  <si>
    <t>TXN-00215</t>
  </si>
  <si>
    <t>TXN-02649</t>
  </si>
  <si>
    <t>TXN-03873</t>
  </si>
  <si>
    <t>TXN-01093</t>
  </si>
  <si>
    <t>TXN-02358</t>
  </si>
  <si>
    <t>TXN-02127</t>
  </si>
  <si>
    <t>TXN-04864</t>
  </si>
  <si>
    <t>TXN-03790</t>
  </si>
  <si>
    <t>TXN-03014</t>
  </si>
  <si>
    <t>TXN-01349</t>
  </si>
  <si>
    <t>TXN-02507</t>
  </si>
  <si>
    <t>TXN-00895</t>
  </si>
  <si>
    <t>TXN-02965</t>
  </si>
  <si>
    <t>TXN-02516</t>
  </si>
  <si>
    <t>TXN-02128</t>
  </si>
  <si>
    <t>TXN-01795</t>
  </si>
  <si>
    <t>TXN-04075</t>
  </si>
  <si>
    <t>TXN-04247</t>
  </si>
  <si>
    <t>TXN-04273</t>
  </si>
  <si>
    <t>TXN-02191</t>
  </si>
  <si>
    <t>TXN-01126</t>
  </si>
  <si>
    <t>TXN-02308</t>
  </si>
  <si>
    <t>TXN-00515</t>
  </si>
  <si>
    <t>TXN-02511</t>
  </si>
  <si>
    <t>TXN-02619</t>
  </si>
  <si>
    <t>TXN-01117</t>
  </si>
  <si>
    <t>TXN-02110</t>
  </si>
  <si>
    <t>TXN-01308</t>
  </si>
  <si>
    <t>TXN-02430</t>
  </si>
  <si>
    <t>TXN-00175</t>
  </si>
  <si>
    <t>TXN-00995</t>
  </si>
  <si>
    <t>TXN-03585</t>
  </si>
  <si>
    <t>TXN-02024</t>
  </si>
  <si>
    <t>TXN-01255</t>
  </si>
  <si>
    <t>TXN-00848</t>
  </si>
  <si>
    <t>TXN-03308</t>
  </si>
  <si>
    <t>TXN-01127</t>
  </si>
  <si>
    <t>TXN-03153</t>
  </si>
  <si>
    <t>TXN-03753</t>
  </si>
  <si>
    <t>TXN-00800</t>
  </si>
  <si>
    <t>TXN-04344</t>
  </si>
  <si>
    <t>TXN-04925</t>
  </si>
  <si>
    <t>TXN-03474</t>
  </si>
  <si>
    <t>TXN-00649</t>
  </si>
  <si>
    <t>TXN-04043</t>
  </si>
  <si>
    <t>TXN-01947</t>
  </si>
  <si>
    <t>TXN-02067</t>
  </si>
  <si>
    <t>TXN-02864</t>
  </si>
  <si>
    <t>TXN-02200</t>
  </si>
  <si>
    <t>TXN-01148</t>
  </si>
  <si>
    <t>TXN-04410</t>
  </si>
  <si>
    <t>TXN-02717</t>
  </si>
  <si>
    <t>TXN-03190</t>
  </si>
  <si>
    <t>TXN-02303</t>
  </si>
  <si>
    <t>TXN-00623</t>
  </si>
  <si>
    <t>TXN-02369</t>
  </si>
  <si>
    <t>TXN-01565</t>
  </si>
  <si>
    <t>TXN-04263</t>
  </si>
  <si>
    <t>TXN-00802</t>
  </si>
  <si>
    <t>TXN-02990</t>
  </si>
  <si>
    <t>TXN-01727</t>
  </si>
  <si>
    <t>TXN-02125</t>
  </si>
  <si>
    <t>TXN-00732</t>
  </si>
  <si>
    <t>TXN-03941</t>
  </si>
  <si>
    <t>TXN-03254</t>
  </si>
  <si>
    <t>TXN-04287</t>
  </si>
  <si>
    <t>TXN-01584</t>
  </si>
  <si>
    <t>TXN-03562</t>
  </si>
  <si>
    <t>TXN-00506</t>
  </si>
  <si>
    <t>TXN-01298</t>
  </si>
  <si>
    <t>TXN-00653</t>
  </si>
  <si>
    <t>TXN-02984</t>
  </si>
  <si>
    <t>TXN-00713</t>
  </si>
  <si>
    <t>TXN-02255</t>
  </si>
  <si>
    <t>TXN-04472</t>
  </si>
  <si>
    <t>TXN-02808</t>
  </si>
  <si>
    <t>TXN-03192</t>
  </si>
  <si>
    <t>TXN-04751</t>
  </si>
  <si>
    <t>TXN-04177</t>
  </si>
  <si>
    <t>TXN-02796</t>
  </si>
  <si>
    <t>TXN-03847</t>
  </si>
  <si>
    <t>TXN-03913</t>
  </si>
  <si>
    <t>TXN-03842</t>
  </si>
  <si>
    <t>TXN-04027</t>
  </si>
  <si>
    <t>TXN-00808</t>
  </si>
  <si>
    <t>TXN-00153</t>
  </si>
  <si>
    <t>TXN-02101</t>
  </si>
  <si>
    <t>TXN-00377</t>
  </si>
  <si>
    <t>TXN-03352</t>
  </si>
  <si>
    <t>TXN-01067</t>
  </si>
  <si>
    <t>TXN-04559</t>
  </si>
  <si>
    <t>TXN-00120</t>
  </si>
  <si>
    <t>TXN-00174</t>
  </si>
  <si>
    <t>TXN-00722</t>
  </si>
  <si>
    <t>TXN-04382</t>
  </si>
  <si>
    <t>TXN-04477</t>
  </si>
  <si>
    <t>TXN-01789</t>
  </si>
  <si>
    <t>TXN-03765</t>
  </si>
  <si>
    <t>TXN-00355</t>
  </si>
  <si>
    <t>TXN-00622</t>
  </si>
  <si>
    <t>TXN-03656</t>
  </si>
  <si>
    <t>TXN-00335</t>
  </si>
  <si>
    <t>TXN-02495</t>
  </si>
  <si>
    <t>TXN-02688</t>
  </si>
  <si>
    <t>TXN-01891</t>
  </si>
  <si>
    <t>TXN-02121</t>
  </si>
  <si>
    <t>TXN-00037</t>
  </si>
  <si>
    <t>TXN-01619</t>
  </si>
  <si>
    <t>TXN-04516</t>
  </si>
  <si>
    <t>TXN-00280</t>
  </si>
  <si>
    <t>TXN-01978</t>
  </si>
  <si>
    <t>TXN-04744</t>
  </si>
  <si>
    <t>TXN-02850</t>
  </si>
  <si>
    <t>TXN-01373</t>
  </si>
  <si>
    <t>TXN-00700</t>
  </si>
  <si>
    <t>TXN-01480</t>
  </si>
  <si>
    <t>TXN-01133</t>
  </si>
  <si>
    <t>TXN-00946</t>
  </si>
  <si>
    <t>TXN-01484</t>
  </si>
  <si>
    <t>TXN-02714</t>
  </si>
  <si>
    <t>TXN-00473</t>
  </si>
  <si>
    <t>TXN-04502</t>
  </si>
  <si>
    <t>TXN-02316</t>
  </si>
  <si>
    <t>TXN-04106</t>
  </si>
  <si>
    <t>TXN-03487</t>
  </si>
  <si>
    <t>TXN-00476</t>
  </si>
  <si>
    <t>TXN-04156</t>
  </si>
  <si>
    <t>TXN-01915</t>
  </si>
  <si>
    <t>TXN-00889</t>
  </si>
  <si>
    <t>TXN-01291</t>
  </si>
  <si>
    <t>TXN-01681</t>
  </si>
  <si>
    <t>TXN-03768</t>
  </si>
  <si>
    <t>TXN-01920</t>
  </si>
  <si>
    <t>TXN-04582</t>
  </si>
  <si>
    <t>TXN-01791</t>
  </si>
  <si>
    <t>TXN-04569</t>
  </si>
  <si>
    <t>TXN-03004</t>
  </si>
  <si>
    <t>TXN-03315</t>
  </si>
  <si>
    <t>TXN-03359</t>
  </si>
  <si>
    <t>TXN-02532</t>
  </si>
  <si>
    <t>TXN-03693</t>
  </si>
  <si>
    <t>TXN-00433</t>
  </si>
  <si>
    <t>TXN-01426</t>
  </si>
  <si>
    <t>TXN-02579</t>
  </si>
  <si>
    <t>TXN-03581</t>
  </si>
  <si>
    <t>TXN-00655</t>
  </si>
  <si>
    <t>TXN-02604</t>
  </si>
  <si>
    <t>TXN-01534</t>
  </si>
  <si>
    <t>TXN-04843</t>
  </si>
  <si>
    <t>TXN-00850</t>
  </si>
  <si>
    <t>TXN-00528</t>
  </si>
  <si>
    <t>TXN-04810</t>
  </si>
  <si>
    <t>TXN-00184</t>
  </si>
  <si>
    <t>TXN-03844</t>
  </si>
  <si>
    <t>TXN-01214</t>
  </si>
  <si>
    <t>TXN-01556</t>
  </si>
  <si>
    <t>TXN-02374</t>
  </si>
  <si>
    <t>TXN-00320</t>
  </si>
  <si>
    <t>TXN-04945</t>
  </si>
  <si>
    <t>TXN-00033</t>
  </si>
  <si>
    <t>TXN-03796</t>
  </si>
  <si>
    <t>TXN-02149</t>
  </si>
  <si>
    <t>TXN-01580</t>
  </si>
  <si>
    <t>TXN-03072</t>
  </si>
  <si>
    <t>TXN-03942</t>
  </si>
  <si>
    <t>TXN-02878</t>
  </si>
  <si>
    <t>TXN-03861</t>
  </si>
  <si>
    <t>TXN-02957</t>
  </si>
  <si>
    <t>TXN-01286</t>
  </si>
  <si>
    <t>TXN-00068</t>
  </si>
  <si>
    <t>TXN-03448</t>
  </si>
  <si>
    <t>TXN-02534</t>
  </si>
  <si>
    <t>TXN-02376</t>
  </si>
  <si>
    <t>TXN-03386</t>
  </si>
  <si>
    <t>TXN-03322</t>
  </si>
  <si>
    <t>TXN-02673</t>
  </si>
  <si>
    <t>TXN-00424</t>
  </si>
  <si>
    <t>TXN-01974</t>
  </si>
  <si>
    <t>TXN-01618</t>
  </si>
  <si>
    <t>TXN-03085</t>
  </si>
  <si>
    <t>TXN-01443</t>
  </si>
  <si>
    <t>TXN-01611</t>
  </si>
  <si>
    <t>TXN-03821</t>
  </si>
  <si>
    <t>TXN-01221</t>
  </si>
  <si>
    <t>TXN-02166</t>
  </si>
  <si>
    <t>TXN-00709</t>
  </si>
  <si>
    <t>TXN-02812</t>
  </si>
  <si>
    <t>TXN-04551</t>
  </si>
  <si>
    <t>TXN-01218</t>
  </si>
  <si>
    <t>TXN-03785</t>
  </si>
  <si>
    <t>TXN-00677</t>
  </si>
  <si>
    <t>TXN-02663</t>
  </si>
  <si>
    <t>TXN-00169</t>
  </si>
  <si>
    <t>TXN-01454</t>
  </si>
  <si>
    <t>TXN-01353</t>
  </si>
  <si>
    <t>TXN-01120</t>
  </si>
  <si>
    <t>TXN-01363</t>
  </si>
  <si>
    <t>TXN-02000</t>
  </si>
  <si>
    <t>TXN-01053</t>
  </si>
  <si>
    <t>TXN-04802</t>
  </si>
  <si>
    <t>TXN-03149</t>
  </si>
  <si>
    <t>TXN-01323</t>
  </si>
  <si>
    <t>TXN-04017</t>
  </si>
  <si>
    <t>TXN-00714</t>
  </si>
  <si>
    <t>TXN-04207</t>
  </si>
  <si>
    <t>TXN-01728</t>
  </si>
  <si>
    <t>TXN-01236</t>
  </si>
  <si>
    <t>TXN-04871</t>
  </si>
  <si>
    <t>TXN-00865</t>
  </si>
  <si>
    <t>TXN-00598</t>
  </si>
  <si>
    <t>TXN-03674</t>
  </si>
  <si>
    <t>TXN-02407</t>
  </si>
  <si>
    <t>TXN-00925</t>
  </si>
  <si>
    <t>TXN-02050</t>
  </si>
  <si>
    <t>TXN-03321</t>
  </si>
  <si>
    <t>TXN-04451</t>
  </si>
  <si>
    <t>TXN-01621</t>
  </si>
  <si>
    <t>TXN-01756</t>
  </si>
  <si>
    <t>TXN-04373</t>
  </si>
  <si>
    <t>TXN-03960</t>
  </si>
  <si>
    <t>TXN-00723</t>
  </si>
  <si>
    <t>TXN-04830</t>
  </si>
  <si>
    <t>TXN-00537</t>
  </si>
  <si>
    <t>TXN-03762</t>
  </si>
  <si>
    <t>TXN-04355</t>
  </si>
  <si>
    <t>TXN-04413</t>
  </si>
  <si>
    <t>TXN-00837</t>
  </si>
  <si>
    <t>TXN-03591</t>
  </si>
  <si>
    <t>TXN-00081</t>
  </si>
  <si>
    <t>TXN-03348</t>
  </si>
  <si>
    <t>TXN-04797</t>
  </si>
  <si>
    <t>TXN-02104</t>
  </si>
  <si>
    <t>TXN-01242</t>
  </si>
  <si>
    <t>TXN-04603</t>
  </si>
  <si>
    <t>TXN-01704</t>
  </si>
  <si>
    <t>TXN-04276</t>
  </si>
  <si>
    <t>TXN-04159</t>
  </si>
  <si>
    <t>TXN-04851</t>
  </si>
  <si>
    <t>TXN-01403</t>
  </si>
  <si>
    <t>TXN-01145</t>
  </si>
  <si>
    <t>TXN-00932</t>
  </si>
  <si>
    <t>TXN-02913</t>
  </si>
  <si>
    <t>TXN-00975</t>
  </si>
  <si>
    <t>TXN-01997</t>
  </si>
  <si>
    <t>TXN-02884</t>
  </si>
  <si>
    <t>TXN-04821</t>
  </si>
  <si>
    <t>TXN-02692</t>
  </si>
  <si>
    <t>TXN-00121</t>
  </si>
  <si>
    <t>TXN-03886</t>
  </si>
  <si>
    <t>TXN-03429</t>
  </si>
  <si>
    <t>TXN-04001</t>
  </si>
  <si>
    <t>TXN-01695</t>
  </si>
  <si>
    <t>TXN-02094</t>
  </si>
  <si>
    <t>TXN-04258</t>
  </si>
  <si>
    <t>TXN-00841</t>
  </si>
  <si>
    <t>TXN-02411</t>
  </si>
  <si>
    <t>TXN-00366</t>
  </si>
  <si>
    <t>TXN-01375</t>
  </si>
  <si>
    <t>TXN-04432</t>
  </si>
  <si>
    <t>TXN-01479</t>
  </si>
  <si>
    <t>TXN-02183</t>
  </si>
  <si>
    <t>TXN-03125</t>
  </si>
  <si>
    <t>TXN-00488</t>
  </si>
  <si>
    <t>TXN-04686</t>
  </si>
  <si>
    <t>TXN-03024</t>
  </si>
  <si>
    <t>TXN-03944</t>
  </si>
  <si>
    <t>TXN-03605</t>
  </si>
  <si>
    <t>TXN-00502</t>
  </si>
  <si>
    <t>TXN-00525</t>
  </si>
  <si>
    <t>TXN-01713</t>
  </si>
  <si>
    <t>TXN-03061</t>
  </si>
  <si>
    <t>TXN-00070</t>
  </si>
  <si>
    <t>TXN-00194</t>
  </si>
  <si>
    <t>TXN-01277</t>
  </si>
  <si>
    <t>TXN-01604</t>
  </si>
  <si>
    <t>TXN-01816</t>
  </si>
  <si>
    <t>TXN-00669</t>
  </si>
  <si>
    <t>TXN-00659</t>
  </si>
  <si>
    <t>TXN-04378</t>
  </si>
  <si>
    <t>TXN-03784</t>
  </si>
  <si>
    <t>TXN-04905</t>
  </si>
  <si>
    <t>TXN-00562</t>
  </si>
  <si>
    <t>TXN-03419</t>
  </si>
  <si>
    <t>TXN-01687</t>
  </si>
  <si>
    <t>TXN-04450</t>
  </si>
  <si>
    <t>TXN-00538</t>
  </si>
  <si>
    <t>TXN-01203</t>
  </si>
  <si>
    <t>TXN-04734</t>
  </si>
  <si>
    <t>TXN-04466</t>
  </si>
  <si>
    <t>TXN-02006</t>
  </si>
  <si>
    <t>TXN-00644</t>
  </si>
  <si>
    <t>TXN-03666</t>
  </si>
  <si>
    <t>TXN-01241</t>
  </si>
  <si>
    <t>TXN-04129</t>
  </si>
  <si>
    <t>TXN-03339</t>
  </si>
  <si>
    <t>TXN-00756</t>
  </si>
  <si>
    <t>TXN-02228</t>
  </si>
  <si>
    <t>TXN-04796</t>
  </si>
  <si>
    <t>TXN-01504</t>
  </si>
  <si>
    <t>TXN-01636</t>
  </si>
  <si>
    <t>TXN-04882</t>
  </si>
  <si>
    <t>TXN-01410</t>
  </si>
  <si>
    <t>TXN-00510</t>
  </si>
  <si>
    <t>TXN-00860</t>
  </si>
  <si>
    <t>TXN-00662</t>
  </si>
  <si>
    <t>TXN-02630</t>
  </si>
  <si>
    <t>TXN-03750</t>
  </si>
  <si>
    <t>TXN-03572</t>
  </si>
  <si>
    <t>TXN-03521</t>
  </si>
  <si>
    <t>TXN-00407</t>
  </si>
  <si>
    <t>TXN-04628</t>
  </si>
  <si>
    <t>TXN-04176</t>
  </si>
  <si>
    <t>TXN-02357</t>
  </si>
  <si>
    <t>TXN-00137</t>
  </si>
  <si>
    <t>TXN-02678</t>
  </si>
  <si>
    <t>TXN-02789</t>
  </si>
  <si>
    <t>TXN-02159</t>
  </si>
  <si>
    <t>TXN-02384</t>
  </si>
  <si>
    <t>TXN-01959</t>
  </si>
  <si>
    <t>TXN-01302</t>
  </si>
  <si>
    <t>TXN-04062</t>
  </si>
  <si>
    <t>TXN-03583</t>
  </si>
  <si>
    <t>TXN-01219</t>
  </si>
  <si>
    <t>TXN-04223</t>
  </si>
  <si>
    <t>TXN-01940</t>
  </si>
  <si>
    <t>TXN-01425</t>
  </si>
  <si>
    <t>TXN-00885</t>
  </si>
  <si>
    <t>TXN-00028</t>
  </si>
  <si>
    <t>TXN-01653</t>
  </si>
  <si>
    <t>TXN-00144</t>
  </si>
  <si>
    <t>TXN-04968</t>
  </si>
  <si>
    <t>TXN-03070</t>
  </si>
  <si>
    <t>TXN-02232</t>
  </si>
  <si>
    <t>TXN-01788</t>
  </si>
  <si>
    <t>TXN-00285</t>
  </si>
  <si>
    <t>TXN-00856</t>
  </si>
  <si>
    <t>TXN-00565</t>
  </si>
  <si>
    <t>TXN-04374</t>
  </si>
  <si>
    <t>TXN-03857</t>
  </si>
  <si>
    <t>TXN-01314</t>
  </si>
  <si>
    <t>TXN-02062</t>
  </si>
  <si>
    <t>TXN-00670</t>
  </si>
  <si>
    <t>TXN-00207</t>
  </si>
  <si>
    <t>TXN-01842</t>
  </si>
  <si>
    <t>TXN-03874</t>
  </si>
  <si>
    <t>TXN-03895</t>
  </si>
  <si>
    <t>TXN-01474</t>
  </si>
  <si>
    <t>TXN-03066</t>
  </si>
  <si>
    <t>TXN-03808</t>
  </si>
  <si>
    <t>TXN-03728</t>
  </si>
  <si>
    <t>TXN-00486</t>
  </si>
  <si>
    <t>TXN-00603</t>
  </si>
  <si>
    <t>TXN-01043</t>
  </si>
  <si>
    <t>TXN-01801</t>
  </si>
  <si>
    <t>TXN-01830</t>
  </si>
  <si>
    <t>TXN-03589</t>
  </si>
  <si>
    <t>TXN-02665</t>
  </si>
  <si>
    <t>TXN-04124</t>
  </si>
  <si>
    <t>TXN-04795</t>
  </si>
  <si>
    <t>TXN-04274</t>
  </si>
  <si>
    <t>TXN-04292</t>
  </si>
  <si>
    <t>TXN-04310</t>
  </si>
  <si>
    <t>TXN-04850</t>
  </si>
  <si>
    <t>TXN-01309</t>
  </si>
  <si>
    <t>TXN-01415</t>
  </si>
  <si>
    <t>TXN-00347</t>
  </si>
  <si>
    <t>TXN-01180</t>
  </si>
  <si>
    <t>TXN-03943</t>
  </si>
  <si>
    <t>TXN-00772</t>
  </si>
  <si>
    <t>TXN-02408</t>
  </si>
  <si>
    <t>TXN-00903</t>
  </si>
  <si>
    <t>TXN-04012</t>
  </si>
  <si>
    <t>TXN-01561</t>
  </si>
  <si>
    <t>TXN-00790</t>
  </si>
  <si>
    <t>TXN-02236</t>
  </si>
  <si>
    <t>TXN-00505</t>
  </si>
  <si>
    <t>TXN-03323</t>
  </si>
  <si>
    <t>TXN-04767</t>
  </si>
  <si>
    <t>TXN-01184</t>
  </si>
  <si>
    <t>TXN-03261</t>
  </si>
  <si>
    <t>TXN-00459</t>
  </si>
  <si>
    <t>TXN-04822</t>
  </si>
  <si>
    <t>TXN-03283</t>
  </si>
  <si>
    <t>TXN-03912</t>
  </si>
  <si>
    <t>TXN-02976</t>
  </si>
  <si>
    <t>TXN-01622</t>
  </si>
  <si>
    <t>TXN-01114</t>
  </si>
  <si>
    <t>TXN-00742</t>
  </si>
  <si>
    <t>TXN-02638</t>
  </si>
  <si>
    <t>TXN-02640</t>
  </si>
  <si>
    <t>TXN-04683</t>
  </si>
  <si>
    <t>TXN-00755</t>
  </si>
  <si>
    <t>TXN-00216</t>
  </si>
  <si>
    <t>TXN-00631</t>
  </si>
  <si>
    <t>TXN-02331</t>
  </si>
  <si>
    <t>TXN-00087</t>
  </si>
  <si>
    <t>TXN-02608</t>
  </si>
  <si>
    <t>TXN-04820</t>
  </si>
  <si>
    <t>TXN-03881</t>
  </si>
  <si>
    <t>TXN-00128</t>
  </si>
  <si>
    <t>TXN-00201</t>
  </si>
  <si>
    <t>TXN-00745</t>
  </si>
  <si>
    <t>TXN-02468</t>
  </si>
  <si>
    <t>TXN-02344</t>
  </si>
  <si>
    <t>TXN-00461</t>
  </si>
  <si>
    <t>TXN-01156</t>
  </si>
  <si>
    <t>TXN-04493</t>
  </si>
  <si>
    <t>TXN-00016</t>
  </si>
  <si>
    <t>TXN-02472</t>
  </si>
  <si>
    <t>TXN-04171</t>
  </si>
  <si>
    <t>TXN-02141</t>
  </si>
  <si>
    <t>TXN-02521</t>
  </si>
  <si>
    <t>TXN-02185</t>
  </si>
  <si>
    <t>TXN-02235</t>
  </si>
  <si>
    <t>TXN-00710</t>
  </si>
  <si>
    <t>TXN-03150</t>
  </si>
  <si>
    <t>TXN-00735</t>
  </si>
  <si>
    <t>TXN-03047</t>
  </si>
  <si>
    <t>TXN-01464</t>
  </si>
  <si>
    <t>TXN-03328</t>
  </si>
  <si>
    <t>TXN-04187</t>
  </si>
  <si>
    <t>TXN-02445</t>
  </si>
  <si>
    <t>TXN-00390</t>
  </si>
  <si>
    <t>TXN-01752</t>
  </si>
  <si>
    <t>TXN-02807</t>
  </si>
  <si>
    <t>TXN-01208</t>
  </si>
  <si>
    <t>TXN-02835</t>
  </si>
  <si>
    <t>TXN-00060</t>
  </si>
  <si>
    <t>TXN-00491</t>
  </si>
  <si>
    <t>TXN-02410</t>
  </si>
  <si>
    <t>TXN-03534</t>
  </si>
  <si>
    <t>TXN-03602</t>
  </si>
  <si>
    <t>TXN-03452</t>
  </si>
  <si>
    <t>TXN-02174</t>
  </si>
  <si>
    <t>TXN-00053</t>
  </si>
  <si>
    <t>TXN-00957</t>
  </si>
  <si>
    <t>TXN-04741</t>
  </si>
  <si>
    <t>TXN-01361</t>
  </si>
  <si>
    <t>TXN-01172</t>
  </si>
  <si>
    <t>TXN-04033</t>
  </si>
  <si>
    <t>TXN-02312</t>
  </si>
  <si>
    <t>TXN-01716</t>
  </si>
  <si>
    <t>TXN-03098</t>
  </si>
  <si>
    <t>TXN-01083</t>
  </si>
  <si>
    <t>TXN-02814</t>
  </si>
  <si>
    <t>TXN-03012</t>
  </si>
  <si>
    <t>TXN-00112</t>
  </si>
  <si>
    <t>TXN-04613</t>
  </si>
  <si>
    <t>TXN-03059</t>
  </si>
  <si>
    <t>TXN-04574</t>
  </si>
  <si>
    <t>TXN-02502</t>
  </si>
  <si>
    <t>TXN-04844</t>
  </si>
  <si>
    <t>TXN-01548</t>
  </si>
  <si>
    <t>TXN-02474</t>
  </si>
  <si>
    <t>TXN-01979</t>
  </si>
  <si>
    <t>TXN-04861</t>
  </si>
  <si>
    <t>TXN-04530</t>
  </si>
  <si>
    <t>TXN-01491</t>
  </si>
  <si>
    <t>TXN-03425</t>
  </si>
  <si>
    <t>TXN-02794</t>
  </si>
  <si>
    <t>TXN-02031</t>
  </si>
  <si>
    <t>TXN-02483</t>
  </si>
  <si>
    <t>TXN-04690</t>
  </si>
  <si>
    <t>TXN-02226</t>
  </si>
  <si>
    <t>TXN-03578</t>
  </si>
  <si>
    <t>TXN-00645</t>
  </si>
  <si>
    <t>TXN-02334</t>
  </si>
  <si>
    <t>TXN-00342</t>
  </si>
  <si>
    <t>TXN-00956</t>
  </si>
  <si>
    <t>TXN-03888</t>
  </si>
  <si>
    <t>TXN-00781</t>
  </si>
  <si>
    <t>TXN-03239</t>
  </si>
  <si>
    <t>TXN-02056</t>
  </si>
  <si>
    <t>TXN-02978</t>
  </si>
  <si>
    <t>TXN-03284</t>
  </si>
  <si>
    <t>TXN-02053</t>
  </si>
  <si>
    <t>TXN-02405</t>
  </si>
  <si>
    <t>TXN-03743</t>
  </si>
  <si>
    <t>TXN-04742</t>
  </si>
  <si>
    <t>TXN-00426</t>
  </si>
  <si>
    <t>TXN-02491</t>
  </si>
  <si>
    <t>TXN-04717</t>
  </si>
  <si>
    <t>TXN-04463</t>
  </si>
  <si>
    <t>TXN-03805</t>
  </si>
  <si>
    <t>TXN-00409</t>
  </si>
  <si>
    <t>TXN-00085</t>
  </si>
  <si>
    <t>TXN-00466</t>
  </si>
  <si>
    <t>TXN-02683</t>
  </si>
  <si>
    <t>TXN-01666</t>
  </si>
  <si>
    <t>TXN-02049</t>
  </si>
  <si>
    <t>TXN-02271</t>
  </si>
  <si>
    <t>TXN-01665</t>
  </si>
  <si>
    <t>TXN-03503</t>
  </si>
  <si>
    <t>TXN-03366</t>
  </si>
  <si>
    <t>TXN-01045</t>
  </si>
  <si>
    <t>TXN-01293</t>
  </si>
  <si>
    <t>TXN-01840</t>
  </si>
  <si>
    <t>TXN-03658</t>
  </si>
  <si>
    <t>TXN-04341</t>
  </si>
  <si>
    <t>TXN-00819</t>
  </si>
  <si>
    <t>TXN-00131</t>
  </si>
  <si>
    <t>TXN-00578</t>
  </si>
  <si>
    <t>TXN-00699</t>
  </si>
  <si>
    <t>TXN-01524</t>
  </si>
  <si>
    <t>TXN-04164</t>
  </si>
  <si>
    <t>TXN-00157</t>
  </si>
  <si>
    <t>TXN-04949</t>
  </si>
  <si>
    <t>TXN-00776</t>
  </si>
  <si>
    <t>TXN-03709</t>
  </si>
  <si>
    <t>TXN-03242</t>
  </si>
  <si>
    <t>TXN-01644</t>
  </si>
  <si>
    <t>TXN-01905</t>
  </si>
  <si>
    <t>TXN-00681</t>
  </si>
  <si>
    <t>TXN-00294</t>
  </si>
  <si>
    <t>TXN-00760</t>
  </si>
  <si>
    <t>TXN-00973</t>
  </si>
  <si>
    <t>TXN-04521</t>
  </si>
  <si>
    <t>TXN-02223</t>
  </si>
  <si>
    <t>TXN-01171</t>
  </si>
  <si>
    <t>TXN-00989</t>
  </si>
  <si>
    <t>TXN-01714</t>
  </si>
  <si>
    <t>TXN-01733</t>
  </si>
  <si>
    <t>TXN-01964</t>
  </si>
  <si>
    <t>TXN-00271</t>
  </si>
  <si>
    <t>TXN-04054</t>
  </si>
  <si>
    <t>TXN-00456</t>
  </si>
  <si>
    <t>TXN-04133</t>
  </si>
  <si>
    <t>TXN-00415</t>
  </si>
  <si>
    <t>TXN-03389</t>
  </si>
  <si>
    <t>TXN-04970</t>
  </si>
  <si>
    <t>TXN-02409</t>
  </si>
  <si>
    <t>TXN-04540</t>
  </si>
  <si>
    <t>TXN-04531</t>
  </si>
  <si>
    <t>TXN-04215</t>
  </si>
  <si>
    <t>TXN-00832</t>
  </si>
  <si>
    <t>TXN-04436</t>
  </si>
  <si>
    <t>TXN-01392</t>
  </si>
  <si>
    <t>TXN-00118</t>
  </si>
  <si>
    <t>TXN-01814</t>
  </si>
  <si>
    <t>TXN-01260</t>
  </si>
  <si>
    <t>TXN-01226</t>
  </si>
  <si>
    <t>TXN-04626</t>
  </si>
  <si>
    <t>TXN-02129</t>
  </si>
  <si>
    <t>TXN-00859</t>
  </si>
  <si>
    <t>TXN-01027</t>
  </si>
  <si>
    <t>TXN-00018</t>
  </si>
  <si>
    <t>TXN-00757</t>
  </si>
  <si>
    <t>TXN-01455</t>
  </si>
  <si>
    <t>TXN-01301</t>
  </si>
  <si>
    <t>TXN-04235</t>
  </si>
  <si>
    <t>TXN-04419</t>
  </si>
  <si>
    <t>TXN-02686</t>
  </si>
  <si>
    <t>TXN-01775</t>
  </si>
  <si>
    <t>TXN-03507</t>
  </si>
  <si>
    <t>TXN-04676</t>
  </si>
  <si>
    <t>TXN-00871</t>
  </si>
  <si>
    <t>TXN-01963</t>
  </si>
  <si>
    <t>TXN-01084</t>
  </si>
  <si>
    <t>TXN-01419</t>
  </si>
  <si>
    <t>TXN-01196</t>
  </si>
  <si>
    <t>TXN-02858</t>
  </si>
  <si>
    <t>TXN-01029</t>
  </si>
  <si>
    <t>TXN-01217</t>
  </si>
  <si>
    <t>TXN-01055</t>
  </si>
  <si>
    <t>TXN-00625</t>
  </si>
  <si>
    <t>TXN-04952</t>
  </si>
  <si>
    <t>TXN-00075</t>
  </si>
  <si>
    <t>TXN-00274</t>
  </si>
  <si>
    <t>TXN-02019</t>
  </si>
  <si>
    <t>TXN-01547</t>
  </si>
  <si>
    <t>TXN-00300</t>
  </si>
  <si>
    <t>TXN-00248</t>
  </si>
  <si>
    <t>TXN-03091</t>
  </si>
  <si>
    <t>TXN-03208</t>
  </si>
  <si>
    <t>TXN-04090</t>
  </si>
  <si>
    <t>TXN-01341</t>
  </si>
  <si>
    <t>TXN-04919</t>
  </si>
  <si>
    <t>TXN-04331</t>
  </si>
  <si>
    <t>TXN-01447</t>
  </si>
  <si>
    <t>TXN-03468</t>
  </si>
  <si>
    <t>TXN-03481</t>
  </si>
  <si>
    <t>TXN-01290</t>
  </si>
  <si>
    <t>TXN-03094</t>
  </si>
  <si>
    <t>TXN-02336</t>
  </si>
  <si>
    <t>TXN-03311</t>
  </si>
  <si>
    <t>TXN-02338</t>
  </si>
  <si>
    <t>TXN-02991</t>
  </si>
  <si>
    <t>TXN-03037</t>
  </si>
  <si>
    <t>TXN-03256</t>
  </si>
  <si>
    <t>TXN-04333</t>
  </si>
  <si>
    <t>TXN-02994</t>
  </si>
  <si>
    <t>TXN-04072</t>
  </si>
  <si>
    <t>TXN-01281</t>
  </si>
  <si>
    <t>TXN-01000</t>
  </si>
  <si>
    <t>TXN-00267</t>
  </si>
  <si>
    <t>TXN-03544</t>
  </si>
  <si>
    <t>TXN-02280</t>
  </si>
  <si>
    <t>TXN-02587</t>
  </si>
  <si>
    <t>TXN-04914</t>
  </si>
  <si>
    <t>TXN-01995</t>
  </si>
  <si>
    <t>TXN-04192</t>
  </si>
  <si>
    <t>TXN-02273</t>
  </si>
  <si>
    <t>TXN-04197</t>
  </si>
  <si>
    <t>TXN-01204</t>
  </si>
  <si>
    <t>TXN-00706</t>
  </si>
  <si>
    <t>TXN-00901</t>
  </si>
  <si>
    <t>TXN-00396</t>
  </si>
  <si>
    <t>TXN-00616</t>
  </si>
  <si>
    <t>TXN-00680</t>
  </si>
  <si>
    <t>TXN-03788</t>
  </si>
  <si>
    <t>TXN-01088</t>
  </si>
  <si>
    <t>TXN-04256</t>
  </si>
  <si>
    <t>TXN-01471</t>
  </si>
  <si>
    <t>TXN-04736</t>
  </si>
  <si>
    <t>TXN-04664</t>
  </si>
  <si>
    <t>TXN-04380</t>
  </si>
  <si>
    <t>TXN-03843</t>
  </si>
  <si>
    <t>TXN-03939</t>
  </si>
  <si>
    <t>TXN-00499</t>
  </si>
  <si>
    <t>TXN-01560</t>
  </si>
  <si>
    <t>TXN-00698</t>
  </si>
  <si>
    <t>TXN-01374</t>
  </si>
  <si>
    <t>TXN-04813</t>
  </si>
  <si>
    <t>TXN-00352</t>
  </si>
  <si>
    <t>TXN-02168</t>
  </si>
  <si>
    <t>TXN-04500</t>
  </si>
  <si>
    <t>TXN-02831</t>
  </si>
  <si>
    <t>TXN-02003</t>
  </si>
  <si>
    <t>TXN-01066</t>
  </si>
  <si>
    <t>TXN-04240</t>
  </si>
  <si>
    <t>TXN-00608</t>
  </si>
  <si>
    <t>TXN-04775</t>
  </si>
  <si>
    <t>TXN-04643</t>
  </si>
  <si>
    <t>TXN-01167</t>
  </si>
  <si>
    <t>TXN-02636</t>
  </si>
  <si>
    <t>TXN-00828</t>
  </si>
  <si>
    <t>TXN-04750</t>
  </si>
  <si>
    <t>TXN-04016</t>
  </si>
  <si>
    <t>TXN-00405</t>
  </si>
  <si>
    <t>TXN-00041</t>
  </si>
  <si>
    <t>TXN-04317</t>
  </si>
  <si>
    <t>TXN-04595</t>
  </si>
  <si>
    <t>TXN-03724</t>
  </si>
  <si>
    <t>TXN-02277</t>
  </si>
  <si>
    <t>TXN-03199</t>
  </si>
  <si>
    <t>TXN-03214</t>
  </si>
  <si>
    <t>TXN-01178</t>
  </si>
  <si>
    <t>TXN-04153</t>
  </si>
  <si>
    <t>TXN-00365</t>
  </si>
  <si>
    <t>TXN-04384</t>
  </si>
  <si>
    <t>TXN-02239</t>
  </si>
  <si>
    <t>TXN-03818</t>
  </si>
  <si>
    <t>TXN-02462</t>
  </si>
  <si>
    <t>TXN-00196</t>
  </si>
  <si>
    <t>TXN-03269</t>
  </si>
  <si>
    <t>TXN-00931</t>
  </si>
  <si>
    <t>TXN-02908</t>
  </si>
  <si>
    <t>TXN-02657</t>
  </si>
  <si>
    <t>TXN-01851</t>
  </si>
  <si>
    <t>TXN-01912</t>
  </si>
  <si>
    <t>TXN-03344</t>
  </si>
  <si>
    <t>TXN-03216</t>
  </si>
  <si>
    <t>TXN-00810</t>
  </si>
  <si>
    <t>TXN-01262</t>
  </si>
  <si>
    <t>TXN-04487</t>
  </si>
  <si>
    <t>TXN-01861</t>
  </si>
  <si>
    <t>TXN-00378</t>
  </si>
  <si>
    <t>TXN-04597</t>
  </si>
  <si>
    <t>TXN-03970</t>
  </si>
  <si>
    <t>TXN-03340</t>
  </si>
  <si>
    <t>TXN-02956</t>
  </si>
  <si>
    <t>TXN-02708</t>
  </si>
  <si>
    <t>TXN-00045</t>
  </si>
  <si>
    <t>TXN-02013</t>
  </si>
  <si>
    <t>TXN-02759</t>
  </si>
  <si>
    <t>TXN-04103</t>
  </si>
  <si>
    <t>TXN-02765</t>
  </si>
  <si>
    <t>TXN-04399</t>
  </si>
  <si>
    <t>TXN-00899</t>
  </si>
  <si>
    <t>TXN-04439</t>
  </si>
  <si>
    <t>TXN-01878</t>
  </si>
  <si>
    <t>TXN-03854</t>
  </si>
  <si>
    <t>TXN-01039</t>
  </si>
  <si>
    <t>TXN-02425</t>
  </si>
  <si>
    <t>TXN-02942</t>
  </si>
  <si>
    <t>TXN-00943</t>
  </si>
  <si>
    <t>TXN-04787</t>
  </si>
  <si>
    <t>TXN-04760</t>
  </si>
  <si>
    <t>TXN-02299</t>
  </si>
  <si>
    <t>TXN-03992</t>
  </si>
  <si>
    <t>TXN-02488</t>
  </si>
  <si>
    <t>TXN-00924</t>
  </si>
  <si>
    <t>TXN-03445</t>
  </si>
  <si>
    <t>TXN-03183</t>
  </si>
  <si>
    <t>TXN-00792</t>
  </si>
  <si>
    <t>TXN-04236</t>
  </si>
  <si>
    <t>TXN-02836</t>
  </si>
  <si>
    <t>TXN-03714</t>
  </si>
  <si>
    <t>TXN-01131</t>
  </si>
  <si>
    <t>TXN-01652</t>
  </si>
  <si>
    <t>TXN-04865</t>
  </si>
  <si>
    <t>TXN-00489</t>
  </si>
  <si>
    <t>TXN-04752</t>
  </si>
  <si>
    <t>TXN-04778</t>
  </si>
  <si>
    <t>TXN-03126</t>
  </si>
  <si>
    <t>TXN-03455</t>
  </si>
  <si>
    <t>TXN-01485</t>
  </si>
  <si>
    <t>TXN-03935</t>
  </si>
  <si>
    <t>TXN-00978</t>
  </si>
  <si>
    <t>TXN-01992</t>
  </si>
  <si>
    <t>TXN-00539</t>
  </si>
  <si>
    <t>TXN-04995</t>
  </si>
  <si>
    <t>TXN-00472</t>
  </si>
  <si>
    <t>TXN-00694</t>
  </si>
  <si>
    <t>TXN-02760</t>
  </si>
  <si>
    <t>TXN-02734</t>
  </si>
  <si>
    <t>TXN-00750</t>
  </si>
  <si>
    <t>TXN-04170</t>
  </si>
  <si>
    <t>TXN-00367</t>
  </si>
  <si>
    <t>TXN-00338</t>
  </si>
  <si>
    <t>TXN-01233</t>
  </si>
  <si>
    <t>TXN-03050</t>
  </si>
  <si>
    <t>TXN-00189</t>
  </si>
  <si>
    <t>TXN-04566</t>
  </si>
  <si>
    <t>TXN-02927</t>
  </si>
  <si>
    <t>TXN-01582</t>
  </si>
  <si>
    <t>TXN-02961</t>
  </si>
  <si>
    <t>TXN-04918</t>
  </si>
  <si>
    <t>TXN-03093</t>
  </si>
  <si>
    <t>TXN-04322</t>
  </si>
  <si>
    <t>TXN-02416</t>
  </si>
  <si>
    <t>TXN-02115</t>
  </si>
  <si>
    <t>TXN-04590</t>
  </si>
  <si>
    <t>TXN-00029</t>
  </si>
  <si>
    <t>TXN-03574</t>
  </si>
  <si>
    <t>TXN-04462</t>
  </si>
  <si>
    <t>TXN-04435</t>
  </si>
  <si>
    <t>TXN-02107</t>
  </si>
  <si>
    <t>TXN-03120</t>
  </si>
  <si>
    <t>TXN-00762</t>
  </si>
  <si>
    <t>TXN-04527</t>
  </si>
  <si>
    <t>TXN-02266</t>
  </si>
  <si>
    <t>TXN-04208</t>
  </si>
  <si>
    <t>TXN-02520</t>
  </si>
  <si>
    <t>TXN-04116</t>
  </si>
  <si>
    <t>TXN-00427</t>
  </si>
  <si>
    <t>TXN-03767</t>
  </si>
  <si>
    <t>TXN-00002</t>
  </si>
  <si>
    <t>TXN-02910</t>
  </si>
  <si>
    <t>TXN-04702</t>
  </si>
  <si>
    <t>TXN-01809</t>
  </si>
  <si>
    <t>TXN-01879</t>
  </si>
  <si>
    <t>TXN-04901</t>
  </si>
  <si>
    <t>TXN-03688</t>
  </si>
  <si>
    <t>TXN-03647</t>
  </si>
  <si>
    <t>TXN-03839</t>
  </si>
  <si>
    <t>TXN-00221</t>
  </si>
  <si>
    <t>TXN-03312</t>
  </si>
  <si>
    <t>TXN-03932</t>
  </si>
  <si>
    <t>TXN-00136</t>
  </si>
  <si>
    <t>TXN-01025</t>
  </si>
  <si>
    <t>TXN-03082</t>
  </si>
  <si>
    <t>TXN-04165</t>
  </si>
  <si>
    <t>TXN-03274</t>
  </si>
  <si>
    <t>TXN-01579</t>
  </si>
  <si>
    <t>TXN-01825</t>
  </si>
  <si>
    <t>TXN-01337</t>
  </si>
  <si>
    <t>TXN-02010</t>
  </si>
  <si>
    <t>TXN-00520</t>
  </si>
  <si>
    <t>TXN-00395</t>
  </si>
  <si>
    <t>TXN-01839</t>
  </si>
  <si>
    <t>TXN-03067</t>
  </si>
  <si>
    <t>TXN-04480</t>
  </si>
  <si>
    <t>TXN-02627</t>
  </si>
  <si>
    <t>TXN-03559</t>
  </si>
  <si>
    <t>TXN-04081</t>
  </si>
  <si>
    <t>TXN-03862</t>
  </si>
  <si>
    <t>TXN-01657</t>
  </si>
  <si>
    <t>TXN-00660</t>
  </si>
  <si>
    <t>TXN-03893</t>
  </si>
  <si>
    <t>TXN-03703</t>
  </si>
  <si>
    <t>TXN-04152</t>
  </si>
  <si>
    <t>TXN-02588</t>
  </si>
  <si>
    <t>TXN-04924</t>
  </si>
  <si>
    <t>TXN-03511</t>
  </si>
  <si>
    <t>TXN-01740</t>
  </si>
  <si>
    <t>TXN-00130</t>
  </si>
  <si>
    <t>TXN-04854</t>
  </si>
  <si>
    <t>TXN-03739</t>
  </si>
  <si>
    <t>TXN-00013</t>
  </si>
  <si>
    <t>TXN-00226</t>
  </si>
  <si>
    <t>TXN-01050</t>
  </si>
  <si>
    <t>TXN-00970</t>
  </si>
  <si>
    <t>TXN-01798</t>
  </si>
  <si>
    <t>TXN-03458</t>
  </si>
  <si>
    <t>TXN-03517</t>
  </si>
  <si>
    <t>TXN-00521</t>
  </si>
  <si>
    <t>TXN-01776</t>
  </si>
  <si>
    <t>TXN-03806</t>
  </si>
  <si>
    <t>TXN-02553</t>
  </si>
  <si>
    <t>TXN-04191</t>
  </si>
  <si>
    <t>TXN-02712</t>
  </si>
  <si>
    <t>TXN-02694</t>
  </si>
  <si>
    <t>TXN-04629</t>
  </si>
  <si>
    <t>TXN-00594</t>
  </si>
  <si>
    <t>TXN-01113</t>
  </si>
  <si>
    <t>TXN-00391</t>
  </si>
  <si>
    <t>TXN-00684</t>
  </si>
  <si>
    <t>TXN-02838</t>
  </si>
  <si>
    <t>TXN-00893</t>
  </si>
  <si>
    <t>TXN-03837</t>
  </si>
  <si>
    <t>TXN-04777</t>
  </si>
  <si>
    <t>TXN-00265</t>
  </si>
  <si>
    <t>TXN-00296</t>
  </si>
  <si>
    <t>TXN-01631</t>
  </si>
  <si>
    <t>TXN-00083</t>
  </si>
  <si>
    <t>TXN-02799</t>
  </si>
  <si>
    <t>TXN-03338</t>
  </si>
  <si>
    <t>TXN-00725</t>
  </si>
  <si>
    <t>TXN-03008</t>
  </si>
  <si>
    <t>TXN-04238</t>
  </si>
  <si>
    <t>TXN-03209</t>
  </si>
  <si>
    <t>TXN-00919</t>
  </si>
  <si>
    <t>TXN-04086</t>
  </si>
  <si>
    <t>TXN-03076</t>
  </si>
  <si>
    <t>TXN-00236</t>
  </si>
  <si>
    <t>TXN-00675</t>
  </si>
  <si>
    <t>TXN-03708</t>
  </si>
  <si>
    <t>TXN-03968</t>
  </si>
  <si>
    <t>TXN-02327</t>
  </si>
  <si>
    <t>TXN-03306</t>
  </si>
  <si>
    <t>TXN-01372</t>
  </si>
  <si>
    <t>TXN-00852</t>
  </si>
  <si>
    <t>TXN-04898</t>
  </si>
  <si>
    <t>TXN-02786</t>
  </si>
  <si>
    <t>TXN-00393</t>
  </si>
  <si>
    <t>TXN-00204</t>
  </si>
  <si>
    <t>TXN-01647</t>
  </si>
  <si>
    <t>TXN-03568</t>
  </si>
  <si>
    <t>TXN-01466</t>
  </si>
  <si>
    <t>TXN-04668</t>
  </si>
  <si>
    <t>TXN-00541</t>
  </si>
  <si>
    <t>TXN-00628</t>
  </si>
  <si>
    <t>TXN-01610</t>
  </si>
  <si>
    <t>TXN-03704</t>
  </si>
  <si>
    <t>TXN-01887</t>
  </si>
  <si>
    <t>TXN-01746</t>
  </si>
  <si>
    <t>TXN-01643</t>
  </si>
  <si>
    <t>TXN-02091</t>
  </si>
  <si>
    <t>TXN-04486</t>
  </si>
  <si>
    <t>TXN-04848</t>
  </si>
  <si>
    <t>TXN-03995</t>
  </si>
  <si>
    <t>TXN-01073</t>
  </si>
  <si>
    <t>TXN-02497</t>
  </si>
  <si>
    <t>TXN-02950</t>
  </si>
  <si>
    <t>TXN-04583</t>
  </si>
  <si>
    <t>TXN-01721</t>
  </si>
  <si>
    <t>TXN-03746</t>
  </si>
  <si>
    <t>TXN-03472</t>
  </si>
  <si>
    <t>TXN-03948</t>
  </si>
  <si>
    <t>TXN-03961</t>
  </si>
  <si>
    <t>TXN-04079</t>
  </si>
  <si>
    <t>TXN-02089</t>
  </si>
  <si>
    <t>TXN-02038</t>
  </si>
  <si>
    <t>TXN-01863</t>
  </si>
  <si>
    <t>TXN-00547</t>
  </si>
  <si>
    <t>TXN-02479</t>
  </si>
  <si>
    <t>TXN-03518</t>
  </si>
  <si>
    <t>TXN-01941</t>
  </si>
  <si>
    <t>TXN-00135</t>
  </si>
  <si>
    <t>TXN-03081</t>
  </si>
  <si>
    <t>TXN-01493</t>
  </si>
  <si>
    <t>TXN-02914</t>
  </si>
  <si>
    <t>TXN-04515</t>
  </si>
  <si>
    <t>TXN-04497</t>
  </si>
  <si>
    <t>TXN-01408</t>
  </si>
  <si>
    <t>TXN-03900</t>
  </si>
  <si>
    <t>TXN-04428</t>
  </si>
  <si>
    <t>TXN-02741</t>
  </si>
  <si>
    <t>TXN-04257</t>
  </si>
  <si>
    <t>TXN-00609</t>
  </si>
  <si>
    <t>TXN-01772</t>
  </si>
  <si>
    <t>TXN-00470</t>
  </si>
  <si>
    <t>TXN-02906</t>
  </si>
  <si>
    <t>TXN-02723</t>
  </si>
  <si>
    <t>TXN-04950</t>
  </si>
  <si>
    <t>TXN-00421</t>
  </si>
  <si>
    <t>TXN-00238</t>
  </si>
  <si>
    <t>TXN-00950</t>
  </si>
  <si>
    <t>TXN-04404</t>
  </si>
  <si>
    <t>TXN-03525</t>
  </si>
  <si>
    <t>TXN-00055</t>
  </si>
  <si>
    <t>TXN-03259</t>
  </si>
  <si>
    <t>TXN-04360</t>
  </si>
  <si>
    <t>TXN-00904</t>
  </si>
  <si>
    <t>TXN-04434</t>
  </si>
  <si>
    <t>TXN-02968</t>
  </si>
  <si>
    <t>TXN-01683</t>
  </si>
  <si>
    <t>TXN-02283</t>
  </si>
  <si>
    <t>TXN-04959</t>
  </si>
  <si>
    <t>TXN-00796</t>
  </si>
  <si>
    <t>TXN-00794</t>
  </si>
  <si>
    <t>TXN-02607</t>
  </si>
  <si>
    <t>TXN-01768</t>
  </si>
  <si>
    <t>TXN-00777</t>
  </si>
  <si>
    <t>TXN-02360</t>
  </si>
  <si>
    <t>TXN-04573</t>
  </si>
  <si>
    <t>TXN-02285</t>
  </si>
  <si>
    <t>TXN-00945</t>
  </si>
  <si>
    <t>TXN-04503</t>
  </si>
  <si>
    <t>TXN-03947</t>
  </si>
  <si>
    <t>TXN-03988</t>
  </si>
  <si>
    <t>TXN-01807</t>
  </si>
  <si>
    <t>TXN-00353</t>
  </si>
  <si>
    <t>TXN-04481</t>
  </si>
  <si>
    <t>TXN-03329</t>
  </si>
  <si>
    <t>TXN-02699</t>
  </si>
  <si>
    <t>TXN-04890</t>
  </si>
  <si>
    <t>TXN-04700</t>
  </si>
  <si>
    <t>TXN-03414</t>
  </si>
  <si>
    <t>TXN-02825</t>
  </si>
  <si>
    <t>TXN-04408</t>
  </si>
  <si>
    <t>TXN-01229</t>
  </si>
  <si>
    <t>TXN-04808</t>
  </si>
  <si>
    <t>TXN-03353</t>
  </si>
  <si>
    <t>TXN-02704</t>
  </si>
  <si>
    <t>TXN-03494</t>
  </si>
  <si>
    <t>TXN-01283</t>
  </si>
  <si>
    <t>TXN-04687</t>
  </si>
  <si>
    <t>TXN-03099</t>
  </si>
  <si>
    <t>TXN-01629</t>
  </si>
  <si>
    <t>TXN-03272</t>
  </si>
  <si>
    <t>TXN-00672</t>
  </si>
  <si>
    <t>TXN-01783</t>
  </si>
  <si>
    <t>TXN-02077</t>
  </si>
  <si>
    <t>TXN-01202</t>
  </si>
  <si>
    <t>TXN-03394</t>
  </si>
  <si>
    <t>TXN-03145</t>
  </si>
  <si>
    <t>TXN-00958</t>
  </si>
  <si>
    <t>TXN-01838</t>
  </si>
  <si>
    <t>TXN-03376</t>
  </si>
  <si>
    <t>TXN-04834</t>
  </si>
  <si>
    <t>TXN-03228</t>
  </si>
  <si>
    <t>TXN-03480</t>
  </si>
  <si>
    <t>TXN-04963</t>
  </si>
  <si>
    <t>TXN-04771</t>
  </si>
  <si>
    <t>TXN-02203</t>
  </si>
  <si>
    <t>TXN-00444</t>
  </si>
  <si>
    <t>TXN-03508</t>
  </si>
  <si>
    <t>TXN-04852</t>
  </si>
  <si>
    <t>TXN-00571</t>
  </si>
  <si>
    <t>TXN-03422</t>
  </si>
  <si>
    <t>TXN-03204</t>
  </si>
  <si>
    <t>TXN-00264</t>
  </si>
  <si>
    <t>TXN-04580</t>
  </si>
  <si>
    <t>TXN-01794</t>
  </si>
  <si>
    <t>TXN-01519</t>
  </si>
  <si>
    <t>TXN-02117</t>
  </si>
  <si>
    <t>TXN-01212</t>
  </si>
  <si>
    <t>TXN-04114</t>
  </si>
  <si>
    <t>TXN-02615</t>
  </si>
  <si>
    <t>TXN-01684</t>
  </si>
  <si>
    <t>TXN-04978</t>
  </si>
  <si>
    <t>TXN-01600</t>
  </si>
  <si>
    <t>TXN-02671</t>
  </si>
  <si>
    <t>TXN-04534</t>
  </si>
  <si>
    <t>TXN-02289</t>
  </si>
  <si>
    <t>TXN-02002</t>
  </si>
  <si>
    <t>TXN-03892</t>
  </si>
  <si>
    <t>TXN-04078</t>
  </si>
  <si>
    <t>TXN-01608</t>
  </si>
  <si>
    <t>TXN-01736</t>
  </si>
  <si>
    <t>TXN-00969</t>
  </si>
  <si>
    <t>TXN-04055</t>
  </si>
  <si>
    <t>TXN-04594</t>
  </si>
  <si>
    <t>TXN-00747</t>
  </si>
  <si>
    <t>TXN-01871</t>
  </si>
  <si>
    <t>TXN-01934</t>
  </si>
  <si>
    <t>TXN-00855</t>
  </si>
  <si>
    <t>TXN-00508</t>
  </si>
  <si>
    <t>TXN-04972</t>
  </si>
  <si>
    <t>TXN-00910</t>
  </si>
  <si>
    <t>TXN-04544</t>
  </si>
  <si>
    <t>TXN-01503</t>
  </si>
  <si>
    <t>TXN-01402</t>
  </si>
  <si>
    <t>TXN-03169</t>
  </si>
  <si>
    <t>TXN-01432</t>
  </si>
  <si>
    <t>TXN-02140</t>
  </si>
  <si>
    <t>TXN-02456</t>
  </si>
  <si>
    <t>TXN-00349</t>
  </si>
  <si>
    <t>TXN-01284</t>
  </si>
  <si>
    <t>TXN-02668</t>
  </si>
  <si>
    <t>TXN-04479</t>
  </si>
  <si>
    <t>TXN-01012</t>
  </si>
  <si>
    <t>TXN-02558</t>
  </si>
  <si>
    <t>TXN-04960</t>
  </si>
  <si>
    <t>TXN-03816</t>
  </si>
  <si>
    <t>TXN-01800</t>
  </si>
  <si>
    <t>TXN-02868</t>
  </si>
  <si>
    <t>TXN-04430</t>
  </si>
  <si>
    <t>TXN-01169</t>
  </si>
  <si>
    <t>TXN-00671</t>
  </si>
  <si>
    <t>TXN-04319</t>
  </si>
  <si>
    <t>TXN-04205</t>
  </si>
  <si>
    <t>TXN-03946</t>
  </si>
  <si>
    <t>TXN-04677</t>
  </si>
  <si>
    <t>TXN-04636</t>
  </si>
  <si>
    <t>TXN-02693</t>
  </si>
  <si>
    <t>TXN-01431</t>
  </si>
  <si>
    <t>TXN-04876</t>
  </si>
  <si>
    <t>TXN-03217</t>
  </si>
  <si>
    <t>TXN-02626</t>
  </si>
  <si>
    <t>TXN-04688</t>
  </si>
  <si>
    <t>TXN-00326</t>
  </si>
  <si>
    <t>TXN-04098</t>
  </si>
  <si>
    <t>TXN-02849</t>
  </si>
  <si>
    <t>TXN-00223</t>
  </si>
  <si>
    <t>TXN-00617</t>
  </si>
  <si>
    <t>TXN-03491</t>
  </si>
  <si>
    <t>TXN-00667</t>
  </si>
  <si>
    <t>TXN-03500</t>
  </si>
  <si>
    <t>TXN-02843</t>
  </si>
  <si>
    <t>TXN-04311</t>
  </si>
  <si>
    <t>TXN-00113</t>
  </si>
  <si>
    <t>TXN-02874</t>
  </si>
  <si>
    <t>TXN-03212</t>
  </si>
  <si>
    <t>TXN-03716</t>
  </si>
  <si>
    <t>TXN-02681</t>
  </si>
  <si>
    <t>TXN-02268</t>
  </si>
  <si>
    <t>TXN-04657</t>
  </si>
  <si>
    <t>TXN-02911</t>
  </si>
  <si>
    <t>TXN-02564</t>
  </si>
  <si>
    <t>TXN-01828</t>
  </si>
  <si>
    <t>TXN-04832</t>
  </si>
  <si>
    <t>TXN-04286</t>
  </si>
  <si>
    <t>TXN-03195</t>
  </si>
  <si>
    <t>TXN-04200</t>
  </si>
  <si>
    <t>TXN-01267</t>
  </si>
  <si>
    <t>TXN-00618</t>
  </si>
  <si>
    <t>TXN-01227</t>
  </si>
  <si>
    <t>TXN-02983</t>
  </si>
  <si>
    <t>TXN-01661</t>
  </si>
  <si>
    <t>TXN-00555</t>
  </si>
  <si>
    <t>TXN-01380</t>
  </si>
  <si>
    <t>TXN-01729</t>
  </si>
  <si>
    <t>TXN-04866</t>
  </si>
  <si>
    <t>TXN-02485</t>
  </si>
  <si>
    <t>TXN-02918</t>
  </si>
  <si>
    <t>TXN-01092</t>
  </si>
  <si>
    <t>TXN-01394</t>
  </si>
  <si>
    <t>TXN-02985</t>
  </si>
  <si>
    <t>TXN-00397</t>
  </si>
  <si>
    <t>TXN-03402</t>
  </si>
  <si>
    <t>TXN-03134</t>
  </si>
  <si>
    <t>TXN-04747</t>
  </si>
  <si>
    <t>TXN-01100</t>
  </si>
  <si>
    <t>TXN-02560</t>
  </si>
  <si>
    <t>TXN-01473</t>
  </si>
  <si>
    <t>TXN-03876</t>
  </si>
  <si>
    <t>TXN-04438</t>
  </si>
  <si>
    <t>TXN-04827</t>
  </si>
  <si>
    <t>TXN-04280</t>
  </si>
  <si>
    <t>TXN-01111</t>
  </si>
  <si>
    <t>TXN-01328</t>
  </si>
  <si>
    <t>TXN-04562</t>
  </si>
  <si>
    <t>TXN-01453</t>
  </si>
  <si>
    <t>TXN-03540</t>
  </si>
  <si>
    <t>TXN-01232</t>
  </si>
  <si>
    <t>TXN-03471</t>
  </si>
  <si>
    <t>TXN-01845</t>
  </si>
  <si>
    <t>TXN-04587</t>
  </si>
  <si>
    <t>TXN-02420</t>
  </si>
  <si>
    <t>TXN-02595</t>
  </si>
  <si>
    <t>TXN-03336</t>
  </si>
  <si>
    <t>TXN-03390</t>
  </si>
  <si>
    <t>TXN-04362</t>
  </si>
  <si>
    <t>TXN-03263</t>
  </si>
  <si>
    <t>TXN-02592</t>
  </si>
  <si>
    <t>TXN-04642</t>
  </si>
  <si>
    <t>TXN-02015</t>
  </si>
  <si>
    <t>TXN-03346</t>
  </si>
  <si>
    <t>TXN-04602</t>
  </si>
  <si>
    <t>TXN-02899</t>
  </si>
  <si>
    <t>TXN-02882</t>
  </si>
  <si>
    <t>TXN-02504</t>
  </si>
  <si>
    <t>TXN-02979</t>
  </si>
  <si>
    <t>TXN-02033</t>
  </si>
  <si>
    <t>TXN-04132</t>
  </si>
  <si>
    <t>TXN-01205</t>
  </si>
  <si>
    <t>TXN-02720</t>
  </si>
  <si>
    <t>TXN-04650</t>
  </si>
  <si>
    <t>TXN-03742</t>
  </si>
  <si>
    <t>TXN-04627</t>
  </si>
  <si>
    <t>TXN-04674</t>
  </si>
  <si>
    <t>TXN-02413</t>
  </si>
  <si>
    <t>TXN-00577</t>
  </si>
  <si>
    <t>TXN-04909</t>
  </si>
  <si>
    <t>TXN-04308</t>
  </si>
  <si>
    <t>TXN-03663</t>
  </si>
  <si>
    <t>TXN-04137</t>
  </si>
  <si>
    <t>TXN-02460</t>
  </si>
  <si>
    <t>TXN-02967</t>
  </si>
  <si>
    <t>TXN-04076</t>
  </si>
  <si>
    <t>TXN-03258</t>
  </si>
  <si>
    <t>TXN-00921</t>
  </si>
  <si>
    <t>TXN-04352</t>
  </si>
  <si>
    <t>TXN-03789</t>
  </si>
  <si>
    <t>TXN-01820</t>
  </si>
  <si>
    <t>TXN-01166</t>
  </si>
  <si>
    <t>TXN-01633</t>
  </si>
  <si>
    <t>TXN-02262</t>
  </si>
  <si>
    <t>TXN-01624</t>
  </si>
  <si>
    <t>TXN-00546</t>
  </si>
  <si>
    <t>TXN-01032</t>
  </si>
  <si>
    <t>TXN-02937</t>
  </si>
  <si>
    <t>TXN-01444</t>
  </si>
  <si>
    <t>TXN-04047</t>
  </si>
  <si>
    <t>TXN-04536</t>
  </si>
  <si>
    <t>TXN-03493</t>
  </si>
  <si>
    <t>TXN-03054</t>
  </si>
  <si>
    <t>TXN-04396</t>
  </si>
  <si>
    <t>TXN-01019</t>
  </si>
  <si>
    <t>TXN-01144</t>
  </si>
  <si>
    <t>TXN-02084</t>
  </si>
  <si>
    <t>TXN-01498</t>
  </si>
  <si>
    <t>TXN-04649</t>
  </si>
  <si>
    <t>TXN-00182</t>
  </si>
  <si>
    <t>TXN-03529</t>
  </si>
  <si>
    <t>TXN-04889</t>
  </si>
  <si>
    <t>TXN-02903</t>
  </si>
  <si>
    <t>TXN-02751</t>
  </si>
  <si>
    <t>TXN-00569</t>
  </si>
  <si>
    <t>TXN-01510</t>
  </si>
  <si>
    <t>TXN-00282</t>
  </si>
  <si>
    <t>TXN-01112</t>
  </si>
  <si>
    <t>TXN-04448</t>
  </si>
  <si>
    <t>TXN-00217</t>
  </si>
  <si>
    <t>TXN-04647</t>
  </si>
  <si>
    <t>TXN-00021</t>
  </si>
  <si>
    <t>TXN-02415</t>
  </si>
  <si>
    <t>TXN-01694</t>
  </si>
  <si>
    <t>TXN-01818</t>
  </si>
  <si>
    <t>TXN-00058</t>
  </si>
  <si>
    <t>TXN-02169</t>
  </si>
  <si>
    <t>TXN-03108</t>
  </si>
  <si>
    <t>TXN-01342</t>
  </si>
  <si>
    <t>TXN-04520</t>
  </si>
  <si>
    <t>TXN-01811</t>
  </si>
  <si>
    <t>TXN-00475</t>
  </si>
  <si>
    <t>TXN-00269</t>
  </si>
  <si>
    <t>TXN-01898</t>
  </si>
  <si>
    <t>TXN-01421</t>
  </si>
  <si>
    <t>TXN-01317</t>
  </si>
  <si>
    <t>TXN-00036</t>
  </si>
  <si>
    <t>TXN-01062</t>
  </si>
  <si>
    <t>TXN-00440</t>
  </si>
  <si>
    <t>TXN-04301</t>
  </si>
  <si>
    <t>TXN-00038</t>
  </si>
  <si>
    <t>TXN-02079</t>
  </si>
  <si>
    <t>TXN-03140</t>
  </si>
  <si>
    <t>TXN-00664</t>
  </si>
  <si>
    <t>TXN-02778</t>
  </si>
  <si>
    <t>TXN-00297</t>
  </si>
  <si>
    <t>TXN-01680</t>
  </si>
  <si>
    <t>TXN-00122</t>
  </si>
  <si>
    <t>TXN-03772</t>
  </si>
  <si>
    <t>TXN-04358</t>
  </si>
  <si>
    <t>TXN-02458</t>
  </si>
  <si>
    <t>TXN-02014</t>
  </si>
  <si>
    <t>TXN-00339</t>
  </si>
  <si>
    <t>TXN-04138</t>
  </si>
  <si>
    <t>TXN-02461</t>
  </si>
  <si>
    <t>TXN-03930</t>
  </si>
  <si>
    <t>TXN-04212</t>
  </si>
  <si>
    <t>TXN-04216</t>
  </si>
  <si>
    <t>TXN-01449</t>
  </si>
  <si>
    <t>TXN-02291</t>
  </si>
  <si>
    <t>TXN-02058</t>
  </si>
  <si>
    <t>TXN-02854</t>
  </si>
  <si>
    <t>TXN-02756</t>
  </si>
  <si>
    <t>TXN-01130</t>
  </si>
  <si>
    <t>TXN-00646</t>
  </si>
  <si>
    <t>TXN-02926</t>
  </si>
  <si>
    <t>TXN-02011</t>
  </si>
  <si>
    <t>TXN-04956</t>
  </si>
  <si>
    <t>TXN-01094</t>
  </si>
  <si>
    <t>TXN-02134</t>
  </si>
  <si>
    <t>TXN-02237</t>
  </si>
  <si>
    <t>TXN-01900</t>
  </si>
  <si>
    <t>TXN-00493</t>
  </si>
  <si>
    <t>TXN-01778</t>
  </si>
  <si>
    <t>TXN-01984</t>
  </si>
  <si>
    <t>TXN-02642</t>
  </si>
  <si>
    <t>TXN-00641</t>
  </si>
  <si>
    <t>TXN-04746</t>
  </si>
  <si>
    <t>TXN-01883</t>
  </si>
  <si>
    <t>TXN-00648</t>
  </si>
  <si>
    <t>TXN-00361</t>
  </si>
  <si>
    <t>TXN-04625</t>
  </si>
  <si>
    <t>TXN-01523</t>
  </si>
  <si>
    <t>TXN-00167</t>
  </si>
  <si>
    <t>TXN-03595</t>
  </si>
  <si>
    <t>TXN-02661</t>
  </si>
  <si>
    <t>TXN-01525</t>
  </si>
  <si>
    <t>TXN-04887</t>
  </si>
  <si>
    <t>TXN-04199</t>
  </si>
  <si>
    <t>TXN-03416</t>
  </si>
  <si>
    <t>TXN-02012</t>
  </si>
  <si>
    <t>TXN-03325</t>
  </si>
  <si>
    <t>TXN-04282</t>
  </si>
  <si>
    <t>TXN-01649</t>
  </si>
  <si>
    <t>TXN-04483</t>
  </si>
  <si>
    <t>TXN-01514</t>
  </si>
  <si>
    <t>TXN-02029</t>
  </si>
  <si>
    <t>TXN-01352</t>
  </si>
  <si>
    <t>TXN-00034</t>
  </si>
  <si>
    <t>TXN-04645</t>
  </si>
  <si>
    <t>TXN-03884</t>
  </si>
  <si>
    <t>TXN-03022</t>
  </si>
  <si>
    <t>TXN-03301</t>
  </si>
  <si>
    <t>TXN-04941</t>
  </si>
  <si>
    <t>TXN-01779</t>
  </si>
  <si>
    <t>TXN-02221</t>
  </si>
  <si>
    <t>TXN-00512</t>
  </si>
  <si>
    <t>TXN-04780</t>
  </si>
  <si>
    <t>TXN-03505</t>
  </si>
  <si>
    <t>TXN-03627</t>
  </si>
  <si>
    <t>TXN-02971</t>
  </si>
  <si>
    <t>TXN-03759</t>
  </si>
  <si>
    <t>TXN-02206</t>
  </si>
  <si>
    <t>TXN-01365</t>
  </si>
  <si>
    <t>TXN-01285</t>
  </si>
  <si>
    <t>TXN-02895</t>
  </si>
  <si>
    <t>TXN-04758</t>
  </si>
  <si>
    <t>TXN-00325</t>
  </si>
  <si>
    <t>TXN-02349</t>
  </si>
  <si>
    <t>TXN-00206</t>
  </si>
  <si>
    <t>TXN-01401</t>
  </si>
  <si>
    <t>TXN-02886</t>
  </si>
  <si>
    <t>TXN-01397</t>
  </si>
  <si>
    <t>TXN-01087</t>
  </si>
  <si>
    <t>TXN-03604</t>
  </si>
  <si>
    <t>TXN-02320</t>
  </si>
  <si>
    <t>TXN-00782</t>
  </si>
  <si>
    <t>TXN-01512</t>
  </si>
  <si>
    <t>TXN-02099</t>
  </si>
  <si>
    <t>TXN-02731</t>
  </si>
  <si>
    <t>TXN-00768</t>
  </si>
  <si>
    <t>TXN-01672</t>
  </si>
  <si>
    <t>TXN-02690</t>
  </si>
  <si>
    <t>TXN-01064</t>
  </si>
  <si>
    <t>TXN-02490</t>
  </si>
  <si>
    <t>TXN-03163</t>
  </si>
  <si>
    <t>TXN-02890</t>
  </si>
  <si>
    <t>TXN-01395</t>
  </si>
  <si>
    <t>TXN-04635</t>
  </si>
  <si>
    <t>TXN-01961</t>
  </si>
  <si>
    <t>TXN-03116</t>
  </si>
  <si>
    <t>TXN-03000</t>
  </si>
  <si>
    <t>TXN-04194</t>
  </si>
  <si>
    <t>TXN-01501</t>
  </si>
  <si>
    <t>TXN-01162</t>
  </si>
  <si>
    <t>TXN-02131</t>
  </si>
  <si>
    <t>TXN-01597</t>
  </si>
  <si>
    <t>TXN-01654</t>
  </si>
  <si>
    <t>TXN-02300</t>
  </si>
  <si>
    <t>TXN-01378</t>
  </si>
  <si>
    <t>TXN-01141</t>
  </si>
  <si>
    <t>TXN-03128</t>
  </si>
  <si>
    <t>TXN-03678</t>
  </si>
  <si>
    <t>TXN-02853</t>
  </si>
  <si>
    <t>TXN-00741</t>
  </si>
  <si>
    <t>TXN-04476</t>
  </si>
  <si>
    <t>TXN-04735</t>
  </si>
  <si>
    <t>TXN-03459</t>
  </si>
  <si>
    <t>TXN-04433</t>
  </si>
  <si>
    <t>TXN-00392</t>
  </si>
  <si>
    <t>TXN-02450</t>
  </si>
  <si>
    <t>TXN-04546</t>
  </si>
  <si>
    <t>TXN-00994</t>
  </si>
  <si>
    <t>TXN-02118</t>
  </si>
  <si>
    <t>TXN-00383</t>
  </si>
  <si>
    <t>TXN-01065</t>
  </si>
  <si>
    <t>TXN-03949</t>
  </si>
  <si>
    <t>TXN-00321</t>
  </si>
  <si>
    <t>TXN-01744</t>
  </si>
  <si>
    <t>TXN-02290</t>
  </si>
  <si>
    <t>TXN-03827</t>
  </si>
  <si>
    <t>TXN-01592</t>
  </si>
  <si>
    <t>TXN-04568</t>
  </si>
  <si>
    <t>TXN-02372</t>
  </si>
  <si>
    <t>TXN-01387</t>
  </si>
  <si>
    <t>TXN-01381</t>
  </si>
  <si>
    <t>TXN-03276</t>
  </si>
  <si>
    <t>TXN-00073</t>
  </si>
  <si>
    <t>TXN-01018</t>
  </si>
  <si>
    <t>TXN-00431</t>
  </si>
  <si>
    <t>TXN-00712</t>
  </si>
  <si>
    <t>TXN-02624</t>
  </si>
  <si>
    <t>TXN-03073</t>
  </si>
  <si>
    <t>TXN-01271</t>
  </si>
  <si>
    <t>TXN-03286</t>
  </si>
  <si>
    <t>TXN-02165</t>
  </si>
  <si>
    <t>TXN-02147</t>
  </si>
  <si>
    <t>TXN-04482</t>
  </si>
  <si>
    <t>TXN-03956</t>
  </si>
  <si>
    <t>TXN-04591</t>
  </si>
  <si>
    <t>TXN-01990</t>
  </si>
  <si>
    <t>TXN-02995</t>
  </si>
  <si>
    <t>TXN-02795</t>
  </si>
  <si>
    <t>TXN-04975</t>
  </si>
  <si>
    <t>TXN-04306</t>
  </si>
  <si>
    <t>TXN-01125</t>
  </si>
  <si>
    <t>TXN-00380</t>
  </si>
  <si>
    <t>TXN-00386</t>
  </si>
  <si>
    <t>TXN-03265</t>
  </si>
  <si>
    <t>TXN-01068</t>
  </si>
  <si>
    <t>TXN-03123</t>
  </si>
  <si>
    <t>TXN-01852</t>
  </si>
  <si>
    <t>TXN-02040</t>
  </si>
  <si>
    <t>TXN-02157</t>
  </si>
  <si>
    <t>TXN-01189</t>
  </si>
  <si>
    <t>TXN-03646</t>
  </si>
  <si>
    <t>TXN-00998</t>
  </si>
  <si>
    <t>TXN-03205</t>
  </si>
  <si>
    <t>TXN-03907</t>
  </si>
  <si>
    <t>TXN-01585</t>
  </si>
  <si>
    <t>TXN-04204</t>
  </si>
  <si>
    <t>TXN-02059</t>
  </si>
  <si>
    <t>TXN-01070</t>
  </si>
  <si>
    <t>TXN-03248</t>
  </si>
  <si>
    <t>TXN-01914</t>
  </si>
  <si>
    <t>TXN-00513</t>
  </si>
  <si>
    <t>TXN-00438</t>
  </si>
  <si>
    <t>TXN-01664</t>
  </si>
  <si>
    <t>TXN-01076</t>
  </si>
  <si>
    <t>TXN-01973</t>
  </si>
  <si>
    <t>TXN-01159</t>
  </si>
  <si>
    <t>TXN-02680</t>
  </si>
  <si>
    <t>TXN-02311</t>
  </si>
  <si>
    <t>TXN-04243</t>
  </si>
  <si>
    <t>TXN-02805</t>
  </si>
  <si>
    <t>TXN-02980</t>
  </si>
  <si>
    <t>TXN-00441</t>
  </si>
  <si>
    <t>TXN-03442</t>
  </si>
  <si>
    <t>TXN-04532</t>
  </si>
  <si>
    <t>TXN-02863</t>
  </si>
  <si>
    <t>TXN-00411</t>
  </si>
  <si>
    <t>TXN-00155</t>
  </si>
  <si>
    <t>TXN-02225</t>
  </si>
  <si>
    <t>TXN-03018</t>
  </si>
  <si>
    <t>TXN-01078</t>
  </si>
  <si>
    <t>TXN-02177</t>
  </si>
  <si>
    <t>TXN-01780</t>
  </si>
  <si>
    <t>TXN-02584</t>
  </si>
  <si>
    <t>TXN-01696</t>
  </si>
  <si>
    <t>TXN-02575</t>
  </si>
  <si>
    <t>TXN-02746</t>
  </si>
  <si>
    <t>TXN-01946</t>
  </si>
  <si>
    <t>TXN-02044</t>
  </si>
  <si>
    <t>TXN-02846</t>
  </si>
  <si>
    <t>TXN-04154</t>
  </si>
  <si>
    <t>TXN-00244</t>
  </si>
  <si>
    <t>TXN-03975</t>
  </si>
  <si>
    <t>TXN-00687</t>
  </si>
  <si>
    <t>TXN-00462</t>
  </si>
  <si>
    <t>TXN-03783</t>
  </si>
  <si>
    <t>TXN-00079</t>
  </si>
  <si>
    <t>TXN-01693</t>
  </si>
  <si>
    <t>TXN-00235</t>
  </si>
  <si>
    <t>TXN-04888</t>
  </si>
  <si>
    <t>TXN-03696</t>
  </si>
  <si>
    <t>TXN-02195</t>
  </si>
  <si>
    <t>TXN-04781</t>
  </si>
  <si>
    <t>TXN-02743</t>
  </si>
  <si>
    <t>TXN-00107</t>
  </si>
  <si>
    <t>TXN-03305</t>
  </si>
  <si>
    <t>TXN-03461</t>
  </si>
  <si>
    <t>TXN-04031</t>
  </si>
  <si>
    <t>TXN-01289</t>
  </si>
  <si>
    <t>TXN-00770</t>
  </si>
  <si>
    <t>TXN-00299</t>
  </si>
  <si>
    <t>TXN-02643</t>
  </si>
  <si>
    <t>TXN-04284</t>
  </si>
  <si>
    <t>TXN-00140</t>
  </si>
  <si>
    <t>TXN-01017</t>
  </si>
  <si>
    <t>TXN-00504</t>
  </si>
  <si>
    <t>TXN-04800</t>
  </si>
  <si>
    <t>TXN-00494</t>
  </si>
  <si>
    <t>TXN-02506</t>
  </si>
  <si>
    <t>TXN-02875</t>
  </si>
  <si>
    <t>TXN-00065</t>
  </si>
  <si>
    <t>TXN-03314</t>
  </si>
  <si>
    <t>TXN-01220</t>
  </si>
  <si>
    <t>TXN-03513</t>
  </si>
  <si>
    <t>TXN-02847</t>
  </si>
  <si>
    <t>TXN-04128</t>
  </si>
  <si>
    <t>TXN-01089</t>
  </si>
  <si>
    <t>TXN-03906</t>
  </si>
  <si>
    <t>TXN-00610</t>
  </si>
  <si>
    <t>TXN-01965</t>
  </si>
  <si>
    <t>TXN-01906</t>
  </si>
  <si>
    <t>TXN-04880</t>
  </si>
  <si>
    <t>TXN-04849</t>
  </si>
  <si>
    <t>TXN-00064</t>
  </si>
  <si>
    <t>TXN-02016</t>
  </si>
  <si>
    <t>TXN-00854</t>
  </si>
  <si>
    <t>TXN-04198</t>
  </si>
  <si>
    <t>TXN-03537</t>
  </si>
  <si>
    <t>TXN-03829</t>
  </si>
  <si>
    <t>TXN-00125</t>
  </si>
  <si>
    <t>TXN-00806</t>
  </si>
  <si>
    <t>TXN-00685</t>
  </si>
  <si>
    <t>TXN-04982</t>
  </si>
  <si>
    <t>TXN-04242</t>
  </si>
  <si>
    <t>TXN-04927</t>
  </si>
  <si>
    <t>TXN-02261</t>
  </si>
  <si>
    <t>TXN-04089</t>
  </si>
  <si>
    <t>TXN-04329</t>
  </si>
  <si>
    <t>TXN-00853</t>
  </si>
  <si>
    <t>TXN-01627</t>
  </si>
  <si>
    <t>TXN-02424</t>
  </si>
  <si>
    <t>TXN-00651</t>
  </si>
  <si>
    <t>TXN-04632</t>
  </si>
  <si>
    <t>TXN-01943</t>
  </si>
  <si>
    <t>TXN-03027</t>
  </si>
  <si>
    <t>TXN-01177</t>
  </si>
  <si>
    <t>TXN-00567</t>
  </si>
  <si>
    <t>TXN-02555</t>
  </si>
  <si>
    <t>TXN-04979</t>
  </si>
  <si>
    <t>TXN-01874</t>
  </si>
  <si>
    <t>TXN-03436</t>
  </si>
  <si>
    <t>TXN-02402</t>
  </si>
  <si>
    <t>TXN-04289</t>
  </si>
  <si>
    <t>TXN-02570</t>
  </si>
  <si>
    <t>TXN-02295</t>
  </si>
  <si>
    <t>TXN-03983</t>
  </si>
  <si>
    <t>TXN-01781</t>
  </si>
  <si>
    <t>TXN-02204</t>
  </si>
  <si>
    <t>TXN-03453</t>
  </si>
  <si>
    <t>TXN-01917</t>
  </si>
  <si>
    <t>TXN-00642</t>
  </si>
  <si>
    <t>TXN-03345</t>
  </si>
  <si>
    <t>TXN-04709</t>
  </si>
  <si>
    <t>TXN-03408</t>
  </si>
  <si>
    <t>TXN-02362</t>
  </si>
  <si>
    <t>TXN-02562</t>
  </si>
  <si>
    <t>TXN-03498</t>
  </si>
  <si>
    <t>TXN-03519</t>
  </si>
  <si>
    <t>TXN-03439</t>
  </si>
  <si>
    <t>TXN-04577</t>
  </si>
  <si>
    <t>TXN-02572</t>
  </si>
  <si>
    <t>TXN-00134</t>
  </si>
  <si>
    <t>TXN-01008</t>
  </si>
  <si>
    <t>TXN-00861</t>
  </si>
  <si>
    <t>TXN-00465</t>
  </si>
  <si>
    <t>TXN-03005</t>
  </si>
  <si>
    <t>TXN-01362</t>
  </si>
  <si>
    <t>TXN-02859</t>
  </si>
  <si>
    <t>TXN-01325</t>
  </si>
  <si>
    <t>TXN-01343</t>
  </si>
  <si>
    <t>TXN-02431</t>
  </si>
  <si>
    <t>TXN-03763</t>
  </si>
  <si>
    <t>TXN-01269</t>
  </si>
  <si>
    <t>TXN-01606</t>
  </si>
  <si>
    <t>TXN-04272</t>
  </si>
  <si>
    <t>TXN-04770</t>
  </si>
  <si>
    <t>TXN-01154</t>
  </si>
  <si>
    <t>TXN-03701</t>
  </si>
  <si>
    <t>TXN-00529</t>
  </si>
  <si>
    <t>TXN-02582</t>
  </si>
  <si>
    <t>TXN-02573</t>
  </si>
  <si>
    <t>TXN-03303</t>
  </si>
  <si>
    <t>TXN-01482</t>
  </si>
  <si>
    <t>TXN-02596</t>
  </si>
  <si>
    <t>TXN-01903</t>
  </si>
  <si>
    <t>TXN-00006</t>
  </si>
  <si>
    <t>TXN-03967</t>
  </si>
  <si>
    <t>TXN-00284</t>
  </si>
  <si>
    <t>TXN-03446</t>
  </si>
  <si>
    <t>TXN-03870</t>
  </si>
  <si>
    <t>TXN-01651</t>
  </si>
  <si>
    <t>TXN-00711</t>
  </si>
  <si>
    <t>TXN-00991</t>
  </si>
  <si>
    <t>TXN-03433</t>
  </si>
  <si>
    <t>TXN-03638</t>
  </si>
  <si>
    <t>TXN-02286</t>
  </si>
  <si>
    <t>TXN-00545</t>
  </si>
  <si>
    <t>TXN-00831</t>
  </si>
  <si>
    <t>TXN-00926</t>
  </si>
  <si>
    <t>TXN-02096</t>
  </si>
  <si>
    <t>TXN-02798</t>
  </si>
  <si>
    <t>TXN-03418</t>
  </si>
  <si>
    <t>TXN-01676</t>
  </si>
  <si>
    <t>TXN-03538</t>
  </si>
  <si>
    <t>TXN-04930</t>
  </si>
  <si>
    <t>TXN-00109</t>
  </si>
  <si>
    <t>TXN-00158</t>
  </si>
  <si>
    <t>TXN-01080</t>
  </si>
  <si>
    <t>TXN-04014</t>
  </si>
  <si>
    <t>TXN-04633</t>
  </si>
  <si>
    <t>TXN-03447</t>
  </si>
  <si>
    <t>TXN-02538</t>
  </si>
  <si>
    <t>TXN-03178</t>
  </si>
  <si>
    <t>TXN-03215</t>
  </si>
  <si>
    <t>TXN-01562</t>
  </si>
  <si>
    <t>TXN-04753</t>
  </si>
  <si>
    <t>TXN-01630</t>
  </si>
  <si>
    <t>TXN-00279</t>
  </si>
  <si>
    <t>TXN-00114</t>
  </si>
  <si>
    <t>TXN-03997</t>
  </si>
  <si>
    <t>TXN-03011</t>
  </si>
  <si>
    <t>TXN-03236</t>
  </si>
  <si>
    <t>TXN-03021</t>
  </si>
  <si>
    <t>TXN-01908</t>
  </si>
  <si>
    <t>TXN-00147</t>
  </si>
  <si>
    <t>TXN-00313</t>
  </si>
  <si>
    <t>TXN-00242</t>
  </si>
  <si>
    <t>TXN-03855</t>
  </si>
  <si>
    <t>TXN-04202</t>
  </si>
  <si>
    <t>TXN-04763</t>
  </si>
  <si>
    <t>TXN-01418</t>
  </si>
  <si>
    <t>TXN-00866</t>
  </si>
  <si>
    <t>TXN-01002</t>
  </si>
  <si>
    <t>TXN-03725</t>
  </si>
  <si>
    <t>TXN-01331</t>
  </si>
  <si>
    <t>TXN-01928</t>
  </si>
  <si>
    <t>TXN-04246</t>
  </si>
  <si>
    <t>TXN-00551</t>
  </si>
  <si>
    <t>TXN-02076</t>
  </si>
  <si>
    <t>TXN-00346</t>
  </si>
  <si>
    <t>TXN-01528</t>
  </si>
  <si>
    <t>TXN-01536</t>
  </si>
  <si>
    <t>TXN-04446</t>
  </si>
  <si>
    <t>TXN-00907</t>
  </si>
  <si>
    <t>TXN-04119</t>
  </si>
  <si>
    <t>TXN-00091</t>
  </si>
  <si>
    <t>TXN-03096</t>
  </si>
  <si>
    <t>TXN-03184</t>
  </si>
  <si>
    <t>TXN-03778</t>
  </si>
  <si>
    <t>TXN-04897</t>
  </si>
  <si>
    <t>TXN-00983</t>
  </si>
  <si>
    <t>TXN-00553</t>
  </si>
  <si>
    <t>TXN-04611</t>
  </si>
  <si>
    <t>TXN-00479</t>
  </si>
  <si>
    <t>TXN-01340</t>
  </si>
  <si>
    <t>TXN-02528</t>
  </si>
  <si>
    <t>TXN-02803</t>
  </si>
  <si>
    <t>TXN-03731</t>
  </si>
  <si>
    <t>TXN-03555</t>
  </si>
  <si>
    <t>TXN-04881</t>
  </si>
  <si>
    <t>TXN-04265</t>
  </si>
  <si>
    <t>TXN-03606</t>
  </si>
  <si>
    <t>TXN-04646</t>
  </si>
  <si>
    <t>TXN-01573</t>
  </si>
  <si>
    <t>TXN-00310</t>
  </si>
  <si>
    <t>TXN-00815</t>
  </si>
  <si>
    <t>TXN-01722</t>
  </si>
  <si>
    <t>TXN-00437</t>
  </si>
  <si>
    <t>TXN-01478</t>
  </si>
  <si>
    <t>TXN-02650</t>
  </si>
  <si>
    <t>TXN-02921</t>
  </si>
  <si>
    <t>TXN-03868</t>
  </si>
  <si>
    <t>TXN-04127</t>
  </si>
  <si>
    <t>TXN-03332</t>
  </si>
  <si>
    <t>TXN-04564</t>
  </si>
  <si>
    <t>TXN-00115</t>
  </si>
  <si>
    <t>TXN-04414</t>
  </si>
  <si>
    <t>TXN-00304</t>
  </si>
  <si>
    <t>TXN-04381</t>
  </si>
  <si>
    <t>TXN-03649</t>
  </si>
  <si>
    <t>TXN-01129</t>
  </si>
  <si>
    <t>TXN-02105</t>
  </si>
  <si>
    <t>TXN-04707</t>
  </si>
  <si>
    <t>TXN-00805</t>
  </si>
  <si>
    <t>TXN-01188</t>
  </si>
  <si>
    <t>TXN-00084</t>
  </si>
  <si>
    <t>TXN-01231</t>
  </si>
  <si>
    <t>TXN-03426</t>
  </si>
  <si>
    <t>TXN-00385</t>
  </si>
  <si>
    <t>TXN-01968</t>
  </si>
  <si>
    <t>TXN-00193</t>
  </si>
  <si>
    <t>TXN-00379</t>
  </si>
  <si>
    <t>TXN-00738</t>
  </si>
  <si>
    <t>TXN-01183</t>
  </si>
  <si>
    <t>TXN-02605</t>
  </si>
  <si>
    <t>TXN-00825</t>
  </si>
  <si>
    <t>TXN-02318</t>
  </si>
  <si>
    <t>TXN-02763</t>
  </si>
  <si>
    <t>TXN-02594</t>
  </si>
  <si>
    <t>TXN-04836</t>
  </si>
  <si>
    <t>TXN-00406</t>
  </si>
  <si>
    <t>TXN-03774</t>
  </si>
  <si>
    <t>TXN-00605</t>
  </si>
  <si>
    <t>TXN-00412</t>
  </si>
  <si>
    <t>TXN-04445</t>
  </si>
  <si>
    <t>TXN-03996</t>
  </si>
  <si>
    <t>TXN-00031</t>
  </si>
  <si>
    <t>TXN-01799</t>
  </si>
  <si>
    <t>TXN-03608</t>
  </si>
  <si>
    <t>TXN-03451</t>
  </si>
  <si>
    <t>TXN-01911</t>
  </si>
  <si>
    <t>TXN-04610</t>
  </si>
  <si>
    <t>TXN-04064</t>
  </si>
  <si>
    <t>TXN-02307</t>
  </si>
  <si>
    <t>TXN-01670</t>
  </si>
  <si>
    <t>TXN-04704</t>
  </si>
  <si>
    <t>TXN-02112</t>
  </si>
  <si>
    <t>TXN-01460</t>
  </si>
  <si>
    <t>TXN-03007</t>
  </si>
  <si>
    <t>TXN-04405</t>
  </si>
  <si>
    <t>TXN-01137</t>
  </si>
  <si>
    <t>TXN-04922</t>
  </si>
  <si>
    <t>TXN-00099</t>
  </si>
  <si>
    <t>TXN-02974</t>
  </si>
  <si>
    <t>TXN-02343</t>
  </si>
  <si>
    <t>TXN-03185</t>
  </si>
  <si>
    <t>TXN-04596</t>
  </si>
  <si>
    <t>TXN-01703</t>
  </si>
  <si>
    <t>TXN-04675</t>
  </si>
  <si>
    <t>TXN-03026</t>
  </si>
  <si>
    <t>TXN-00689</t>
  </si>
  <si>
    <t>TXN-03545</t>
  </si>
  <si>
    <t>TXN-01998</t>
  </si>
  <si>
    <t>TXN-04068</t>
  </si>
  <si>
    <t>TXN-03372</t>
  </si>
  <si>
    <t>TXN-04732</t>
  </si>
  <si>
    <t>TXN-03401</t>
  </si>
  <si>
    <t>TXN-02559</t>
  </si>
  <si>
    <t>TXN-02764</t>
  </si>
  <si>
    <t>TXN-02916</t>
  </si>
  <si>
    <t>TXN-02260</t>
  </si>
  <si>
    <t>TXN-04088</t>
  </si>
  <si>
    <t>TXN-02785</t>
  </si>
  <si>
    <t>TXN-03645</t>
  </si>
  <si>
    <t>TXN-03993</t>
  </si>
  <si>
    <t>TXN-00436</t>
  </si>
  <si>
    <t>TXN-01970</t>
  </si>
  <si>
    <t>TXN-00542</t>
  </si>
  <si>
    <t>TXN-03251</t>
  </si>
  <si>
    <t>TXN-02715</t>
  </si>
  <si>
    <t>TXN-04496</t>
  </si>
  <si>
    <t>TXN-02163</t>
  </si>
  <si>
    <t>TXN-00591</t>
  </si>
  <si>
    <t>TXN-02576</t>
  </si>
  <si>
    <t>TXN-04680</t>
  </si>
  <si>
    <t>TXN-00005</t>
  </si>
  <si>
    <t>TXN-04786</t>
  </si>
  <si>
    <t>TXN-02823</t>
  </si>
  <si>
    <t>TXN-00729</t>
  </si>
  <si>
    <t>TXN-04976</t>
  </si>
  <si>
    <t>TXN-02975</t>
  </si>
  <si>
    <t>TXN-00818</t>
  </si>
  <si>
    <t>TXN-04656</t>
  </si>
  <si>
    <t>TXN-01753</t>
  </si>
  <si>
    <t>TXN-04345</t>
  </si>
  <si>
    <t>TXN-04160</t>
  </si>
  <si>
    <t>TXN-04094</t>
  </si>
  <si>
    <t>TXN-02672</t>
  </si>
  <si>
    <t>TXN-00568</t>
  </si>
  <si>
    <t>TXN-03435</t>
  </si>
  <si>
    <t>TXN-03188</t>
  </si>
  <si>
    <t>TXN-03457</t>
  </si>
  <si>
    <t>TXN-03393</t>
  </si>
  <si>
    <t>TXN-01646</t>
  </si>
  <si>
    <t>TXN-00500</t>
  </si>
  <si>
    <t>TXN-02902</t>
  </si>
  <si>
    <t>TXN-04585</t>
  </si>
  <si>
    <t>TXN-01999</t>
  </si>
  <si>
    <t>TXN-00429</t>
  </si>
  <si>
    <t>TXN-03924</t>
  </si>
  <si>
    <t>TXN-04811</t>
  </si>
  <si>
    <t>TXN-02621</t>
  </si>
  <si>
    <t>TXN-02136</t>
  </si>
  <si>
    <t>TXN-00718</t>
  </si>
  <si>
    <t>TXN-00817</t>
  </si>
  <si>
    <t>TXN-01193</t>
  </si>
  <si>
    <t>TXN-02293</t>
  </si>
  <si>
    <t>TXN-03618</t>
  </si>
  <si>
    <t>TXN-04073</t>
  </si>
  <si>
    <t>TXN-02329</t>
  </si>
  <si>
    <t>TXN-01350</t>
  </si>
  <si>
    <t>TXN-03898</t>
  </si>
  <si>
    <t>TXN-03158</t>
  </si>
  <si>
    <t>TXN-00183</t>
  </si>
  <si>
    <t>TXN-00063</t>
  </si>
  <si>
    <t>TXN-04759</t>
  </si>
  <si>
    <t>TXN-04028</t>
  </si>
  <si>
    <t>TXN-02729</t>
  </si>
  <si>
    <t>TXN-03770</t>
  </si>
  <si>
    <t>TXN-03483</t>
  </si>
  <si>
    <t>TXN-01759</t>
  </si>
  <si>
    <t>TXN-04007</t>
  </si>
  <si>
    <t>TXN-03151</t>
  </si>
  <si>
    <t>TXN-02219</t>
  </si>
  <si>
    <t>TXN-02086</t>
  </si>
  <si>
    <t>TXN-01132</t>
  </si>
  <si>
    <t>TXN-01650</t>
  </si>
  <si>
    <t>TXN-01766</t>
  </si>
  <si>
    <t>TXN-04692</t>
  </si>
  <si>
    <t>TXN-03135</t>
  </si>
  <si>
    <t>TXN-01859</t>
  </si>
  <si>
    <t>TXN-00717</t>
  </si>
  <si>
    <t>TXN-01210</t>
  </si>
  <si>
    <t>TXN-03849</t>
  </si>
  <si>
    <t>TXN-04712</t>
  </si>
  <si>
    <t>TXN-01725</t>
  </si>
  <si>
    <t>TXN-00432</t>
  </si>
  <si>
    <t>TXN-01366</t>
  </si>
  <si>
    <t>TXN-02770</t>
  </si>
  <si>
    <t>TXN-00151</t>
  </si>
  <si>
    <t>TXN-03237</t>
  </si>
  <si>
    <t>TXN-03055</t>
  </si>
  <si>
    <t>TXN-03467</t>
  </si>
  <si>
    <t>TXN-01192</t>
  </si>
  <si>
    <t>TXN-03901</t>
  </si>
  <si>
    <t>TXN-01718</t>
  </si>
  <si>
    <t>TXN-01494</t>
  </si>
  <si>
    <t>TXN-01977</t>
  </si>
  <si>
    <t>TXN-04743</t>
  </si>
  <si>
    <t>TXN-03962</t>
  </si>
  <si>
    <t>TXN-01356</t>
  </si>
  <si>
    <t>TXN-03634</t>
  </si>
  <si>
    <t>TXN-03694</t>
  </si>
  <si>
    <t>TXN-03294</t>
  </si>
  <si>
    <t>TXN-04522</t>
  </si>
  <si>
    <t>TXN-03769</t>
  </si>
  <si>
    <t>TXN-00364</t>
  </si>
  <si>
    <t>TXN-04426</t>
  </si>
  <si>
    <t>TXN-04347</t>
  </si>
  <si>
    <t>TXN-03679</t>
  </si>
  <si>
    <t>TXN-04701</t>
  </si>
  <si>
    <t>TXN-04859</t>
  </si>
  <si>
    <t>TXN-04623</t>
  </si>
  <si>
    <t>TXN-03963</t>
  </si>
  <si>
    <t>TXN-00959</t>
  </si>
  <si>
    <t>TXN-00416</t>
  </si>
  <si>
    <t>TXN-03463</t>
  </si>
  <si>
    <t>TXN-03904</t>
  </si>
  <si>
    <t>TXN-03989</t>
  </si>
  <si>
    <t>TXN-02804</t>
  </si>
  <si>
    <t>TXN-01016</t>
  </si>
  <si>
    <t>TXN-02401</t>
  </si>
  <si>
    <t>TXN-04883</t>
  </si>
  <si>
    <t>TXN-04679</t>
  </si>
  <si>
    <t>TXN-01390</t>
  </si>
  <si>
    <t>TXN-00247</t>
  </si>
  <si>
    <t>TXN-01481</t>
  </si>
  <si>
    <t>TXN-02322</t>
  </si>
  <si>
    <t>TXN-03280</t>
  </si>
  <si>
    <t>TXN-00543</t>
  </si>
  <si>
    <t>TXN-01639</t>
  </si>
  <si>
    <t>TXN-00319</t>
  </si>
  <si>
    <t>TXN-00702</t>
  </si>
  <si>
    <t>TXN-00511</t>
  </si>
  <si>
    <t>TXN-03931</t>
  </si>
  <si>
    <t>TXN-03523</t>
  </si>
  <si>
    <t>TXN-03530</t>
  </si>
  <si>
    <t>TXN-00012</t>
  </si>
  <si>
    <t>TXN-00455</t>
  </si>
  <si>
    <t>TXN-02578</t>
  </si>
  <si>
    <t>TXN-03499</t>
  </si>
  <si>
    <t>TXN-02248</t>
  </si>
  <si>
    <t>TXN-03509</t>
  </si>
  <si>
    <t>TXN-03317</t>
  </si>
  <si>
    <t>TXN-03558</t>
  </si>
  <si>
    <t>TXN-02869</t>
  </si>
  <si>
    <t>TXN-02152</t>
  </si>
  <si>
    <t>TXN-01986</t>
  </si>
  <si>
    <t>TXN-03894</t>
  </si>
  <si>
    <t>TXN-03651</t>
  </si>
  <si>
    <t>TXN-04332</t>
  </si>
  <si>
    <t>TXN-01737</t>
  </si>
  <si>
    <t>TXN-00001</t>
  </si>
  <si>
    <t>TXN-00388</t>
  </si>
  <si>
    <t>TXN-02828</t>
  </si>
  <si>
    <t>TXN-03387</t>
  </si>
  <si>
    <t>TXN-03623</t>
  </si>
  <si>
    <t>TXN-02551</t>
  </si>
  <si>
    <t>TXN-02212</t>
  </si>
  <si>
    <t>TXN-00343</t>
  </si>
  <si>
    <t>TXN-04942</t>
  </si>
  <si>
    <t>TXN-00773</t>
  </si>
  <si>
    <t>TXN-00067</t>
  </si>
  <si>
    <t>TXN-01075</t>
  </si>
  <si>
    <t>TXN-00402</t>
  </si>
  <si>
    <t>TXN-01890</t>
  </si>
  <si>
    <t>TXN-03173</t>
  </si>
  <si>
    <t>TXN-01469</t>
  </si>
  <si>
    <t>TXN-00004</t>
  </si>
  <si>
    <t>TXN-02075</t>
  </si>
  <si>
    <t>TXN-01407</t>
  </si>
  <si>
    <t>TXN-02123</t>
  </si>
  <si>
    <t>TXN-04049</t>
  </si>
  <si>
    <t>TXN-03260</t>
  </si>
  <si>
    <t>TXN-03109</t>
  </si>
  <si>
    <t>TXN-02620</t>
  </si>
  <si>
    <t>TXN-01258</t>
  </si>
  <si>
    <t>TXN-03810</t>
  </si>
  <si>
    <t>TXN-03795</t>
  </si>
  <si>
    <t>TXN-02862</t>
  </si>
  <si>
    <t>TXN-02278</t>
  </si>
  <si>
    <t>TXN-03273</t>
  </si>
  <si>
    <t>TXN-04126</t>
  </si>
  <si>
    <t>TXN-02543</t>
  </si>
  <si>
    <t>TXN-04842</t>
  </si>
  <si>
    <t>TXN-03890</t>
  </si>
  <si>
    <t>TXN-04608</t>
  </si>
  <si>
    <t>TXN-04729</t>
  </si>
  <si>
    <t>TXN-02762</t>
  </si>
  <si>
    <t>TXN-03864</t>
  </si>
  <si>
    <t>TXN-00260</t>
  </si>
  <si>
    <t>TXN-04575</t>
  </si>
  <si>
    <t>TXN-01574</t>
  </si>
  <si>
    <t>TXN-00181</t>
  </si>
  <si>
    <t>TXN-00177</t>
  </si>
  <si>
    <t>TXN-02637</t>
  </si>
  <si>
    <t>TXN-01299</t>
  </si>
  <si>
    <t>TXN-03136</t>
  </si>
  <si>
    <t>TXN-04986</t>
  </si>
  <si>
    <t>TXN-01163</t>
  </si>
  <si>
    <t>TXN-03349</t>
  </si>
  <si>
    <t>TXN-01527</t>
  </si>
  <si>
    <t>TXN-04921</t>
  </si>
  <si>
    <t>TXN-02945</t>
  </si>
  <si>
    <t>TXN-01243</t>
  </si>
  <si>
    <t>TXN-00322</t>
  </si>
  <si>
    <t>TXN-01824</t>
  </si>
  <si>
    <t>TXN-02625</t>
  </si>
  <si>
    <t>TXN-02046</t>
  </si>
  <si>
    <t>TXN-00619</t>
  </si>
  <si>
    <t>TXN-02287</t>
  </si>
  <si>
    <t>TXN-03295</t>
  </si>
  <si>
    <t>TXN-02092</t>
  </si>
  <si>
    <t>TXN-00930</t>
  </si>
  <si>
    <t>TXN-03148</t>
  </si>
  <si>
    <t>TXN-03191</t>
  </si>
  <si>
    <t>TXN-00417</t>
  </si>
  <si>
    <t>TXN-01026</t>
  </si>
  <si>
    <t>TXN-02644</t>
  </si>
  <si>
    <t>TXN-04615</t>
  </si>
  <si>
    <t>TXN-01223</t>
  </si>
  <si>
    <t>TXN-00686</t>
  </si>
  <si>
    <t>TXN-01953</t>
  </si>
  <si>
    <t>TXN-02598</t>
  </si>
  <si>
    <t>TXN-04931</t>
  </si>
  <si>
    <t>TXN-04501</t>
  </si>
  <si>
    <t>TXN-01195</t>
  </si>
  <si>
    <t>TXN-01614</t>
  </si>
  <si>
    <t>TXN-00254</t>
  </si>
  <si>
    <t>TXN-01492</t>
  </si>
  <si>
    <t>TXN-02982</t>
  </si>
  <si>
    <t>TXN-02394</t>
  </si>
  <si>
    <t>TXN-00822</t>
  </si>
  <si>
    <t>TXN-01889</t>
  </si>
  <si>
    <t>TXN-04400</t>
  </si>
  <si>
    <t>TXN-03667</t>
  </si>
  <si>
    <t>TXN-00652</t>
  </si>
  <si>
    <t>TXN-03399</t>
  </si>
  <si>
    <t>TXN-00211</t>
  </si>
  <si>
    <t>TXN-03981</t>
  </si>
  <si>
    <t>TXN-04411</t>
  </si>
  <si>
    <t>TXN-01513</t>
  </si>
  <si>
    <t>TXN-03619</t>
  </si>
  <si>
    <t>TXN-02047</t>
  </si>
  <si>
    <t>TXN-04552</t>
  </si>
  <si>
    <t>TXN-00371</t>
  </si>
  <si>
    <t>TXN-03984</t>
  </si>
  <si>
    <t>TXN-00600</t>
  </si>
  <si>
    <t>TXN-04293</t>
  </si>
  <si>
    <t>TXN-04108</t>
  </si>
  <si>
    <t>TXN-01774</t>
  </si>
  <si>
    <t>TXN-03382</t>
  </si>
  <si>
    <t>TXN-04818</t>
  </si>
  <si>
    <t>TXN-03167</t>
  </si>
  <si>
    <t>TXN-03002</t>
  </si>
  <si>
    <t>TXN-00410</t>
  </si>
  <si>
    <t>TXN-02541</t>
  </si>
  <si>
    <t>TXN-03380</t>
  </si>
  <si>
    <t>TXN-03933</t>
  </si>
  <si>
    <t>TXN-04727</t>
  </si>
  <si>
    <t>TXN-02845</t>
  </si>
  <si>
    <t>TXN-04475</t>
  </si>
  <si>
    <t>TXN-00097</t>
  </si>
  <si>
    <t>TXN-02860</t>
  </si>
  <si>
    <t>TXN-04218</t>
  </si>
  <si>
    <t>TXN-04196</t>
  </si>
  <si>
    <t>TXN-02398</t>
  </si>
  <si>
    <t>TXN-00192</t>
  </si>
  <si>
    <t>TXN-02306</t>
  </si>
  <si>
    <t>TXN-01648</t>
  </si>
  <si>
    <t>TXN-02182</t>
  </si>
  <si>
    <t>TXN-02887</t>
  </si>
  <si>
    <t>TXN-02730</t>
  </si>
  <si>
    <t>TXN-00042</t>
  </si>
  <si>
    <t>TXN-00250</t>
  </si>
  <si>
    <t>TXN-00590</t>
  </si>
  <si>
    <t>TXN-04997</t>
  </si>
  <si>
    <t>TXN-02581</t>
  </si>
  <si>
    <t>TXN-04785</t>
  </si>
  <si>
    <t>TXN-00559</t>
  </si>
  <si>
    <t>TXN-02026</t>
  </si>
  <si>
    <t>TXN-01072</t>
  </si>
  <si>
    <t>TXN-04056</t>
  </si>
  <si>
    <t>TXN-03584</t>
  </si>
  <si>
    <t>TXN-01052</t>
  </si>
  <si>
    <t>TXN-00275</t>
  </si>
  <si>
    <t>TXN-04415</t>
  </si>
  <si>
    <t>TXN-03078</t>
  </si>
  <si>
    <t>TXN-01096</t>
  </si>
  <si>
    <t>TXN-00964</t>
  </si>
  <si>
    <t>TXN-00902</t>
  </si>
  <si>
    <t>TXN-04091</t>
  </si>
  <si>
    <t>TXN-03561</t>
  </si>
  <si>
    <t>TXN-00100</t>
  </si>
  <si>
    <t>TXN-03698</t>
  </si>
  <si>
    <t>TXN-04184</t>
  </si>
  <si>
    <t>TXN-03297</t>
  </si>
  <si>
    <t>TXN-01450</t>
  </si>
  <si>
    <t>TXN-03719</t>
  </si>
  <si>
    <t>TXN-01140</t>
  </si>
  <si>
    <t>TXN-01416</t>
  </si>
  <si>
    <t>TXN-03916</t>
  </si>
  <si>
    <t>TXN-04006</t>
  </si>
  <si>
    <t>TXN-01437</t>
  </si>
  <si>
    <t>TXN-00363</t>
  </si>
  <si>
    <t>TXN-00637</t>
  </si>
  <si>
    <t>TXN-03630</t>
  </si>
  <si>
    <t>TXN-00549</t>
  </si>
  <si>
    <t>TXN-02767</t>
  </si>
  <si>
    <t>TXN-02065</t>
  </si>
  <si>
    <t>TXN-04342</t>
  </si>
  <si>
    <t>TXN-01153</t>
  </si>
  <si>
    <t>TXN-04641</t>
  </si>
  <si>
    <t>TXN-04731</t>
  </si>
  <si>
    <t>TXN-01957</t>
  </si>
  <si>
    <t>TXN-00716</t>
  </si>
  <si>
    <t>TXN-01862</t>
  </si>
  <si>
    <t>TXN-00665</t>
  </si>
  <si>
    <t>TXN-01487</t>
  </si>
  <si>
    <t>TXN-02635</t>
  </si>
  <si>
    <t>TXN-00879</t>
  </si>
  <si>
    <t>TXN-01263</t>
  </si>
  <si>
    <t>TXN-04928</t>
  </si>
  <si>
    <t>TXN-01541</t>
  </si>
  <si>
    <t>TXN-03813</t>
  </si>
  <si>
    <t>TXN-01787</t>
  </si>
  <si>
    <t>TXN-01966</t>
  </si>
  <si>
    <t>TXN-00220</t>
  </si>
  <si>
    <t>TXN-03202</t>
  </si>
  <si>
    <t>TXN-02719</t>
  </si>
  <si>
    <t>TXN-01315</t>
  </si>
  <si>
    <t>TXN-00626</t>
  </si>
  <si>
    <t>TXN-03541</t>
  </si>
  <si>
    <t>TXN-04920</t>
  </si>
  <si>
    <t>TXN-04630</t>
  </si>
  <si>
    <t>TXN-03966</t>
  </si>
  <si>
    <t>TXN-00548</t>
  </si>
  <si>
    <t>TXN-01386</t>
  </si>
  <si>
    <t>TXN-01686</t>
  </si>
  <si>
    <t>TXN-01270</t>
  </si>
  <si>
    <t>TXN-03119</t>
  </si>
  <si>
    <t>TXN-01462</t>
  </si>
  <si>
    <t>TXN-02106</t>
  </si>
  <si>
    <t>TXN-02586</t>
  </si>
  <si>
    <t>TXN-02783</t>
  </si>
  <si>
    <t>TXN-04070</t>
  </si>
  <si>
    <t>TXN-03462</t>
  </si>
  <si>
    <t>TXN-02023</t>
  </si>
  <si>
    <t>TXN-04581</t>
  </si>
  <si>
    <t>TXN-03745</t>
  </si>
  <si>
    <t>TXN-03222</t>
  </si>
  <si>
    <t>TXN-03181</t>
  </si>
  <si>
    <t>TXN-02063</t>
  </si>
  <si>
    <t>TXN-03735</t>
  </si>
  <si>
    <t>TXN-04620</t>
  </si>
  <si>
    <t>TXN-03577</t>
  </si>
  <si>
    <t>TXN-02325</t>
  </si>
  <si>
    <t>TXN-00092</t>
  </si>
  <si>
    <t>TXN-01036</t>
  </si>
  <si>
    <t>TXN-03473</t>
  </si>
  <si>
    <t>TXN-01034</t>
  </si>
  <si>
    <t>TXN-02257</t>
  </si>
  <si>
    <t>TXN-01237</t>
  </si>
  <si>
    <t>TXN-01385</t>
  </si>
  <si>
    <t>TXN-01028</t>
  </si>
  <si>
    <t>TXN-01982</t>
  </si>
  <si>
    <t>TXN-00243</t>
  </si>
  <si>
    <t>TXN-02132</t>
  </si>
  <si>
    <t>TXN-00149</t>
  </si>
  <si>
    <t>TXN-01913</t>
  </si>
  <si>
    <t>TXN-01121</t>
  </si>
  <si>
    <t>TXN-01404</t>
  </si>
  <si>
    <t>TXN-02224</t>
  </si>
  <si>
    <t>TXN-01976</t>
  </si>
  <si>
    <t>TXN-00327</t>
  </si>
  <si>
    <t>TXN-03684</t>
  </si>
  <si>
    <t>TXN-04140</t>
  </si>
  <si>
    <t>TXN-00023</t>
  </si>
  <si>
    <t>TXN-03052</t>
  </si>
  <si>
    <t>TXN-01662</t>
  </si>
  <si>
    <t>TXN-02866</t>
  </si>
  <si>
    <t>TXN-00560</t>
  </si>
  <si>
    <t>TXN-01663</t>
  </si>
  <si>
    <t>TXN-00268</t>
  </si>
  <si>
    <t>TXN-04988</t>
  </si>
  <si>
    <t>TXN-03363</t>
  </si>
  <si>
    <t>TXN-01866</t>
  </si>
  <si>
    <t>TXN-04147</t>
  </si>
  <si>
    <t>TXN-03826</t>
  </si>
  <si>
    <t>TXN-04092</t>
  </si>
  <si>
    <t>TXN-00976</t>
  </si>
  <si>
    <t>TXN-00582</t>
  </si>
  <si>
    <t>TXN-03252</t>
  </si>
  <si>
    <t>TXN-03528</t>
  </si>
  <si>
    <t>TXN-04101</t>
  </si>
  <si>
    <t>TXN-01739</t>
  </si>
  <si>
    <t>TXN-02113</t>
  </si>
  <si>
    <t>TXN-02145</t>
  </si>
  <si>
    <t>TXN-02155</t>
  </si>
  <si>
    <t>TXN-00478</t>
  </si>
  <si>
    <t>TXN-01543</t>
  </si>
  <si>
    <t>TXN-00952</t>
  </si>
  <si>
    <t>TXN-03950</t>
  </si>
  <si>
    <t>TXN-03103</t>
  </si>
  <si>
    <t>TXN-00575</t>
  </si>
  <si>
    <t>TXN-03858</t>
  </si>
  <si>
    <t>TXN-01552</t>
  </si>
  <si>
    <t>TXN-01411</t>
  </si>
  <si>
    <t>TXN-01393</t>
  </si>
  <si>
    <t>TXN-00145</t>
  </si>
  <si>
    <t>TXN-04862</t>
  </si>
  <si>
    <t>TXN-02087</t>
  </si>
  <si>
    <t>TXN-03182</t>
  </si>
  <si>
    <t>TXN-02493</t>
  </si>
  <si>
    <t>TXN-02184</t>
  </si>
  <si>
    <t>TXN-00306</t>
  </si>
  <si>
    <t>TXN-02417</t>
  </si>
  <si>
    <t>TXN-03748</t>
  </si>
  <si>
    <t>TXN-03532</t>
  </si>
  <si>
    <t>TXN-02294</t>
  </si>
  <si>
    <t>TXN-00574</t>
  </si>
  <si>
    <t>TXN-04299</t>
  </si>
  <si>
    <t>TXN-01158</t>
  </si>
  <si>
    <t>TXN-01950</t>
  </si>
  <si>
    <t>TXN-01518</t>
  </si>
  <si>
    <t>TXN-00345</t>
  </si>
  <si>
    <t>TXN-02905</t>
  </si>
  <si>
    <t>TXN-04812</t>
  </si>
  <si>
    <t>TXN-04233</t>
  </si>
  <si>
    <t>TXN-04459</t>
  </si>
  <si>
    <t>TXN-03440</t>
  </si>
  <si>
    <t>TXN-00657</t>
  </si>
  <si>
    <t>TXN-02811</t>
  </si>
  <si>
    <t>TXN-01933</t>
  </si>
  <si>
    <t>TXN-01176</t>
  </si>
  <si>
    <t>TXN-02739</t>
  </si>
  <si>
    <t>TXN-03977</t>
  </si>
  <si>
    <t>TXN-01115</t>
  </si>
  <si>
    <t>TXN-01006</t>
  </si>
  <si>
    <t>TXN-01119</t>
  </si>
  <si>
    <t>TXN-00457</t>
  </si>
  <si>
    <t>TXN-02240</t>
  </si>
  <si>
    <t>TXN-04870</t>
  </si>
  <si>
    <t>TXN-03833</t>
  </si>
  <si>
    <t>TXN-04652</t>
  </si>
  <si>
    <t>TXN-04592</t>
  </si>
  <si>
    <t>TXN-01116</t>
  </si>
  <si>
    <t>TXN-02687</t>
  </si>
  <si>
    <t>TXN-02705</t>
  </si>
  <si>
    <t>TXN-03567</t>
  </si>
  <si>
    <t>TXN-04514</t>
  </si>
  <si>
    <t>TXN-01086</t>
  </si>
  <si>
    <t>TXN-00595</t>
  </si>
  <si>
    <t>TXN-02633</t>
  </si>
  <si>
    <t>TXN-00791</t>
  </si>
  <si>
    <t>TXN-02353</t>
  </si>
  <si>
    <t>TXN-03302</t>
  </si>
  <si>
    <t>TXN-04621</t>
  </si>
  <si>
    <t>TXN-01930</t>
  </si>
  <si>
    <t>TXN-00198</t>
  </si>
  <si>
    <t>TXN-01927</t>
  </si>
  <si>
    <t>TXN-03866</t>
  </si>
  <si>
    <t>TXN-04185</t>
  </si>
  <si>
    <t>TXN-04947</t>
  </si>
  <si>
    <t>TXN-02546</t>
  </si>
  <si>
    <t>TXN-00554</t>
  </si>
  <si>
    <t>TXN-04169</t>
  </si>
  <si>
    <t>TXN-04788</t>
  </si>
  <si>
    <t>TXN-03405</t>
  </si>
  <si>
    <t>TXN-04175</t>
  </si>
  <si>
    <t>TXN-03179</t>
  </si>
  <si>
    <t>TXN-03573</t>
  </si>
  <si>
    <t>TXN-02613</t>
  </si>
  <si>
    <t>TXN-00423</t>
  </si>
  <si>
    <t>TXN-03077</t>
  </si>
  <si>
    <t>TXN-04722</t>
  </si>
  <si>
    <t>TXN-00370</t>
  </si>
  <si>
    <t>TXN-04892</t>
  </si>
  <si>
    <t>TXN-00516</t>
  </si>
  <si>
    <t>TXN-04571</t>
  </si>
  <si>
    <t>TXN-04790</t>
  </si>
  <si>
    <t>TXN-02933</t>
  </si>
  <si>
    <t>TXN-00615</t>
  </si>
  <si>
    <t>TXN-03896</t>
  </si>
  <si>
    <t>TXN-00303</t>
  </si>
  <si>
    <t>TXN-00020</t>
  </si>
  <si>
    <t>TXN-00862</t>
  </si>
  <si>
    <t>TXN-03200</t>
  </si>
  <si>
    <t>TXN-01951</t>
  </si>
  <si>
    <t>TXN-03780</t>
  </si>
  <si>
    <t>TXN-03902</t>
  </si>
  <si>
    <t>TXN-00580</t>
  </si>
  <si>
    <t>TXN-01502</t>
  </si>
  <si>
    <t>TXN-00276</t>
  </si>
  <si>
    <t>TXN-04983</t>
  </si>
  <si>
    <t>TXN-00799</t>
  </si>
  <si>
    <t>TXN-00798</t>
  </si>
  <si>
    <t>TXN-00498</t>
  </si>
  <si>
    <t>TXN-01599</t>
  </si>
  <si>
    <t>TXN-00389</t>
  </si>
  <si>
    <t>TXN-02241</t>
  </si>
  <si>
    <t>TXN-03197</t>
  </si>
  <si>
    <t>TXN-03905</t>
  </si>
  <si>
    <t>TXN-03635</t>
  </si>
  <si>
    <t>TXN-04354</t>
  </si>
  <si>
    <t>TXN-01354</t>
  </si>
  <si>
    <t>TXN-02426</t>
  </si>
  <si>
    <t>TXN-00210</t>
  </si>
  <si>
    <t>TXN-01250</t>
  </si>
  <si>
    <t>TXN-00666</t>
  </si>
  <si>
    <t>TXN-04869</t>
  </si>
  <si>
    <t>TXN-04416</t>
  </si>
  <si>
    <t>TXN-03019</t>
  </si>
  <si>
    <t>TXN-02114</t>
  </si>
  <si>
    <t>TXN-03877</t>
  </si>
  <si>
    <t>TXN-03203</t>
  </si>
  <si>
    <t>TXN-02718</t>
  </si>
  <si>
    <t>TXN-02993</t>
  </si>
  <si>
    <t>TXN-03357</t>
  </si>
  <si>
    <t>TXN-03213</t>
  </si>
  <si>
    <t>TXN-00443</t>
  </si>
  <si>
    <t>TXN-01892</t>
  </si>
  <si>
    <t>TXN-04030</t>
  </si>
  <si>
    <t>TXN-03450</t>
  </si>
  <si>
    <t>TXN-03617</t>
  </si>
  <si>
    <t>TXN-04186</t>
  </si>
  <si>
    <t>TXN-03972</t>
  </si>
  <si>
    <t>TXN-02269</t>
  </si>
  <si>
    <t>TXN-04807</t>
  </si>
  <si>
    <t>TXN-01916</t>
  </si>
  <si>
    <t>TXN-01805</t>
  </si>
  <si>
    <t>TXN-00748</t>
  </si>
  <si>
    <t>TXN-04338</t>
  </si>
  <si>
    <t>TXN-04455</t>
  </si>
  <si>
    <t>TXN-04195</t>
  </si>
  <si>
    <t>TXN-02943</t>
  </si>
  <si>
    <t>TXN-04484</t>
  </si>
  <si>
    <t>TXN-04666</t>
  </si>
  <si>
    <t>TXN-04550</t>
  </si>
  <si>
    <t>TXN-01244</t>
  </si>
  <si>
    <t>TXN-02187</t>
  </si>
  <si>
    <t>TXN-02829</t>
  </si>
  <si>
    <t>TXN-01106</t>
  </si>
  <si>
    <t>TXN-01063</t>
  </si>
  <si>
    <t>TXN-03978</t>
  </si>
  <si>
    <t>TXN-04980</t>
  </si>
  <si>
    <t>TXN-02577</t>
  </si>
  <si>
    <t>TXN-04422</t>
  </si>
  <si>
    <t>TXN-04764</t>
  </si>
  <si>
    <t>TXN-02439</t>
  </si>
  <si>
    <t>TXN-00874</t>
  </si>
  <si>
    <t>TXN-03164</t>
  </si>
  <si>
    <t>TXN-02366</t>
  </si>
  <si>
    <t>TXN-04239</t>
  </si>
  <si>
    <t>TXN-00629</t>
  </si>
  <si>
    <t>TXN-03607</t>
  </si>
  <si>
    <t>TXN-03282</t>
  </si>
  <si>
    <t>TXN-04188</t>
  </si>
  <si>
    <t>TXN-00009</t>
  </si>
  <si>
    <t>TXN-00561</t>
  </si>
  <si>
    <t>TXN-04653</t>
  </si>
  <si>
    <t>TXN-03415</t>
  </si>
  <si>
    <t>TXN-00846</t>
  </si>
  <si>
    <t>TXN-02258</t>
  </si>
  <si>
    <t>TXN-03318</t>
  </si>
  <si>
    <t>TXN-01922</t>
  </si>
  <si>
    <t>TXN-00697</t>
  </si>
  <si>
    <t>TXN-04504</t>
  </si>
  <si>
    <t>TXN-01326</t>
  </si>
  <si>
    <t>TXN-01954</t>
  </si>
  <si>
    <t>TXN-02893</t>
  </si>
  <si>
    <t>TXN-02151</t>
  </si>
  <si>
    <t>TXN-00126</t>
  </si>
  <si>
    <t>TXN-03621</t>
  </si>
  <si>
    <t>TXN-04934</t>
  </si>
  <si>
    <t>TXN-04757</t>
  </si>
  <si>
    <t>TXN-02698</t>
  </si>
  <si>
    <t>TXN-00435</t>
  </si>
  <si>
    <t>TXN-02452</t>
  </si>
  <si>
    <t>TXN-00307</t>
  </si>
  <si>
    <t>TXN-02701</t>
  </si>
  <si>
    <t>TXN-01972</t>
  </si>
  <si>
    <t>TXN-00604</t>
  </si>
  <si>
    <t>TXN-02095</t>
  </si>
  <si>
    <t>TXN-02022</t>
  </si>
  <si>
    <t>TXN-02601</t>
  </si>
  <si>
    <t>TXN-02337</t>
  </si>
  <si>
    <t>TXN-02499</t>
  </si>
  <si>
    <t>TXN-01165</t>
  </si>
  <si>
    <t>TXN-04617</t>
  </si>
  <si>
    <t>TXN-01595</t>
  </si>
  <si>
    <t>TXN-04473</t>
  </si>
  <si>
    <t>TXN-00911</t>
  </si>
  <si>
    <t>TXN-00557</t>
  </si>
  <si>
    <t>TXN-03676</t>
  </si>
  <si>
    <t>TXN-04713</t>
  </si>
  <si>
    <t>TXN-01929</t>
  </si>
  <si>
    <t>TXN-01377</t>
  </si>
  <si>
    <t>TXN-01578</t>
  </si>
  <si>
    <t>TXN-04662</t>
  </si>
  <si>
    <t>TXN-02454</t>
  </si>
  <si>
    <t>TXN-00458</t>
  </si>
  <si>
    <t>TXN-01572</t>
  </si>
  <si>
    <t>TXN-01591</t>
  </si>
  <si>
    <t>TXN-02552</t>
  </si>
  <si>
    <t>TXN-00190</t>
  </si>
  <si>
    <t>TXN-00172</t>
  </si>
  <si>
    <t>TXN-00997</t>
  </si>
  <si>
    <t>TXN-00163</t>
  </si>
  <si>
    <t>TXN-03615</t>
  </si>
  <si>
    <t>TXN-02480</t>
  </si>
  <si>
    <t>TXN-01230</t>
  </si>
  <si>
    <t>TXN-01511</t>
  </si>
  <si>
    <t>TXN-02885</t>
  </si>
  <si>
    <t>TXN-02124</t>
  </si>
  <si>
    <t>TXN-01623</t>
  </si>
  <si>
    <t>TXN-00633</t>
  </si>
  <si>
    <t>TXN-01303</t>
  </si>
  <si>
    <t>TXN-00259</t>
  </si>
  <si>
    <t>TXN-02385</t>
  </si>
  <si>
    <t>TXN-04943</t>
  </si>
  <si>
    <t>TXN-03316</t>
  </si>
  <si>
    <t>TXN-02436</t>
  </si>
  <si>
    <t>TXN-03596</t>
  </si>
  <si>
    <t>TXN-02709</t>
  </si>
  <si>
    <t>TXN-01867</t>
  </si>
  <si>
    <t>TXN-00632</t>
  </si>
  <si>
    <t>TXN-01186</t>
  </si>
  <si>
    <t>TXN-04779</t>
  </si>
  <si>
    <t>TXN-02542</t>
  </si>
  <si>
    <t>TXN-00971</t>
  </si>
  <si>
    <t>TXN-01333</t>
  </si>
  <si>
    <t>TXN-00749</t>
  </si>
  <si>
    <t>TXN-04845</t>
  </si>
  <si>
    <t>TXN-00573</t>
  </si>
  <si>
    <t>TXN-02175</t>
  </si>
  <si>
    <t>TXN-01011</t>
  </si>
  <si>
    <t>TXN-00868</t>
  </si>
  <si>
    <t>TXN-00161</t>
  </si>
  <si>
    <t>TXN-02342</t>
  </si>
  <si>
    <t>TXN-03420</t>
  </si>
  <si>
    <t>TXN-04365</t>
  </si>
  <si>
    <t>TXN-04896</t>
  </si>
  <si>
    <t>TXN-02503</t>
  </si>
  <si>
    <t>TXN-04915</t>
  </si>
  <si>
    <t>TXN-00246</t>
  </si>
  <si>
    <t>TXN-00533</t>
  </si>
  <si>
    <t>TXN-00176</t>
  </si>
  <si>
    <t>TXN-03423</t>
  </si>
  <si>
    <t>TXN-00635</t>
  </si>
  <si>
    <t>TXN-01590</t>
  </si>
  <si>
    <t>TXN-01575</t>
  </si>
  <si>
    <t>TXN-00173</t>
  </si>
  <si>
    <t>TXN-04288</t>
  </si>
  <si>
    <t>TXN-04660</t>
  </si>
  <si>
    <t>TXN-03225</t>
  </si>
  <si>
    <t>TXN-04403</t>
  </si>
  <si>
    <t>TXN-03682</t>
  </si>
  <si>
    <t>TXN-01252</t>
  </si>
  <si>
    <t>TXN-04548</t>
  </si>
  <si>
    <t>TXN-01691</t>
  </si>
  <si>
    <t>TXN-03516</t>
  </si>
  <si>
    <t>TXN-04794</t>
  </si>
  <si>
    <t>TXN-04886</t>
  </si>
  <si>
    <t>TXN-04095</t>
  </si>
  <si>
    <t>TXN-04447</t>
  </si>
  <si>
    <t>TXN-01835</t>
  </si>
  <si>
    <t>TXN-00420</t>
  </si>
  <si>
    <t>TXN-04648</t>
  </si>
  <si>
    <t>TXN-02252</t>
  </si>
  <si>
    <t>TXN-01185</t>
  </si>
  <si>
    <t>TXN-00692</t>
  </si>
  <si>
    <t>TXN-04261</t>
  </si>
  <si>
    <t>TXN-01428</t>
  </si>
  <si>
    <t>TXN-03112</t>
  </si>
  <si>
    <t>TXN-03958</t>
  </si>
  <si>
    <t>TXN-00138</t>
  </si>
  <si>
    <t>TXN-03460</t>
  </si>
  <si>
    <t>TXN-02081</t>
  </si>
  <si>
    <t>TXN-00682</t>
  </si>
  <si>
    <t>TXN-03657</t>
  </si>
  <si>
    <t>TXN-01602</t>
  </si>
  <si>
    <t>TXN-00150</t>
  </si>
  <si>
    <t>TXN-01785</t>
  </si>
  <si>
    <t>TXN-01467</t>
  </si>
  <si>
    <t>TXN-01316</t>
  </si>
  <si>
    <t>TXN-04933</t>
  </si>
  <si>
    <t>TXN-00040</t>
  </si>
  <si>
    <t>TXN-01832</t>
  </si>
  <si>
    <t>TXN-04944</t>
  </si>
  <si>
    <t>TXN-04266</t>
  </si>
  <si>
    <t>TXN-04733</t>
  </si>
  <si>
    <t>TXN-03752</t>
  </si>
  <si>
    <t>TXN-03717</t>
  </si>
  <si>
    <t>TXN-04115</t>
  </si>
  <si>
    <t>TXN-03834</t>
  </si>
  <si>
    <t>TXN-04080</t>
  </si>
  <si>
    <t>TXN-02214</t>
  </si>
  <si>
    <t>TXN-03117</t>
  </si>
  <si>
    <t>TXN-01823</t>
  </si>
  <si>
    <t>TXN-04971</t>
  </si>
  <si>
    <t>TXN-01517</t>
  </si>
  <si>
    <t>TXN-01923</t>
  </si>
  <si>
    <t>TXN-01897</t>
  </si>
  <si>
    <t>TXN-00683</t>
  </si>
  <si>
    <t>TXN-02947</t>
  </si>
  <si>
    <t>TXN-03547</t>
  </si>
  <si>
    <t>TXN-00592</t>
  </si>
  <si>
    <t>TXN-04179</t>
  </si>
  <si>
    <t>TXN-00078</t>
  </si>
  <si>
    <t>TXN-03691</t>
  </si>
  <si>
    <t>TXN-00484</t>
  </si>
  <si>
    <t>TXN-00836</t>
  </si>
  <si>
    <t>TXN-00673</t>
  </si>
  <si>
    <t>TXN-00572</t>
  </si>
  <si>
    <t>TXN-02317</t>
  </si>
  <si>
    <t>TXN-02139</t>
  </si>
  <si>
    <t>TXN-00451</t>
  </si>
  <si>
    <t>TXN-02802</t>
  </si>
  <si>
    <t>TXN-01049</t>
  </si>
  <si>
    <t>TXN-01021</t>
  </si>
  <si>
    <t>TXN-03736</t>
  </si>
  <si>
    <t>TXN-04815</t>
  </si>
  <si>
    <t>TXN-03003</t>
  </si>
  <si>
    <t>TXN-03786</t>
  </si>
  <si>
    <t>TXN-04655</t>
  </si>
  <si>
    <t>TXN-00328</t>
  </si>
  <si>
    <t>TXN-01228</t>
  </si>
  <si>
    <t>TXN-04406</t>
  </si>
  <si>
    <t>TXN-01880</t>
  </si>
  <si>
    <t>TXN-01659</t>
  </si>
  <si>
    <t>TXN-00833</t>
  </si>
  <si>
    <t>TXN-04511</t>
  </si>
  <si>
    <t>TXN-01569</t>
  </si>
  <si>
    <t>TXN-00638</t>
  </si>
  <si>
    <t>TXN-00168</t>
  </si>
  <si>
    <t>TXN-02180</t>
  </si>
  <si>
    <t>TXN-04598</t>
  </si>
  <si>
    <t>TXN-02867</t>
  </si>
  <si>
    <t>TXN-02648</t>
  </si>
  <si>
    <t>TXN-02333</t>
  </si>
  <si>
    <t>TXN-02676</t>
  </si>
  <si>
    <t>TXN-03706</t>
  </si>
  <si>
    <t>TXN-03391</t>
  </si>
  <si>
    <t>TXN-02548</t>
  </si>
  <si>
    <t>TXN-01509</t>
  </si>
  <si>
    <t>TXN-02444</t>
  </si>
  <si>
    <t>TXN-01035</t>
  </si>
  <si>
    <t>TXN-01539</t>
  </si>
  <si>
    <t>TXN-03056</t>
  </si>
  <si>
    <t>TXN-03535</t>
  </si>
  <si>
    <t>TXN-02074</t>
  </si>
  <si>
    <t>TXN-01190</t>
  </si>
  <si>
    <t>TXN-04512</t>
  </si>
  <si>
    <t>TXN-01168</t>
  </si>
  <si>
    <t>TXN-02190</t>
  </si>
  <si>
    <t>TXN-01757</t>
  </si>
  <si>
    <t>TXN-04665</t>
  </si>
  <si>
    <t>TXN-03751</t>
  </si>
  <si>
    <t>TXN-04427</t>
  </si>
  <si>
    <t>TXN-03388</t>
  </si>
  <si>
    <t>TXN-04884</t>
  </si>
  <si>
    <t>TXN-03144</t>
  </si>
  <si>
    <t>TXN-03776</t>
  </si>
  <si>
    <t>TXN-04726</t>
  </si>
  <si>
    <t>TXN-01497</t>
  </si>
  <si>
    <t>TXN-02009</t>
  </si>
  <si>
    <t>TXN-04893</t>
  </si>
  <si>
    <t>TXN-02833</t>
  </si>
  <si>
    <t>TXN-03110</t>
  </si>
  <si>
    <t>TXN-00180</t>
  </si>
  <si>
    <t>TXN-01834</t>
  </si>
  <si>
    <t>TXN-04673</t>
  </si>
  <si>
    <t>TXN-00477</t>
  </si>
  <si>
    <t>TXN-01357</t>
  </si>
  <si>
    <t>TXN-04326</t>
  </si>
  <si>
    <t>TXN-04938</t>
  </si>
  <si>
    <t>TXN-04440</t>
  </si>
  <si>
    <t>TXN-01617</t>
  </si>
  <si>
    <t>TXN-03940</t>
  </si>
  <si>
    <t>TXN-01642</t>
  </si>
  <si>
    <t>TXN-04749</t>
  </si>
  <si>
    <t>TXN-01667</t>
  </si>
  <si>
    <t>TXN-04110</t>
  </si>
  <si>
    <t>TXN-00076</t>
  </si>
  <si>
    <t>TXN-00003</t>
  </si>
  <si>
    <t>TXN-04847</t>
  </si>
  <si>
    <t>TXN-00422</t>
  </si>
  <si>
    <t>TXN-00867</t>
  </si>
  <si>
    <t>TXN-01690</t>
  </si>
  <si>
    <t>TXN-03711</t>
  </si>
  <si>
    <t>TXN-04835</t>
  </si>
  <si>
    <t>TXN-01384</t>
  </si>
  <si>
    <t>TXN-00522</t>
  </si>
  <si>
    <t>TXN-01417</t>
  </si>
  <si>
    <t>TXN-00858</t>
  </si>
  <si>
    <t>TXN-00047</t>
  </si>
  <si>
    <t>TXN-02969</t>
  </si>
  <si>
    <t>TXN-01882</t>
  </si>
  <si>
    <t>TXN-04563</t>
  </si>
  <si>
    <t>TXN-03017</t>
  </si>
  <si>
    <t>TXN-04518</t>
  </si>
  <si>
    <t>TXN-00293</t>
  </si>
  <si>
    <t>TXN-00503</t>
  </si>
  <si>
    <t>TXN-02891</t>
  </si>
  <si>
    <t>TXN-00273</t>
  </si>
  <si>
    <t>TXN-02093</t>
  </si>
  <si>
    <t>TXN-01251</t>
  </si>
  <si>
    <t>TXN-03249</t>
  </si>
  <si>
    <t>TXN-03781</t>
  </si>
  <si>
    <t>TXN-01991</t>
  </si>
  <si>
    <t>TXN-04839</t>
  </si>
  <si>
    <t>TXN-02209</t>
  </si>
  <si>
    <t>TXN-03170</t>
  </si>
  <si>
    <t>TXN-02148</t>
  </si>
  <si>
    <t>TXN-03270</t>
  </si>
  <si>
    <t>TXN-01234</t>
  </si>
  <si>
    <t>TXN-03822</t>
  </si>
  <si>
    <t>TXN-03428</t>
  </si>
  <si>
    <t>TXN-02540</t>
  </si>
  <si>
    <t>TXN-01249</t>
  </si>
  <si>
    <t>TXN-04991</t>
  </si>
  <si>
    <t>TXN-04977</t>
  </si>
  <si>
    <t>TXN-00695</t>
  </si>
  <si>
    <t>TXN-00890</t>
  </si>
  <si>
    <t>TXN-04323</t>
  </si>
  <si>
    <t>TXN-01046</t>
  </si>
  <si>
    <t>TXN-00164</t>
  </si>
  <si>
    <t>TXN-00290</t>
  </si>
  <si>
    <t>TXN-03823</t>
  </si>
  <si>
    <t>TXN-04984</t>
  </si>
  <si>
    <t>TXN-04057</t>
  </si>
  <si>
    <t>TXN-03986</t>
  </si>
  <si>
    <t>TXN-03288</t>
  </si>
  <si>
    <t>TXN-02406</t>
  </si>
  <si>
    <t>TXN-01888</t>
  </si>
  <si>
    <t>TXN-00434</t>
  </si>
  <si>
    <t>TXN-04260</t>
  </si>
  <si>
    <t>TXN-01637</t>
  </si>
  <si>
    <t>TXN-01213</t>
  </si>
  <si>
    <t>TXN-03360</t>
  </si>
  <si>
    <t>TXN-04853</t>
  </si>
  <si>
    <t>TXN-04965</t>
  </si>
  <si>
    <t>TXN-01967</t>
  </si>
  <si>
    <t>TXN-01275</t>
  </si>
  <si>
    <t>TXN-01360</t>
  </si>
  <si>
    <t>TXN-02477</t>
  </si>
  <si>
    <t>TXN-01194</t>
  </si>
  <si>
    <t>TXN-04940</t>
  </si>
  <si>
    <t>TXN-02478</t>
  </si>
  <si>
    <t>TXN-02494</t>
  </si>
  <si>
    <t>TXN-00337</t>
  </si>
  <si>
    <t>TXN-01538</t>
  </si>
  <si>
    <t>TXN-00450</t>
  </si>
  <si>
    <t>TXN-02274</t>
  </si>
  <si>
    <t>TXN-04300</t>
  </si>
  <si>
    <t>TXN-01009</t>
  </si>
  <si>
    <t>TXN-01313</t>
  </si>
  <si>
    <t>TXN-00894</t>
  </si>
  <si>
    <t>TXN-03193</t>
  </si>
  <si>
    <t>TXN-03454</t>
  </si>
  <si>
    <t>TXN-03396</t>
  </si>
  <si>
    <t>TXN-03412</t>
  </si>
  <si>
    <t>TXN-00974</t>
  </si>
  <si>
    <t>TXN-03069</t>
  </si>
  <si>
    <t>TXN-01044</t>
  </si>
  <si>
    <t>TXN-03373</t>
  </si>
  <si>
    <t>TXN-01292</t>
  </si>
  <si>
    <t>TXN-01902</t>
  </si>
  <si>
    <t>TXN-03506</t>
  </si>
  <si>
    <t>TXN-02028</t>
  </si>
  <si>
    <t>TXN-02108</t>
  </si>
  <si>
    <t>TXN-01935</t>
  </si>
  <si>
    <t>TXN-02773</t>
  </si>
  <si>
    <t>TXN-03670</t>
  </si>
  <si>
    <t>TXN-03171</t>
  </si>
  <si>
    <t>TXN-00987</t>
  </si>
  <si>
    <t>TXN-04041</t>
  </si>
  <si>
    <t>TXN-02679</t>
  </si>
  <si>
    <t>TXN-01081</t>
  </si>
  <si>
    <t>TXN-01296</t>
  </si>
  <si>
    <t>TXN-04614</t>
  </si>
  <si>
    <t>TXN-04694</t>
  </si>
  <si>
    <t>TXN-00967</t>
  </si>
  <si>
    <t>TXN-02820</t>
  </si>
  <si>
    <t>TXN-01082</t>
  </si>
  <si>
    <t>TXN-01844</t>
  </si>
  <si>
    <t>TXN-00230</t>
  </si>
  <si>
    <t>TXN-04936</t>
  </si>
  <si>
    <t>TXN-00928</t>
  </si>
  <si>
    <t>TXN-02030</t>
  </si>
  <si>
    <t>TXN-03028</t>
  </si>
  <si>
    <t>TXN-01784</t>
  </si>
  <si>
    <t>TXN-01529</t>
  </si>
  <si>
    <t>TXN-01712</t>
  </si>
  <si>
    <t>TXN-03640</t>
  </si>
  <si>
    <t>TXN-00589</t>
  </si>
  <si>
    <t>TXN-03113</t>
  </si>
  <si>
    <t>TXN-03075</t>
  </si>
  <si>
    <t>TXN-02938</t>
  </si>
  <si>
    <t>TXN-01457</t>
  </si>
  <si>
    <t>TXN-00483</t>
  </si>
  <si>
    <t>TXN-02667</t>
  </si>
  <si>
    <t>TXN-04720</t>
  </si>
  <si>
    <t>TXN-01872</t>
  </si>
  <si>
    <t>TXN-00746</t>
  </si>
  <si>
    <t>TXN-02194</t>
  </si>
  <si>
    <t>TXN-03514</t>
  </si>
  <si>
    <t>TXN-03798</t>
  </si>
  <si>
    <t>TXN-02641</t>
  </si>
  <si>
    <t>TXN-03362</t>
  </si>
  <si>
    <t>TXN-00239</t>
  </si>
  <si>
    <t>TXN-03510</t>
  </si>
  <si>
    <t>TXN-03016</t>
  </si>
  <si>
    <t>TXN-03309</t>
  </si>
  <si>
    <t>TXN-04538</t>
  </si>
  <si>
    <t>TXN-04143</t>
  </si>
  <si>
    <t>TXN-01969</t>
  </si>
  <si>
    <t>TXN-01150</t>
  </si>
  <si>
    <t>TXN-00636</t>
  </si>
  <si>
    <t>TXN-01748</t>
  </si>
  <si>
    <t>TXN-01926</t>
  </si>
  <si>
    <t>TXN-00758</t>
  </si>
  <si>
    <t>TXN-00736</t>
  </si>
  <si>
    <t>TXN-03920</t>
  </si>
  <si>
    <t>TXN-00765</t>
  </si>
  <si>
    <t>TXN-01095</t>
  </si>
  <si>
    <t>TXN-04672</t>
  </si>
  <si>
    <t>TXN-01673</t>
  </si>
  <si>
    <t>TXN-00015</t>
  </si>
  <si>
    <t>TXN-04053</t>
  </si>
  <si>
    <t>TXN-01724</t>
  </si>
  <si>
    <t>TXN-01465</t>
  </si>
  <si>
    <t>TXN-01304</t>
  </si>
  <si>
    <t>TXN-04229</t>
  </si>
  <si>
    <t>TXN-03162</t>
  </si>
  <si>
    <t>TXN-01312</t>
  </si>
  <si>
    <t>TXN-00851</t>
  </si>
  <si>
    <t>TXN-02936</t>
  </si>
  <si>
    <t>TXN-02684</t>
  </si>
  <si>
    <t>TXN-03427</t>
  </si>
  <si>
    <t>TXN-02725</t>
  </si>
  <si>
    <t>TXN-03550</t>
  </si>
  <si>
    <t>TXN-04420</t>
  </si>
  <si>
    <t>TXN-00025</t>
  </si>
  <si>
    <t>TXN-04330</t>
  </si>
  <si>
    <t>TXN-04139</t>
  </si>
  <si>
    <t>TXN-02623</t>
  </si>
  <si>
    <t>TXN-02901</t>
  </si>
  <si>
    <t>TXN-01769</t>
  </si>
  <si>
    <t>TXN-04074</t>
  </si>
  <si>
    <t>TXN-03945</t>
  </si>
  <si>
    <t>TXN-04572</t>
  </si>
  <si>
    <t>TXN-00656</t>
  </si>
  <si>
    <t>TXN-02247</t>
  </si>
  <si>
    <t>TXN-01522</t>
  </si>
  <si>
    <t>TXN-04318</t>
  </si>
  <si>
    <t>TXN-03850</t>
  </si>
  <si>
    <t>TXN-01758</t>
  </si>
  <si>
    <t>TXN-04026</t>
  </si>
  <si>
    <t>TXN-01146</t>
  </si>
  <si>
    <t>TXN-01346</t>
  </si>
  <si>
    <t>TXN-04465</t>
  </si>
  <si>
    <t>TXN-01760</t>
  </si>
  <si>
    <t>TXN-03998</t>
  </si>
  <si>
    <t>TXN-04226</t>
  </si>
  <si>
    <t>TXN-02616</t>
  </si>
  <si>
    <t>TXN-01456</t>
  </si>
  <si>
    <t>TXN-00954</t>
  </si>
  <si>
    <t>TXN-02142</t>
  </si>
  <si>
    <t>TXN-02448</t>
  </si>
  <si>
    <t>TXN-00968</t>
  </si>
  <si>
    <t>TXN-01707</t>
  </si>
  <si>
    <t>TXN-00891</t>
  </si>
  <si>
    <t>TXN-04894</t>
  </si>
  <si>
    <t>TXN-00913</t>
  </si>
  <si>
    <t>TXN-01535</t>
  </si>
  <si>
    <t>TXN-01499</t>
  </si>
  <si>
    <t>TXN-03342</t>
  </si>
  <si>
    <t>TXN-00334</t>
  </si>
  <si>
    <t>TXN-00329</t>
  </si>
  <si>
    <t>TXN-03127</t>
  </si>
  <si>
    <t>TXN-01071</t>
  </si>
  <si>
    <t>TXN-01603</t>
  </si>
  <si>
    <t>TXN-01985</t>
  </si>
  <si>
    <t>TXN-03020</t>
  </si>
  <si>
    <t>TXN-04025</t>
  </si>
  <si>
    <t>TXN-04327</t>
  </si>
  <si>
    <t>TXN-00463</t>
  </si>
  <si>
    <t>TXN-03015</t>
  </si>
  <si>
    <t>TXN-02035</t>
  </si>
  <si>
    <t>TXN-00213</t>
  </si>
  <si>
    <t>TXN-04061</t>
  </si>
  <si>
    <t>TXN-01586</t>
  </si>
  <si>
    <t>TXN-03846</t>
  </si>
  <si>
    <t>TXN-00587</t>
  </si>
  <si>
    <t>TXN-04766</t>
  </si>
  <si>
    <t>TXN-02973</t>
  </si>
  <si>
    <t>TXN-03368</t>
  </si>
  <si>
    <t>TXN-04837</t>
  </si>
  <si>
    <t>TXN-03334</t>
  </si>
  <si>
    <t>TXN-02324</t>
  </si>
  <si>
    <t>TXN-00780</t>
  </si>
  <si>
    <t>TXN-01468</t>
  </si>
  <si>
    <t>TXN-00643</t>
  </si>
  <si>
    <t>TXN-03629</t>
  </si>
  <si>
    <t>TXN-00160</t>
  </si>
  <si>
    <t>TXN-01993</t>
  </si>
  <si>
    <t>TXN-01505</t>
  </si>
  <si>
    <t>TXN-03105</t>
  </si>
  <si>
    <t>TXN-01808</t>
  </si>
  <si>
    <t>TXN-03697</t>
  </si>
  <si>
    <t>TXN-03100</t>
  </si>
  <si>
    <t>TXN-02057</t>
  </si>
  <si>
    <t>TXN-04377</t>
  </si>
  <si>
    <t>TXN-00769</t>
  </si>
  <si>
    <t>TXN-00761</t>
  </si>
  <si>
    <t>TXN-04180</t>
  </si>
  <si>
    <t>TXN-04456</t>
  </si>
  <si>
    <t>TXN-03954</t>
  </si>
  <si>
    <t>TXN-01939</t>
  </si>
  <si>
    <t>TXN-02453</t>
  </si>
  <si>
    <t>TXN-03922</t>
  </si>
  <si>
    <t>TXN-04714</t>
  </si>
  <si>
    <t>TXN-04144</t>
  </si>
  <si>
    <t>TXN-04860</t>
  </si>
  <si>
    <t>TXN-03641</t>
  </si>
  <si>
    <t>TXN-04488</t>
  </si>
  <si>
    <t>TXN-00056</t>
  </si>
  <si>
    <t>TXN-03919</t>
  </si>
  <si>
    <t>TXN-00159</t>
  </si>
  <si>
    <t>TXN-04107</t>
  </si>
  <si>
    <t>TXN-01944</t>
  </si>
  <si>
    <t>TXN-04203</t>
  </si>
  <si>
    <t>TXN-00526</t>
  </si>
  <si>
    <t>TXN-00375</t>
  </si>
  <si>
    <t>TXN-02697</t>
  </si>
  <si>
    <t>TXN-00584</t>
  </si>
  <si>
    <t>TXN-04730</t>
  </si>
  <si>
    <t>TXN-03859</t>
  </si>
  <si>
    <t>TXN-03466</t>
  </si>
  <si>
    <t>TXN-04588</t>
  </si>
  <si>
    <t>TXN-03122</t>
  </si>
  <si>
    <t>TXN-01458</t>
  </si>
  <si>
    <t>TXN-00096</t>
  </si>
  <si>
    <t>TXN-01700</t>
  </si>
  <si>
    <t>TXN-01994</t>
  </si>
  <si>
    <t>TXN-01448</t>
  </si>
  <si>
    <t>TXN-03218</t>
  </si>
  <si>
    <t>TXN-03090</t>
  </si>
  <si>
    <t>TXN-04035</t>
  </si>
  <si>
    <t>TXN-01551</t>
  </si>
  <si>
    <t>TXN-02518</t>
  </si>
  <si>
    <t>TXN-02072</t>
  </si>
  <si>
    <t>TXN-04817</t>
  </si>
  <si>
    <t>TOTAl REVENUE</t>
  </si>
  <si>
    <t>TOTAL EXPENESES</t>
  </si>
  <si>
    <t>TOTAL COGS</t>
  </si>
  <si>
    <t xml:space="preserve">TOTAL BUDGET REVENUE </t>
  </si>
  <si>
    <t>TOTAL BUDGET EXP</t>
  </si>
  <si>
    <t xml:space="preserve">REVENUE VARIANCE </t>
  </si>
  <si>
    <t>EXP VARIANCE</t>
  </si>
  <si>
    <t>REVENUE ACHIVEMENT</t>
  </si>
  <si>
    <t>OPERATION</t>
  </si>
  <si>
    <t>OTHER EXP</t>
  </si>
  <si>
    <t>SALARIES</t>
  </si>
  <si>
    <t>MARKETING</t>
  </si>
  <si>
    <t>RENT</t>
  </si>
  <si>
    <t>UTILITIES</t>
  </si>
  <si>
    <t>EXPENSE CATEGORY</t>
  </si>
  <si>
    <t>TOTAL EXP</t>
  </si>
  <si>
    <t>REVENUE TYPE</t>
  </si>
  <si>
    <t>AMOUNT</t>
  </si>
  <si>
    <t>PROFIT TYPE</t>
  </si>
  <si>
    <t xml:space="preserve"> GROSS PROFIT</t>
  </si>
  <si>
    <t>OPERATING PRODUCT</t>
  </si>
  <si>
    <t>NET PROFIT</t>
  </si>
  <si>
    <t>Margin Type</t>
  </si>
  <si>
    <t>Percentage</t>
  </si>
  <si>
    <t xml:space="preserve">PROFIT MARGIN </t>
  </si>
  <si>
    <t xml:space="preserve">GROSS MARGIN </t>
  </si>
  <si>
    <t>OPERATING MARGIN</t>
  </si>
  <si>
    <t>Category</t>
  </si>
  <si>
    <t>Amount</t>
  </si>
  <si>
    <t>Actual Expenses</t>
  </si>
  <si>
    <t>Budget Expenses</t>
  </si>
  <si>
    <t>Forecast(Revenue)</t>
  </si>
  <si>
    <t>Lower Confidence Bound(Revenue)</t>
  </si>
  <si>
    <t>Upper Confidence Bound(Revenue)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</si>
</sst>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1" applyFont="1"/>
    <xf numFmtId="166" fontId="0" fillId="0" borderId="0" xfId="0" applyNumberForma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166" formatCode="[$-409]d\-mmm\-yyyy;@"/>
    </dxf>
    <dxf>
      <numFmt numFmtId="166" formatCode="[$-409]d\-mmm\-yyyy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</a:t>
            </a:r>
            <a:r>
              <a:rPr lang="en-US" baseline="0"/>
              <a:t> Revenue vs Budget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5582769139313"/>
          <c:y val="0.21872727272727274"/>
          <c:w val="0.84179188257140991"/>
          <c:h val="0.63461655929372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TABLES!$B$22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TABLES!$A$23:$A$24</c:f>
              <c:strCache>
                <c:ptCount val="2"/>
                <c:pt idx="0">
                  <c:v>TOTAl REVENUE</c:v>
                </c:pt>
                <c:pt idx="1">
                  <c:v>TOTAL BUDGET REVENUE </c:v>
                </c:pt>
              </c:strCache>
            </c:strRef>
          </c:cat>
          <c:val>
            <c:numRef>
              <c:f>TABLES!$B$23:$B$24</c:f>
              <c:numCache>
                <c:formatCode>General</c:formatCode>
                <c:ptCount val="2"/>
                <c:pt idx="0">
                  <c:v>309321498.30999929</c:v>
                </c:pt>
                <c:pt idx="1">
                  <c:v>260970927.5500007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A-4A14-9ACE-A6F72EA9AC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7105984"/>
        <c:axId val="1587118464"/>
      </c:barChart>
      <c:catAx>
        <c:axId val="15871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118464"/>
        <c:crosses val="autoZero"/>
        <c:auto val="1"/>
        <c:lblAlgn val="ctr"/>
        <c:lblOffset val="100"/>
        <c:noMultiLvlLbl val="0"/>
      </c:catAx>
      <c:valAx>
        <c:axId val="158711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10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TABLES!$B$13</c:f>
              <c:strCache>
                <c:ptCount val="1"/>
                <c:pt idx="0">
                  <c:v>TOTAL EXP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TABLES!$A$14:$A$20</c:f>
              <c:strCache>
                <c:ptCount val="7"/>
                <c:pt idx="0">
                  <c:v>SALARIES</c:v>
                </c:pt>
                <c:pt idx="1">
                  <c:v>MARKETING</c:v>
                </c:pt>
                <c:pt idx="2">
                  <c:v>RENT</c:v>
                </c:pt>
                <c:pt idx="3">
                  <c:v>UTILITIES</c:v>
                </c:pt>
                <c:pt idx="4">
                  <c:v>OPERATION</c:v>
                </c:pt>
                <c:pt idx="5">
                  <c:v>OTHER EXP</c:v>
                </c:pt>
                <c:pt idx="6">
                  <c:v>TOTAL COGS</c:v>
                </c:pt>
              </c:strCache>
            </c:strRef>
          </c:cat>
          <c:val>
            <c:numRef>
              <c:f>TABLES!$B$14:$B$20</c:f>
              <c:numCache>
                <c:formatCode>General</c:formatCode>
                <c:ptCount val="7"/>
                <c:pt idx="0">
                  <c:v>30923376.649999972</c:v>
                </c:pt>
                <c:pt idx="1">
                  <c:v>15429595.939999981</c:v>
                </c:pt>
                <c:pt idx="2">
                  <c:v>9244369.7799999919</c:v>
                </c:pt>
                <c:pt idx="3">
                  <c:v>3549790.1000000066</c:v>
                </c:pt>
                <c:pt idx="4">
                  <c:v>13936101.450000059</c:v>
                </c:pt>
                <c:pt idx="5">
                  <c:v>13936101.450000059</c:v>
                </c:pt>
                <c:pt idx="6">
                  <c:v>178829757.6599994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F-4641-BF3B-88DC814A42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5082000"/>
        <c:axId val="1895083248"/>
      </c:barChart>
      <c:catAx>
        <c:axId val="189508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83248"/>
        <c:crosses val="autoZero"/>
        <c:auto val="1"/>
        <c:lblAlgn val="ctr"/>
        <c:lblOffset val="100"/>
        <c:noMultiLvlLbl val="0"/>
      </c:catAx>
      <c:valAx>
        <c:axId val="189508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8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TABLES!$H$13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TABLES!$G$14:$G$16</c:f>
              <c:strCache>
                <c:ptCount val="3"/>
                <c:pt idx="0">
                  <c:v>PROFIT MARGIN </c:v>
                </c:pt>
                <c:pt idx="1">
                  <c:v>GROSS MARGIN </c:v>
                </c:pt>
                <c:pt idx="2">
                  <c:v>OPERATING MARGIN</c:v>
                </c:pt>
              </c:strCache>
            </c:strRef>
          </c:cat>
          <c:val>
            <c:numRef>
              <c:f>TABLES!$H$14:$H$16</c:f>
              <c:numCache>
                <c:formatCode>0%</c:formatCode>
                <c:ptCount val="3"/>
                <c:pt idx="0" formatCode="0.00%">
                  <c:v>0.16063351739685316</c:v>
                </c:pt>
                <c:pt idx="1">
                  <c:v>0.42186443985610872</c:v>
                </c:pt>
                <c:pt idx="2">
                  <c:v>0.22962073258798529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F-4219-91F9-B2D2F82EF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9751008"/>
        <c:axId val="1959740608"/>
      </c:barChart>
      <c:catAx>
        <c:axId val="195975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40608"/>
        <c:crosses val="autoZero"/>
        <c:auto val="1"/>
        <c:lblAlgn val="ctr"/>
        <c:lblOffset val="100"/>
        <c:noMultiLvlLbl val="0"/>
      </c:catAx>
      <c:valAx>
        <c:axId val="195974060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5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TABLES!$E$13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TABLES!$D$14:$D$16</c:f>
              <c:strCache>
                <c:ptCount val="3"/>
                <c:pt idx="0">
                  <c:v> GROSS PROFIT</c:v>
                </c:pt>
                <c:pt idx="1">
                  <c:v>OPERATING PRODUCT</c:v>
                </c:pt>
                <c:pt idx="2">
                  <c:v>NET PROFIT</c:v>
                </c:pt>
              </c:strCache>
            </c:strRef>
          </c:cat>
          <c:val>
            <c:numRef>
              <c:f>TABLES!$E$14:$E$16</c:f>
              <c:numCache>
                <c:formatCode>General</c:formatCode>
                <c:ptCount val="3"/>
                <c:pt idx="0">
                  <c:v>130491740.62000012</c:v>
                </c:pt>
                <c:pt idx="1">
                  <c:v>52289941.49999994</c:v>
                </c:pt>
                <c:pt idx="2">
                  <c:v>49687400.279999956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F-47B7-916D-ACD8B2D1AD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95098224"/>
        <c:axId val="1895096560"/>
      </c:barChart>
      <c:catAx>
        <c:axId val="189509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96560"/>
        <c:crosses val="autoZero"/>
        <c:auto val="1"/>
        <c:lblAlgn val="ctr"/>
        <c:lblOffset val="100"/>
        <c:noMultiLvlLbl val="0"/>
      </c:catAx>
      <c:valAx>
        <c:axId val="1895096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9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TABLES!$H$22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TABLES!$G$23:$G$34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TABLES!$H$23:$H$34</c:f>
              <c:numCache>
                <c:formatCode>General</c:formatCode>
                <c:ptCount val="12"/>
                <c:pt idx="0">
                  <c:v>28918543.189999994</c:v>
                </c:pt>
                <c:pt idx="1">
                  <c:v>26208769.210000005</c:v>
                </c:pt>
                <c:pt idx="2">
                  <c:v>26231266.469999976</c:v>
                </c:pt>
                <c:pt idx="3">
                  <c:v>27385296.059999973</c:v>
                </c:pt>
                <c:pt idx="4">
                  <c:v>28644481.699999977</c:v>
                </c:pt>
                <c:pt idx="5">
                  <c:v>27310037.699999981</c:v>
                </c:pt>
                <c:pt idx="6">
                  <c:v>30236777.709999997</c:v>
                </c:pt>
                <c:pt idx="7">
                  <c:v>27966458.650000025</c:v>
                </c:pt>
                <c:pt idx="8">
                  <c:v>25790198.920000002</c:v>
                </c:pt>
                <c:pt idx="9">
                  <c:v>20271632.520000014</c:v>
                </c:pt>
                <c:pt idx="10">
                  <c:v>19016548.960000008</c:v>
                </c:pt>
                <c:pt idx="11">
                  <c:v>21341487.220000003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A-4070-985B-7EDA86A9A8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5062032"/>
        <c:axId val="1895056208"/>
      </c:barChart>
      <c:catAx>
        <c:axId val="18950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56208"/>
        <c:crosses val="autoZero"/>
        <c:auto val="1"/>
        <c:lblAlgn val="ctr"/>
        <c:lblOffset val="100"/>
        <c:noMultiLvlLbl val="0"/>
      </c:catAx>
      <c:valAx>
        <c:axId val="189505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6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</a:t>
            </a:r>
            <a:r>
              <a:rPr lang="en-US" baseline="0"/>
              <a:t> Expenses vs Budget 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02546108904719"/>
          <c:y val="0.16708333333333336"/>
          <c:w val="0.8141968503937008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TABLES!$E$22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TABLES!$D$23:$D$24</c:f>
              <c:strCache>
                <c:ptCount val="2"/>
                <c:pt idx="0">
                  <c:v>Actual Expenses</c:v>
                </c:pt>
                <c:pt idx="1">
                  <c:v>Budget Expenses</c:v>
                </c:pt>
              </c:strCache>
            </c:strRef>
          </c:cat>
          <c:val>
            <c:numRef>
              <c:f>TABLES!$E$23:$E$24</c:f>
              <c:numCache>
                <c:formatCode>General</c:formatCode>
                <c:ptCount val="2"/>
                <c:pt idx="0">
                  <c:v>257031556.52999982</c:v>
                </c:pt>
                <c:pt idx="1">
                  <c:v>260970927.5500007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8-415B-92D0-CEEE485AA4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9746432"/>
        <c:axId val="1959711072"/>
      </c:barChart>
      <c:catAx>
        <c:axId val="19597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11072"/>
        <c:crosses val="autoZero"/>
        <c:auto val="1"/>
        <c:lblAlgn val="ctr"/>
        <c:lblOffset val="100"/>
        <c:noMultiLvlLbl val="0"/>
      </c:catAx>
      <c:valAx>
        <c:axId val="195971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4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174962170368478E-2"/>
          <c:y val="5.2824863456992166E-2"/>
          <c:w val="0.91235770915686898"/>
          <c:h val="0.59063377735964917"/>
        </c:manualLayout>
      </c:layout>
      <c:lineChart>
        <c:grouping val="standard"/>
        <c:varyColors val="0"/>
        <c:ser>
          <c:idx val="0"/>
          <c:order val="0"/>
          <c:tx>
            <c:strRef>
              <c:f>FORECASTING!$B$1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FORECASTING!$B$2:$B$16</c:f>
              <c:numCache>
                <c:formatCode>General</c:formatCode>
                <c:ptCount val="15"/>
                <c:pt idx="0">
                  <c:v>28918543.189999994</c:v>
                </c:pt>
                <c:pt idx="1">
                  <c:v>26208769.210000005</c:v>
                </c:pt>
                <c:pt idx="2">
                  <c:v>26231266.469999976</c:v>
                </c:pt>
                <c:pt idx="3">
                  <c:v>27385296.059999973</c:v>
                </c:pt>
                <c:pt idx="4">
                  <c:v>28644481.699999977</c:v>
                </c:pt>
                <c:pt idx="5">
                  <c:v>27310037.699999981</c:v>
                </c:pt>
                <c:pt idx="6">
                  <c:v>30236777.709999997</c:v>
                </c:pt>
                <c:pt idx="7">
                  <c:v>27966458.650000025</c:v>
                </c:pt>
                <c:pt idx="8">
                  <c:v>25790198.920000002</c:v>
                </c:pt>
                <c:pt idx="9">
                  <c:v>20271632.520000014</c:v>
                </c:pt>
                <c:pt idx="10">
                  <c:v>19016548.960000008</c:v>
                </c:pt>
                <c:pt idx="11">
                  <c:v>21341487.220000003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B-4E84-A1A4-94AE85E8FA3A}"/>
            </c:ext>
          </c:extLst>
        </c:ser>
        <c:ser>
          <c:idx val="1"/>
          <c:order val="1"/>
          <c:tx>
            <c:strRef>
              <c:f>FORECASTING!$C$1</c:f>
              <c:strCache>
                <c:ptCount val="1"/>
                <c:pt idx="0">
                  <c:v>Forecast(Revenue)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FORECASTING!$A$2:$A$16</c:f>
              <c:numCache>
                <c:formatCode>[$-409]d\-mmm\-yyyy;@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FORECASTING!$C$2:$C$16</c:f>
              <c:numCache>
                <c:formatCode>General</c:formatCode>
                <c:ptCount val="15"/>
                <c:pt idx="11">
                  <c:v>21341487.220000003</c:v>
                </c:pt>
                <c:pt idx="12">
                  <c:v>20723164.530858614</c:v>
                </c:pt>
                <c:pt idx="13">
                  <c:v>20042345.691485994</c:v>
                </c:pt>
                <c:pt idx="14">
                  <c:v>19361526.852113374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B-4E84-A1A4-94AE85E8FA3A}"/>
            </c:ext>
          </c:extLst>
        </c:ser>
        <c:ser>
          <c:idx val="2"/>
          <c:order val="2"/>
          <c:tx>
            <c:strRef>
              <c:f>FORECASTING!$D$1</c:f>
              <c:strCache>
                <c:ptCount val="1"/>
                <c:pt idx="0">
                  <c:v>Lower Confidence Bound(Revenue)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FORECASTING!$A$2:$A$16</c:f>
              <c:numCache>
                <c:formatCode>[$-409]d\-mmm\-yyyy;@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FORECASTING!$D$2:$D$16</c:f>
              <c:numCache>
                <c:formatCode>General</c:formatCode>
                <c:ptCount val="15"/>
                <c:pt idx="11" formatCode="0.00">
                  <c:v>21341487.220000003</c:v>
                </c:pt>
                <c:pt idx="12" formatCode="0.00">
                  <c:v>15615867.333446069</c:v>
                </c:pt>
                <c:pt idx="13" formatCode="0.00">
                  <c:v>14935025.511287771</c:v>
                </c:pt>
                <c:pt idx="14" formatCode="0.00">
                  <c:v>14254165.813884865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CB-4E84-A1A4-94AE85E8FA3A}"/>
            </c:ext>
          </c:extLst>
        </c:ser>
        <c:ser>
          <c:idx val="3"/>
          <c:order val="3"/>
          <c:tx>
            <c:strRef>
              <c:f>FORECASTING!$E$1</c:f>
              <c:strCache>
                <c:ptCount val="1"/>
                <c:pt idx="0">
                  <c:v>Upper Confidence Bound(Revenue)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FORECASTING!$A$2:$A$16</c:f>
              <c:numCache>
                <c:formatCode>[$-409]d\-mmm\-yyyy;@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FORECASTING!$E$2:$E$16</c:f>
              <c:numCache>
                <c:formatCode>General</c:formatCode>
                <c:ptCount val="15"/>
                <c:pt idx="11" formatCode="0.00">
                  <c:v>21341487.220000003</c:v>
                </c:pt>
                <c:pt idx="12" formatCode="0.00">
                  <c:v>25830461.728271157</c:v>
                </c:pt>
                <c:pt idx="13" formatCode="0.00">
                  <c:v>25149665.871684216</c:v>
                </c:pt>
                <c:pt idx="14" formatCode="0.00">
                  <c:v>24468887.890341882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CB-4E84-A1A4-94AE85E8F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727296"/>
        <c:axId val="1959714816"/>
      </c:lineChart>
      <c:catAx>
        <c:axId val="195972729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14816"/>
        <c:crosses val="autoZero"/>
        <c:auto val="1"/>
        <c:lblAlgn val="ctr"/>
        <c:lblOffset val="100"/>
        <c:noMultiLvlLbl val="0"/>
      </c:catAx>
      <c:valAx>
        <c:axId val="195971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2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318806</xdr:colOff>
      <xdr:row>3</xdr:row>
      <xdr:rowOff>121022</xdr:rowOff>
    </xdr:from>
    <xdr:to>
      <xdr:col>4</xdr:col>
      <xdr:colOff>166406</xdr:colOff>
      <xdr:row>7</xdr:row>
      <xdr:rowOff>130547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585B0C6-DF3E-4871-BEA2-1E2DC45FC96B}"/>
            </a:ext>
          </a:extLst>
        </xdr:cNvPr>
        <xdr:cNvSpPr/>
      </xdr:nvSpPr>
      <xdr:spPr>
        <a:xfrm>
          <a:off x="923924" y="692522"/>
          <a:ext cx="1662953" cy="771525"/>
        </a:xfrm>
        <a:prstGeom prst="roundRect">
          <a:avLst/>
        </a:prstGeom>
        <a:solidFill>
          <a:schemeClr val="tx1"/>
        </a:solidFill>
        <a:ln w="317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Total</a:t>
          </a:r>
          <a:endParaRPr lang="en-US" sz="1200" baseline="0"/>
        </a:p>
        <a:p>
          <a:pPr algn="ctr"/>
          <a:r>
            <a:rPr lang="en-US" sz="1200" baseline="0"/>
            <a:t>Revenue</a:t>
          </a:r>
        </a:p>
        <a:p>
          <a:pPr algn="ctr"/>
          <a:r>
            <a:rPr lang="en-US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309321498.3</a:t>
          </a:r>
          <a:r>
            <a:rPr lang="en-US"/>
            <a:t> </a:t>
          </a:r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164726</xdr:colOff>
      <xdr:row>3</xdr:row>
      <xdr:rowOff>119343</xdr:rowOff>
    </xdr:from>
    <xdr:to>
      <xdr:col>8</xdr:col>
      <xdr:colOff>123265</xdr:colOff>
      <xdr:row>7</xdr:row>
      <xdr:rowOff>112059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68293A0-BFC6-4DEC-B166-77E990443A75}"/>
            </a:ext>
          </a:extLst>
        </xdr:cNvPr>
        <xdr:cNvSpPr/>
      </xdr:nvSpPr>
      <xdr:spPr>
        <a:xfrm>
          <a:off x="3190314" y="690843"/>
          <a:ext cx="1773892" cy="754716"/>
        </a:xfrm>
        <a:prstGeom prst="roundRect">
          <a:avLst/>
        </a:prstGeom>
        <a:solidFill>
          <a:schemeClr val="tx1"/>
        </a:solidFill>
        <a:ln w="317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Expenses</a:t>
          </a:r>
        </a:p>
        <a:p>
          <a:pPr algn="ctr"/>
          <a:endParaRPr lang="en-US" sz="1200"/>
        </a:p>
        <a:p>
          <a:pPr algn="ctr"/>
          <a:r>
            <a:rPr lang="en-US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257031556.5</a:t>
          </a:r>
          <a:r>
            <a:rPr lang="en-US" sz="1200"/>
            <a:t> </a:t>
          </a:r>
        </a:p>
      </xdr:txBody>
    </xdr:sp>
    <xdr:clientData/>
  </xdr:twoCellAnchor>
  <xdr:twoCellAnchor>
    <xdr:from>
      <xdr:col>9</xdr:col>
      <xdr:colOff>143995</xdr:colOff>
      <xdr:row>3</xdr:row>
      <xdr:rowOff>115982</xdr:rowOff>
    </xdr:from>
    <xdr:to>
      <xdr:col>12</xdr:col>
      <xdr:colOff>44824</xdr:colOff>
      <xdr:row>7</xdr:row>
      <xdr:rowOff>96931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87EEC16-0C92-46BD-8B20-F9477FB8F78D}"/>
            </a:ext>
          </a:extLst>
        </xdr:cNvPr>
        <xdr:cNvSpPr/>
      </xdr:nvSpPr>
      <xdr:spPr>
        <a:xfrm>
          <a:off x="5590054" y="687482"/>
          <a:ext cx="1716182" cy="742949"/>
        </a:xfrm>
        <a:prstGeom prst="roundRect">
          <a:avLst>
            <a:gd name="adj" fmla="val 7408"/>
          </a:avLst>
        </a:prstGeom>
        <a:solidFill>
          <a:schemeClr val="tx1"/>
        </a:solidFill>
        <a:ln w="317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Gross Profit </a:t>
          </a:r>
        </a:p>
        <a:p>
          <a:pPr algn="ctr"/>
          <a:endParaRPr lang="en-US" sz="1200"/>
        </a:p>
        <a:p>
          <a:pPr algn="ctr"/>
          <a:r>
            <a:rPr lang="en-US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130491740.6</a:t>
          </a:r>
          <a:r>
            <a:rPr lang="en-US" sz="1200"/>
            <a:t> </a:t>
          </a:r>
        </a:p>
      </xdr:txBody>
    </xdr:sp>
    <xdr:clientData/>
  </xdr:twoCellAnchor>
  <xdr:twoCellAnchor>
    <xdr:from>
      <xdr:col>13</xdr:col>
      <xdr:colOff>80683</xdr:colOff>
      <xdr:row>3</xdr:row>
      <xdr:rowOff>104775</xdr:rowOff>
    </xdr:from>
    <xdr:to>
      <xdr:col>16</xdr:col>
      <xdr:colOff>33618</xdr:colOff>
      <xdr:row>7</xdr:row>
      <xdr:rowOff>95251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76B9EE8-D8CB-40BD-B12E-0A93BCF4C024}"/>
            </a:ext>
          </a:extLst>
        </xdr:cNvPr>
        <xdr:cNvSpPr/>
      </xdr:nvSpPr>
      <xdr:spPr>
        <a:xfrm>
          <a:off x="7947212" y="676275"/>
          <a:ext cx="1768288" cy="752476"/>
        </a:xfrm>
        <a:prstGeom prst="roundRect">
          <a:avLst/>
        </a:prstGeom>
        <a:solidFill>
          <a:schemeClr val="tx1"/>
        </a:solidFill>
        <a:ln w="317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Operating</a:t>
          </a:r>
          <a:r>
            <a:rPr lang="en-US" sz="1200" baseline="0"/>
            <a:t> Profit</a:t>
          </a:r>
        </a:p>
        <a:p>
          <a:pPr algn="ctr"/>
          <a:endParaRPr lang="en-US" sz="1200" baseline="0"/>
        </a:p>
        <a:p>
          <a:pPr algn="ctr"/>
          <a:r>
            <a:rPr lang="en-US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52289941.5</a:t>
          </a:r>
          <a:r>
            <a:rPr lang="en-US" sz="1200"/>
            <a:t>  </a:t>
          </a:r>
        </a:p>
      </xdr:txBody>
    </xdr:sp>
    <xdr:clientData/>
  </xdr:twoCellAnchor>
  <xdr:twoCellAnchor>
    <xdr:from>
      <xdr:col>17</xdr:col>
      <xdr:colOff>126065</xdr:colOff>
      <xdr:row>3</xdr:row>
      <xdr:rowOff>104775</xdr:rowOff>
    </xdr:from>
    <xdr:to>
      <xdr:col>19</xdr:col>
      <xdr:colOff>605117</xdr:colOff>
      <xdr:row>7</xdr:row>
      <xdr:rowOff>95251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1772FB6-0E79-4B5E-9A28-31E3191249D6}"/>
            </a:ext>
          </a:extLst>
        </xdr:cNvPr>
        <xdr:cNvSpPr/>
      </xdr:nvSpPr>
      <xdr:spPr>
        <a:xfrm>
          <a:off x="10413065" y="676275"/>
          <a:ext cx="1689287" cy="752476"/>
        </a:xfrm>
        <a:prstGeom prst="roundRect">
          <a:avLst/>
        </a:prstGeom>
        <a:solidFill>
          <a:schemeClr val="tx1"/>
        </a:solidFill>
        <a:ln w="317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NET</a:t>
          </a:r>
          <a:r>
            <a:rPr lang="en-US" sz="1200" baseline="0"/>
            <a:t> Profit</a:t>
          </a:r>
        </a:p>
        <a:p>
          <a:pPr algn="ctr"/>
          <a:endParaRPr lang="en-US" sz="1200"/>
        </a:p>
        <a:p>
          <a:pPr algn="ctr"/>
          <a:r>
            <a:rPr lang="en-US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49687400.28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20</xdr:col>
      <xdr:colOff>419100</xdr:colOff>
      <xdr:row>3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41137CE-D7CB-4105-AD9B-DAC1087B3D57}"/>
            </a:ext>
          </a:extLst>
        </xdr:cNvPr>
        <xdr:cNvSpPr/>
      </xdr:nvSpPr>
      <xdr:spPr>
        <a:xfrm>
          <a:off x="0" y="0"/>
          <a:ext cx="12611100" cy="609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/>
            <a:t>FINANCIAL</a:t>
          </a:r>
          <a:r>
            <a:rPr lang="en-US" sz="3200" baseline="0"/>
            <a:t>   DASHBOARD</a:t>
          </a:r>
          <a:endParaRPr lang="en-US" sz="3200"/>
        </a:p>
      </xdr:txBody>
    </xdr:sp>
    <xdr:clientData/>
  </xdr:twoCellAnchor>
  <xdr:twoCellAnchor>
    <xdr:from>
      <xdr:col>10</xdr:col>
      <xdr:colOff>476250</xdr:colOff>
      <xdr:row>8</xdr:row>
      <xdr:rowOff>46344</xdr:rowOff>
    </xdr:from>
    <xdr:to>
      <xdr:col>19</xdr:col>
      <xdr:colOff>334816</xdr:colOff>
      <xdr:row>20</xdr:row>
      <xdr:rowOff>27213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527D11-7224-44EF-A39E-849C949CF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272301</xdr:colOff>
      <xdr:row>8</xdr:row>
      <xdr:rowOff>67235</xdr:rowOff>
    </xdr:from>
    <xdr:to>
      <xdr:col>9</xdr:col>
      <xdr:colOff>421820</xdr:colOff>
      <xdr:row>20</xdr:row>
      <xdr:rowOff>13607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A3A630E-93FC-4E50-9EC1-FFB71CA33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266701</xdr:colOff>
      <xdr:row>20</xdr:row>
      <xdr:rowOff>137432</xdr:rowOff>
    </xdr:from>
    <xdr:to>
      <xdr:col>9</xdr:col>
      <xdr:colOff>449036</xdr:colOff>
      <xdr:row>31</xdr:row>
      <xdr:rowOff>175532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2F3488-C780-4C44-9BB9-6978C9ABB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465364</xdr:colOff>
      <xdr:row>20</xdr:row>
      <xdr:rowOff>155121</xdr:rowOff>
    </xdr:from>
    <xdr:to>
      <xdr:col>19</xdr:col>
      <xdr:colOff>367393</xdr:colOff>
      <xdr:row>32</xdr:row>
      <xdr:rowOff>12246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F2B4E3A-71AE-4140-B806-984A52C4C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270784</xdr:colOff>
      <xdr:row>33</xdr:row>
      <xdr:rowOff>53068</xdr:rowOff>
    </xdr:from>
    <xdr:to>
      <xdr:col>9</xdr:col>
      <xdr:colOff>435428</xdr:colOff>
      <xdr:row>44</xdr:row>
      <xdr:rowOff>91168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33A6BB4-618E-4461-8E4B-B73391F23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462642</xdr:colOff>
      <xdr:row>33</xdr:row>
      <xdr:rowOff>16329</xdr:rowOff>
    </xdr:from>
    <xdr:to>
      <xdr:col>19</xdr:col>
      <xdr:colOff>393246</xdr:colOff>
      <xdr:row>44</xdr:row>
      <xdr:rowOff>44904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06D7273-4D29-4144-BC01-B54F74B45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243326</xdr:colOff>
      <xdr:row>45</xdr:row>
      <xdr:rowOff>111258</xdr:rowOff>
    </xdr:from>
    <xdr:to>
      <xdr:col>19</xdr:col>
      <xdr:colOff>476249</xdr:colOff>
      <xdr:row>59</xdr:row>
      <xdr:rowOff>88846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9CDE41C-CD47-41E6-ACBB-EBB6006E6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Y5001" totalsRowShown="0">
  <autoFilter ref="A1:Y5001"/>
  <tableColumns count="25">
    <tableColumn id="1" name="Transaction_ID"/>
    <tableColumn id="2" name="Date" dataDxfId="6"/>
    <tableColumn id="3" name="Year"/>
    <tableColumn id="4" name="Month"/>
    <tableColumn id="5" name="Month_Name"/>
    <tableColumn id="6" name="Quarter"/>
    <tableColumn id="7" name="Region"/>
    <tableColumn id="8" name="Department"/>
    <tableColumn id="9" name="Product"/>
    <tableColumn id="10" name="Units_Sold"/>
    <tableColumn id="11" name="Average_Price"/>
    <tableColumn id="12" name="Revenue"/>
    <tableColumn id="13" name="COGS"/>
    <tableColumn id="14" name="Salaries"/>
    <tableColumn id="15" name="Marketing_Expense"/>
    <tableColumn id="16" name="Rent"/>
    <tableColumn id="17" name="Utilities"/>
    <tableColumn id="18" name="Operations_Expense"/>
    <tableColumn id="19" name="Other_Expenses"/>
    <tableColumn id="20" name="Total_Expenses"/>
    <tableColumn id="21" name="Gross_Profit"/>
    <tableColumn id="22" name="Operating_Profit"/>
    <tableColumn id="23" name="Net_Profit"/>
    <tableColumn id="24" name="Budget_Revenue"/>
    <tableColumn id="25" name="Budget_Expen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2" name="Table12" displayName="Table12" ref="A1:E16" totalsRowShown="0">
  <autoFilter ref="A1:E16"/>
  <tableColumns count="5">
    <tableColumn id="1" name="Month" dataDxfId="4"/>
    <tableColumn id="2" name="Revenue"/>
    <tableColumn id="3" name="Forecast(Revenue)"/>
    <tableColumn id="4" name="Lower Confidence Bound(Revenue)" dataDxfId="3"/>
    <tableColumn id="5" name="Upper Confidence Bound(Revenue)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3:B20" totalsRowShown="0">
  <autoFilter ref="A13:B20"/>
  <tableColumns count="2">
    <tableColumn id="1" name="EXPENSE CATEGORY"/>
    <tableColumn id="2" name="TOTAL EX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2:B24" totalsRowShown="0">
  <autoFilter ref="A22:B24"/>
  <tableColumns count="2">
    <tableColumn id="1" name="REVENUE TYPE"/>
    <tableColumn id="2" name="AMOUNT">
      <calculatedColumnFormula>SUM(DATA!Y1:Y5000)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D13:E16" totalsRowShown="0">
  <autoFilter ref="D13:E16"/>
  <tableColumns count="2">
    <tableColumn id="1" name="PROFIT TYPE"/>
    <tableColumn id="2" name="AM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G13:H16" totalsRowShown="0">
  <autoFilter ref="G13:H16"/>
  <tableColumns count="2">
    <tableColumn id="1" name="Margin Type"/>
    <tableColumn id="2" name="Percen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K13:L25" totalsRowShown="0">
  <autoFilter ref="K13:L25"/>
  <tableColumns count="2">
    <tableColumn id="1" name="Month"/>
    <tableColumn id="2" name="Revenue">
      <calculatedColumnFormula>SUMIFS(Table1[Revenue],Table1[Date],"&gt;="&amp;DATE(2026,9,1),Table1[Date],"&lt;"&amp;DATE(2026,10,1))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D22:E24" totalsRowShown="0">
  <autoFilter ref="D22:E24"/>
  <tableColumns count="2">
    <tableColumn id="1" name="Category"/>
    <tableColumn id="2" name="Amount">
      <calculatedColumnFormula>SUM(Table1[Budget_Expenses])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G22:H34" totalsRowShown="0">
  <autoFilter ref="G22:H34"/>
  <tableColumns count="2">
    <tableColumn id="1" name="Month"/>
    <tableColumn id="2" name="Revenue">
      <calculatedColumnFormula>SUMIF(Table1[Month_Name],TABLES!G23,Table1[Revenue])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able11" displayName="Table11" ref="O13:P25" totalsRowShown="0">
  <autoFilter ref="O13:P25"/>
  <tableColumns count="2">
    <tableColumn id="1" name="Month" dataDxfId="5"/>
    <tableColumn id="2" name="Reven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able13" displayName="Table13" ref="A7:A8" totalsRowShown="0">
  <autoFilter ref="A7:A8"/>
  <tableColumns count="1">
    <tableColumn id="1" name="TOTAL BUDGET EXP">
      <calculatedColumnFormula>SUM(DATA!X2:X5001)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4" name="Table14" displayName="Table14" ref="C7:C8" totalsRowShown="0">
  <autoFilter ref="C7:C8"/>
  <tableColumns count="1">
    <tableColumn id="1" name="REVENUE VARIANCE ">
      <calculatedColumnFormula>B23-A8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6" name="Table16" displayName="Table16" ref="E7:E8" totalsRowShown="0">
  <autoFilter ref="E7:E8"/>
  <tableColumns count="1">
    <tableColumn id="1" name="EXP VARIANCE">
      <calculatedColumnFormula>SUM(DATA!T2:T5001)-SUM(DATA!X2:X5001)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7" name="Table17" displayName="Table17" ref="G7:G8" totalsRowShown="0" dataDxfId="0" dataCellStyle="Percent">
  <autoFilter ref="G7:G8"/>
  <tableColumns count="1">
    <tableColumn id="1" name="REVENUE ACHIVEMENT" dataDxfId="1" dataCellStyle="Percent">
      <calculatedColumnFormula>SUM(TABLES!B23)/A8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8" name="Table18" displayName="Table18" ref="I7:I8" totalsRowShown="0">
  <autoFilter ref="I7:I8"/>
  <tableColumns count="1">
    <tableColumn id="1" name="TOTAL EXPENESES">
      <calculatedColumnFormula>SUM(DATA!T2:T5001)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Y5001"/>
  <sheetViews>
    <sheetView topLeftCell="A2" zoomScale="80" zoomScaleNormal="80" workbookViewId="0">
      <selection activeCell="J25" sqref="J25"/>
    </sheetView>
    <sheetView workbookViewId="1"/>
  </sheetViews>
  <sheetFormatPr defaultRowHeight="15" x14ac:dyDescent="0.25"/>
  <cols>
    <col min="1" max="14" width="17.7109375" customWidth="1"/>
    <col min="15" max="15" width="20.7109375" customWidth="1"/>
    <col min="16" max="17" width="17.7109375" customWidth="1"/>
    <col min="18" max="18" width="21.42578125" customWidth="1"/>
    <col min="19" max="21" width="17.7109375" customWidth="1"/>
    <col min="22" max="22" width="18" customWidth="1"/>
    <col min="23" max="23" width="17.7109375" customWidth="1"/>
    <col min="24" max="24" width="18.28515625" customWidth="1"/>
    <col min="25" max="25" width="18.7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s="1">
        <v>44927</v>
      </c>
      <c r="C2">
        <v>2023</v>
      </c>
      <c r="D2">
        <v>1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63</v>
      </c>
      <c r="K2">
        <v>1739.46</v>
      </c>
      <c r="L2">
        <v>109586.18</v>
      </c>
      <c r="M2">
        <v>58752.959999999999</v>
      </c>
      <c r="N2">
        <v>10416.33</v>
      </c>
      <c r="O2">
        <v>3382.2</v>
      </c>
      <c r="P2">
        <v>2730.37</v>
      </c>
      <c r="Q2">
        <v>1422.72</v>
      </c>
      <c r="R2">
        <v>6518.24</v>
      </c>
      <c r="S2">
        <v>2389.98</v>
      </c>
      <c r="T2">
        <v>85612.800000000003</v>
      </c>
      <c r="U2">
        <v>50833.22</v>
      </c>
      <c r="V2">
        <v>23973.38</v>
      </c>
      <c r="W2">
        <v>23400.91</v>
      </c>
      <c r="X2">
        <v>119686.56</v>
      </c>
      <c r="Y2">
        <v>87198.64</v>
      </c>
    </row>
    <row r="3" spans="1:25" x14ac:dyDescent="0.25">
      <c r="A3" t="s">
        <v>31</v>
      </c>
      <c r="B3" s="1">
        <v>44927</v>
      </c>
      <c r="C3">
        <v>2023</v>
      </c>
      <c r="D3">
        <v>1</v>
      </c>
      <c r="E3" t="s">
        <v>26</v>
      </c>
      <c r="F3" t="s">
        <v>27</v>
      </c>
      <c r="G3" t="s">
        <v>28</v>
      </c>
      <c r="H3" t="s">
        <v>32</v>
      </c>
      <c r="I3" t="s">
        <v>33</v>
      </c>
      <c r="J3">
        <v>64</v>
      </c>
      <c r="K3">
        <v>1767.28</v>
      </c>
      <c r="L3">
        <v>113105.62</v>
      </c>
      <c r="M3">
        <v>75637.350000000006</v>
      </c>
      <c r="N3">
        <v>12027.73</v>
      </c>
      <c r="O3">
        <v>6100.07</v>
      </c>
      <c r="P3">
        <v>2090.42</v>
      </c>
      <c r="Q3">
        <v>633.45000000000005</v>
      </c>
      <c r="R3">
        <v>6722</v>
      </c>
      <c r="S3">
        <v>1327.12</v>
      </c>
      <c r="T3">
        <v>104538.14</v>
      </c>
      <c r="U3">
        <v>37468.269999999997</v>
      </c>
      <c r="V3">
        <v>8567.4699999999993</v>
      </c>
      <c r="W3">
        <v>8556.7900000000009</v>
      </c>
      <c r="X3">
        <v>114402.28</v>
      </c>
      <c r="Y3">
        <v>103107.52</v>
      </c>
    </row>
    <row r="4" spans="1:25" x14ac:dyDescent="0.25">
      <c r="A4" t="s">
        <v>34</v>
      </c>
      <c r="B4" s="1">
        <v>44927</v>
      </c>
      <c r="C4">
        <v>2023</v>
      </c>
      <c r="D4">
        <v>1</v>
      </c>
      <c r="E4" t="s">
        <v>26</v>
      </c>
      <c r="F4" t="s">
        <v>27</v>
      </c>
      <c r="G4" t="s">
        <v>35</v>
      </c>
      <c r="H4" t="s">
        <v>36</v>
      </c>
      <c r="I4" t="s">
        <v>37</v>
      </c>
      <c r="J4">
        <v>40</v>
      </c>
      <c r="K4">
        <v>1661.61</v>
      </c>
      <c r="L4">
        <v>66464.41</v>
      </c>
      <c r="M4">
        <v>39940.78</v>
      </c>
      <c r="N4">
        <v>4955.71</v>
      </c>
      <c r="O4">
        <v>2415.12</v>
      </c>
      <c r="P4">
        <v>1270.78</v>
      </c>
      <c r="Q4">
        <v>1049.8699999999999</v>
      </c>
      <c r="R4">
        <v>2594.67</v>
      </c>
      <c r="S4">
        <v>925.15</v>
      </c>
      <c r="T4">
        <v>53152.08</v>
      </c>
      <c r="U4">
        <v>26523.63</v>
      </c>
      <c r="V4">
        <v>13312.33</v>
      </c>
      <c r="W4">
        <v>13201.49</v>
      </c>
      <c r="X4">
        <v>71411.600000000006</v>
      </c>
      <c r="Y4">
        <v>52546.2</v>
      </c>
    </row>
    <row r="5" spans="1:25" x14ac:dyDescent="0.25">
      <c r="A5" t="s">
        <v>38</v>
      </c>
      <c r="B5" s="1">
        <v>44927</v>
      </c>
      <c r="C5">
        <v>2023</v>
      </c>
      <c r="D5">
        <v>1</v>
      </c>
      <c r="E5" t="s">
        <v>26</v>
      </c>
      <c r="F5" t="s">
        <v>27</v>
      </c>
      <c r="G5" t="s">
        <v>28</v>
      </c>
      <c r="H5" t="s">
        <v>36</v>
      </c>
      <c r="I5" t="s">
        <v>39</v>
      </c>
      <c r="J5">
        <v>50</v>
      </c>
      <c r="K5">
        <v>986.3</v>
      </c>
      <c r="L5">
        <v>49315.16</v>
      </c>
      <c r="M5">
        <v>27491.85</v>
      </c>
      <c r="N5">
        <v>3732.35</v>
      </c>
      <c r="O5">
        <v>1653.53</v>
      </c>
      <c r="P5">
        <v>2026.45</v>
      </c>
      <c r="Q5">
        <v>584.33000000000004</v>
      </c>
      <c r="R5">
        <v>1935.25</v>
      </c>
      <c r="S5">
        <v>409.37</v>
      </c>
      <c r="T5">
        <v>37833.129999999997</v>
      </c>
      <c r="U5">
        <v>21823.31</v>
      </c>
      <c r="V5">
        <v>11482.03</v>
      </c>
      <c r="W5">
        <v>11272.58</v>
      </c>
      <c r="X5">
        <v>51930.87</v>
      </c>
      <c r="Y5">
        <v>36749.870000000003</v>
      </c>
    </row>
    <row r="6" spans="1:25" x14ac:dyDescent="0.25">
      <c r="A6" t="s">
        <v>40</v>
      </c>
      <c r="B6" s="1">
        <v>44927</v>
      </c>
      <c r="C6">
        <v>2023</v>
      </c>
      <c r="D6">
        <v>1</v>
      </c>
      <c r="E6" t="s">
        <v>26</v>
      </c>
      <c r="F6" t="s">
        <v>27</v>
      </c>
      <c r="G6" t="s">
        <v>28</v>
      </c>
      <c r="H6" t="s">
        <v>32</v>
      </c>
      <c r="I6" t="s">
        <v>30</v>
      </c>
      <c r="J6">
        <v>79</v>
      </c>
      <c r="K6">
        <v>1790.65</v>
      </c>
      <c r="L6">
        <v>141461.70000000001</v>
      </c>
      <c r="M6">
        <v>87700.42</v>
      </c>
      <c r="N6">
        <v>14555.85</v>
      </c>
      <c r="O6">
        <v>7740.21</v>
      </c>
      <c r="P6">
        <v>6085.48</v>
      </c>
      <c r="Q6">
        <v>1681.94</v>
      </c>
      <c r="R6">
        <v>4156.84</v>
      </c>
      <c r="S6">
        <v>2163.48</v>
      </c>
      <c r="T6">
        <v>124084.22</v>
      </c>
      <c r="U6">
        <v>53761.279999999999</v>
      </c>
      <c r="V6">
        <v>17377.48</v>
      </c>
      <c r="W6">
        <v>17413.759999999998</v>
      </c>
      <c r="X6">
        <v>152664.79999999999</v>
      </c>
      <c r="Y6">
        <v>130595.98</v>
      </c>
    </row>
    <row r="7" spans="1:25" x14ac:dyDescent="0.25">
      <c r="A7" t="s">
        <v>41</v>
      </c>
      <c r="B7" s="1">
        <v>44928</v>
      </c>
      <c r="C7">
        <v>2023</v>
      </c>
      <c r="D7">
        <v>1</v>
      </c>
      <c r="E7" t="s">
        <v>26</v>
      </c>
      <c r="F7" t="s">
        <v>27</v>
      </c>
      <c r="G7" t="s">
        <v>28</v>
      </c>
      <c r="H7" t="s">
        <v>32</v>
      </c>
      <c r="I7" t="s">
        <v>33</v>
      </c>
      <c r="J7">
        <v>94</v>
      </c>
      <c r="K7">
        <v>1059.44</v>
      </c>
      <c r="L7">
        <v>99587.34</v>
      </c>
      <c r="M7">
        <v>58454.85</v>
      </c>
      <c r="N7">
        <v>8885.3799999999992</v>
      </c>
      <c r="O7">
        <v>4222.05</v>
      </c>
      <c r="P7">
        <v>1597.07</v>
      </c>
      <c r="Q7">
        <v>1218.19</v>
      </c>
      <c r="R7">
        <v>5121.82</v>
      </c>
      <c r="S7">
        <v>1523.63</v>
      </c>
      <c r="T7">
        <v>81022.990000000005</v>
      </c>
      <c r="U7">
        <v>41132.480000000003</v>
      </c>
      <c r="V7">
        <v>18564.349999999999</v>
      </c>
      <c r="W7">
        <v>17384.82</v>
      </c>
      <c r="X7">
        <v>109652.5</v>
      </c>
      <c r="Y7">
        <v>78402.759999999995</v>
      </c>
    </row>
    <row r="8" spans="1:25" x14ac:dyDescent="0.25">
      <c r="A8" t="s">
        <v>42</v>
      </c>
      <c r="B8" s="1">
        <v>44928</v>
      </c>
      <c r="C8">
        <v>2023</v>
      </c>
      <c r="D8">
        <v>1</v>
      </c>
      <c r="E8" t="s">
        <v>26</v>
      </c>
      <c r="F8" t="s">
        <v>27</v>
      </c>
      <c r="G8" t="s">
        <v>28</v>
      </c>
      <c r="H8" t="s">
        <v>32</v>
      </c>
      <c r="I8" t="s">
        <v>37</v>
      </c>
      <c r="J8">
        <v>82</v>
      </c>
      <c r="K8">
        <v>994.98</v>
      </c>
      <c r="L8">
        <v>81588.23</v>
      </c>
      <c r="M8">
        <v>50598.65</v>
      </c>
      <c r="N8">
        <v>7641.34</v>
      </c>
      <c r="O8">
        <v>2361.0100000000002</v>
      </c>
      <c r="P8">
        <v>2314.56</v>
      </c>
      <c r="Q8">
        <v>1070.68</v>
      </c>
      <c r="R8">
        <v>4838.38</v>
      </c>
      <c r="S8">
        <v>1203.96</v>
      </c>
      <c r="T8">
        <v>70028.58</v>
      </c>
      <c r="U8">
        <v>30989.59</v>
      </c>
      <c r="V8">
        <v>11559.66</v>
      </c>
      <c r="W8">
        <v>11215.4</v>
      </c>
      <c r="X8">
        <v>86644.38</v>
      </c>
      <c r="Y8">
        <v>76059.429999999993</v>
      </c>
    </row>
    <row r="9" spans="1:25" x14ac:dyDescent="0.25">
      <c r="A9" t="s">
        <v>43</v>
      </c>
      <c r="B9" s="1">
        <v>44928</v>
      </c>
      <c r="C9">
        <v>2023</v>
      </c>
      <c r="D9">
        <v>1</v>
      </c>
      <c r="E9" t="s">
        <v>26</v>
      </c>
      <c r="F9" t="s">
        <v>27</v>
      </c>
      <c r="G9" t="s">
        <v>44</v>
      </c>
      <c r="H9" t="s">
        <v>32</v>
      </c>
      <c r="I9" t="s">
        <v>45</v>
      </c>
      <c r="J9">
        <v>26</v>
      </c>
      <c r="K9">
        <v>1450.25</v>
      </c>
      <c r="L9">
        <v>37706.53</v>
      </c>
      <c r="M9">
        <v>22052.66</v>
      </c>
      <c r="N9">
        <v>3161.36</v>
      </c>
      <c r="O9">
        <v>1404.2</v>
      </c>
      <c r="P9">
        <v>742.31</v>
      </c>
      <c r="Q9">
        <v>461.99</v>
      </c>
      <c r="R9">
        <v>2000.45</v>
      </c>
      <c r="S9">
        <v>593.14</v>
      </c>
      <c r="T9">
        <v>30416.11</v>
      </c>
      <c r="U9">
        <v>15653.87</v>
      </c>
      <c r="V9">
        <v>7290.42</v>
      </c>
      <c r="W9">
        <v>7265.28</v>
      </c>
      <c r="X9">
        <v>35220.559999999998</v>
      </c>
      <c r="Y9">
        <v>30772.04</v>
      </c>
    </row>
    <row r="10" spans="1:25" x14ac:dyDescent="0.25">
      <c r="A10" t="s">
        <v>46</v>
      </c>
      <c r="B10" s="1">
        <v>44928</v>
      </c>
      <c r="C10">
        <v>2023</v>
      </c>
      <c r="D10">
        <v>1</v>
      </c>
      <c r="E10" t="s">
        <v>26</v>
      </c>
      <c r="F10" t="s">
        <v>27</v>
      </c>
      <c r="G10" t="s">
        <v>28</v>
      </c>
      <c r="H10" t="s">
        <v>32</v>
      </c>
      <c r="I10" t="s">
        <v>45</v>
      </c>
      <c r="J10">
        <v>52</v>
      </c>
      <c r="K10">
        <v>1215.44</v>
      </c>
      <c r="L10">
        <v>63202.93</v>
      </c>
      <c r="M10">
        <v>42648.14</v>
      </c>
      <c r="N10">
        <v>6491.93</v>
      </c>
      <c r="O10">
        <v>4024.91</v>
      </c>
      <c r="P10">
        <v>1127.72</v>
      </c>
      <c r="Q10">
        <v>417</v>
      </c>
      <c r="R10">
        <v>3437.02</v>
      </c>
      <c r="S10">
        <v>1238.27</v>
      </c>
      <c r="T10">
        <v>59384.99</v>
      </c>
      <c r="U10">
        <v>20554.78</v>
      </c>
      <c r="V10">
        <v>3817.93</v>
      </c>
      <c r="W10">
        <v>3850.24</v>
      </c>
      <c r="X10">
        <v>67285.320000000007</v>
      </c>
      <c r="Y10">
        <v>60397.34</v>
      </c>
    </row>
    <row r="11" spans="1:25" x14ac:dyDescent="0.25">
      <c r="A11" t="s">
        <v>47</v>
      </c>
      <c r="B11" s="1">
        <v>44928</v>
      </c>
      <c r="C11">
        <v>2023</v>
      </c>
      <c r="D11">
        <v>1</v>
      </c>
      <c r="E11" t="s">
        <v>26</v>
      </c>
      <c r="F11" t="s">
        <v>27</v>
      </c>
      <c r="G11" t="s">
        <v>35</v>
      </c>
      <c r="H11" t="s">
        <v>32</v>
      </c>
      <c r="I11" t="s">
        <v>30</v>
      </c>
      <c r="J11">
        <v>119</v>
      </c>
      <c r="K11">
        <v>905.04</v>
      </c>
      <c r="L11">
        <v>107700.26</v>
      </c>
      <c r="M11">
        <v>55495.95</v>
      </c>
      <c r="N11">
        <v>11690.61</v>
      </c>
      <c r="O11">
        <v>3266.17</v>
      </c>
      <c r="P11">
        <v>3497.76</v>
      </c>
      <c r="Q11">
        <v>1016.11</v>
      </c>
      <c r="R11">
        <v>3013.74</v>
      </c>
      <c r="S11">
        <v>1544.6</v>
      </c>
      <c r="T11">
        <v>79524.929999999993</v>
      </c>
      <c r="U11">
        <v>52204.3</v>
      </c>
      <c r="V11">
        <v>28175.33</v>
      </c>
      <c r="W11">
        <v>28723.54</v>
      </c>
      <c r="X11">
        <v>111173.14</v>
      </c>
      <c r="Y11">
        <v>87337.38</v>
      </c>
    </row>
    <row r="12" spans="1:25" x14ac:dyDescent="0.25">
      <c r="A12" t="s">
        <v>48</v>
      </c>
      <c r="B12" s="1">
        <v>44929</v>
      </c>
      <c r="C12">
        <v>2023</v>
      </c>
      <c r="D12">
        <v>1</v>
      </c>
      <c r="E12" t="s">
        <v>26</v>
      </c>
      <c r="F12" t="s">
        <v>27</v>
      </c>
      <c r="G12" t="s">
        <v>28</v>
      </c>
      <c r="H12" t="s">
        <v>32</v>
      </c>
      <c r="I12" t="s">
        <v>37</v>
      </c>
      <c r="J12">
        <v>78</v>
      </c>
      <c r="K12">
        <v>1273.01</v>
      </c>
      <c r="L12">
        <v>99295.07</v>
      </c>
      <c r="M12">
        <v>54101.08</v>
      </c>
      <c r="N12">
        <v>11889.83</v>
      </c>
      <c r="O12">
        <v>3526.02</v>
      </c>
      <c r="P12">
        <v>2236.17</v>
      </c>
      <c r="Q12">
        <v>906.54</v>
      </c>
      <c r="R12">
        <v>4827.3900000000003</v>
      </c>
      <c r="S12">
        <v>2329.75</v>
      </c>
      <c r="T12">
        <v>79816.78</v>
      </c>
      <c r="U12">
        <v>45193.99</v>
      </c>
      <c r="V12">
        <v>19478.29</v>
      </c>
      <c r="W12">
        <v>18806.689999999999</v>
      </c>
      <c r="X12">
        <v>107757.84</v>
      </c>
      <c r="Y12">
        <v>87636.78</v>
      </c>
    </row>
    <row r="13" spans="1:25" x14ac:dyDescent="0.25">
      <c r="A13" t="s">
        <v>49</v>
      </c>
      <c r="B13" s="1">
        <v>44929</v>
      </c>
      <c r="C13">
        <v>2023</v>
      </c>
      <c r="D13">
        <v>1</v>
      </c>
      <c r="E13" t="s">
        <v>26</v>
      </c>
      <c r="F13" t="s">
        <v>27</v>
      </c>
      <c r="G13" t="s">
        <v>44</v>
      </c>
      <c r="H13" t="s">
        <v>29</v>
      </c>
      <c r="I13" t="s">
        <v>50</v>
      </c>
      <c r="J13">
        <v>34</v>
      </c>
      <c r="K13">
        <v>1691.56</v>
      </c>
      <c r="L13">
        <v>57512.93</v>
      </c>
      <c r="M13">
        <v>30117.06</v>
      </c>
      <c r="N13">
        <v>4962.88</v>
      </c>
      <c r="O13">
        <v>3296.85</v>
      </c>
      <c r="P13">
        <v>1742.92</v>
      </c>
      <c r="Q13">
        <v>967.07</v>
      </c>
      <c r="R13">
        <v>3424.97</v>
      </c>
      <c r="S13">
        <v>529.69000000000005</v>
      </c>
      <c r="T13">
        <v>45041.440000000002</v>
      </c>
      <c r="U13">
        <v>27395.87</v>
      </c>
      <c r="V13">
        <v>12471.49</v>
      </c>
      <c r="W13">
        <v>11671.1</v>
      </c>
      <c r="X13">
        <v>62732.23</v>
      </c>
      <c r="Y13">
        <v>48037.27</v>
      </c>
    </row>
    <row r="14" spans="1:25" x14ac:dyDescent="0.25">
      <c r="A14" t="s">
        <v>51</v>
      </c>
      <c r="B14" s="1">
        <v>44929</v>
      </c>
      <c r="C14">
        <v>2023</v>
      </c>
      <c r="D14">
        <v>1</v>
      </c>
      <c r="E14" t="s">
        <v>26</v>
      </c>
      <c r="F14" t="s">
        <v>27</v>
      </c>
      <c r="G14" t="s">
        <v>28</v>
      </c>
      <c r="H14" t="s">
        <v>36</v>
      </c>
      <c r="I14" t="s">
        <v>37</v>
      </c>
      <c r="J14">
        <v>53</v>
      </c>
      <c r="K14">
        <v>1471.3</v>
      </c>
      <c r="L14">
        <v>77978.91</v>
      </c>
      <c r="M14">
        <v>51157.91</v>
      </c>
      <c r="N14">
        <v>9734.14</v>
      </c>
      <c r="O14">
        <v>3610.55</v>
      </c>
      <c r="P14">
        <v>2202.0700000000002</v>
      </c>
      <c r="Q14">
        <v>530.61</v>
      </c>
      <c r="R14">
        <v>4207.21</v>
      </c>
      <c r="S14">
        <v>1048.51</v>
      </c>
      <c r="T14">
        <v>72491</v>
      </c>
      <c r="U14">
        <v>26821</v>
      </c>
      <c r="V14">
        <v>5487.92</v>
      </c>
      <c r="W14">
        <v>5243.22</v>
      </c>
      <c r="X14">
        <v>78395.38</v>
      </c>
      <c r="Y14">
        <v>73714.52</v>
      </c>
    </row>
    <row r="15" spans="1:25" x14ac:dyDescent="0.25">
      <c r="A15" t="s">
        <v>52</v>
      </c>
      <c r="B15" s="1">
        <v>44929</v>
      </c>
      <c r="C15">
        <v>2023</v>
      </c>
      <c r="D15">
        <v>1</v>
      </c>
      <c r="E15" t="s">
        <v>26</v>
      </c>
      <c r="F15" t="s">
        <v>27</v>
      </c>
      <c r="G15" t="s">
        <v>28</v>
      </c>
      <c r="H15" t="s">
        <v>53</v>
      </c>
      <c r="I15" t="s">
        <v>45</v>
      </c>
      <c r="J15">
        <v>27</v>
      </c>
      <c r="K15">
        <v>1373.99</v>
      </c>
      <c r="L15">
        <v>37097.81</v>
      </c>
      <c r="M15">
        <v>20718.77</v>
      </c>
      <c r="N15">
        <v>4217.97</v>
      </c>
      <c r="O15">
        <v>1193.06</v>
      </c>
      <c r="P15">
        <v>1338.93</v>
      </c>
      <c r="Q15">
        <v>249.46</v>
      </c>
      <c r="R15">
        <v>1508.33</v>
      </c>
      <c r="S15">
        <v>736.62</v>
      </c>
      <c r="T15">
        <v>29963.14</v>
      </c>
      <c r="U15">
        <v>16379.04</v>
      </c>
      <c r="V15">
        <v>7134.66</v>
      </c>
      <c r="W15">
        <v>7087.12</v>
      </c>
      <c r="X15">
        <v>37068.92</v>
      </c>
      <c r="Y15">
        <v>32541.16</v>
      </c>
    </row>
    <row r="16" spans="1:25" x14ac:dyDescent="0.25">
      <c r="A16" t="s">
        <v>54</v>
      </c>
      <c r="B16" s="1">
        <v>44930</v>
      </c>
      <c r="C16">
        <v>2023</v>
      </c>
      <c r="D16">
        <v>1</v>
      </c>
      <c r="E16" t="s">
        <v>26</v>
      </c>
      <c r="F16" t="s">
        <v>27</v>
      </c>
      <c r="G16" t="s">
        <v>55</v>
      </c>
      <c r="H16" t="s">
        <v>29</v>
      </c>
      <c r="I16" t="s">
        <v>56</v>
      </c>
      <c r="J16">
        <v>28</v>
      </c>
      <c r="K16">
        <v>1584.56</v>
      </c>
      <c r="L16">
        <v>44367.64</v>
      </c>
      <c r="M16">
        <v>22256.76</v>
      </c>
      <c r="N16">
        <v>5128.25</v>
      </c>
      <c r="O16">
        <v>1869.09</v>
      </c>
      <c r="P16">
        <v>1389.25</v>
      </c>
      <c r="Q16">
        <v>410.77</v>
      </c>
      <c r="R16">
        <v>2047.42</v>
      </c>
      <c r="S16">
        <v>1078.3599999999999</v>
      </c>
      <c r="T16">
        <v>34179.9</v>
      </c>
      <c r="U16">
        <v>22110.880000000001</v>
      </c>
      <c r="V16">
        <v>10187.73</v>
      </c>
      <c r="W16">
        <v>9847.2000000000007</v>
      </c>
      <c r="X16">
        <v>41274.19</v>
      </c>
      <c r="Y16">
        <v>34501.51</v>
      </c>
    </row>
    <row r="17" spans="1:25" x14ac:dyDescent="0.25">
      <c r="A17" t="s">
        <v>57</v>
      </c>
      <c r="B17" s="1">
        <v>44930</v>
      </c>
      <c r="C17">
        <v>2023</v>
      </c>
      <c r="D17">
        <v>1</v>
      </c>
      <c r="E17" t="s">
        <v>26</v>
      </c>
      <c r="F17" t="s">
        <v>27</v>
      </c>
      <c r="G17" t="s">
        <v>35</v>
      </c>
      <c r="H17" t="s">
        <v>58</v>
      </c>
      <c r="I17" t="s">
        <v>33</v>
      </c>
      <c r="J17">
        <v>41</v>
      </c>
      <c r="K17">
        <v>1331.99</v>
      </c>
      <c r="L17">
        <v>54611.68</v>
      </c>
      <c r="M17">
        <v>32107.82</v>
      </c>
      <c r="N17">
        <v>6497.28</v>
      </c>
      <c r="O17">
        <v>1642.02</v>
      </c>
      <c r="P17">
        <v>1560.98</v>
      </c>
      <c r="Q17">
        <v>558.34</v>
      </c>
      <c r="R17">
        <v>2399.6</v>
      </c>
      <c r="S17">
        <v>1322.26</v>
      </c>
      <c r="T17">
        <v>46088.31</v>
      </c>
      <c r="U17">
        <v>22503.86</v>
      </c>
      <c r="V17">
        <v>8523.3700000000008</v>
      </c>
      <c r="W17">
        <v>7505.06</v>
      </c>
      <c r="X17">
        <v>53633.760000000002</v>
      </c>
      <c r="Y17">
        <v>48085.440000000002</v>
      </c>
    </row>
    <row r="18" spans="1:25" x14ac:dyDescent="0.25">
      <c r="A18" t="s">
        <v>59</v>
      </c>
      <c r="B18" s="1">
        <v>44931</v>
      </c>
      <c r="C18">
        <v>2023</v>
      </c>
      <c r="D18">
        <v>1</v>
      </c>
      <c r="E18" t="s">
        <v>26</v>
      </c>
      <c r="F18" t="s">
        <v>27</v>
      </c>
      <c r="G18" t="s">
        <v>28</v>
      </c>
      <c r="H18" t="s">
        <v>36</v>
      </c>
      <c r="I18" t="s">
        <v>37</v>
      </c>
      <c r="J18">
        <v>44</v>
      </c>
      <c r="K18">
        <v>1754.72</v>
      </c>
      <c r="L18">
        <v>77207.58</v>
      </c>
      <c r="M18">
        <v>44767.73</v>
      </c>
      <c r="N18">
        <v>9560.44</v>
      </c>
      <c r="O18">
        <v>5081.1400000000003</v>
      </c>
      <c r="P18">
        <v>1867.07</v>
      </c>
      <c r="Q18">
        <v>1003.35</v>
      </c>
      <c r="R18">
        <v>2318.64</v>
      </c>
      <c r="S18">
        <v>1584.37</v>
      </c>
      <c r="T18">
        <v>66182.73</v>
      </c>
      <c r="U18">
        <v>32439.85</v>
      </c>
      <c r="V18">
        <v>11024.85</v>
      </c>
      <c r="W18">
        <v>11102.2</v>
      </c>
      <c r="X18">
        <v>86414.24</v>
      </c>
      <c r="Y18">
        <v>70406.039999999994</v>
      </c>
    </row>
    <row r="19" spans="1:25" x14ac:dyDescent="0.25">
      <c r="A19" t="s">
        <v>60</v>
      </c>
      <c r="B19" s="1">
        <v>44931</v>
      </c>
      <c r="C19">
        <v>2023</v>
      </c>
      <c r="D19">
        <v>1</v>
      </c>
      <c r="E19" t="s">
        <v>26</v>
      </c>
      <c r="F19" t="s">
        <v>27</v>
      </c>
      <c r="G19" t="s">
        <v>28</v>
      </c>
      <c r="H19" t="s">
        <v>32</v>
      </c>
      <c r="I19" t="s">
        <v>45</v>
      </c>
      <c r="J19">
        <v>69</v>
      </c>
      <c r="K19">
        <v>923.7</v>
      </c>
      <c r="L19">
        <v>63735.39</v>
      </c>
      <c r="M19">
        <v>39104.230000000003</v>
      </c>
      <c r="N19">
        <v>6865.7</v>
      </c>
      <c r="O19">
        <v>3685.21</v>
      </c>
      <c r="P19">
        <v>2306.9899999999998</v>
      </c>
      <c r="Q19">
        <v>893.69</v>
      </c>
      <c r="R19">
        <v>3882.88</v>
      </c>
      <c r="S19">
        <v>1497.98</v>
      </c>
      <c r="T19">
        <v>58236.67</v>
      </c>
      <c r="U19">
        <v>24631.16</v>
      </c>
      <c r="V19">
        <v>5498.72</v>
      </c>
      <c r="W19">
        <v>5405.37</v>
      </c>
      <c r="X19">
        <v>70568.23</v>
      </c>
      <c r="Y19">
        <v>63237.77</v>
      </c>
    </row>
    <row r="20" spans="1:25" x14ac:dyDescent="0.25">
      <c r="A20" t="s">
        <v>61</v>
      </c>
      <c r="B20" s="1">
        <v>44931</v>
      </c>
      <c r="C20">
        <v>2023</v>
      </c>
      <c r="D20">
        <v>1</v>
      </c>
      <c r="E20" t="s">
        <v>26</v>
      </c>
      <c r="F20" t="s">
        <v>27</v>
      </c>
      <c r="G20" t="s">
        <v>44</v>
      </c>
      <c r="H20" t="s">
        <v>32</v>
      </c>
      <c r="I20" t="s">
        <v>37</v>
      </c>
      <c r="J20">
        <v>65</v>
      </c>
      <c r="K20">
        <v>1223.5999999999999</v>
      </c>
      <c r="L20">
        <v>79533.929999999993</v>
      </c>
      <c r="M20">
        <v>39151.43</v>
      </c>
      <c r="N20">
        <v>7425.77</v>
      </c>
      <c r="O20">
        <v>4624.2</v>
      </c>
      <c r="P20">
        <v>1567.2</v>
      </c>
      <c r="Q20">
        <v>623.77</v>
      </c>
      <c r="R20">
        <v>3873.94</v>
      </c>
      <c r="S20">
        <v>1242.27</v>
      </c>
      <c r="T20">
        <v>58508.59</v>
      </c>
      <c r="U20">
        <v>40382.5</v>
      </c>
      <c r="V20">
        <v>21025.34</v>
      </c>
      <c r="W20">
        <v>19311.259999999998</v>
      </c>
      <c r="X20">
        <v>77049.960000000006</v>
      </c>
      <c r="Y20">
        <v>64345.74</v>
      </c>
    </row>
    <row r="21" spans="1:25" x14ac:dyDescent="0.25">
      <c r="A21" t="s">
        <v>62</v>
      </c>
      <c r="B21" s="1">
        <v>44932</v>
      </c>
      <c r="C21">
        <v>2023</v>
      </c>
      <c r="D21">
        <v>1</v>
      </c>
      <c r="E21" t="s">
        <v>26</v>
      </c>
      <c r="F21" t="s">
        <v>27</v>
      </c>
      <c r="G21" t="s">
        <v>35</v>
      </c>
      <c r="H21" t="s">
        <v>29</v>
      </c>
      <c r="I21" t="s">
        <v>30</v>
      </c>
      <c r="J21">
        <v>60</v>
      </c>
      <c r="K21">
        <v>1733.46</v>
      </c>
      <c r="L21">
        <v>104007.34</v>
      </c>
      <c r="M21">
        <v>70316.83</v>
      </c>
      <c r="N21">
        <v>10399.68</v>
      </c>
      <c r="O21">
        <v>5113.84</v>
      </c>
      <c r="P21">
        <v>4420.96</v>
      </c>
      <c r="Q21">
        <v>1511.84</v>
      </c>
      <c r="R21">
        <v>6409.28</v>
      </c>
      <c r="S21">
        <v>1524.47</v>
      </c>
      <c r="T21">
        <v>99696.9</v>
      </c>
      <c r="U21">
        <v>33690.51</v>
      </c>
      <c r="V21">
        <v>4310.4399999999996</v>
      </c>
      <c r="W21">
        <v>4230.8500000000004</v>
      </c>
      <c r="X21">
        <v>112848.21</v>
      </c>
      <c r="Y21">
        <v>99888.21</v>
      </c>
    </row>
    <row r="22" spans="1:25" x14ac:dyDescent="0.25">
      <c r="A22" t="s">
        <v>63</v>
      </c>
      <c r="B22" s="1">
        <v>44932</v>
      </c>
      <c r="C22">
        <v>2023</v>
      </c>
      <c r="D22">
        <v>1</v>
      </c>
      <c r="E22" t="s">
        <v>26</v>
      </c>
      <c r="F22" t="s">
        <v>27</v>
      </c>
      <c r="G22" t="s">
        <v>55</v>
      </c>
      <c r="H22" t="s">
        <v>36</v>
      </c>
      <c r="I22" t="s">
        <v>50</v>
      </c>
      <c r="J22">
        <v>43</v>
      </c>
      <c r="K22">
        <v>1145.53</v>
      </c>
      <c r="L22">
        <v>49257.94</v>
      </c>
      <c r="M22">
        <v>29063.38</v>
      </c>
      <c r="N22">
        <v>6178.49</v>
      </c>
      <c r="O22">
        <v>3497.82</v>
      </c>
      <c r="P22">
        <v>1343.46</v>
      </c>
      <c r="Q22">
        <v>264.58</v>
      </c>
      <c r="R22">
        <v>2866.96</v>
      </c>
      <c r="S22">
        <v>930.47</v>
      </c>
      <c r="T22">
        <v>44145.16</v>
      </c>
      <c r="U22">
        <v>20194.560000000001</v>
      </c>
      <c r="V22">
        <v>5112.78</v>
      </c>
      <c r="W22">
        <v>5080.9799999999996</v>
      </c>
      <c r="X22">
        <v>51876.7</v>
      </c>
      <c r="Y22">
        <v>41644.589999999997</v>
      </c>
    </row>
    <row r="23" spans="1:25" x14ac:dyDescent="0.25">
      <c r="A23" t="s">
        <v>64</v>
      </c>
      <c r="B23" s="1">
        <v>44933</v>
      </c>
      <c r="C23">
        <v>2023</v>
      </c>
      <c r="D23">
        <v>1</v>
      </c>
      <c r="E23" t="s">
        <v>26</v>
      </c>
      <c r="F23" t="s">
        <v>27</v>
      </c>
      <c r="G23" t="s">
        <v>55</v>
      </c>
      <c r="H23" t="s">
        <v>32</v>
      </c>
      <c r="I23" t="s">
        <v>65</v>
      </c>
      <c r="J23">
        <v>42</v>
      </c>
      <c r="K23">
        <v>1772.82</v>
      </c>
      <c r="L23">
        <v>74458.41</v>
      </c>
      <c r="M23">
        <v>48615.63</v>
      </c>
      <c r="N23">
        <v>5544.48</v>
      </c>
      <c r="O23">
        <v>5266.35</v>
      </c>
      <c r="P23">
        <v>2741.18</v>
      </c>
      <c r="Q23">
        <v>1226.47</v>
      </c>
      <c r="R23">
        <v>2040.87</v>
      </c>
      <c r="S23">
        <v>1389.49</v>
      </c>
      <c r="T23">
        <v>66824.460000000006</v>
      </c>
      <c r="U23">
        <v>25842.78</v>
      </c>
      <c r="V23">
        <v>7633.95</v>
      </c>
      <c r="W23">
        <v>6741.71</v>
      </c>
      <c r="X23">
        <v>71667.600000000006</v>
      </c>
      <c r="Y23">
        <v>70256.91</v>
      </c>
    </row>
    <row r="24" spans="1:25" x14ac:dyDescent="0.25">
      <c r="A24" t="s">
        <v>66</v>
      </c>
      <c r="B24" s="1">
        <v>44933</v>
      </c>
      <c r="C24">
        <v>2023</v>
      </c>
      <c r="D24">
        <v>1</v>
      </c>
      <c r="E24" t="s">
        <v>26</v>
      </c>
      <c r="F24" t="s">
        <v>27</v>
      </c>
      <c r="G24" t="s">
        <v>28</v>
      </c>
      <c r="H24" t="s">
        <v>53</v>
      </c>
      <c r="I24" t="s">
        <v>37</v>
      </c>
      <c r="J24">
        <v>62</v>
      </c>
      <c r="K24">
        <v>1242.02</v>
      </c>
      <c r="L24">
        <v>77005.429999999993</v>
      </c>
      <c r="M24">
        <v>44245.95</v>
      </c>
      <c r="N24">
        <v>5690.33</v>
      </c>
      <c r="O24">
        <v>4918.46</v>
      </c>
      <c r="P24">
        <v>2101.6</v>
      </c>
      <c r="Q24">
        <v>801.55</v>
      </c>
      <c r="R24">
        <v>3871.14</v>
      </c>
      <c r="S24">
        <v>1882.13</v>
      </c>
      <c r="T24">
        <v>63511.16</v>
      </c>
      <c r="U24">
        <v>32759.48</v>
      </c>
      <c r="V24">
        <v>13494.27</v>
      </c>
      <c r="W24">
        <v>13292.65</v>
      </c>
      <c r="X24">
        <v>72128.009999999995</v>
      </c>
      <c r="Y24">
        <v>62522.51</v>
      </c>
    </row>
    <row r="25" spans="1:25" x14ac:dyDescent="0.25">
      <c r="A25" t="s">
        <v>67</v>
      </c>
      <c r="B25" s="1">
        <v>44933</v>
      </c>
      <c r="C25">
        <v>2023</v>
      </c>
      <c r="D25">
        <v>1</v>
      </c>
      <c r="E25" t="s">
        <v>26</v>
      </c>
      <c r="F25" t="s">
        <v>27</v>
      </c>
      <c r="G25" t="s">
        <v>55</v>
      </c>
      <c r="H25" t="s">
        <v>36</v>
      </c>
      <c r="I25" t="s">
        <v>50</v>
      </c>
      <c r="J25">
        <v>53</v>
      </c>
      <c r="K25">
        <v>1243.79</v>
      </c>
      <c r="L25">
        <v>65920.63</v>
      </c>
      <c r="M25">
        <v>41493.99</v>
      </c>
      <c r="N25">
        <v>5640.11</v>
      </c>
      <c r="O25">
        <v>2223.5500000000002</v>
      </c>
      <c r="P25">
        <v>1823.21</v>
      </c>
      <c r="Q25">
        <v>550.67999999999995</v>
      </c>
      <c r="R25">
        <v>1934.44</v>
      </c>
      <c r="S25">
        <v>1353.64</v>
      </c>
      <c r="T25">
        <v>55019.62</v>
      </c>
      <c r="U25">
        <v>24426.639999999999</v>
      </c>
      <c r="V25">
        <v>10901</v>
      </c>
      <c r="W25">
        <v>9806.61</v>
      </c>
      <c r="X25">
        <v>71687.11</v>
      </c>
      <c r="Y25">
        <v>55852.37</v>
      </c>
    </row>
    <row r="26" spans="1:25" x14ac:dyDescent="0.25">
      <c r="A26" t="s">
        <v>68</v>
      </c>
      <c r="B26" s="1">
        <v>44933</v>
      </c>
      <c r="C26">
        <v>2023</v>
      </c>
      <c r="D26">
        <v>1</v>
      </c>
      <c r="E26" t="s">
        <v>26</v>
      </c>
      <c r="F26" t="s">
        <v>27</v>
      </c>
      <c r="G26" t="s">
        <v>44</v>
      </c>
      <c r="H26" t="s">
        <v>29</v>
      </c>
      <c r="I26" t="s">
        <v>30</v>
      </c>
      <c r="J26">
        <v>70</v>
      </c>
      <c r="K26">
        <v>1094.83</v>
      </c>
      <c r="L26">
        <v>76637.78</v>
      </c>
      <c r="M26">
        <v>37014.65</v>
      </c>
      <c r="N26">
        <v>8262.86</v>
      </c>
      <c r="O26">
        <v>4535.59</v>
      </c>
      <c r="P26">
        <v>1950.01</v>
      </c>
      <c r="Q26">
        <v>589.19000000000005</v>
      </c>
      <c r="R26">
        <v>2808.66</v>
      </c>
      <c r="S26">
        <v>1752.68</v>
      </c>
      <c r="T26">
        <v>56913.63</v>
      </c>
      <c r="U26">
        <v>39623.129999999997</v>
      </c>
      <c r="V26">
        <v>19724.150000000001</v>
      </c>
      <c r="W26">
        <v>18883.330000000002</v>
      </c>
      <c r="X26">
        <v>72534.2</v>
      </c>
      <c r="Y26">
        <v>61979.19</v>
      </c>
    </row>
    <row r="27" spans="1:25" x14ac:dyDescent="0.25">
      <c r="A27" t="s">
        <v>69</v>
      </c>
      <c r="B27" s="1">
        <v>44934</v>
      </c>
      <c r="C27">
        <v>2023</v>
      </c>
      <c r="D27">
        <v>1</v>
      </c>
      <c r="E27" t="s">
        <v>26</v>
      </c>
      <c r="F27" t="s">
        <v>27</v>
      </c>
      <c r="G27" t="s">
        <v>28</v>
      </c>
      <c r="H27" t="s">
        <v>29</v>
      </c>
      <c r="I27" t="s">
        <v>30</v>
      </c>
      <c r="J27">
        <v>67</v>
      </c>
      <c r="K27">
        <v>1697.1</v>
      </c>
      <c r="L27">
        <v>113705.67</v>
      </c>
      <c r="M27">
        <v>62657.78</v>
      </c>
      <c r="N27">
        <v>12460.89</v>
      </c>
      <c r="O27">
        <v>4875.59</v>
      </c>
      <c r="P27">
        <v>2522.83</v>
      </c>
      <c r="Q27">
        <v>828.81</v>
      </c>
      <c r="R27">
        <v>3290.39</v>
      </c>
      <c r="S27">
        <v>1089.2</v>
      </c>
      <c r="T27">
        <v>87725.49</v>
      </c>
      <c r="U27">
        <v>51047.89</v>
      </c>
      <c r="V27">
        <v>25980.18</v>
      </c>
      <c r="W27">
        <v>23795.79</v>
      </c>
      <c r="X27">
        <v>119762.49</v>
      </c>
      <c r="Y27">
        <v>83496.59</v>
      </c>
    </row>
    <row r="28" spans="1:25" x14ac:dyDescent="0.25">
      <c r="A28" t="s">
        <v>70</v>
      </c>
      <c r="B28" s="1">
        <v>44934</v>
      </c>
      <c r="C28">
        <v>2023</v>
      </c>
      <c r="D28">
        <v>1</v>
      </c>
      <c r="E28" t="s">
        <v>26</v>
      </c>
      <c r="F28" t="s">
        <v>27</v>
      </c>
      <c r="G28" t="s">
        <v>35</v>
      </c>
      <c r="H28" t="s">
        <v>32</v>
      </c>
      <c r="I28" t="s">
        <v>50</v>
      </c>
      <c r="J28">
        <v>25</v>
      </c>
      <c r="K28">
        <v>1742.33</v>
      </c>
      <c r="L28">
        <v>43558.15</v>
      </c>
      <c r="M28">
        <v>27535.09</v>
      </c>
      <c r="N28">
        <v>5523.62</v>
      </c>
      <c r="O28">
        <v>2053.77</v>
      </c>
      <c r="P28">
        <v>1745.07</v>
      </c>
      <c r="Q28">
        <v>218.36</v>
      </c>
      <c r="R28">
        <v>2366.14</v>
      </c>
      <c r="S28">
        <v>423.01</v>
      </c>
      <c r="T28">
        <v>39865.07</v>
      </c>
      <c r="U28">
        <v>16023.05</v>
      </c>
      <c r="V28">
        <v>3693.07</v>
      </c>
      <c r="W28">
        <v>3526.13</v>
      </c>
      <c r="X28">
        <v>43753.33</v>
      </c>
      <c r="Y28">
        <v>39274.86</v>
      </c>
    </row>
    <row r="29" spans="1:25" x14ac:dyDescent="0.25">
      <c r="A29" t="s">
        <v>71</v>
      </c>
      <c r="B29" s="1">
        <v>44934</v>
      </c>
      <c r="C29">
        <v>2023</v>
      </c>
      <c r="D29">
        <v>1</v>
      </c>
      <c r="E29" t="s">
        <v>26</v>
      </c>
      <c r="F29" t="s">
        <v>27</v>
      </c>
      <c r="G29" t="s">
        <v>44</v>
      </c>
      <c r="H29" t="s">
        <v>36</v>
      </c>
      <c r="I29" t="s">
        <v>33</v>
      </c>
      <c r="J29">
        <v>35</v>
      </c>
      <c r="K29">
        <v>1723.25</v>
      </c>
      <c r="L29">
        <v>60313.91</v>
      </c>
      <c r="M29">
        <v>30438.19</v>
      </c>
      <c r="N29">
        <v>6897.76</v>
      </c>
      <c r="O29">
        <v>1659.44</v>
      </c>
      <c r="P29">
        <v>2449.0300000000002</v>
      </c>
      <c r="Q29">
        <v>858.58</v>
      </c>
      <c r="R29">
        <v>3403</v>
      </c>
      <c r="S29">
        <v>1336.24</v>
      </c>
      <c r="T29">
        <v>47042.25</v>
      </c>
      <c r="U29">
        <v>29875.73</v>
      </c>
      <c r="V29">
        <v>13271.66</v>
      </c>
      <c r="W29">
        <v>11687.81</v>
      </c>
      <c r="X29">
        <v>60409.39</v>
      </c>
      <c r="Y29">
        <v>44223.23</v>
      </c>
    </row>
    <row r="30" spans="1:25" x14ac:dyDescent="0.25">
      <c r="A30" t="s">
        <v>72</v>
      </c>
      <c r="B30" s="1">
        <v>44935</v>
      </c>
      <c r="C30">
        <v>2023</v>
      </c>
      <c r="D30">
        <v>1</v>
      </c>
      <c r="E30" t="s">
        <v>26</v>
      </c>
      <c r="F30" t="s">
        <v>27</v>
      </c>
      <c r="G30" t="s">
        <v>35</v>
      </c>
      <c r="H30" t="s">
        <v>32</v>
      </c>
      <c r="I30" t="s">
        <v>45</v>
      </c>
      <c r="J30">
        <v>43</v>
      </c>
      <c r="K30">
        <v>988.76</v>
      </c>
      <c r="L30">
        <v>42516.66</v>
      </c>
      <c r="M30">
        <v>27349.59</v>
      </c>
      <c r="N30">
        <v>4163</v>
      </c>
      <c r="O30">
        <v>2456.4499999999998</v>
      </c>
      <c r="P30">
        <v>1718.21</v>
      </c>
      <c r="Q30">
        <v>361.21</v>
      </c>
      <c r="R30">
        <v>2647.66</v>
      </c>
      <c r="S30">
        <v>475.67</v>
      </c>
      <c r="T30">
        <v>39171.800000000003</v>
      </c>
      <c r="U30">
        <v>15167.07</v>
      </c>
      <c r="V30">
        <v>3344.87</v>
      </c>
      <c r="W30">
        <v>3155.15</v>
      </c>
      <c r="X30">
        <v>46739.66</v>
      </c>
      <c r="Y30">
        <v>39754.58</v>
      </c>
    </row>
    <row r="31" spans="1:25" x14ac:dyDescent="0.25">
      <c r="A31" t="s">
        <v>73</v>
      </c>
      <c r="B31" s="1">
        <v>44935</v>
      </c>
      <c r="C31">
        <v>2023</v>
      </c>
      <c r="D31">
        <v>1</v>
      </c>
      <c r="E31" t="s">
        <v>26</v>
      </c>
      <c r="F31" t="s">
        <v>27</v>
      </c>
      <c r="G31" t="s">
        <v>28</v>
      </c>
      <c r="H31" t="s">
        <v>58</v>
      </c>
      <c r="I31" t="s">
        <v>45</v>
      </c>
      <c r="J31">
        <v>35</v>
      </c>
      <c r="K31">
        <v>1539.61</v>
      </c>
      <c r="L31">
        <v>53886.29</v>
      </c>
      <c r="M31">
        <v>29584.85</v>
      </c>
      <c r="N31">
        <v>5129.71</v>
      </c>
      <c r="O31">
        <v>2448.13</v>
      </c>
      <c r="P31">
        <v>1796.43</v>
      </c>
      <c r="Q31">
        <v>788.01</v>
      </c>
      <c r="R31">
        <v>3336.1</v>
      </c>
      <c r="S31">
        <v>681.75</v>
      </c>
      <c r="T31">
        <v>43764.99</v>
      </c>
      <c r="U31">
        <v>24301.439999999999</v>
      </c>
      <c r="V31">
        <v>10121.299999999999</v>
      </c>
      <c r="W31">
        <v>9598.36</v>
      </c>
      <c r="X31">
        <v>49895.23</v>
      </c>
      <c r="Y31">
        <v>46692.84</v>
      </c>
    </row>
    <row r="32" spans="1:25" x14ac:dyDescent="0.25">
      <c r="A32" t="s">
        <v>74</v>
      </c>
      <c r="B32" s="1">
        <v>44936</v>
      </c>
      <c r="C32">
        <v>2023</v>
      </c>
      <c r="D32">
        <v>1</v>
      </c>
      <c r="E32" t="s">
        <v>26</v>
      </c>
      <c r="F32" t="s">
        <v>27</v>
      </c>
      <c r="G32" t="s">
        <v>28</v>
      </c>
      <c r="H32" t="s">
        <v>58</v>
      </c>
      <c r="I32" t="s">
        <v>65</v>
      </c>
      <c r="J32">
        <v>72</v>
      </c>
      <c r="K32">
        <v>859.92</v>
      </c>
      <c r="L32">
        <v>61914.32</v>
      </c>
      <c r="M32">
        <v>34758.9</v>
      </c>
      <c r="N32">
        <v>7753.64</v>
      </c>
      <c r="O32">
        <v>2054.25</v>
      </c>
      <c r="P32">
        <v>2699.6</v>
      </c>
      <c r="Q32">
        <v>461.25</v>
      </c>
      <c r="R32">
        <v>3698.37</v>
      </c>
      <c r="S32">
        <v>644.26</v>
      </c>
      <c r="T32">
        <v>52070.27</v>
      </c>
      <c r="U32">
        <v>27155.42</v>
      </c>
      <c r="V32">
        <v>9844.0499999999993</v>
      </c>
      <c r="W32">
        <v>8991.93</v>
      </c>
      <c r="X32">
        <v>63706.41</v>
      </c>
      <c r="Y32">
        <v>49941.66</v>
      </c>
    </row>
    <row r="33" spans="1:25" x14ac:dyDescent="0.25">
      <c r="A33" t="s">
        <v>75</v>
      </c>
      <c r="B33" s="1">
        <v>44936</v>
      </c>
      <c r="C33">
        <v>2023</v>
      </c>
      <c r="D33">
        <v>1</v>
      </c>
      <c r="E33" t="s">
        <v>26</v>
      </c>
      <c r="F33" t="s">
        <v>27</v>
      </c>
      <c r="G33" t="s">
        <v>44</v>
      </c>
      <c r="H33" t="s">
        <v>32</v>
      </c>
      <c r="I33" t="s">
        <v>33</v>
      </c>
      <c r="J33">
        <v>55</v>
      </c>
      <c r="K33">
        <v>1401.36</v>
      </c>
      <c r="L33">
        <v>77074.66</v>
      </c>
      <c r="M33">
        <v>51863.519999999997</v>
      </c>
      <c r="N33">
        <v>8226.61</v>
      </c>
      <c r="O33">
        <v>2413.8200000000002</v>
      </c>
      <c r="P33">
        <v>3455.36</v>
      </c>
      <c r="Q33">
        <v>581.22</v>
      </c>
      <c r="R33">
        <v>4191.05</v>
      </c>
      <c r="S33">
        <v>1223.49</v>
      </c>
      <c r="T33">
        <v>71955.06</v>
      </c>
      <c r="U33">
        <v>25211.14</v>
      </c>
      <c r="V33">
        <v>5119.6000000000004</v>
      </c>
      <c r="W33">
        <v>5034.04</v>
      </c>
      <c r="X33">
        <v>74751.75</v>
      </c>
      <c r="Y33">
        <v>73466.39</v>
      </c>
    </row>
    <row r="34" spans="1:25" x14ac:dyDescent="0.25">
      <c r="A34" t="s">
        <v>76</v>
      </c>
      <c r="B34" s="1">
        <v>44936</v>
      </c>
      <c r="C34">
        <v>2023</v>
      </c>
      <c r="D34">
        <v>1</v>
      </c>
      <c r="E34" t="s">
        <v>26</v>
      </c>
      <c r="F34" t="s">
        <v>27</v>
      </c>
      <c r="G34" t="s">
        <v>55</v>
      </c>
      <c r="H34" t="s">
        <v>36</v>
      </c>
      <c r="I34" t="s">
        <v>56</v>
      </c>
      <c r="J34">
        <v>34</v>
      </c>
      <c r="K34">
        <v>1356.99</v>
      </c>
      <c r="L34">
        <v>46137.52</v>
      </c>
      <c r="M34">
        <v>28181.1</v>
      </c>
      <c r="N34">
        <v>4917.4399999999996</v>
      </c>
      <c r="O34">
        <v>2520.7399999999998</v>
      </c>
      <c r="P34">
        <v>1122.28</v>
      </c>
      <c r="Q34">
        <v>449.26</v>
      </c>
      <c r="R34">
        <v>1383.85</v>
      </c>
      <c r="S34">
        <v>1003.83</v>
      </c>
      <c r="T34">
        <v>39578.5</v>
      </c>
      <c r="U34">
        <v>17956.419999999998</v>
      </c>
      <c r="V34">
        <v>6559.02</v>
      </c>
      <c r="W34">
        <v>6515.74</v>
      </c>
      <c r="X34">
        <v>50921.04</v>
      </c>
      <c r="Y34">
        <v>42311.33</v>
      </c>
    </row>
    <row r="35" spans="1:25" x14ac:dyDescent="0.25">
      <c r="A35" t="s">
        <v>77</v>
      </c>
      <c r="B35" s="1">
        <v>44936</v>
      </c>
      <c r="C35">
        <v>2023</v>
      </c>
      <c r="D35">
        <v>1</v>
      </c>
      <c r="E35" t="s">
        <v>26</v>
      </c>
      <c r="F35" t="s">
        <v>27</v>
      </c>
      <c r="G35" t="s">
        <v>28</v>
      </c>
      <c r="H35" t="s">
        <v>29</v>
      </c>
      <c r="I35" t="s">
        <v>37</v>
      </c>
      <c r="J35">
        <v>77</v>
      </c>
      <c r="K35">
        <v>801.26</v>
      </c>
      <c r="L35">
        <v>61696.76</v>
      </c>
      <c r="M35">
        <v>36597.25</v>
      </c>
      <c r="N35">
        <v>5115.88</v>
      </c>
      <c r="O35">
        <v>3883.68</v>
      </c>
      <c r="P35">
        <v>2034.26</v>
      </c>
      <c r="Q35">
        <v>936.96</v>
      </c>
      <c r="R35">
        <v>3789.19</v>
      </c>
      <c r="S35">
        <v>566.92999999999995</v>
      </c>
      <c r="T35">
        <v>52924.160000000003</v>
      </c>
      <c r="U35">
        <v>25099.51</v>
      </c>
      <c r="V35">
        <v>8772.6</v>
      </c>
      <c r="W35">
        <v>8808.35</v>
      </c>
      <c r="X35">
        <v>57616.24</v>
      </c>
      <c r="Y35">
        <v>49734.06</v>
      </c>
    </row>
    <row r="36" spans="1:25" x14ac:dyDescent="0.25">
      <c r="A36" t="s">
        <v>78</v>
      </c>
      <c r="B36" s="1">
        <v>44936</v>
      </c>
      <c r="C36">
        <v>2023</v>
      </c>
      <c r="D36">
        <v>1</v>
      </c>
      <c r="E36" t="s">
        <v>26</v>
      </c>
      <c r="F36" t="s">
        <v>27</v>
      </c>
      <c r="G36" t="s">
        <v>44</v>
      </c>
      <c r="H36" t="s">
        <v>36</v>
      </c>
      <c r="I36" t="s">
        <v>37</v>
      </c>
      <c r="J36">
        <v>62</v>
      </c>
      <c r="K36">
        <v>1163.92</v>
      </c>
      <c r="L36">
        <v>72162.84</v>
      </c>
      <c r="M36">
        <v>47969.18</v>
      </c>
      <c r="N36">
        <v>5117.6099999999997</v>
      </c>
      <c r="O36">
        <v>1979.3</v>
      </c>
      <c r="P36">
        <v>2187.84</v>
      </c>
      <c r="Q36">
        <v>978.7</v>
      </c>
      <c r="R36">
        <v>2875.21</v>
      </c>
      <c r="S36">
        <v>1649.32</v>
      </c>
      <c r="T36">
        <v>62757.16</v>
      </c>
      <c r="U36">
        <v>24193.66</v>
      </c>
      <c r="V36">
        <v>9405.68</v>
      </c>
      <c r="W36">
        <v>9540.76</v>
      </c>
      <c r="X36">
        <v>77139.240000000005</v>
      </c>
      <c r="Y36">
        <v>64848.57</v>
      </c>
    </row>
    <row r="37" spans="1:25" x14ac:dyDescent="0.25">
      <c r="A37" t="s">
        <v>79</v>
      </c>
      <c r="B37" s="1">
        <v>44937</v>
      </c>
      <c r="C37">
        <v>2023</v>
      </c>
      <c r="D37">
        <v>1</v>
      </c>
      <c r="E37" t="s">
        <v>26</v>
      </c>
      <c r="F37" t="s">
        <v>27</v>
      </c>
      <c r="G37" t="s">
        <v>28</v>
      </c>
      <c r="H37" t="s">
        <v>32</v>
      </c>
      <c r="I37" t="s">
        <v>33</v>
      </c>
      <c r="J37">
        <v>67</v>
      </c>
      <c r="K37">
        <v>1704.13</v>
      </c>
      <c r="L37">
        <v>114177</v>
      </c>
      <c r="M37">
        <v>58095.199999999997</v>
      </c>
      <c r="N37">
        <v>9732.11</v>
      </c>
      <c r="O37">
        <v>5841.33</v>
      </c>
      <c r="P37">
        <v>4468.95</v>
      </c>
      <c r="Q37">
        <v>1210.1099999999999</v>
      </c>
      <c r="R37">
        <v>5119.1000000000004</v>
      </c>
      <c r="S37">
        <v>2067.4899999999998</v>
      </c>
      <c r="T37">
        <v>86534.29</v>
      </c>
      <c r="U37">
        <v>56081.8</v>
      </c>
      <c r="V37">
        <v>27642.71</v>
      </c>
      <c r="W37">
        <v>27318.19</v>
      </c>
      <c r="X37">
        <v>122429.9</v>
      </c>
      <c r="Y37">
        <v>86057.3</v>
      </c>
    </row>
    <row r="38" spans="1:25" x14ac:dyDescent="0.25">
      <c r="A38" t="s">
        <v>80</v>
      </c>
      <c r="B38" s="1">
        <v>44937</v>
      </c>
      <c r="C38">
        <v>2023</v>
      </c>
      <c r="D38">
        <v>1</v>
      </c>
      <c r="E38" t="s">
        <v>26</v>
      </c>
      <c r="F38" t="s">
        <v>27</v>
      </c>
      <c r="G38" t="s">
        <v>28</v>
      </c>
      <c r="H38" t="s">
        <v>32</v>
      </c>
      <c r="I38" t="s">
        <v>37</v>
      </c>
      <c r="J38">
        <v>105</v>
      </c>
      <c r="K38">
        <v>841.74</v>
      </c>
      <c r="L38">
        <v>88383.12</v>
      </c>
      <c r="M38">
        <v>50751.96</v>
      </c>
      <c r="N38">
        <v>11456.67</v>
      </c>
      <c r="O38">
        <v>3645.61</v>
      </c>
      <c r="P38">
        <v>2343.84</v>
      </c>
      <c r="Q38">
        <v>1436.4</v>
      </c>
      <c r="R38">
        <v>2528.25</v>
      </c>
      <c r="S38">
        <v>1951.53</v>
      </c>
      <c r="T38">
        <v>74114.27</v>
      </c>
      <c r="U38">
        <v>37631.160000000003</v>
      </c>
      <c r="V38">
        <v>14268.84</v>
      </c>
      <c r="W38">
        <v>13619.24</v>
      </c>
      <c r="X38">
        <v>95993.66</v>
      </c>
      <c r="Y38">
        <v>71776.350000000006</v>
      </c>
    </row>
    <row r="39" spans="1:25" x14ac:dyDescent="0.25">
      <c r="A39" t="s">
        <v>81</v>
      </c>
      <c r="B39" s="1">
        <v>44937</v>
      </c>
      <c r="C39">
        <v>2023</v>
      </c>
      <c r="D39">
        <v>1</v>
      </c>
      <c r="E39" t="s">
        <v>26</v>
      </c>
      <c r="F39" t="s">
        <v>27</v>
      </c>
      <c r="G39" t="s">
        <v>44</v>
      </c>
      <c r="H39" t="s">
        <v>32</v>
      </c>
      <c r="I39" t="s">
        <v>56</v>
      </c>
      <c r="J39">
        <v>25</v>
      </c>
      <c r="K39">
        <v>1607.59</v>
      </c>
      <c r="L39">
        <v>40189.82</v>
      </c>
      <c r="M39">
        <v>24440.37</v>
      </c>
      <c r="N39">
        <v>2838.02</v>
      </c>
      <c r="O39">
        <v>1660.19</v>
      </c>
      <c r="P39">
        <v>1281.82</v>
      </c>
      <c r="Q39">
        <v>428.57</v>
      </c>
      <c r="R39">
        <v>1373.45</v>
      </c>
      <c r="S39">
        <v>396.26</v>
      </c>
      <c r="T39">
        <v>32418.68</v>
      </c>
      <c r="U39">
        <v>15749.45</v>
      </c>
      <c r="V39">
        <v>7771.14</v>
      </c>
      <c r="W39">
        <v>7206.31</v>
      </c>
      <c r="X39">
        <v>40128.6</v>
      </c>
      <c r="Y39">
        <v>35453.120000000003</v>
      </c>
    </row>
    <row r="40" spans="1:25" x14ac:dyDescent="0.25">
      <c r="A40" t="s">
        <v>82</v>
      </c>
      <c r="B40" s="1">
        <v>44937</v>
      </c>
      <c r="C40">
        <v>2023</v>
      </c>
      <c r="D40">
        <v>1</v>
      </c>
      <c r="E40" t="s">
        <v>26</v>
      </c>
      <c r="F40" t="s">
        <v>27</v>
      </c>
      <c r="G40" t="s">
        <v>44</v>
      </c>
      <c r="H40" t="s">
        <v>58</v>
      </c>
      <c r="I40" t="s">
        <v>45</v>
      </c>
      <c r="J40">
        <v>33</v>
      </c>
      <c r="K40">
        <v>1138.4000000000001</v>
      </c>
      <c r="L40">
        <v>37567.300000000003</v>
      </c>
      <c r="M40">
        <v>23419.66</v>
      </c>
      <c r="N40">
        <v>3055.34</v>
      </c>
      <c r="O40">
        <v>2038.59</v>
      </c>
      <c r="P40">
        <v>893.67</v>
      </c>
      <c r="Q40">
        <v>346.55</v>
      </c>
      <c r="R40">
        <v>1142.6400000000001</v>
      </c>
      <c r="S40">
        <v>502.78</v>
      </c>
      <c r="T40">
        <v>31399.22</v>
      </c>
      <c r="U40">
        <v>14147.64</v>
      </c>
      <c r="V40">
        <v>6168.07</v>
      </c>
      <c r="W40">
        <v>5664.64</v>
      </c>
      <c r="X40">
        <v>36823.089999999997</v>
      </c>
      <c r="Y40">
        <v>33698.769999999997</v>
      </c>
    </row>
    <row r="41" spans="1:25" x14ac:dyDescent="0.25">
      <c r="A41" t="s">
        <v>83</v>
      </c>
      <c r="B41" s="1">
        <v>44937</v>
      </c>
      <c r="C41">
        <v>2023</v>
      </c>
      <c r="D41">
        <v>1</v>
      </c>
      <c r="E41" t="s">
        <v>26</v>
      </c>
      <c r="F41" t="s">
        <v>27</v>
      </c>
      <c r="G41" t="s">
        <v>28</v>
      </c>
      <c r="H41" t="s">
        <v>32</v>
      </c>
      <c r="I41" t="s">
        <v>37</v>
      </c>
      <c r="J41">
        <v>69</v>
      </c>
      <c r="K41">
        <v>1087.19</v>
      </c>
      <c r="L41">
        <v>75015.97</v>
      </c>
      <c r="M41">
        <v>42744.62</v>
      </c>
      <c r="N41">
        <v>6900.08</v>
      </c>
      <c r="O41">
        <v>3888.76</v>
      </c>
      <c r="P41">
        <v>1229.56</v>
      </c>
      <c r="Q41">
        <v>1184.32</v>
      </c>
      <c r="R41">
        <v>3160.52</v>
      </c>
      <c r="S41">
        <v>846.7</v>
      </c>
      <c r="T41">
        <v>59954.559999999998</v>
      </c>
      <c r="U41">
        <v>32271.34</v>
      </c>
      <c r="V41">
        <v>15061.41</v>
      </c>
      <c r="W41">
        <v>15238.98</v>
      </c>
      <c r="X41">
        <v>76264.100000000006</v>
      </c>
      <c r="Y41">
        <v>58220.27</v>
      </c>
    </row>
    <row r="42" spans="1:25" x14ac:dyDescent="0.25">
      <c r="A42" t="s">
        <v>84</v>
      </c>
      <c r="B42" s="1">
        <v>44938</v>
      </c>
      <c r="C42">
        <v>2023</v>
      </c>
      <c r="D42">
        <v>1</v>
      </c>
      <c r="E42" t="s">
        <v>26</v>
      </c>
      <c r="F42" t="s">
        <v>27</v>
      </c>
      <c r="G42" t="s">
        <v>28</v>
      </c>
      <c r="H42" t="s">
        <v>29</v>
      </c>
      <c r="I42" t="s">
        <v>37</v>
      </c>
      <c r="J42">
        <v>63</v>
      </c>
      <c r="K42">
        <v>1425.05</v>
      </c>
      <c r="L42">
        <v>89778.28</v>
      </c>
      <c r="M42">
        <v>47890.23</v>
      </c>
      <c r="N42">
        <v>7336.5</v>
      </c>
      <c r="O42">
        <v>2562.84</v>
      </c>
      <c r="P42">
        <v>1838.06</v>
      </c>
      <c r="Q42">
        <v>674.77</v>
      </c>
      <c r="R42">
        <v>4000.87</v>
      </c>
      <c r="S42">
        <v>719.19</v>
      </c>
      <c r="T42">
        <v>65022.46</v>
      </c>
      <c r="U42">
        <v>41888.050000000003</v>
      </c>
      <c r="V42">
        <v>24755.82</v>
      </c>
      <c r="W42">
        <v>23417.3</v>
      </c>
      <c r="X42">
        <v>84842.18</v>
      </c>
      <c r="Y42">
        <v>69475.960000000006</v>
      </c>
    </row>
    <row r="43" spans="1:25" x14ac:dyDescent="0.25">
      <c r="A43" t="s">
        <v>85</v>
      </c>
      <c r="B43" s="1">
        <v>44938</v>
      </c>
      <c r="C43">
        <v>2023</v>
      </c>
      <c r="D43">
        <v>1</v>
      </c>
      <c r="E43" t="s">
        <v>26</v>
      </c>
      <c r="F43" t="s">
        <v>27</v>
      </c>
      <c r="G43" t="s">
        <v>28</v>
      </c>
      <c r="H43" t="s">
        <v>32</v>
      </c>
      <c r="I43" t="s">
        <v>33</v>
      </c>
      <c r="J43">
        <v>74</v>
      </c>
      <c r="K43">
        <v>1524.54</v>
      </c>
      <c r="L43">
        <v>112815.78</v>
      </c>
      <c r="M43">
        <v>75831.929999999993</v>
      </c>
      <c r="N43">
        <v>8716.18</v>
      </c>
      <c r="O43">
        <v>5722.6</v>
      </c>
      <c r="P43">
        <v>3557.42</v>
      </c>
      <c r="Q43">
        <v>1753.99</v>
      </c>
      <c r="R43">
        <v>6801.08</v>
      </c>
      <c r="S43">
        <v>1353.07</v>
      </c>
      <c r="T43">
        <v>103736.28</v>
      </c>
      <c r="U43">
        <v>36983.85</v>
      </c>
      <c r="V43">
        <v>9079.51</v>
      </c>
      <c r="W43">
        <v>8416.7099999999991</v>
      </c>
      <c r="X43">
        <v>103956.46</v>
      </c>
      <c r="Y43">
        <v>98609.58</v>
      </c>
    </row>
    <row r="44" spans="1:25" x14ac:dyDescent="0.25">
      <c r="A44" t="s">
        <v>86</v>
      </c>
      <c r="B44" s="1">
        <v>44938</v>
      </c>
      <c r="C44">
        <v>2023</v>
      </c>
      <c r="D44">
        <v>1</v>
      </c>
      <c r="E44" t="s">
        <v>26</v>
      </c>
      <c r="F44" t="s">
        <v>27</v>
      </c>
      <c r="G44" t="s">
        <v>44</v>
      </c>
      <c r="H44" t="s">
        <v>32</v>
      </c>
      <c r="I44" t="s">
        <v>37</v>
      </c>
      <c r="J44">
        <v>94</v>
      </c>
      <c r="K44">
        <v>865.54</v>
      </c>
      <c r="L44">
        <v>81361.2</v>
      </c>
      <c r="M44">
        <v>42727.19</v>
      </c>
      <c r="N44">
        <v>10126.049999999999</v>
      </c>
      <c r="O44">
        <v>5945.75</v>
      </c>
      <c r="P44">
        <v>3056.54</v>
      </c>
      <c r="Q44">
        <v>1385.45</v>
      </c>
      <c r="R44">
        <v>5121.3999999999996</v>
      </c>
      <c r="S44">
        <v>1061.1500000000001</v>
      </c>
      <c r="T44">
        <v>69423.55</v>
      </c>
      <c r="U44">
        <v>38634</v>
      </c>
      <c r="V44">
        <v>11937.65</v>
      </c>
      <c r="W44">
        <v>10903.6</v>
      </c>
      <c r="X44">
        <v>77696.789999999994</v>
      </c>
      <c r="Y44">
        <v>71663.009999999995</v>
      </c>
    </row>
    <row r="45" spans="1:25" x14ac:dyDescent="0.25">
      <c r="A45" t="s">
        <v>87</v>
      </c>
      <c r="B45" s="1">
        <v>44938</v>
      </c>
      <c r="C45">
        <v>2023</v>
      </c>
      <c r="D45">
        <v>1</v>
      </c>
      <c r="E45" t="s">
        <v>26</v>
      </c>
      <c r="F45" t="s">
        <v>27</v>
      </c>
      <c r="G45" t="s">
        <v>28</v>
      </c>
      <c r="H45" t="s">
        <v>36</v>
      </c>
      <c r="I45" t="s">
        <v>56</v>
      </c>
      <c r="J45">
        <v>36</v>
      </c>
      <c r="K45">
        <v>1251.21</v>
      </c>
      <c r="L45">
        <v>45043.38</v>
      </c>
      <c r="M45">
        <v>27449.87</v>
      </c>
      <c r="N45">
        <v>5395.71</v>
      </c>
      <c r="O45">
        <v>1725.97</v>
      </c>
      <c r="P45">
        <v>967.72</v>
      </c>
      <c r="Q45">
        <v>424.46</v>
      </c>
      <c r="R45">
        <v>1354.94</v>
      </c>
      <c r="S45">
        <v>945.78</v>
      </c>
      <c r="T45">
        <v>38264.44</v>
      </c>
      <c r="U45">
        <v>17593.509999999998</v>
      </c>
      <c r="V45">
        <v>6778.94</v>
      </c>
      <c r="W45">
        <v>6265.74</v>
      </c>
      <c r="X45">
        <v>43574.73</v>
      </c>
      <c r="Y45">
        <v>37801.47</v>
      </c>
    </row>
    <row r="46" spans="1:25" x14ac:dyDescent="0.25">
      <c r="A46" t="s">
        <v>88</v>
      </c>
      <c r="B46" s="1">
        <v>44938</v>
      </c>
      <c r="C46">
        <v>2023</v>
      </c>
      <c r="D46">
        <v>1</v>
      </c>
      <c r="E46" t="s">
        <v>26</v>
      </c>
      <c r="F46" t="s">
        <v>27</v>
      </c>
      <c r="G46" t="s">
        <v>55</v>
      </c>
      <c r="H46" t="s">
        <v>58</v>
      </c>
      <c r="I46" t="s">
        <v>50</v>
      </c>
      <c r="J46">
        <v>28</v>
      </c>
      <c r="K46">
        <v>1392.48</v>
      </c>
      <c r="L46">
        <v>38989.53</v>
      </c>
      <c r="M46">
        <v>19603.2</v>
      </c>
      <c r="N46">
        <v>4919.1000000000004</v>
      </c>
      <c r="O46">
        <v>2389.71</v>
      </c>
      <c r="P46">
        <v>1142.97</v>
      </c>
      <c r="Q46">
        <v>697.96</v>
      </c>
      <c r="R46">
        <v>2428.2199999999998</v>
      </c>
      <c r="S46">
        <v>834.2</v>
      </c>
      <c r="T46">
        <v>32015.360000000001</v>
      </c>
      <c r="U46">
        <v>19386.330000000002</v>
      </c>
      <c r="V46">
        <v>6974.17</v>
      </c>
      <c r="W46">
        <v>6866</v>
      </c>
      <c r="X46">
        <v>37169.31</v>
      </c>
      <c r="Y46">
        <v>33790.300000000003</v>
      </c>
    </row>
    <row r="47" spans="1:25" x14ac:dyDescent="0.25">
      <c r="A47" t="s">
        <v>89</v>
      </c>
      <c r="B47" s="1">
        <v>44939</v>
      </c>
      <c r="C47">
        <v>2023</v>
      </c>
      <c r="D47">
        <v>1</v>
      </c>
      <c r="E47" t="s">
        <v>26</v>
      </c>
      <c r="F47" t="s">
        <v>27</v>
      </c>
      <c r="G47" t="s">
        <v>35</v>
      </c>
      <c r="H47" t="s">
        <v>32</v>
      </c>
      <c r="I47" t="s">
        <v>33</v>
      </c>
      <c r="J47">
        <v>46</v>
      </c>
      <c r="K47">
        <v>1415.82</v>
      </c>
      <c r="L47">
        <v>65127.82</v>
      </c>
      <c r="M47">
        <v>38622.839999999997</v>
      </c>
      <c r="N47">
        <v>5224.96</v>
      </c>
      <c r="O47">
        <v>2218.2800000000002</v>
      </c>
      <c r="P47">
        <v>1418.64</v>
      </c>
      <c r="Q47">
        <v>704.61</v>
      </c>
      <c r="R47">
        <v>4202.66</v>
      </c>
      <c r="S47">
        <v>867.65</v>
      </c>
      <c r="T47">
        <v>53259.64</v>
      </c>
      <c r="U47">
        <v>26504.98</v>
      </c>
      <c r="V47">
        <v>11868.19</v>
      </c>
      <c r="W47">
        <v>11663.35</v>
      </c>
      <c r="X47">
        <v>71424</v>
      </c>
      <c r="Y47">
        <v>55345.16</v>
      </c>
    </row>
    <row r="48" spans="1:25" x14ac:dyDescent="0.25">
      <c r="A48" t="s">
        <v>90</v>
      </c>
      <c r="B48" s="1">
        <v>44939</v>
      </c>
      <c r="C48">
        <v>2023</v>
      </c>
      <c r="D48">
        <v>1</v>
      </c>
      <c r="E48" t="s">
        <v>26</v>
      </c>
      <c r="F48" t="s">
        <v>27</v>
      </c>
      <c r="G48" t="s">
        <v>28</v>
      </c>
      <c r="H48" t="s">
        <v>53</v>
      </c>
      <c r="I48" t="s">
        <v>65</v>
      </c>
      <c r="J48">
        <v>44</v>
      </c>
      <c r="K48">
        <v>1148.2</v>
      </c>
      <c r="L48">
        <v>50520.75</v>
      </c>
      <c r="M48">
        <v>26795.51</v>
      </c>
      <c r="N48">
        <v>6551.82</v>
      </c>
      <c r="O48">
        <v>2989.27</v>
      </c>
      <c r="P48">
        <v>1218.5</v>
      </c>
      <c r="Q48">
        <v>260.73</v>
      </c>
      <c r="R48">
        <v>1741.11</v>
      </c>
      <c r="S48">
        <v>1135.74</v>
      </c>
      <c r="T48">
        <v>40692.67</v>
      </c>
      <c r="U48">
        <v>23725.24</v>
      </c>
      <c r="V48">
        <v>9828.07</v>
      </c>
      <c r="W48">
        <v>9631.74</v>
      </c>
      <c r="X48">
        <v>47970.73</v>
      </c>
      <c r="Y48">
        <v>42456.61</v>
      </c>
    </row>
    <row r="49" spans="1:25" x14ac:dyDescent="0.25">
      <c r="A49" t="s">
        <v>91</v>
      </c>
      <c r="B49" s="1">
        <v>44939</v>
      </c>
      <c r="C49">
        <v>2023</v>
      </c>
      <c r="D49">
        <v>1</v>
      </c>
      <c r="E49" t="s">
        <v>26</v>
      </c>
      <c r="F49" t="s">
        <v>27</v>
      </c>
      <c r="G49" t="s">
        <v>28</v>
      </c>
      <c r="H49" t="s">
        <v>32</v>
      </c>
      <c r="I49" t="s">
        <v>30</v>
      </c>
      <c r="J49">
        <v>62</v>
      </c>
      <c r="K49">
        <v>1449.56</v>
      </c>
      <c r="L49">
        <v>89872.78</v>
      </c>
      <c r="M49">
        <v>43342.21</v>
      </c>
      <c r="N49">
        <v>7485.11</v>
      </c>
      <c r="O49">
        <v>3821.11</v>
      </c>
      <c r="P49">
        <v>1833.39</v>
      </c>
      <c r="Q49">
        <v>514.91999999999996</v>
      </c>
      <c r="R49">
        <v>4391.32</v>
      </c>
      <c r="S49">
        <v>1955.54</v>
      </c>
      <c r="T49">
        <v>63343.59</v>
      </c>
      <c r="U49">
        <v>46530.58</v>
      </c>
      <c r="V49">
        <v>26529.19</v>
      </c>
      <c r="W49">
        <v>24532.89</v>
      </c>
      <c r="X49">
        <v>94838.66</v>
      </c>
      <c r="Y49">
        <v>62000.73</v>
      </c>
    </row>
    <row r="50" spans="1:25" x14ac:dyDescent="0.25">
      <c r="A50" t="s">
        <v>92</v>
      </c>
      <c r="B50" s="1">
        <v>44940</v>
      </c>
      <c r="C50">
        <v>2023</v>
      </c>
      <c r="D50">
        <v>1</v>
      </c>
      <c r="E50" t="s">
        <v>26</v>
      </c>
      <c r="F50" t="s">
        <v>27</v>
      </c>
      <c r="G50" t="s">
        <v>35</v>
      </c>
      <c r="H50" t="s">
        <v>29</v>
      </c>
      <c r="I50" t="s">
        <v>65</v>
      </c>
      <c r="J50">
        <v>54</v>
      </c>
      <c r="K50">
        <v>1029.28</v>
      </c>
      <c r="L50">
        <v>55580.99</v>
      </c>
      <c r="M50">
        <v>37783.22</v>
      </c>
      <c r="N50">
        <v>4343.57</v>
      </c>
      <c r="O50">
        <v>3340.95</v>
      </c>
      <c r="P50">
        <v>1478.15</v>
      </c>
      <c r="Q50">
        <v>400.13</v>
      </c>
      <c r="R50">
        <v>2384.19</v>
      </c>
      <c r="S50">
        <v>947.37</v>
      </c>
      <c r="T50">
        <v>50677.59</v>
      </c>
      <c r="U50">
        <v>17797.77</v>
      </c>
      <c r="V50">
        <v>4903.3999999999996</v>
      </c>
      <c r="W50">
        <v>4722.67</v>
      </c>
      <c r="X50">
        <v>58329.919999999998</v>
      </c>
      <c r="Y50">
        <v>54906.48</v>
      </c>
    </row>
    <row r="51" spans="1:25" x14ac:dyDescent="0.25">
      <c r="A51" t="s">
        <v>93</v>
      </c>
      <c r="B51" s="1">
        <v>44940</v>
      </c>
      <c r="C51">
        <v>2023</v>
      </c>
      <c r="D51">
        <v>1</v>
      </c>
      <c r="E51" t="s">
        <v>26</v>
      </c>
      <c r="F51" t="s">
        <v>27</v>
      </c>
      <c r="G51" t="s">
        <v>28</v>
      </c>
      <c r="H51" t="s">
        <v>53</v>
      </c>
      <c r="I51" t="s">
        <v>65</v>
      </c>
      <c r="J51">
        <v>40</v>
      </c>
      <c r="K51">
        <v>1153.52</v>
      </c>
      <c r="L51">
        <v>46140.68</v>
      </c>
      <c r="M51">
        <v>22428.3</v>
      </c>
      <c r="N51">
        <v>5738.7</v>
      </c>
      <c r="O51">
        <v>1928.05</v>
      </c>
      <c r="P51">
        <v>1847.91</v>
      </c>
      <c r="Q51">
        <v>301.2</v>
      </c>
      <c r="R51">
        <v>2035.96</v>
      </c>
      <c r="S51">
        <v>808.74</v>
      </c>
      <c r="T51">
        <v>35088.86</v>
      </c>
      <c r="U51">
        <v>23712.38</v>
      </c>
      <c r="V51">
        <v>11051.83</v>
      </c>
      <c r="W51">
        <v>10455.09</v>
      </c>
      <c r="X51">
        <v>47996.84</v>
      </c>
      <c r="Y51">
        <v>38211.019999999997</v>
      </c>
    </row>
    <row r="52" spans="1:25" x14ac:dyDescent="0.25">
      <c r="A52" t="s">
        <v>94</v>
      </c>
      <c r="B52" s="1">
        <v>44940</v>
      </c>
      <c r="C52">
        <v>2023</v>
      </c>
      <c r="D52">
        <v>1</v>
      </c>
      <c r="E52" t="s">
        <v>26</v>
      </c>
      <c r="F52" t="s">
        <v>27</v>
      </c>
      <c r="G52" t="s">
        <v>28</v>
      </c>
      <c r="H52" t="s">
        <v>29</v>
      </c>
      <c r="I52" t="s">
        <v>65</v>
      </c>
      <c r="J52">
        <v>79</v>
      </c>
      <c r="K52">
        <v>901.43</v>
      </c>
      <c r="L52">
        <v>71212.87</v>
      </c>
      <c r="M52">
        <v>35911.279999999999</v>
      </c>
      <c r="N52">
        <v>6572.45</v>
      </c>
      <c r="O52">
        <v>5215.25</v>
      </c>
      <c r="P52">
        <v>1696.23</v>
      </c>
      <c r="Q52">
        <v>577.98</v>
      </c>
      <c r="R52">
        <v>2567.12</v>
      </c>
      <c r="S52">
        <v>958.14</v>
      </c>
      <c r="T52">
        <v>53498.44</v>
      </c>
      <c r="U52">
        <v>35301.589999999997</v>
      </c>
      <c r="V52">
        <v>17714.43</v>
      </c>
      <c r="W52">
        <v>17448.060000000001</v>
      </c>
      <c r="X52">
        <v>66862.460000000006</v>
      </c>
      <c r="Y52">
        <v>54146.559999999998</v>
      </c>
    </row>
    <row r="53" spans="1:25" x14ac:dyDescent="0.25">
      <c r="A53" t="s">
        <v>95</v>
      </c>
      <c r="B53" s="1">
        <v>44941</v>
      </c>
      <c r="C53">
        <v>2023</v>
      </c>
      <c r="D53">
        <v>1</v>
      </c>
      <c r="E53" t="s">
        <v>26</v>
      </c>
      <c r="F53" t="s">
        <v>27</v>
      </c>
      <c r="G53" t="s">
        <v>55</v>
      </c>
      <c r="H53" t="s">
        <v>32</v>
      </c>
      <c r="I53" t="s">
        <v>45</v>
      </c>
      <c r="J53">
        <v>39</v>
      </c>
      <c r="K53">
        <v>1624.59</v>
      </c>
      <c r="L53">
        <v>63358.91</v>
      </c>
      <c r="M53">
        <v>31460.66</v>
      </c>
      <c r="N53">
        <v>4474.51</v>
      </c>
      <c r="O53">
        <v>4405.95</v>
      </c>
      <c r="P53">
        <v>2004.23</v>
      </c>
      <c r="Q53">
        <v>1051.97</v>
      </c>
      <c r="R53">
        <v>2594.25</v>
      </c>
      <c r="S53">
        <v>1160.97</v>
      </c>
      <c r="T53">
        <v>47152.55</v>
      </c>
      <c r="U53">
        <v>31898.240000000002</v>
      </c>
      <c r="V53">
        <v>16206.36</v>
      </c>
      <c r="W53">
        <v>14930.77</v>
      </c>
      <c r="X53">
        <v>61565.21</v>
      </c>
      <c r="Y53">
        <v>43910.69</v>
      </c>
    </row>
    <row r="54" spans="1:25" x14ac:dyDescent="0.25">
      <c r="A54" t="s">
        <v>96</v>
      </c>
      <c r="B54" s="1">
        <v>44941</v>
      </c>
      <c r="C54">
        <v>2023</v>
      </c>
      <c r="D54">
        <v>1</v>
      </c>
      <c r="E54" t="s">
        <v>26</v>
      </c>
      <c r="F54" t="s">
        <v>27</v>
      </c>
      <c r="G54" t="s">
        <v>44</v>
      </c>
      <c r="H54" t="s">
        <v>58</v>
      </c>
      <c r="I54" t="s">
        <v>50</v>
      </c>
      <c r="J54">
        <v>34</v>
      </c>
      <c r="K54">
        <v>1545.66</v>
      </c>
      <c r="L54">
        <v>52552.52</v>
      </c>
      <c r="M54">
        <v>31228.14</v>
      </c>
      <c r="N54">
        <v>5223.25</v>
      </c>
      <c r="O54">
        <v>2264.91</v>
      </c>
      <c r="P54">
        <v>2230.7199999999998</v>
      </c>
      <c r="Q54">
        <v>436.03</v>
      </c>
      <c r="R54">
        <v>2306.19</v>
      </c>
      <c r="S54">
        <v>854.15</v>
      </c>
      <c r="T54">
        <v>44543.4</v>
      </c>
      <c r="U54">
        <v>21324.37</v>
      </c>
      <c r="V54">
        <v>8009.12</v>
      </c>
      <c r="W54">
        <v>7590.41</v>
      </c>
      <c r="X54">
        <v>54342.59</v>
      </c>
      <c r="Y54">
        <v>47021.38</v>
      </c>
    </row>
    <row r="55" spans="1:25" x14ac:dyDescent="0.25">
      <c r="A55" t="s">
        <v>97</v>
      </c>
      <c r="B55" s="1">
        <v>44941</v>
      </c>
      <c r="C55">
        <v>2023</v>
      </c>
      <c r="D55">
        <v>1</v>
      </c>
      <c r="E55" t="s">
        <v>26</v>
      </c>
      <c r="F55" t="s">
        <v>27</v>
      </c>
      <c r="G55" t="s">
        <v>55</v>
      </c>
      <c r="H55" t="s">
        <v>53</v>
      </c>
      <c r="I55" t="s">
        <v>56</v>
      </c>
      <c r="J55">
        <v>19</v>
      </c>
      <c r="K55">
        <v>1662.47</v>
      </c>
      <c r="L55">
        <v>31586.87</v>
      </c>
      <c r="M55">
        <v>16400.25</v>
      </c>
      <c r="N55">
        <v>2469.54</v>
      </c>
      <c r="O55">
        <v>1922.25</v>
      </c>
      <c r="P55">
        <v>1322.66</v>
      </c>
      <c r="Q55">
        <v>192.59</v>
      </c>
      <c r="R55">
        <v>1568.56</v>
      </c>
      <c r="S55">
        <v>365.37</v>
      </c>
      <c r="T55">
        <v>24241.22</v>
      </c>
      <c r="U55">
        <v>15186.63</v>
      </c>
      <c r="V55">
        <v>7345.66</v>
      </c>
      <c r="W55">
        <v>6798.06</v>
      </c>
      <c r="X55">
        <v>34708.71</v>
      </c>
      <c r="Y55">
        <v>22680.04</v>
      </c>
    </row>
    <row r="56" spans="1:25" x14ac:dyDescent="0.25">
      <c r="A56" t="s">
        <v>98</v>
      </c>
      <c r="B56" s="1">
        <v>44942</v>
      </c>
      <c r="C56">
        <v>2023</v>
      </c>
      <c r="D56">
        <v>1</v>
      </c>
      <c r="E56" t="s">
        <v>26</v>
      </c>
      <c r="F56" t="s">
        <v>27</v>
      </c>
      <c r="G56" t="s">
        <v>28</v>
      </c>
      <c r="H56" t="s">
        <v>53</v>
      </c>
      <c r="I56" t="s">
        <v>65</v>
      </c>
      <c r="J56">
        <v>48</v>
      </c>
      <c r="K56">
        <v>911.79</v>
      </c>
      <c r="L56">
        <v>43766.080000000002</v>
      </c>
      <c r="M56">
        <v>29190.06</v>
      </c>
      <c r="N56">
        <v>3566.05</v>
      </c>
      <c r="O56">
        <v>1785.59</v>
      </c>
      <c r="P56">
        <v>709.94</v>
      </c>
      <c r="Q56">
        <v>417.5</v>
      </c>
      <c r="R56">
        <v>1438.04</v>
      </c>
      <c r="S56">
        <v>533.4</v>
      </c>
      <c r="T56">
        <v>37640.589999999997</v>
      </c>
      <c r="U56">
        <v>14576.02</v>
      </c>
      <c r="V56">
        <v>6125.5</v>
      </c>
      <c r="W56">
        <v>5488.57</v>
      </c>
      <c r="X56">
        <v>41836.980000000003</v>
      </c>
      <c r="Y56">
        <v>39279.230000000003</v>
      </c>
    </row>
    <row r="57" spans="1:25" x14ac:dyDescent="0.25">
      <c r="A57" t="s">
        <v>99</v>
      </c>
      <c r="B57" s="1">
        <v>44943</v>
      </c>
      <c r="C57">
        <v>2023</v>
      </c>
      <c r="D57">
        <v>1</v>
      </c>
      <c r="E57" t="s">
        <v>26</v>
      </c>
      <c r="F57" t="s">
        <v>27</v>
      </c>
      <c r="G57" t="s">
        <v>44</v>
      </c>
      <c r="H57" t="s">
        <v>36</v>
      </c>
      <c r="I57" t="s">
        <v>30</v>
      </c>
      <c r="J57">
        <v>41</v>
      </c>
      <c r="K57">
        <v>1784.01</v>
      </c>
      <c r="L57">
        <v>73144.45</v>
      </c>
      <c r="M57">
        <v>49451.37</v>
      </c>
      <c r="N57">
        <v>5446.94</v>
      </c>
      <c r="O57">
        <v>4074.1</v>
      </c>
      <c r="P57">
        <v>3140.32</v>
      </c>
      <c r="Q57">
        <v>592.44000000000005</v>
      </c>
      <c r="R57">
        <v>3129.19</v>
      </c>
      <c r="S57">
        <v>858.07</v>
      </c>
      <c r="T57">
        <v>66692.429999999993</v>
      </c>
      <c r="U57">
        <v>23693.08</v>
      </c>
      <c r="V57">
        <v>6452.01</v>
      </c>
      <c r="W57">
        <v>5770.91</v>
      </c>
      <c r="X57">
        <v>67547.42</v>
      </c>
      <c r="Y57">
        <v>67815.44</v>
      </c>
    </row>
    <row r="58" spans="1:25" x14ac:dyDescent="0.25">
      <c r="A58" t="s">
        <v>100</v>
      </c>
      <c r="B58" s="1">
        <v>44943</v>
      </c>
      <c r="C58">
        <v>2023</v>
      </c>
      <c r="D58">
        <v>1</v>
      </c>
      <c r="E58" t="s">
        <v>26</v>
      </c>
      <c r="F58" t="s">
        <v>27</v>
      </c>
      <c r="G58" t="s">
        <v>55</v>
      </c>
      <c r="H58" t="s">
        <v>53</v>
      </c>
      <c r="I58" t="s">
        <v>50</v>
      </c>
      <c r="J58">
        <v>47</v>
      </c>
      <c r="K58">
        <v>1208.3</v>
      </c>
      <c r="L58">
        <v>56790.2</v>
      </c>
      <c r="M58">
        <v>29961.79</v>
      </c>
      <c r="N58">
        <v>4882.9799999999996</v>
      </c>
      <c r="O58">
        <v>1678.38</v>
      </c>
      <c r="P58">
        <v>1292.7</v>
      </c>
      <c r="Q58">
        <v>418.2</v>
      </c>
      <c r="R58">
        <v>3159.27</v>
      </c>
      <c r="S58">
        <v>1181.03</v>
      </c>
      <c r="T58">
        <v>42574.36</v>
      </c>
      <c r="U58">
        <v>26828.41</v>
      </c>
      <c r="V58">
        <v>14215.84</v>
      </c>
      <c r="W58">
        <v>12912.18</v>
      </c>
      <c r="X58">
        <v>54675.59</v>
      </c>
      <c r="Y58">
        <v>40893.29</v>
      </c>
    </row>
    <row r="59" spans="1:25" x14ac:dyDescent="0.25">
      <c r="A59" t="s">
        <v>101</v>
      </c>
      <c r="B59" s="1">
        <v>44943</v>
      </c>
      <c r="C59">
        <v>2023</v>
      </c>
      <c r="D59">
        <v>1</v>
      </c>
      <c r="E59" t="s">
        <v>26</v>
      </c>
      <c r="F59" t="s">
        <v>27</v>
      </c>
      <c r="G59" t="s">
        <v>28</v>
      </c>
      <c r="H59" t="s">
        <v>53</v>
      </c>
      <c r="I59" t="s">
        <v>39</v>
      </c>
      <c r="J59">
        <v>28</v>
      </c>
      <c r="K59">
        <v>1527.52</v>
      </c>
      <c r="L59">
        <v>42770.54</v>
      </c>
      <c r="M59">
        <v>22039.7</v>
      </c>
      <c r="N59">
        <v>4506.4799999999996</v>
      </c>
      <c r="O59">
        <v>2224.85</v>
      </c>
      <c r="P59">
        <v>1658.07</v>
      </c>
      <c r="Q59">
        <v>500.2</v>
      </c>
      <c r="R59">
        <v>1805.01</v>
      </c>
      <c r="S59">
        <v>714.14</v>
      </c>
      <c r="T59">
        <v>33448.449999999997</v>
      </c>
      <c r="U59">
        <v>20730.84</v>
      </c>
      <c r="V59">
        <v>9322.09</v>
      </c>
      <c r="W59">
        <v>8937.0300000000007</v>
      </c>
      <c r="X59">
        <v>44596.43</v>
      </c>
      <c r="Y59">
        <v>33028.94</v>
      </c>
    </row>
    <row r="60" spans="1:25" x14ac:dyDescent="0.25">
      <c r="A60" t="s">
        <v>102</v>
      </c>
      <c r="B60" s="1">
        <v>44943</v>
      </c>
      <c r="C60">
        <v>2023</v>
      </c>
      <c r="D60">
        <v>1</v>
      </c>
      <c r="E60" t="s">
        <v>26</v>
      </c>
      <c r="F60" t="s">
        <v>27</v>
      </c>
      <c r="G60" t="s">
        <v>28</v>
      </c>
      <c r="H60" t="s">
        <v>36</v>
      </c>
      <c r="I60" t="s">
        <v>33</v>
      </c>
      <c r="J60">
        <v>44</v>
      </c>
      <c r="K60">
        <v>1548.63</v>
      </c>
      <c r="L60">
        <v>68139.55</v>
      </c>
      <c r="M60">
        <v>44156.31</v>
      </c>
      <c r="N60">
        <v>7624.12</v>
      </c>
      <c r="O60">
        <v>4074.1</v>
      </c>
      <c r="P60">
        <v>1964.11</v>
      </c>
      <c r="Q60">
        <v>1037.71</v>
      </c>
      <c r="R60">
        <v>2803.12</v>
      </c>
      <c r="S60">
        <v>1511.75</v>
      </c>
      <c r="T60">
        <v>63171.21</v>
      </c>
      <c r="U60">
        <v>23983.24</v>
      </c>
      <c r="V60">
        <v>4968.34</v>
      </c>
      <c r="W60">
        <v>4756.51</v>
      </c>
      <c r="X60">
        <v>65434.93</v>
      </c>
      <c r="Y60">
        <v>59048.69</v>
      </c>
    </row>
    <row r="61" spans="1:25" x14ac:dyDescent="0.25">
      <c r="A61" t="s">
        <v>103</v>
      </c>
      <c r="B61" s="1">
        <v>44943</v>
      </c>
      <c r="C61">
        <v>2023</v>
      </c>
      <c r="D61">
        <v>1</v>
      </c>
      <c r="E61" t="s">
        <v>26</v>
      </c>
      <c r="F61" t="s">
        <v>27</v>
      </c>
      <c r="G61" t="s">
        <v>35</v>
      </c>
      <c r="H61" t="s">
        <v>29</v>
      </c>
      <c r="I61" t="s">
        <v>30</v>
      </c>
      <c r="J61">
        <v>105</v>
      </c>
      <c r="K61">
        <v>864.03</v>
      </c>
      <c r="L61">
        <v>90722.83</v>
      </c>
      <c r="M61">
        <v>43765.599999999999</v>
      </c>
      <c r="N61">
        <v>7955.07</v>
      </c>
      <c r="O61">
        <v>6576.08</v>
      </c>
      <c r="P61">
        <v>1705.45</v>
      </c>
      <c r="Q61">
        <v>1108.0899999999999</v>
      </c>
      <c r="R61">
        <v>4855.6899999999996</v>
      </c>
      <c r="S61">
        <v>1617.03</v>
      </c>
      <c r="T61">
        <v>67583</v>
      </c>
      <c r="U61">
        <v>46957.23</v>
      </c>
      <c r="V61">
        <v>23139.83</v>
      </c>
      <c r="W61">
        <v>22423.09</v>
      </c>
      <c r="X61">
        <v>85086.51</v>
      </c>
      <c r="Y61">
        <v>67319.44</v>
      </c>
    </row>
    <row r="62" spans="1:25" x14ac:dyDescent="0.25">
      <c r="A62" t="s">
        <v>104</v>
      </c>
      <c r="B62" s="1">
        <v>44943</v>
      </c>
      <c r="C62">
        <v>2023</v>
      </c>
      <c r="D62">
        <v>1</v>
      </c>
      <c r="E62" t="s">
        <v>26</v>
      </c>
      <c r="F62" t="s">
        <v>27</v>
      </c>
      <c r="G62" t="s">
        <v>55</v>
      </c>
      <c r="H62" t="s">
        <v>32</v>
      </c>
      <c r="I62" t="s">
        <v>65</v>
      </c>
      <c r="J62">
        <v>56</v>
      </c>
      <c r="K62">
        <v>1654.03</v>
      </c>
      <c r="L62">
        <v>92625.71</v>
      </c>
      <c r="M62">
        <v>44861.97</v>
      </c>
      <c r="N62">
        <v>8111.9</v>
      </c>
      <c r="O62">
        <v>2949.1</v>
      </c>
      <c r="P62">
        <v>2735.53</v>
      </c>
      <c r="Q62">
        <v>1594.82</v>
      </c>
      <c r="R62">
        <v>4956.96</v>
      </c>
      <c r="S62">
        <v>1417.81</v>
      </c>
      <c r="T62">
        <v>66628.09</v>
      </c>
      <c r="U62">
        <v>47763.74</v>
      </c>
      <c r="V62">
        <v>25997.62</v>
      </c>
      <c r="W62">
        <v>26416.25</v>
      </c>
      <c r="X62">
        <v>87695.67</v>
      </c>
      <c r="Y62">
        <v>71177.52</v>
      </c>
    </row>
    <row r="63" spans="1:25" x14ac:dyDescent="0.25">
      <c r="A63" t="s">
        <v>105</v>
      </c>
      <c r="B63" s="1">
        <v>44944</v>
      </c>
      <c r="C63">
        <v>2023</v>
      </c>
      <c r="D63">
        <v>1</v>
      </c>
      <c r="E63" t="s">
        <v>26</v>
      </c>
      <c r="F63" t="s">
        <v>27</v>
      </c>
      <c r="G63" t="s">
        <v>55</v>
      </c>
      <c r="H63" t="s">
        <v>32</v>
      </c>
      <c r="I63" t="s">
        <v>50</v>
      </c>
      <c r="J63">
        <v>59</v>
      </c>
      <c r="K63">
        <v>884.94</v>
      </c>
      <c r="L63">
        <v>52211.59</v>
      </c>
      <c r="M63">
        <v>25387.16</v>
      </c>
      <c r="N63">
        <v>5412.78</v>
      </c>
      <c r="O63">
        <v>2207.5</v>
      </c>
      <c r="P63">
        <v>1225.31</v>
      </c>
      <c r="Q63">
        <v>895.16</v>
      </c>
      <c r="R63">
        <v>1915.15</v>
      </c>
      <c r="S63">
        <v>1038.68</v>
      </c>
      <c r="T63">
        <v>38081.74</v>
      </c>
      <c r="U63">
        <v>26824.42</v>
      </c>
      <c r="V63">
        <v>14129.85</v>
      </c>
      <c r="W63">
        <v>13370.31</v>
      </c>
      <c r="X63">
        <v>52177.69</v>
      </c>
      <c r="Y63">
        <v>37529.440000000002</v>
      </c>
    </row>
    <row r="64" spans="1:25" x14ac:dyDescent="0.25">
      <c r="A64" t="s">
        <v>106</v>
      </c>
      <c r="B64" s="1">
        <v>44944</v>
      </c>
      <c r="C64">
        <v>2023</v>
      </c>
      <c r="D64">
        <v>1</v>
      </c>
      <c r="E64" t="s">
        <v>26</v>
      </c>
      <c r="F64" t="s">
        <v>27</v>
      </c>
      <c r="G64" t="s">
        <v>44</v>
      </c>
      <c r="H64" t="s">
        <v>32</v>
      </c>
      <c r="I64" t="s">
        <v>37</v>
      </c>
      <c r="J64">
        <v>76</v>
      </c>
      <c r="K64">
        <v>934.38</v>
      </c>
      <c r="L64">
        <v>71012.73</v>
      </c>
      <c r="M64">
        <v>46373.35</v>
      </c>
      <c r="N64">
        <v>9011.07</v>
      </c>
      <c r="O64">
        <v>4841.6499999999996</v>
      </c>
      <c r="P64">
        <v>1762.8</v>
      </c>
      <c r="Q64">
        <v>714.21</v>
      </c>
      <c r="R64">
        <v>4434.99</v>
      </c>
      <c r="S64">
        <v>849.15</v>
      </c>
      <c r="T64">
        <v>67987.22</v>
      </c>
      <c r="U64">
        <v>24639.37</v>
      </c>
      <c r="V64">
        <v>3025.51</v>
      </c>
      <c r="W64">
        <v>2830.32</v>
      </c>
      <c r="X64">
        <v>78228.11</v>
      </c>
      <c r="Y64">
        <v>70714.19</v>
      </c>
    </row>
    <row r="65" spans="1:25" x14ac:dyDescent="0.25">
      <c r="A65" t="s">
        <v>107</v>
      </c>
      <c r="B65" s="1">
        <v>44945</v>
      </c>
      <c r="C65">
        <v>2023</v>
      </c>
      <c r="D65">
        <v>1</v>
      </c>
      <c r="E65" t="s">
        <v>26</v>
      </c>
      <c r="F65" t="s">
        <v>27</v>
      </c>
      <c r="G65" t="s">
        <v>35</v>
      </c>
      <c r="H65" t="s">
        <v>58</v>
      </c>
      <c r="I65" t="s">
        <v>56</v>
      </c>
      <c r="J65">
        <v>22</v>
      </c>
      <c r="K65">
        <v>1220.49</v>
      </c>
      <c r="L65">
        <v>26850.89</v>
      </c>
      <c r="M65">
        <v>13286.73</v>
      </c>
      <c r="N65">
        <v>2203.6999999999998</v>
      </c>
      <c r="O65">
        <v>790.48</v>
      </c>
      <c r="P65">
        <v>1019.75</v>
      </c>
      <c r="Q65">
        <v>198.16</v>
      </c>
      <c r="R65">
        <v>738.34</v>
      </c>
      <c r="S65">
        <v>217.66</v>
      </c>
      <c r="T65">
        <v>18454.82</v>
      </c>
      <c r="U65">
        <v>13564.16</v>
      </c>
      <c r="V65">
        <v>8396.07</v>
      </c>
      <c r="W65">
        <v>7922.05</v>
      </c>
      <c r="X65">
        <v>28586.46</v>
      </c>
      <c r="Y65">
        <v>19872.099999999999</v>
      </c>
    </row>
    <row r="66" spans="1:25" x14ac:dyDescent="0.25">
      <c r="A66" t="s">
        <v>108</v>
      </c>
      <c r="B66" s="1">
        <v>44945</v>
      </c>
      <c r="C66">
        <v>2023</v>
      </c>
      <c r="D66">
        <v>1</v>
      </c>
      <c r="E66" t="s">
        <v>26</v>
      </c>
      <c r="F66" t="s">
        <v>27</v>
      </c>
      <c r="G66" t="s">
        <v>28</v>
      </c>
      <c r="H66" t="s">
        <v>32</v>
      </c>
      <c r="I66" t="s">
        <v>56</v>
      </c>
      <c r="J66">
        <v>27</v>
      </c>
      <c r="K66">
        <v>1502.65</v>
      </c>
      <c r="L66">
        <v>40571.629999999997</v>
      </c>
      <c r="M66">
        <v>24041.61</v>
      </c>
      <c r="N66">
        <v>3233.35</v>
      </c>
      <c r="O66">
        <v>2483.12</v>
      </c>
      <c r="P66">
        <v>761.28</v>
      </c>
      <c r="Q66">
        <v>508.77</v>
      </c>
      <c r="R66">
        <v>2298.5500000000002</v>
      </c>
      <c r="S66">
        <v>472.9</v>
      </c>
      <c r="T66">
        <v>33799.57</v>
      </c>
      <c r="U66">
        <v>16530.02</v>
      </c>
      <c r="V66">
        <v>6772.05</v>
      </c>
      <c r="W66">
        <v>5994.91</v>
      </c>
      <c r="X66">
        <v>44148.59</v>
      </c>
      <c r="Y66">
        <v>37176.29</v>
      </c>
    </row>
    <row r="67" spans="1:25" x14ac:dyDescent="0.25">
      <c r="A67" t="s">
        <v>109</v>
      </c>
      <c r="B67" s="1">
        <v>44945</v>
      </c>
      <c r="C67">
        <v>2023</v>
      </c>
      <c r="D67">
        <v>1</v>
      </c>
      <c r="E67" t="s">
        <v>26</v>
      </c>
      <c r="F67" t="s">
        <v>27</v>
      </c>
      <c r="G67" t="s">
        <v>44</v>
      </c>
      <c r="H67" t="s">
        <v>58</v>
      </c>
      <c r="I67" t="s">
        <v>37</v>
      </c>
      <c r="J67">
        <v>63</v>
      </c>
      <c r="K67">
        <v>838.74</v>
      </c>
      <c r="L67">
        <v>52840.85</v>
      </c>
      <c r="M67">
        <v>31163.91</v>
      </c>
      <c r="N67">
        <v>5070.3599999999997</v>
      </c>
      <c r="O67">
        <v>3521.62</v>
      </c>
      <c r="P67">
        <v>1144.76</v>
      </c>
      <c r="Q67">
        <v>628.1</v>
      </c>
      <c r="R67">
        <v>2617.7600000000002</v>
      </c>
      <c r="S67">
        <v>1292.6199999999999</v>
      </c>
      <c r="T67">
        <v>45439.13</v>
      </c>
      <c r="U67">
        <v>21676.94</v>
      </c>
      <c r="V67">
        <v>7401.72</v>
      </c>
      <c r="W67">
        <v>6829.34</v>
      </c>
      <c r="X67">
        <v>54507.58</v>
      </c>
      <c r="Y67">
        <v>49434.19</v>
      </c>
    </row>
    <row r="68" spans="1:25" x14ac:dyDescent="0.25">
      <c r="A68" t="s">
        <v>110</v>
      </c>
      <c r="B68" s="1">
        <v>44945</v>
      </c>
      <c r="C68">
        <v>2023</v>
      </c>
      <c r="D68">
        <v>1</v>
      </c>
      <c r="E68" t="s">
        <v>26</v>
      </c>
      <c r="F68" t="s">
        <v>27</v>
      </c>
      <c r="G68" t="s">
        <v>28</v>
      </c>
      <c r="H68" t="s">
        <v>36</v>
      </c>
      <c r="I68" t="s">
        <v>50</v>
      </c>
      <c r="J68">
        <v>38</v>
      </c>
      <c r="K68">
        <v>1586.31</v>
      </c>
      <c r="L68">
        <v>60279.73</v>
      </c>
      <c r="M68">
        <v>34922.06</v>
      </c>
      <c r="N68">
        <v>7089.8</v>
      </c>
      <c r="O68">
        <v>2206.83</v>
      </c>
      <c r="P68">
        <v>2667.39</v>
      </c>
      <c r="Q68">
        <v>780.55</v>
      </c>
      <c r="R68">
        <v>2500.3000000000002</v>
      </c>
      <c r="S68">
        <v>1099.22</v>
      </c>
      <c r="T68">
        <v>51266.15</v>
      </c>
      <c r="U68">
        <v>25357.67</v>
      </c>
      <c r="V68">
        <v>9013.58</v>
      </c>
      <c r="W68">
        <v>9007.33</v>
      </c>
      <c r="X68">
        <v>59549.15</v>
      </c>
      <c r="Y68">
        <v>50102.81</v>
      </c>
    </row>
    <row r="69" spans="1:25" x14ac:dyDescent="0.25">
      <c r="A69" t="s">
        <v>111</v>
      </c>
      <c r="B69" s="1">
        <v>44945</v>
      </c>
      <c r="C69">
        <v>2023</v>
      </c>
      <c r="D69">
        <v>1</v>
      </c>
      <c r="E69" t="s">
        <v>26</v>
      </c>
      <c r="F69" t="s">
        <v>27</v>
      </c>
      <c r="G69" t="s">
        <v>55</v>
      </c>
      <c r="H69" t="s">
        <v>36</v>
      </c>
      <c r="I69" t="s">
        <v>50</v>
      </c>
      <c r="J69">
        <v>72</v>
      </c>
      <c r="K69">
        <v>956.13</v>
      </c>
      <c r="L69">
        <v>68841.119999999995</v>
      </c>
      <c r="M69">
        <v>41221.81</v>
      </c>
      <c r="N69">
        <v>8215.07</v>
      </c>
      <c r="O69">
        <v>2966.2</v>
      </c>
      <c r="P69">
        <v>1929.75</v>
      </c>
      <c r="Q69">
        <v>411.4</v>
      </c>
      <c r="R69">
        <v>3873.08</v>
      </c>
      <c r="S69">
        <v>1458.59</v>
      </c>
      <c r="T69">
        <v>60075.9</v>
      </c>
      <c r="U69">
        <v>27619.31</v>
      </c>
      <c r="V69">
        <v>8765.23</v>
      </c>
      <c r="W69">
        <v>8105.89</v>
      </c>
      <c r="X69">
        <v>71079.460000000006</v>
      </c>
      <c r="Y69">
        <v>64872.3</v>
      </c>
    </row>
    <row r="70" spans="1:25" x14ac:dyDescent="0.25">
      <c r="A70" t="s">
        <v>112</v>
      </c>
      <c r="B70" s="1">
        <v>44945</v>
      </c>
      <c r="C70">
        <v>2023</v>
      </c>
      <c r="D70">
        <v>1</v>
      </c>
      <c r="E70" t="s">
        <v>26</v>
      </c>
      <c r="F70" t="s">
        <v>27</v>
      </c>
      <c r="G70" t="s">
        <v>28</v>
      </c>
      <c r="H70" t="s">
        <v>36</v>
      </c>
      <c r="I70" t="s">
        <v>33</v>
      </c>
      <c r="J70">
        <v>91</v>
      </c>
      <c r="K70">
        <v>1051.33</v>
      </c>
      <c r="L70">
        <v>95670.63</v>
      </c>
      <c r="M70">
        <v>47045.51</v>
      </c>
      <c r="N70">
        <v>11801.34</v>
      </c>
      <c r="O70">
        <v>4175.13</v>
      </c>
      <c r="P70">
        <v>2841.51</v>
      </c>
      <c r="Q70">
        <v>840.29</v>
      </c>
      <c r="R70">
        <v>5566.01</v>
      </c>
      <c r="S70">
        <v>2009.12</v>
      </c>
      <c r="T70">
        <v>74278.91</v>
      </c>
      <c r="U70">
        <v>48625.120000000003</v>
      </c>
      <c r="V70">
        <v>21391.72</v>
      </c>
      <c r="W70">
        <v>21595.55</v>
      </c>
      <c r="X70">
        <v>102126.36</v>
      </c>
      <c r="Y70">
        <v>79069.740000000005</v>
      </c>
    </row>
    <row r="71" spans="1:25" x14ac:dyDescent="0.25">
      <c r="A71" t="s">
        <v>113</v>
      </c>
      <c r="B71" s="1">
        <v>44945</v>
      </c>
      <c r="C71">
        <v>2023</v>
      </c>
      <c r="D71">
        <v>1</v>
      </c>
      <c r="E71" t="s">
        <v>26</v>
      </c>
      <c r="F71" t="s">
        <v>27</v>
      </c>
      <c r="G71" t="s">
        <v>28</v>
      </c>
      <c r="H71" t="s">
        <v>36</v>
      </c>
      <c r="I71" t="s">
        <v>37</v>
      </c>
      <c r="J71">
        <v>44</v>
      </c>
      <c r="K71">
        <v>1676.43</v>
      </c>
      <c r="L71">
        <v>73762.86</v>
      </c>
      <c r="M71">
        <v>48752.24</v>
      </c>
      <c r="N71">
        <v>5678.92</v>
      </c>
      <c r="O71">
        <v>4619.07</v>
      </c>
      <c r="P71">
        <v>1411.43</v>
      </c>
      <c r="Q71">
        <v>1171.74</v>
      </c>
      <c r="R71">
        <v>4549.5200000000004</v>
      </c>
      <c r="S71">
        <v>1741.9</v>
      </c>
      <c r="T71">
        <v>67924.83</v>
      </c>
      <c r="U71">
        <v>25010.62</v>
      </c>
      <c r="V71">
        <v>5838.03</v>
      </c>
      <c r="W71">
        <v>5695.37</v>
      </c>
      <c r="X71">
        <v>79450.490000000005</v>
      </c>
      <c r="Y71">
        <v>69097.98</v>
      </c>
    </row>
    <row r="72" spans="1:25" x14ac:dyDescent="0.25">
      <c r="A72" t="s">
        <v>114</v>
      </c>
      <c r="B72" s="1">
        <v>44945</v>
      </c>
      <c r="C72">
        <v>2023</v>
      </c>
      <c r="D72">
        <v>1</v>
      </c>
      <c r="E72" t="s">
        <v>26</v>
      </c>
      <c r="F72" t="s">
        <v>27</v>
      </c>
      <c r="G72" t="s">
        <v>35</v>
      </c>
      <c r="H72" t="s">
        <v>58</v>
      </c>
      <c r="I72" t="s">
        <v>45</v>
      </c>
      <c r="J72">
        <v>24</v>
      </c>
      <c r="K72">
        <v>1480.31</v>
      </c>
      <c r="L72">
        <v>35527.360000000001</v>
      </c>
      <c r="M72">
        <v>22150.39</v>
      </c>
      <c r="N72">
        <v>2528.56</v>
      </c>
      <c r="O72">
        <v>2433.19</v>
      </c>
      <c r="P72">
        <v>961.51</v>
      </c>
      <c r="Q72">
        <v>334.9</v>
      </c>
      <c r="R72">
        <v>1085.96</v>
      </c>
      <c r="S72">
        <v>531.32000000000005</v>
      </c>
      <c r="T72">
        <v>30025.83</v>
      </c>
      <c r="U72">
        <v>13376.97</v>
      </c>
      <c r="V72">
        <v>5501.53</v>
      </c>
      <c r="W72">
        <v>5375.71</v>
      </c>
      <c r="X72">
        <v>34691.07</v>
      </c>
      <c r="Y72">
        <v>28289.200000000001</v>
      </c>
    </row>
    <row r="73" spans="1:25" x14ac:dyDescent="0.25">
      <c r="A73" t="s">
        <v>115</v>
      </c>
      <c r="B73" s="1">
        <v>44946</v>
      </c>
      <c r="C73">
        <v>2023</v>
      </c>
      <c r="D73">
        <v>1</v>
      </c>
      <c r="E73" t="s">
        <v>26</v>
      </c>
      <c r="F73" t="s">
        <v>27</v>
      </c>
      <c r="G73" t="s">
        <v>28</v>
      </c>
      <c r="H73" t="s">
        <v>29</v>
      </c>
      <c r="I73" t="s">
        <v>65</v>
      </c>
      <c r="J73">
        <v>70</v>
      </c>
      <c r="K73">
        <v>1129.3900000000001</v>
      </c>
      <c r="L73">
        <v>79057.440000000002</v>
      </c>
      <c r="M73">
        <v>44508.61</v>
      </c>
      <c r="N73">
        <v>6468.64</v>
      </c>
      <c r="O73">
        <v>2993.6</v>
      </c>
      <c r="P73">
        <v>1903.9</v>
      </c>
      <c r="Q73">
        <v>847.21</v>
      </c>
      <c r="R73">
        <v>5005.51</v>
      </c>
      <c r="S73">
        <v>1880.75</v>
      </c>
      <c r="T73">
        <v>63608.22</v>
      </c>
      <c r="U73">
        <v>34548.83</v>
      </c>
      <c r="V73">
        <v>15449.22</v>
      </c>
      <c r="W73">
        <v>13999.16</v>
      </c>
      <c r="X73">
        <v>77806.67</v>
      </c>
      <c r="Y73">
        <v>62499.97</v>
      </c>
    </row>
    <row r="74" spans="1:25" x14ac:dyDescent="0.25">
      <c r="A74" t="s">
        <v>116</v>
      </c>
      <c r="B74" s="1">
        <v>44946</v>
      </c>
      <c r="C74">
        <v>2023</v>
      </c>
      <c r="D74">
        <v>1</v>
      </c>
      <c r="E74" t="s">
        <v>26</v>
      </c>
      <c r="F74" t="s">
        <v>27</v>
      </c>
      <c r="G74" t="s">
        <v>35</v>
      </c>
      <c r="H74" t="s">
        <v>29</v>
      </c>
      <c r="I74" t="s">
        <v>45</v>
      </c>
      <c r="J74">
        <v>35</v>
      </c>
      <c r="K74">
        <v>1200.8499999999999</v>
      </c>
      <c r="L74">
        <v>42029.68</v>
      </c>
      <c r="M74">
        <v>25415.9</v>
      </c>
      <c r="N74">
        <v>3889.79</v>
      </c>
      <c r="O74">
        <v>3009.68</v>
      </c>
      <c r="P74">
        <v>1311.22</v>
      </c>
      <c r="Q74">
        <v>642.11</v>
      </c>
      <c r="R74">
        <v>2040.61</v>
      </c>
      <c r="S74">
        <v>393.75</v>
      </c>
      <c r="T74">
        <v>36703.050000000003</v>
      </c>
      <c r="U74">
        <v>16613.78</v>
      </c>
      <c r="V74">
        <v>5326.63</v>
      </c>
      <c r="W74">
        <v>4845.6099999999997</v>
      </c>
      <c r="X74">
        <v>43353.23</v>
      </c>
      <c r="Y74">
        <v>37986.629999999997</v>
      </c>
    </row>
    <row r="75" spans="1:25" x14ac:dyDescent="0.25">
      <c r="A75" t="s">
        <v>117</v>
      </c>
      <c r="B75" s="1">
        <v>44947</v>
      </c>
      <c r="C75">
        <v>2023</v>
      </c>
      <c r="D75">
        <v>1</v>
      </c>
      <c r="E75" t="s">
        <v>26</v>
      </c>
      <c r="F75" t="s">
        <v>27</v>
      </c>
      <c r="G75" t="s">
        <v>28</v>
      </c>
      <c r="H75" t="s">
        <v>58</v>
      </c>
      <c r="I75" t="s">
        <v>33</v>
      </c>
      <c r="J75">
        <v>61</v>
      </c>
      <c r="K75">
        <v>1534.61</v>
      </c>
      <c r="L75">
        <v>93611.48</v>
      </c>
      <c r="M75">
        <v>46195.66</v>
      </c>
      <c r="N75">
        <v>12089.96</v>
      </c>
      <c r="O75">
        <v>4920.21</v>
      </c>
      <c r="P75">
        <v>3172.17</v>
      </c>
      <c r="Q75">
        <v>1164.7</v>
      </c>
      <c r="R75">
        <v>4320.42</v>
      </c>
      <c r="S75">
        <v>1575.59</v>
      </c>
      <c r="T75">
        <v>73438.710000000006</v>
      </c>
      <c r="U75">
        <v>47415.81</v>
      </c>
      <c r="V75">
        <v>20172.759999999998</v>
      </c>
      <c r="W75">
        <v>18601.54</v>
      </c>
      <c r="X75">
        <v>90081.78</v>
      </c>
      <c r="Y75">
        <v>76278.75</v>
      </c>
    </row>
    <row r="76" spans="1:25" x14ac:dyDescent="0.25">
      <c r="A76" t="s">
        <v>118</v>
      </c>
      <c r="B76" s="1">
        <v>44947</v>
      </c>
      <c r="C76">
        <v>2023</v>
      </c>
      <c r="D76">
        <v>1</v>
      </c>
      <c r="E76" t="s">
        <v>26</v>
      </c>
      <c r="F76" t="s">
        <v>27</v>
      </c>
      <c r="G76" t="s">
        <v>28</v>
      </c>
      <c r="H76" t="s">
        <v>58</v>
      </c>
      <c r="I76" t="s">
        <v>30</v>
      </c>
      <c r="J76">
        <v>113</v>
      </c>
      <c r="K76">
        <v>942.79</v>
      </c>
      <c r="L76">
        <v>106535.79</v>
      </c>
      <c r="M76">
        <v>64449.34</v>
      </c>
      <c r="N76">
        <v>8548</v>
      </c>
      <c r="O76">
        <v>3926.21</v>
      </c>
      <c r="P76">
        <v>2553.5700000000002</v>
      </c>
      <c r="Q76">
        <v>977.92</v>
      </c>
      <c r="R76">
        <v>3765.7</v>
      </c>
      <c r="S76">
        <v>1963.2</v>
      </c>
      <c r="T76">
        <v>86183.93</v>
      </c>
      <c r="U76">
        <v>42086.46</v>
      </c>
      <c r="V76">
        <v>20351.86</v>
      </c>
      <c r="W76">
        <v>19644.18</v>
      </c>
      <c r="X76">
        <v>114752.63</v>
      </c>
      <c r="Y76">
        <v>82705.11</v>
      </c>
    </row>
    <row r="77" spans="1:25" x14ac:dyDescent="0.25">
      <c r="A77" t="s">
        <v>119</v>
      </c>
      <c r="B77" s="1">
        <v>44947</v>
      </c>
      <c r="C77">
        <v>2023</v>
      </c>
      <c r="D77">
        <v>1</v>
      </c>
      <c r="E77" t="s">
        <v>26</v>
      </c>
      <c r="F77" t="s">
        <v>27</v>
      </c>
      <c r="G77" t="s">
        <v>28</v>
      </c>
      <c r="H77" t="s">
        <v>32</v>
      </c>
      <c r="I77" t="s">
        <v>30</v>
      </c>
      <c r="J77">
        <v>79</v>
      </c>
      <c r="K77">
        <v>1710.68</v>
      </c>
      <c r="L77">
        <v>135143.65</v>
      </c>
      <c r="M77">
        <v>79789.990000000005</v>
      </c>
      <c r="N77">
        <v>17054.810000000001</v>
      </c>
      <c r="O77">
        <v>5717.07</v>
      </c>
      <c r="P77">
        <v>5221.58</v>
      </c>
      <c r="Q77">
        <v>807.22</v>
      </c>
      <c r="R77">
        <v>8726.4500000000007</v>
      </c>
      <c r="S77">
        <v>2980.63</v>
      </c>
      <c r="T77">
        <v>120297.74</v>
      </c>
      <c r="U77">
        <v>55353.66</v>
      </c>
      <c r="V77">
        <v>14845.91</v>
      </c>
      <c r="W77">
        <v>13186.57</v>
      </c>
      <c r="X77">
        <v>128841.5</v>
      </c>
      <c r="Y77">
        <v>118107.87</v>
      </c>
    </row>
    <row r="78" spans="1:25" x14ac:dyDescent="0.25">
      <c r="A78" t="s">
        <v>120</v>
      </c>
      <c r="B78" s="1">
        <v>44947</v>
      </c>
      <c r="C78">
        <v>2023</v>
      </c>
      <c r="D78">
        <v>1</v>
      </c>
      <c r="E78" t="s">
        <v>26</v>
      </c>
      <c r="F78" t="s">
        <v>27</v>
      </c>
      <c r="G78" t="s">
        <v>44</v>
      </c>
      <c r="H78" t="s">
        <v>58</v>
      </c>
      <c r="I78" t="s">
        <v>33</v>
      </c>
      <c r="J78">
        <v>50</v>
      </c>
      <c r="K78">
        <v>1215.45</v>
      </c>
      <c r="L78">
        <v>60772.43</v>
      </c>
      <c r="M78">
        <v>30986.080000000002</v>
      </c>
      <c r="N78">
        <v>7808.6</v>
      </c>
      <c r="O78">
        <v>2910.83</v>
      </c>
      <c r="P78">
        <v>1059.3499999999999</v>
      </c>
      <c r="Q78">
        <v>321.08</v>
      </c>
      <c r="R78">
        <v>1663.02</v>
      </c>
      <c r="S78">
        <v>488.9</v>
      </c>
      <c r="T78">
        <v>45237.87</v>
      </c>
      <c r="U78">
        <v>29786.35</v>
      </c>
      <c r="V78">
        <v>15534.56</v>
      </c>
      <c r="W78">
        <v>13933.7</v>
      </c>
      <c r="X78">
        <v>64756.11</v>
      </c>
      <c r="Y78">
        <v>47503.57</v>
      </c>
    </row>
    <row r="79" spans="1:25" x14ac:dyDescent="0.25">
      <c r="A79" t="s">
        <v>121</v>
      </c>
      <c r="B79" s="1">
        <v>44947</v>
      </c>
      <c r="C79">
        <v>2023</v>
      </c>
      <c r="D79">
        <v>1</v>
      </c>
      <c r="E79" t="s">
        <v>26</v>
      </c>
      <c r="F79" t="s">
        <v>27</v>
      </c>
      <c r="G79" t="s">
        <v>28</v>
      </c>
      <c r="H79" t="s">
        <v>36</v>
      </c>
      <c r="I79" t="s">
        <v>65</v>
      </c>
      <c r="J79">
        <v>64</v>
      </c>
      <c r="K79">
        <v>1156.49</v>
      </c>
      <c r="L79">
        <v>74015.64</v>
      </c>
      <c r="M79">
        <v>36534.85</v>
      </c>
      <c r="N79">
        <v>6343.72</v>
      </c>
      <c r="O79">
        <v>4894.38</v>
      </c>
      <c r="P79">
        <v>2800.08</v>
      </c>
      <c r="Q79">
        <v>924.99</v>
      </c>
      <c r="R79">
        <v>2510.3200000000002</v>
      </c>
      <c r="S79">
        <v>1305.6300000000001</v>
      </c>
      <c r="T79">
        <v>55313.96</v>
      </c>
      <c r="U79">
        <v>37480.800000000003</v>
      </c>
      <c r="V79">
        <v>18701.689999999999</v>
      </c>
      <c r="W79">
        <v>16914.099999999999</v>
      </c>
      <c r="X79">
        <v>80790.61</v>
      </c>
      <c r="Y79">
        <v>56620.87</v>
      </c>
    </row>
    <row r="80" spans="1:25" x14ac:dyDescent="0.25">
      <c r="A80" t="s">
        <v>122</v>
      </c>
      <c r="B80" s="1">
        <v>44947</v>
      </c>
      <c r="C80">
        <v>2023</v>
      </c>
      <c r="D80">
        <v>1</v>
      </c>
      <c r="E80" t="s">
        <v>26</v>
      </c>
      <c r="F80" t="s">
        <v>27</v>
      </c>
      <c r="G80" t="s">
        <v>44</v>
      </c>
      <c r="H80" t="s">
        <v>36</v>
      </c>
      <c r="I80" t="s">
        <v>50</v>
      </c>
      <c r="J80">
        <v>46</v>
      </c>
      <c r="K80">
        <v>1225.8399999999999</v>
      </c>
      <c r="L80">
        <v>56388.67</v>
      </c>
      <c r="M80">
        <v>27989.81</v>
      </c>
      <c r="N80">
        <v>4289.6499999999996</v>
      </c>
      <c r="O80">
        <v>3265.52</v>
      </c>
      <c r="P80">
        <v>956.21</v>
      </c>
      <c r="Q80">
        <v>869.92</v>
      </c>
      <c r="R80">
        <v>1688.86</v>
      </c>
      <c r="S80">
        <v>1213.2</v>
      </c>
      <c r="T80">
        <v>40273.160000000003</v>
      </c>
      <c r="U80">
        <v>28398.86</v>
      </c>
      <c r="V80">
        <v>16115.51</v>
      </c>
      <c r="W80">
        <v>15729.16</v>
      </c>
      <c r="X80">
        <v>61873.64</v>
      </c>
      <c r="Y80">
        <v>41648.870000000003</v>
      </c>
    </row>
    <row r="81" spans="1:25" x14ac:dyDescent="0.25">
      <c r="A81" t="s">
        <v>123</v>
      </c>
      <c r="B81" s="1">
        <v>44947</v>
      </c>
      <c r="C81">
        <v>2023</v>
      </c>
      <c r="D81">
        <v>1</v>
      </c>
      <c r="E81" t="s">
        <v>26</v>
      </c>
      <c r="F81" t="s">
        <v>27</v>
      </c>
      <c r="G81" t="s">
        <v>28</v>
      </c>
      <c r="H81" t="s">
        <v>29</v>
      </c>
      <c r="I81" t="s">
        <v>30</v>
      </c>
      <c r="J81">
        <v>65</v>
      </c>
      <c r="K81">
        <v>1597.38</v>
      </c>
      <c r="L81">
        <v>103829.82</v>
      </c>
      <c r="M81">
        <v>61309.65</v>
      </c>
      <c r="N81">
        <v>11630.25</v>
      </c>
      <c r="O81">
        <v>7740.4</v>
      </c>
      <c r="P81">
        <v>2101.7399999999998</v>
      </c>
      <c r="Q81">
        <v>955.14</v>
      </c>
      <c r="R81">
        <v>3633.67</v>
      </c>
      <c r="S81">
        <v>2421.56</v>
      </c>
      <c r="T81">
        <v>89792.42</v>
      </c>
      <c r="U81">
        <v>42520.17</v>
      </c>
      <c r="V81">
        <v>14037.41</v>
      </c>
      <c r="W81">
        <v>13692.79</v>
      </c>
      <c r="X81">
        <v>103991.84</v>
      </c>
      <c r="Y81">
        <v>83897.77</v>
      </c>
    </row>
    <row r="82" spans="1:25" x14ac:dyDescent="0.25">
      <c r="A82" t="s">
        <v>124</v>
      </c>
      <c r="B82" s="1">
        <v>44948</v>
      </c>
      <c r="C82">
        <v>2023</v>
      </c>
      <c r="D82">
        <v>1</v>
      </c>
      <c r="E82" t="s">
        <v>26</v>
      </c>
      <c r="F82" t="s">
        <v>27</v>
      </c>
      <c r="G82" t="s">
        <v>28</v>
      </c>
      <c r="H82" t="s">
        <v>36</v>
      </c>
      <c r="I82" t="s">
        <v>33</v>
      </c>
      <c r="J82">
        <v>96</v>
      </c>
      <c r="K82">
        <v>1023.12</v>
      </c>
      <c r="L82">
        <v>98219.64</v>
      </c>
      <c r="M82">
        <v>56584.59</v>
      </c>
      <c r="N82">
        <v>8133</v>
      </c>
      <c r="O82">
        <v>3314.35</v>
      </c>
      <c r="P82">
        <v>1629.09</v>
      </c>
      <c r="Q82">
        <v>553.79999999999995</v>
      </c>
      <c r="R82">
        <v>6102.37</v>
      </c>
      <c r="S82">
        <v>2398.36</v>
      </c>
      <c r="T82">
        <v>78715.56</v>
      </c>
      <c r="U82">
        <v>41635.050000000003</v>
      </c>
      <c r="V82">
        <v>19504.080000000002</v>
      </c>
      <c r="W82">
        <v>18543.830000000002</v>
      </c>
      <c r="X82">
        <v>105123.55</v>
      </c>
      <c r="Y82">
        <v>84508.01</v>
      </c>
    </row>
    <row r="83" spans="1:25" x14ac:dyDescent="0.25">
      <c r="A83" t="s">
        <v>125</v>
      </c>
      <c r="B83" s="1">
        <v>44948</v>
      </c>
      <c r="C83">
        <v>2023</v>
      </c>
      <c r="D83">
        <v>1</v>
      </c>
      <c r="E83" t="s">
        <v>26</v>
      </c>
      <c r="F83" t="s">
        <v>27</v>
      </c>
      <c r="G83" t="s">
        <v>55</v>
      </c>
      <c r="H83" t="s">
        <v>36</v>
      </c>
      <c r="I83" t="s">
        <v>37</v>
      </c>
      <c r="J83">
        <v>42</v>
      </c>
      <c r="K83">
        <v>1350.79</v>
      </c>
      <c r="L83">
        <v>56733</v>
      </c>
      <c r="M83">
        <v>27527.22</v>
      </c>
      <c r="N83">
        <v>5288.63</v>
      </c>
      <c r="O83">
        <v>3552.09</v>
      </c>
      <c r="P83">
        <v>2064.4699999999998</v>
      </c>
      <c r="Q83">
        <v>949.2</v>
      </c>
      <c r="R83">
        <v>2217.62</v>
      </c>
      <c r="S83">
        <v>667.33</v>
      </c>
      <c r="T83">
        <v>42266.55</v>
      </c>
      <c r="U83">
        <v>29205.78</v>
      </c>
      <c r="V83">
        <v>14466.45</v>
      </c>
      <c r="W83">
        <v>13653.87</v>
      </c>
      <c r="X83">
        <v>54137.760000000002</v>
      </c>
      <c r="Y83">
        <v>40330.07</v>
      </c>
    </row>
    <row r="84" spans="1:25" x14ac:dyDescent="0.25">
      <c r="A84" t="s">
        <v>126</v>
      </c>
      <c r="B84" s="1">
        <v>44948</v>
      </c>
      <c r="C84">
        <v>2023</v>
      </c>
      <c r="D84">
        <v>1</v>
      </c>
      <c r="E84" t="s">
        <v>26</v>
      </c>
      <c r="F84" t="s">
        <v>27</v>
      </c>
      <c r="G84" t="s">
        <v>55</v>
      </c>
      <c r="H84" t="s">
        <v>32</v>
      </c>
      <c r="I84" t="s">
        <v>37</v>
      </c>
      <c r="J84">
        <v>95</v>
      </c>
      <c r="K84">
        <v>1013.44</v>
      </c>
      <c r="L84">
        <v>96276.47</v>
      </c>
      <c r="M84">
        <v>49668.04</v>
      </c>
      <c r="N84">
        <v>12493.26</v>
      </c>
      <c r="O84">
        <v>6958.38</v>
      </c>
      <c r="P84">
        <v>3692.87</v>
      </c>
      <c r="Q84">
        <v>1268.31</v>
      </c>
      <c r="R84">
        <v>5392.04</v>
      </c>
      <c r="S84">
        <v>2136.75</v>
      </c>
      <c r="T84">
        <v>81609.66</v>
      </c>
      <c r="U84">
        <v>46608.43</v>
      </c>
      <c r="V84">
        <v>14666.81</v>
      </c>
      <c r="W84">
        <v>13628.43</v>
      </c>
      <c r="X84">
        <v>103488.57</v>
      </c>
      <c r="Y84">
        <v>86922.31</v>
      </c>
    </row>
    <row r="85" spans="1:25" x14ac:dyDescent="0.25">
      <c r="A85" t="s">
        <v>127</v>
      </c>
      <c r="B85" s="1">
        <v>44948</v>
      </c>
      <c r="C85">
        <v>2023</v>
      </c>
      <c r="D85">
        <v>1</v>
      </c>
      <c r="E85" t="s">
        <v>26</v>
      </c>
      <c r="F85" t="s">
        <v>27</v>
      </c>
      <c r="G85" t="s">
        <v>28</v>
      </c>
      <c r="H85" t="s">
        <v>29</v>
      </c>
      <c r="I85" t="s">
        <v>65</v>
      </c>
      <c r="J85">
        <v>29</v>
      </c>
      <c r="K85">
        <v>1690.73</v>
      </c>
      <c r="L85">
        <v>49031.17</v>
      </c>
      <c r="M85">
        <v>29762.11</v>
      </c>
      <c r="N85">
        <v>5863.64</v>
      </c>
      <c r="O85">
        <v>1473.33</v>
      </c>
      <c r="P85">
        <v>1026.55</v>
      </c>
      <c r="Q85">
        <v>369.4</v>
      </c>
      <c r="R85">
        <v>1743.34</v>
      </c>
      <c r="S85">
        <v>724.75</v>
      </c>
      <c r="T85">
        <v>40963.120000000003</v>
      </c>
      <c r="U85">
        <v>19269.060000000001</v>
      </c>
      <c r="V85">
        <v>8068.05</v>
      </c>
      <c r="W85">
        <v>8147.29</v>
      </c>
      <c r="X85">
        <v>53322.07</v>
      </c>
      <c r="Y85">
        <v>40626.43</v>
      </c>
    </row>
    <row r="86" spans="1:25" x14ac:dyDescent="0.25">
      <c r="A86" t="s">
        <v>128</v>
      </c>
      <c r="B86" s="1">
        <v>44948</v>
      </c>
      <c r="C86">
        <v>2023</v>
      </c>
      <c r="D86">
        <v>1</v>
      </c>
      <c r="E86" t="s">
        <v>26</v>
      </c>
      <c r="F86" t="s">
        <v>27</v>
      </c>
      <c r="G86" t="s">
        <v>28</v>
      </c>
      <c r="H86" t="s">
        <v>32</v>
      </c>
      <c r="I86" t="s">
        <v>37</v>
      </c>
      <c r="J86">
        <v>65</v>
      </c>
      <c r="K86">
        <v>1687.87</v>
      </c>
      <c r="L86">
        <v>109711.59</v>
      </c>
      <c r="M86">
        <v>71460.479999999996</v>
      </c>
      <c r="N86">
        <v>8578.0400000000009</v>
      </c>
      <c r="O86">
        <v>4420.42</v>
      </c>
      <c r="P86">
        <v>3359.68</v>
      </c>
      <c r="Q86">
        <v>573.51</v>
      </c>
      <c r="R86">
        <v>4636.71</v>
      </c>
      <c r="S86">
        <v>2120</v>
      </c>
      <c r="T86">
        <v>95148.82</v>
      </c>
      <c r="U86">
        <v>38251.11</v>
      </c>
      <c r="V86">
        <v>14562.77</v>
      </c>
      <c r="W86">
        <v>13302.16</v>
      </c>
      <c r="X86">
        <v>119133.79</v>
      </c>
      <c r="Y86">
        <v>98952.88</v>
      </c>
    </row>
    <row r="87" spans="1:25" x14ac:dyDescent="0.25">
      <c r="A87" t="s">
        <v>129</v>
      </c>
      <c r="B87" s="1">
        <v>44948</v>
      </c>
      <c r="C87">
        <v>2023</v>
      </c>
      <c r="D87">
        <v>1</v>
      </c>
      <c r="E87" t="s">
        <v>26</v>
      </c>
      <c r="F87" t="s">
        <v>27</v>
      </c>
      <c r="G87" t="s">
        <v>28</v>
      </c>
      <c r="H87" t="s">
        <v>58</v>
      </c>
      <c r="I87" t="s">
        <v>39</v>
      </c>
      <c r="J87">
        <v>27</v>
      </c>
      <c r="K87">
        <v>1565.1</v>
      </c>
      <c r="L87">
        <v>42257.7</v>
      </c>
      <c r="M87">
        <v>21696.27</v>
      </c>
      <c r="N87">
        <v>4764.4799999999996</v>
      </c>
      <c r="O87">
        <v>2064.0300000000002</v>
      </c>
      <c r="P87">
        <v>645.17999999999995</v>
      </c>
      <c r="Q87">
        <v>690.55</v>
      </c>
      <c r="R87">
        <v>1180.6500000000001</v>
      </c>
      <c r="S87">
        <v>610.6</v>
      </c>
      <c r="T87">
        <v>31651.759999999998</v>
      </c>
      <c r="U87">
        <v>20561.43</v>
      </c>
      <c r="V87">
        <v>10605.94</v>
      </c>
      <c r="W87">
        <v>9492.7999999999993</v>
      </c>
      <c r="X87">
        <v>41885.26</v>
      </c>
      <c r="Y87">
        <v>31100.400000000001</v>
      </c>
    </row>
    <row r="88" spans="1:25" x14ac:dyDescent="0.25">
      <c r="A88" t="s">
        <v>130</v>
      </c>
      <c r="B88" s="1">
        <v>44949</v>
      </c>
      <c r="C88">
        <v>2023</v>
      </c>
      <c r="D88">
        <v>1</v>
      </c>
      <c r="E88" t="s">
        <v>26</v>
      </c>
      <c r="F88" t="s">
        <v>27</v>
      </c>
      <c r="G88" t="s">
        <v>35</v>
      </c>
      <c r="H88" t="s">
        <v>36</v>
      </c>
      <c r="I88" t="s">
        <v>65</v>
      </c>
      <c r="J88">
        <v>38</v>
      </c>
      <c r="K88">
        <v>1696.17</v>
      </c>
      <c r="L88">
        <v>64454.38</v>
      </c>
      <c r="M88">
        <v>34939.86</v>
      </c>
      <c r="N88">
        <v>4644.5600000000004</v>
      </c>
      <c r="O88">
        <v>3108.35</v>
      </c>
      <c r="P88">
        <v>2518.12</v>
      </c>
      <c r="Q88">
        <v>1026.3900000000001</v>
      </c>
      <c r="R88">
        <v>3506.99</v>
      </c>
      <c r="S88">
        <v>924.31</v>
      </c>
      <c r="T88">
        <v>50668.56</v>
      </c>
      <c r="U88">
        <v>29514.52</v>
      </c>
      <c r="V88">
        <v>13785.82</v>
      </c>
      <c r="W88">
        <v>12767.49</v>
      </c>
      <c r="X88">
        <v>70901.87</v>
      </c>
      <c r="Y88">
        <v>53967.44</v>
      </c>
    </row>
    <row r="89" spans="1:25" x14ac:dyDescent="0.25">
      <c r="A89" t="s">
        <v>131</v>
      </c>
      <c r="B89" s="1">
        <v>44949</v>
      </c>
      <c r="C89">
        <v>2023</v>
      </c>
      <c r="D89">
        <v>1</v>
      </c>
      <c r="E89" t="s">
        <v>26</v>
      </c>
      <c r="F89" t="s">
        <v>27</v>
      </c>
      <c r="G89" t="s">
        <v>28</v>
      </c>
      <c r="H89" t="s">
        <v>36</v>
      </c>
      <c r="I89" t="s">
        <v>39</v>
      </c>
      <c r="J89">
        <v>44</v>
      </c>
      <c r="K89">
        <v>1211.1400000000001</v>
      </c>
      <c r="L89">
        <v>53289.99</v>
      </c>
      <c r="M89">
        <v>28973.919999999998</v>
      </c>
      <c r="N89">
        <v>6107.03</v>
      </c>
      <c r="O89">
        <v>3107.13</v>
      </c>
      <c r="P89">
        <v>2203.1</v>
      </c>
      <c r="Q89">
        <v>657.98</v>
      </c>
      <c r="R89">
        <v>2324.63</v>
      </c>
      <c r="S89">
        <v>1109.07</v>
      </c>
      <c r="T89">
        <v>44482.87</v>
      </c>
      <c r="U89">
        <v>24316.07</v>
      </c>
      <c r="V89">
        <v>8807.1299999999992</v>
      </c>
      <c r="W89">
        <v>8379.25</v>
      </c>
      <c r="X89">
        <v>52132.77</v>
      </c>
      <c r="Y89">
        <v>44589.9</v>
      </c>
    </row>
    <row r="90" spans="1:25" x14ac:dyDescent="0.25">
      <c r="A90" t="s">
        <v>132</v>
      </c>
      <c r="B90" s="1">
        <v>44949</v>
      </c>
      <c r="C90">
        <v>2023</v>
      </c>
      <c r="D90">
        <v>1</v>
      </c>
      <c r="E90" t="s">
        <v>26</v>
      </c>
      <c r="F90" t="s">
        <v>27</v>
      </c>
      <c r="G90" t="s">
        <v>55</v>
      </c>
      <c r="H90" t="s">
        <v>53</v>
      </c>
      <c r="I90" t="s">
        <v>30</v>
      </c>
      <c r="J90">
        <v>53</v>
      </c>
      <c r="K90">
        <v>1777.71</v>
      </c>
      <c r="L90">
        <v>94218.46</v>
      </c>
      <c r="M90">
        <v>49252.76</v>
      </c>
      <c r="N90">
        <v>9143.73</v>
      </c>
      <c r="O90">
        <v>3988.92</v>
      </c>
      <c r="P90">
        <v>3537.24</v>
      </c>
      <c r="Q90">
        <v>1058.52</v>
      </c>
      <c r="R90">
        <v>5389.98</v>
      </c>
      <c r="S90">
        <v>776.04</v>
      </c>
      <c r="T90">
        <v>73147.19</v>
      </c>
      <c r="U90">
        <v>44965.7</v>
      </c>
      <c r="V90">
        <v>21071.27</v>
      </c>
      <c r="W90">
        <v>20953.52</v>
      </c>
      <c r="X90">
        <v>92821.63</v>
      </c>
      <c r="Y90">
        <v>80189.440000000002</v>
      </c>
    </row>
    <row r="91" spans="1:25" x14ac:dyDescent="0.25">
      <c r="A91" t="s">
        <v>133</v>
      </c>
      <c r="B91" s="1">
        <v>44949</v>
      </c>
      <c r="C91">
        <v>2023</v>
      </c>
      <c r="D91">
        <v>1</v>
      </c>
      <c r="E91" t="s">
        <v>26</v>
      </c>
      <c r="F91" t="s">
        <v>27</v>
      </c>
      <c r="G91" t="s">
        <v>55</v>
      </c>
      <c r="H91" t="s">
        <v>29</v>
      </c>
      <c r="I91" t="s">
        <v>33</v>
      </c>
      <c r="J91">
        <v>119</v>
      </c>
      <c r="K91">
        <v>838.38</v>
      </c>
      <c r="L91">
        <v>99767.47</v>
      </c>
      <c r="M91">
        <v>66043.09</v>
      </c>
      <c r="N91">
        <v>12861.2</v>
      </c>
      <c r="O91">
        <v>4361.2299999999996</v>
      </c>
      <c r="P91">
        <v>2786.84</v>
      </c>
      <c r="Q91">
        <v>1116.83</v>
      </c>
      <c r="R91">
        <v>5506.82</v>
      </c>
      <c r="S91">
        <v>2332.12</v>
      </c>
      <c r="T91">
        <v>95008.14</v>
      </c>
      <c r="U91">
        <v>33724.379999999997</v>
      </c>
      <c r="V91">
        <v>4759.33</v>
      </c>
      <c r="W91">
        <v>4575.95</v>
      </c>
      <c r="X91">
        <v>98282.67</v>
      </c>
      <c r="Y91">
        <v>103351.01</v>
      </c>
    </row>
    <row r="92" spans="1:25" x14ac:dyDescent="0.25">
      <c r="A92" t="s">
        <v>134</v>
      </c>
      <c r="B92" s="1">
        <v>44949</v>
      </c>
      <c r="C92">
        <v>2023</v>
      </c>
      <c r="D92">
        <v>1</v>
      </c>
      <c r="E92" t="s">
        <v>26</v>
      </c>
      <c r="F92" t="s">
        <v>27</v>
      </c>
      <c r="G92" t="s">
        <v>28</v>
      </c>
      <c r="H92" t="s">
        <v>29</v>
      </c>
      <c r="I92" t="s">
        <v>39</v>
      </c>
      <c r="J92">
        <v>34</v>
      </c>
      <c r="K92">
        <v>1318.59</v>
      </c>
      <c r="L92">
        <v>44831.93</v>
      </c>
      <c r="M92">
        <v>29764.880000000001</v>
      </c>
      <c r="N92">
        <v>4156.59</v>
      </c>
      <c r="O92">
        <v>1465.98</v>
      </c>
      <c r="P92">
        <v>1773.36</v>
      </c>
      <c r="Q92">
        <v>582.53</v>
      </c>
      <c r="R92">
        <v>1130.81</v>
      </c>
      <c r="S92">
        <v>978.73</v>
      </c>
      <c r="T92">
        <v>39852.870000000003</v>
      </c>
      <c r="U92">
        <v>15067.05</v>
      </c>
      <c r="V92">
        <v>4979.0600000000004</v>
      </c>
      <c r="W92">
        <v>4646.58</v>
      </c>
      <c r="X92">
        <v>41906.160000000003</v>
      </c>
      <c r="Y92">
        <v>41604.67</v>
      </c>
    </row>
    <row r="93" spans="1:25" x14ac:dyDescent="0.25">
      <c r="A93" t="s">
        <v>135</v>
      </c>
      <c r="B93" s="1">
        <v>44950</v>
      </c>
      <c r="C93">
        <v>2023</v>
      </c>
      <c r="D93">
        <v>1</v>
      </c>
      <c r="E93" t="s">
        <v>26</v>
      </c>
      <c r="F93" t="s">
        <v>27</v>
      </c>
      <c r="G93" t="s">
        <v>44</v>
      </c>
      <c r="H93" t="s">
        <v>29</v>
      </c>
      <c r="I93" t="s">
        <v>33</v>
      </c>
      <c r="J93">
        <v>88</v>
      </c>
      <c r="K93">
        <v>941.76</v>
      </c>
      <c r="L93">
        <v>82874.820000000007</v>
      </c>
      <c r="M93">
        <v>40490.910000000003</v>
      </c>
      <c r="N93">
        <v>7098.9</v>
      </c>
      <c r="O93">
        <v>2437.34</v>
      </c>
      <c r="P93">
        <v>1314.57</v>
      </c>
      <c r="Q93">
        <v>803.64</v>
      </c>
      <c r="R93">
        <v>3907.43</v>
      </c>
      <c r="S93">
        <v>1831.43</v>
      </c>
      <c r="T93">
        <v>57884.23</v>
      </c>
      <c r="U93">
        <v>42383.91</v>
      </c>
      <c r="V93">
        <v>24990.59</v>
      </c>
      <c r="W93">
        <v>24578.15</v>
      </c>
      <c r="X93">
        <v>83165.149999999994</v>
      </c>
      <c r="Y93">
        <v>62986.61</v>
      </c>
    </row>
    <row r="94" spans="1:25" x14ac:dyDescent="0.25">
      <c r="A94" t="s">
        <v>136</v>
      </c>
      <c r="B94" s="1">
        <v>44951</v>
      </c>
      <c r="C94">
        <v>2023</v>
      </c>
      <c r="D94">
        <v>1</v>
      </c>
      <c r="E94" t="s">
        <v>26</v>
      </c>
      <c r="F94" t="s">
        <v>27</v>
      </c>
      <c r="G94" t="s">
        <v>35</v>
      </c>
      <c r="H94" t="s">
        <v>36</v>
      </c>
      <c r="I94" t="s">
        <v>37</v>
      </c>
      <c r="J94">
        <v>30</v>
      </c>
      <c r="K94">
        <v>1489.45</v>
      </c>
      <c r="L94">
        <v>44683.59</v>
      </c>
      <c r="M94">
        <v>27780.080000000002</v>
      </c>
      <c r="N94">
        <v>4587.37</v>
      </c>
      <c r="O94">
        <v>1772.4</v>
      </c>
      <c r="P94">
        <v>834.99</v>
      </c>
      <c r="Q94">
        <v>509.49</v>
      </c>
      <c r="R94">
        <v>1415.73</v>
      </c>
      <c r="S94">
        <v>979.97</v>
      </c>
      <c r="T94">
        <v>37880.019999999997</v>
      </c>
      <c r="U94">
        <v>16903.509999999998</v>
      </c>
      <c r="V94">
        <v>6803.57</v>
      </c>
      <c r="W94">
        <v>6034.88</v>
      </c>
      <c r="X94">
        <v>48480.52</v>
      </c>
      <c r="Y94">
        <v>36892.28</v>
      </c>
    </row>
    <row r="95" spans="1:25" x14ac:dyDescent="0.25">
      <c r="A95" t="s">
        <v>137</v>
      </c>
      <c r="B95" s="1">
        <v>44951</v>
      </c>
      <c r="C95">
        <v>2023</v>
      </c>
      <c r="D95">
        <v>1</v>
      </c>
      <c r="E95" t="s">
        <v>26</v>
      </c>
      <c r="F95" t="s">
        <v>27</v>
      </c>
      <c r="G95" t="s">
        <v>44</v>
      </c>
      <c r="H95" t="s">
        <v>32</v>
      </c>
      <c r="I95" t="s">
        <v>50</v>
      </c>
      <c r="J95">
        <v>56</v>
      </c>
      <c r="K95">
        <v>948.53</v>
      </c>
      <c r="L95">
        <v>53117.73</v>
      </c>
      <c r="M95">
        <v>31667.01</v>
      </c>
      <c r="N95">
        <v>4870.49</v>
      </c>
      <c r="O95">
        <v>1990.88</v>
      </c>
      <c r="P95">
        <v>1794.37</v>
      </c>
      <c r="Q95">
        <v>675.47</v>
      </c>
      <c r="R95">
        <v>1579.31</v>
      </c>
      <c r="S95">
        <v>1236.0899999999999</v>
      </c>
      <c r="T95">
        <v>43813.62</v>
      </c>
      <c r="U95">
        <v>21450.720000000001</v>
      </c>
      <c r="V95">
        <v>9304.11</v>
      </c>
      <c r="W95">
        <v>8626.3700000000008</v>
      </c>
      <c r="X95">
        <v>58494.9</v>
      </c>
      <c r="Y95">
        <v>46069.26</v>
      </c>
    </row>
    <row r="96" spans="1:25" x14ac:dyDescent="0.25">
      <c r="A96" t="s">
        <v>138</v>
      </c>
      <c r="B96" s="1">
        <v>44951</v>
      </c>
      <c r="C96">
        <v>2023</v>
      </c>
      <c r="D96">
        <v>1</v>
      </c>
      <c r="E96" t="s">
        <v>26</v>
      </c>
      <c r="F96" t="s">
        <v>27</v>
      </c>
      <c r="G96" t="s">
        <v>44</v>
      </c>
      <c r="H96" t="s">
        <v>36</v>
      </c>
      <c r="I96" t="s">
        <v>65</v>
      </c>
      <c r="J96">
        <v>29</v>
      </c>
      <c r="K96">
        <v>1733.75</v>
      </c>
      <c r="L96">
        <v>50278.84</v>
      </c>
      <c r="M96">
        <v>30056.51</v>
      </c>
      <c r="N96">
        <v>5321.27</v>
      </c>
      <c r="O96">
        <v>2358.2600000000002</v>
      </c>
      <c r="P96">
        <v>1380.58</v>
      </c>
      <c r="Q96">
        <v>441.55</v>
      </c>
      <c r="R96">
        <v>3187.85</v>
      </c>
      <c r="S96">
        <v>641.58000000000004</v>
      </c>
      <c r="T96">
        <v>43387.59</v>
      </c>
      <c r="U96">
        <v>20222.330000000002</v>
      </c>
      <c r="V96">
        <v>6891.24</v>
      </c>
      <c r="W96">
        <v>6540.91</v>
      </c>
      <c r="X96">
        <v>52836.04</v>
      </c>
      <c r="Y96">
        <v>40637.379999999997</v>
      </c>
    </row>
    <row r="97" spans="1:25" x14ac:dyDescent="0.25">
      <c r="A97" t="s">
        <v>139</v>
      </c>
      <c r="B97" s="1">
        <v>44951</v>
      </c>
      <c r="C97">
        <v>2023</v>
      </c>
      <c r="D97">
        <v>1</v>
      </c>
      <c r="E97" t="s">
        <v>26</v>
      </c>
      <c r="F97" t="s">
        <v>27</v>
      </c>
      <c r="G97" t="s">
        <v>28</v>
      </c>
      <c r="H97" t="s">
        <v>53</v>
      </c>
      <c r="I97" t="s">
        <v>30</v>
      </c>
      <c r="J97">
        <v>94</v>
      </c>
      <c r="K97">
        <v>985.13</v>
      </c>
      <c r="L97">
        <v>92601.78</v>
      </c>
      <c r="M97">
        <v>59267.57</v>
      </c>
      <c r="N97">
        <v>9539.99</v>
      </c>
      <c r="O97">
        <v>3420.7</v>
      </c>
      <c r="P97">
        <v>2757.25</v>
      </c>
      <c r="Q97">
        <v>549.99</v>
      </c>
      <c r="R97">
        <v>5764.73</v>
      </c>
      <c r="S97">
        <v>855.71</v>
      </c>
      <c r="T97">
        <v>82155.95</v>
      </c>
      <c r="U97">
        <v>33334.21</v>
      </c>
      <c r="V97">
        <v>10445.83</v>
      </c>
      <c r="W97">
        <v>9894.82</v>
      </c>
      <c r="X97">
        <v>88137.96</v>
      </c>
      <c r="Y97">
        <v>79428.490000000005</v>
      </c>
    </row>
    <row r="98" spans="1:25" x14ac:dyDescent="0.25">
      <c r="A98" t="s">
        <v>140</v>
      </c>
      <c r="B98" s="1">
        <v>44951</v>
      </c>
      <c r="C98">
        <v>2023</v>
      </c>
      <c r="D98">
        <v>1</v>
      </c>
      <c r="E98" t="s">
        <v>26</v>
      </c>
      <c r="F98" t="s">
        <v>27</v>
      </c>
      <c r="G98" t="s">
        <v>28</v>
      </c>
      <c r="H98" t="s">
        <v>36</v>
      </c>
      <c r="I98" t="s">
        <v>56</v>
      </c>
      <c r="J98">
        <v>26</v>
      </c>
      <c r="K98">
        <v>1592.1</v>
      </c>
      <c r="L98">
        <v>41394.61</v>
      </c>
      <c r="M98">
        <v>27595.61</v>
      </c>
      <c r="N98">
        <v>4884.6899999999996</v>
      </c>
      <c r="O98">
        <v>2455.59</v>
      </c>
      <c r="P98">
        <v>1647.88</v>
      </c>
      <c r="Q98">
        <v>644.5</v>
      </c>
      <c r="R98">
        <v>1344.82</v>
      </c>
      <c r="S98">
        <v>708.5</v>
      </c>
      <c r="T98">
        <v>39281.589999999997</v>
      </c>
      <c r="U98">
        <v>13799</v>
      </c>
      <c r="V98">
        <v>2113.02</v>
      </c>
      <c r="W98">
        <v>2076.34</v>
      </c>
      <c r="X98">
        <v>43432.06</v>
      </c>
      <c r="Y98">
        <v>36920.910000000003</v>
      </c>
    </row>
    <row r="99" spans="1:25" x14ac:dyDescent="0.25">
      <c r="A99" t="s">
        <v>141</v>
      </c>
      <c r="B99" s="1">
        <v>44951</v>
      </c>
      <c r="C99">
        <v>2023</v>
      </c>
      <c r="D99">
        <v>1</v>
      </c>
      <c r="E99" t="s">
        <v>26</v>
      </c>
      <c r="F99" t="s">
        <v>27</v>
      </c>
      <c r="G99" t="s">
        <v>35</v>
      </c>
      <c r="H99" t="s">
        <v>32</v>
      </c>
      <c r="I99" t="s">
        <v>45</v>
      </c>
      <c r="J99">
        <v>35</v>
      </c>
      <c r="K99">
        <v>1298.18</v>
      </c>
      <c r="L99">
        <v>45436.21</v>
      </c>
      <c r="M99">
        <v>30312.55</v>
      </c>
      <c r="N99">
        <v>4864.79</v>
      </c>
      <c r="O99">
        <v>3192.87</v>
      </c>
      <c r="P99">
        <v>1574.88</v>
      </c>
      <c r="Q99">
        <v>290.14999999999998</v>
      </c>
      <c r="R99">
        <v>1350.16</v>
      </c>
      <c r="S99">
        <v>710.82</v>
      </c>
      <c r="T99">
        <v>42296.2</v>
      </c>
      <c r="U99">
        <v>15123.66</v>
      </c>
      <c r="V99">
        <v>3140.01</v>
      </c>
      <c r="W99">
        <v>2932.64</v>
      </c>
      <c r="X99">
        <v>46550.720000000001</v>
      </c>
      <c r="Y99">
        <v>45084.07</v>
      </c>
    </row>
    <row r="100" spans="1:25" x14ac:dyDescent="0.25">
      <c r="A100" t="s">
        <v>142</v>
      </c>
      <c r="B100" s="1">
        <v>44952</v>
      </c>
      <c r="C100">
        <v>2023</v>
      </c>
      <c r="D100">
        <v>1</v>
      </c>
      <c r="E100" t="s">
        <v>26</v>
      </c>
      <c r="F100" t="s">
        <v>27</v>
      </c>
      <c r="G100" t="s">
        <v>35</v>
      </c>
      <c r="H100" t="s">
        <v>29</v>
      </c>
      <c r="I100" t="s">
        <v>50</v>
      </c>
      <c r="J100">
        <v>25</v>
      </c>
      <c r="K100">
        <v>1503.54</v>
      </c>
      <c r="L100">
        <v>37588.58</v>
      </c>
      <c r="M100">
        <v>24855.29</v>
      </c>
      <c r="N100">
        <v>3948</v>
      </c>
      <c r="O100">
        <v>2585.11</v>
      </c>
      <c r="P100">
        <v>1237.1400000000001</v>
      </c>
      <c r="Q100">
        <v>366.47</v>
      </c>
      <c r="R100">
        <v>1234.33</v>
      </c>
      <c r="S100">
        <v>707.86</v>
      </c>
      <c r="T100">
        <v>34934.199999999997</v>
      </c>
      <c r="U100">
        <v>12733.29</v>
      </c>
      <c r="V100">
        <v>2654.39</v>
      </c>
      <c r="W100">
        <v>2659.45</v>
      </c>
      <c r="X100">
        <v>39517.97</v>
      </c>
      <c r="Y100">
        <v>32860</v>
      </c>
    </row>
    <row r="101" spans="1:25" x14ac:dyDescent="0.25">
      <c r="A101" t="s">
        <v>143</v>
      </c>
      <c r="B101" s="1">
        <v>44952</v>
      </c>
      <c r="C101">
        <v>2023</v>
      </c>
      <c r="D101">
        <v>1</v>
      </c>
      <c r="E101" t="s">
        <v>26</v>
      </c>
      <c r="F101" t="s">
        <v>27</v>
      </c>
      <c r="G101" t="s">
        <v>35</v>
      </c>
      <c r="H101" t="s">
        <v>29</v>
      </c>
      <c r="I101" t="s">
        <v>30</v>
      </c>
      <c r="J101">
        <v>77</v>
      </c>
      <c r="K101">
        <v>1212.54</v>
      </c>
      <c r="L101">
        <v>93365.94</v>
      </c>
      <c r="M101">
        <v>55219.54</v>
      </c>
      <c r="N101">
        <v>10213.52</v>
      </c>
      <c r="O101">
        <v>6043.87</v>
      </c>
      <c r="P101">
        <v>1421.34</v>
      </c>
      <c r="Q101">
        <v>876.23</v>
      </c>
      <c r="R101">
        <v>3245.82</v>
      </c>
      <c r="S101">
        <v>2305.66</v>
      </c>
      <c r="T101">
        <v>79325.98</v>
      </c>
      <c r="U101">
        <v>38146.400000000001</v>
      </c>
      <c r="V101">
        <v>14039.96</v>
      </c>
      <c r="W101">
        <v>14236.16</v>
      </c>
      <c r="X101">
        <v>102060.61</v>
      </c>
      <c r="Y101">
        <v>79104.509999999995</v>
      </c>
    </row>
    <row r="102" spans="1:25" x14ac:dyDescent="0.25">
      <c r="A102" t="s">
        <v>144</v>
      </c>
      <c r="B102" s="1">
        <v>44953</v>
      </c>
      <c r="C102">
        <v>2023</v>
      </c>
      <c r="D102">
        <v>1</v>
      </c>
      <c r="E102" t="s">
        <v>26</v>
      </c>
      <c r="F102" t="s">
        <v>27</v>
      </c>
      <c r="G102" t="s">
        <v>44</v>
      </c>
      <c r="H102" t="s">
        <v>53</v>
      </c>
      <c r="I102" t="s">
        <v>33</v>
      </c>
      <c r="J102">
        <v>50</v>
      </c>
      <c r="K102">
        <v>1510.66</v>
      </c>
      <c r="L102">
        <v>75532.759999999995</v>
      </c>
      <c r="M102">
        <v>45716.3</v>
      </c>
      <c r="N102">
        <v>7456.69</v>
      </c>
      <c r="O102">
        <v>3963.69</v>
      </c>
      <c r="P102">
        <v>3147.12</v>
      </c>
      <c r="Q102">
        <v>863.2</v>
      </c>
      <c r="R102">
        <v>4642.96</v>
      </c>
      <c r="S102">
        <v>1326.63</v>
      </c>
      <c r="T102">
        <v>67116.58</v>
      </c>
      <c r="U102">
        <v>29816.45</v>
      </c>
      <c r="V102">
        <v>8416.17</v>
      </c>
      <c r="W102">
        <v>7736.33</v>
      </c>
      <c r="X102">
        <v>83725.27</v>
      </c>
      <c r="Y102">
        <v>67116.97</v>
      </c>
    </row>
    <row r="103" spans="1:25" x14ac:dyDescent="0.25">
      <c r="A103" t="s">
        <v>145</v>
      </c>
      <c r="B103" s="1">
        <v>44953</v>
      </c>
      <c r="C103">
        <v>2023</v>
      </c>
      <c r="D103">
        <v>1</v>
      </c>
      <c r="E103" t="s">
        <v>26</v>
      </c>
      <c r="F103" t="s">
        <v>27</v>
      </c>
      <c r="G103" t="s">
        <v>28</v>
      </c>
      <c r="H103" t="s">
        <v>32</v>
      </c>
      <c r="I103" t="s">
        <v>65</v>
      </c>
      <c r="J103">
        <v>62</v>
      </c>
      <c r="K103">
        <v>997.25</v>
      </c>
      <c r="L103">
        <v>61829.23</v>
      </c>
      <c r="M103">
        <v>31791.200000000001</v>
      </c>
      <c r="N103">
        <v>7052.34</v>
      </c>
      <c r="O103">
        <v>2837.59</v>
      </c>
      <c r="P103">
        <v>1981.38</v>
      </c>
      <c r="Q103">
        <v>1088.8</v>
      </c>
      <c r="R103">
        <v>1573.35</v>
      </c>
      <c r="S103">
        <v>1471.17</v>
      </c>
      <c r="T103">
        <v>47795.83</v>
      </c>
      <c r="U103">
        <v>30038.04</v>
      </c>
      <c r="V103">
        <v>14033.4</v>
      </c>
      <c r="W103">
        <v>12653.38</v>
      </c>
      <c r="X103">
        <v>57663.73</v>
      </c>
      <c r="Y103">
        <v>48466.83</v>
      </c>
    </row>
    <row r="104" spans="1:25" x14ac:dyDescent="0.25">
      <c r="A104" t="s">
        <v>146</v>
      </c>
      <c r="B104" s="1">
        <v>44953</v>
      </c>
      <c r="C104">
        <v>2023</v>
      </c>
      <c r="D104">
        <v>1</v>
      </c>
      <c r="E104" t="s">
        <v>26</v>
      </c>
      <c r="F104" t="s">
        <v>27</v>
      </c>
      <c r="G104" t="s">
        <v>28</v>
      </c>
      <c r="H104" t="s">
        <v>36</v>
      </c>
      <c r="I104" t="s">
        <v>39</v>
      </c>
      <c r="J104">
        <v>28</v>
      </c>
      <c r="K104">
        <v>1705.69</v>
      </c>
      <c r="L104">
        <v>47759.37</v>
      </c>
      <c r="M104">
        <v>27839.88</v>
      </c>
      <c r="N104">
        <v>4389.91</v>
      </c>
      <c r="O104">
        <v>1267.98</v>
      </c>
      <c r="P104">
        <v>1000.5</v>
      </c>
      <c r="Q104">
        <v>808.29</v>
      </c>
      <c r="R104">
        <v>2235.92</v>
      </c>
      <c r="S104">
        <v>956.32</v>
      </c>
      <c r="T104">
        <v>38498.81</v>
      </c>
      <c r="U104">
        <v>19919.490000000002</v>
      </c>
      <c r="V104">
        <v>9260.56</v>
      </c>
      <c r="W104">
        <v>8602.49</v>
      </c>
      <c r="X104">
        <v>47386.48</v>
      </c>
      <c r="Y104">
        <v>40777.86</v>
      </c>
    </row>
    <row r="105" spans="1:25" x14ac:dyDescent="0.25">
      <c r="A105" t="s">
        <v>147</v>
      </c>
      <c r="B105" s="1">
        <v>44954</v>
      </c>
      <c r="C105">
        <v>2023</v>
      </c>
      <c r="D105">
        <v>1</v>
      </c>
      <c r="E105" t="s">
        <v>26</v>
      </c>
      <c r="F105" t="s">
        <v>27</v>
      </c>
      <c r="G105" t="s">
        <v>44</v>
      </c>
      <c r="H105" t="s">
        <v>32</v>
      </c>
      <c r="I105" t="s">
        <v>45</v>
      </c>
      <c r="J105">
        <v>23</v>
      </c>
      <c r="K105">
        <v>1696.58</v>
      </c>
      <c r="L105">
        <v>39021.279999999999</v>
      </c>
      <c r="M105">
        <v>20196.18</v>
      </c>
      <c r="N105">
        <v>4644.3900000000003</v>
      </c>
      <c r="O105">
        <v>1160.45</v>
      </c>
      <c r="P105">
        <v>1600.74</v>
      </c>
      <c r="Q105">
        <v>612.16999999999996</v>
      </c>
      <c r="R105">
        <v>1529.27</v>
      </c>
      <c r="S105">
        <v>565.07000000000005</v>
      </c>
      <c r="T105">
        <v>30308.26</v>
      </c>
      <c r="U105">
        <v>18825.11</v>
      </c>
      <c r="V105">
        <v>8713.02</v>
      </c>
      <c r="W105">
        <v>8672.98</v>
      </c>
      <c r="X105">
        <v>36324.75</v>
      </c>
      <c r="Y105">
        <v>32341.88</v>
      </c>
    </row>
    <row r="106" spans="1:25" x14ac:dyDescent="0.25">
      <c r="A106" t="s">
        <v>148</v>
      </c>
      <c r="B106" s="1">
        <v>44954</v>
      </c>
      <c r="C106">
        <v>2023</v>
      </c>
      <c r="D106">
        <v>1</v>
      </c>
      <c r="E106" t="s">
        <v>26</v>
      </c>
      <c r="F106" t="s">
        <v>27</v>
      </c>
      <c r="G106" t="s">
        <v>55</v>
      </c>
      <c r="H106" t="s">
        <v>53</v>
      </c>
      <c r="I106" t="s">
        <v>33</v>
      </c>
      <c r="J106">
        <v>58</v>
      </c>
      <c r="K106">
        <v>1120.0999999999999</v>
      </c>
      <c r="L106">
        <v>64965.98</v>
      </c>
      <c r="M106">
        <v>42996.75</v>
      </c>
      <c r="N106">
        <v>6441.44</v>
      </c>
      <c r="O106">
        <v>2006.8</v>
      </c>
      <c r="P106">
        <v>1214.92</v>
      </c>
      <c r="Q106">
        <v>714.7</v>
      </c>
      <c r="R106">
        <v>2500.79</v>
      </c>
      <c r="S106">
        <v>1392.23</v>
      </c>
      <c r="T106">
        <v>57267.63</v>
      </c>
      <c r="U106">
        <v>21969.23</v>
      </c>
      <c r="V106">
        <v>7698.35</v>
      </c>
      <c r="W106">
        <v>7708.94</v>
      </c>
      <c r="X106">
        <v>66853.73</v>
      </c>
      <c r="Y106">
        <v>55714.51</v>
      </c>
    </row>
    <row r="107" spans="1:25" x14ac:dyDescent="0.25">
      <c r="A107" t="s">
        <v>149</v>
      </c>
      <c r="B107" s="1">
        <v>44954</v>
      </c>
      <c r="C107">
        <v>2023</v>
      </c>
      <c r="D107">
        <v>1</v>
      </c>
      <c r="E107" t="s">
        <v>26</v>
      </c>
      <c r="F107" t="s">
        <v>27</v>
      </c>
      <c r="G107" t="s">
        <v>28</v>
      </c>
      <c r="H107" t="s">
        <v>32</v>
      </c>
      <c r="I107" t="s">
        <v>37</v>
      </c>
      <c r="J107">
        <v>53</v>
      </c>
      <c r="K107">
        <v>1397.88</v>
      </c>
      <c r="L107">
        <v>74087.39</v>
      </c>
      <c r="M107">
        <v>40172.43</v>
      </c>
      <c r="N107">
        <v>5735.68</v>
      </c>
      <c r="O107">
        <v>2818.49</v>
      </c>
      <c r="P107">
        <v>1584.49</v>
      </c>
      <c r="Q107">
        <v>1117.5</v>
      </c>
      <c r="R107">
        <v>4415.01</v>
      </c>
      <c r="S107">
        <v>1182.19</v>
      </c>
      <c r="T107">
        <v>57025.79</v>
      </c>
      <c r="U107">
        <v>33914.959999999999</v>
      </c>
      <c r="V107">
        <v>17061.599999999999</v>
      </c>
      <c r="W107">
        <v>15152.47</v>
      </c>
      <c r="X107">
        <v>78448</v>
      </c>
      <c r="Y107">
        <v>59939.61</v>
      </c>
    </row>
    <row r="108" spans="1:25" x14ac:dyDescent="0.25">
      <c r="A108" t="s">
        <v>150</v>
      </c>
      <c r="B108" s="1">
        <v>44954</v>
      </c>
      <c r="C108">
        <v>2023</v>
      </c>
      <c r="D108">
        <v>1</v>
      </c>
      <c r="E108" t="s">
        <v>26</v>
      </c>
      <c r="F108" t="s">
        <v>27</v>
      </c>
      <c r="G108" t="s">
        <v>28</v>
      </c>
      <c r="H108" t="s">
        <v>53</v>
      </c>
      <c r="I108" t="s">
        <v>39</v>
      </c>
      <c r="J108">
        <v>33</v>
      </c>
      <c r="K108">
        <v>1464.34</v>
      </c>
      <c r="L108">
        <v>48323.29</v>
      </c>
      <c r="M108">
        <v>32222.39</v>
      </c>
      <c r="N108">
        <v>5113.9799999999996</v>
      </c>
      <c r="O108">
        <v>2720.2</v>
      </c>
      <c r="P108">
        <v>1494.96</v>
      </c>
      <c r="Q108">
        <v>272.35000000000002</v>
      </c>
      <c r="R108">
        <v>2979.11</v>
      </c>
      <c r="S108">
        <v>1033.48</v>
      </c>
      <c r="T108">
        <v>45836.480000000003</v>
      </c>
      <c r="U108">
        <v>16100.9</v>
      </c>
      <c r="V108">
        <v>2486.81</v>
      </c>
      <c r="W108">
        <v>2379.41</v>
      </c>
      <c r="X108">
        <v>47545.23</v>
      </c>
      <c r="Y108">
        <v>49818.66</v>
      </c>
    </row>
    <row r="109" spans="1:25" x14ac:dyDescent="0.25">
      <c r="A109" t="s">
        <v>151</v>
      </c>
      <c r="B109" s="1">
        <v>44955</v>
      </c>
      <c r="C109">
        <v>2023</v>
      </c>
      <c r="D109">
        <v>1</v>
      </c>
      <c r="E109" t="s">
        <v>26</v>
      </c>
      <c r="F109" t="s">
        <v>27</v>
      </c>
      <c r="G109" t="s">
        <v>44</v>
      </c>
      <c r="H109" t="s">
        <v>32</v>
      </c>
      <c r="I109" t="s">
        <v>65</v>
      </c>
      <c r="J109">
        <v>39</v>
      </c>
      <c r="K109">
        <v>1367.32</v>
      </c>
      <c r="L109">
        <v>53325.47</v>
      </c>
      <c r="M109">
        <v>32482.98</v>
      </c>
      <c r="N109">
        <v>4424.6400000000003</v>
      </c>
      <c r="O109">
        <v>2802.68</v>
      </c>
      <c r="P109">
        <v>1879.91</v>
      </c>
      <c r="Q109">
        <v>682.65</v>
      </c>
      <c r="R109">
        <v>2623.68</v>
      </c>
      <c r="S109">
        <v>1083</v>
      </c>
      <c r="T109">
        <v>45979.54</v>
      </c>
      <c r="U109">
        <v>20842.5</v>
      </c>
      <c r="V109">
        <v>7345.93</v>
      </c>
      <c r="W109">
        <v>7034.45</v>
      </c>
      <c r="X109">
        <v>52543.8</v>
      </c>
      <c r="Y109">
        <v>49058.35</v>
      </c>
    </row>
    <row r="110" spans="1:25" x14ac:dyDescent="0.25">
      <c r="A110" t="s">
        <v>152</v>
      </c>
      <c r="B110" s="1">
        <v>44955</v>
      </c>
      <c r="C110">
        <v>2023</v>
      </c>
      <c r="D110">
        <v>1</v>
      </c>
      <c r="E110" t="s">
        <v>26</v>
      </c>
      <c r="F110" t="s">
        <v>27</v>
      </c>
      <c r="G110" t="s">
        <v>28</v>
      </c>
      <c r="H110" t="s">
        <v>36</v>
      </c>
      <c r="I110" t="s">
        <v>30</v>
      </c>
      <c r="J110">
        <v>67</v>
      </c>
      <c r="K110">
        <v>1581.18</v>
      </c>
      <c r="L110">
        <v>105939.27</v>
      </c>
      <c r="M110">
        <v>67358.12</v>
      </c>
      <c r="N110">
        <v>10551.36</v>
      </c>
      <c r="O110">
        <v>7713.67</v>
      </c>
      <c r="P110">
        <v>3964.8</v>
      </c>
      <c r="Q110">
        <v>1021.12</v>
      </c>
      <c r="R110">
        <v>6077.7</v>
      </c>
      <c r="S110">
        <v>1948.21</v>
      </c>
      <c r="T110">
        <v>98634.99</v>
      </c>
      <c r="U110">
        <v>38581.15</v>
      </c>
      <c r="V110">
        <v>7304.28</v>
      </c>
      <c r="W110">
        <v>6533.39</v>
      </c>
      <c r="X110">
        <v>108381.22</v>
      </c>
      <c r="Y110">
        <v>103001.65</v>
      </c>
    </row>
    <row r="111" spans="1:25" x14ac:dyDescent="0.25">
      <c r="A111" t="s">
        <v>153</v>
      </c>
      <c r="B111" s="1">
        <v>44955</v>
      </c>
      <c r="C111">
        <v>2023</v>
      </c>
      <c r="D111">
        <v>1</v>
      </c>
      <c r="E111" t="s">
        <v>26</v>
      </c>
      <c r="F111" t="s">
        <v>27</v>
      </c>
      <c r="G111" t="s">
        <v>44</v>
      </c>
      <c r="H111" t="s">
        <v>53</v>
      </c>
      <c r="I111" t="s">
        <v>39</v>
      </c>
      <c r="J111">
        <v>22</v>
      </c>
      <c r="K111">
        <v>1274.92</v>
      </c>
      <c r="L111">
        <v>28048.18</v>
      </c>
      <c r="M111">
        <v>15581.61</v>
      </c>
      <c r="N111">
        <v>2646.79</v>
      </c>
      <c r="O111">
        <v>1596.74</v>
      </c>
      <c r="P111">
        <v>686.13</v>
      </c>
      <c r="Q111">
        <v>236.14</v>
      </c>
      <c r="R111">
        <v>1188.8699999999999</v>
      </c>
      <c r="S111">
        <v>495.81</v>
      </c>
      <c r="T111">
        <v>22432.11</v>
      </c>
      <c r="U111">
        <v>12466.57</v>
      </c>
      <c r="V111">
        <v>5616.08</v>
      </c>
      <c r="W111">
        <v>5093.68</v>
      </c>
      <c r="X111">
        <v>26808.15</v>
      </c>
      <c r="Y111">
        <v>22781.85</v>
      </c>
    </row>
    <row r="112" spans="1:25" x14ac:dyDescent="0.25">
      <c r="A112" t="s">
        <v>154</v>
      </c>
      <c r="B112" s="1">
        <v>44955</v>
      </c>
      <c r="C112">
        <v>2023</v>
      </c>
      <c r="D112">
        <v>1</v>
      </c>
      <c r="E112" t="s">
        <v>26</v>
      </c>
      <c r="F112" t="s">
        <v>27</v>
      </c>
      <c r="G112" t="s">
        <v>28</v>
      </c>
      <c r="H112" t="s">
        <v>29</v>
      </c>
      <c r="I112" t="s">
        <v>45</v>
      </c>
      <c r="J112">
        <v>39</v>
      </c>
      <c r="K112">
        <v>1488.07</v>
      </c>
      <c r="L112">
        <v>58034.78</v>
      </c>
      <c r="M112">
        <v>35242.35</v>
      </c>
      <c r="N112">
        <v>4447.71</v>
      </c>
      <c r="O112">
        <v>2266.7199999999998</v>
      </c>
      <c r="P112">
        <v>1972.92</v>
      </c>
      <c r="Q112">
        <v>461.03</v>
      </c>
      <c r="R112">
        <v>2048.34</v>
      </c>
      <c r="S112">
        <v>1053.98</v>
      </c>
      <c r="T112">
        <v>47493.07</v>
      </c>
      <c r="U112">
        <v>22792.43</v>
      </c>
      <c r="V112">
        <v>10541.72</v>
      </c>
      <c r="W112">
        <v>10159.82</v>
      </c>
      <c r="X112">
        <v>63454.559999999998</v>
      </c>
      <c r="Y112">
        <v>51152.18</v>
      </c>
    </row>
    <row r="113" spans="1:25" x14ac:dyDescent="0.25">
      <c r="A113" t="s">
        <v>155</v>
      </c>
      <c r="B113" s="1">
        <v>44955</v>
      </c>
      <c r="C113">
        <v>2023</v>
      </c>
      <c r="D113">
        <v>1</v>
      </c>
      <c r="E113" t="s">
        <v>26</v>
      </c>
      <c r="F113" t="s">
        <v>27</v>
      </c>
      <c r="G113" t="s">
        <v>35</v>
      </c>
      <c r="H113" t="s">
        <v>32</v>
      </c>
      <c r="I113" t="s">
        <v>45</v>
      </c>
      <c r="J113">
        <v>38</v>
      </c>
      <c r="K113">
        <v>1252.32</v>
      </c>
      <c r="L113">
        <v>47588.25</v>
      </c>
      <c r="M113">
        <v>28160.13</v>
      </c>
      <c r="N113">
        <v>4887.97</v>
      </c>
      <c r="O113">
        <v>1853.33</v>
      </c>
      <c r="P113">
        <v>1445</v>
      </c>
      <c r="Q113">
        <v>847.62</v>
      </c>
      <c r="R113">
        <v>3029.17</v>
      </c>
      <c r="S113">
        <v>578.24</v>
      </c>
      <c r="T113">
        <v>40801.46</v>
      </c>
      <c r="U113">
        <v>19428.12</v>
      </c>
      <c r="V113">
        <v>6786.79</v>
      </c>
      <c r="W113">
        <v>6793.02</v>
      </c>
      <c r="X113">
        <v>52791.55</v>
      </c>
      <c r="Y113">
        <v>44813.06</v>
      </c>
    </row>
    <row r="114" spans="1:25" x14ac:dyDescent="0.25">
      <c r="A114" t="s">
        <v>156</v>
      </c>
      <c r="B114" s="1">
        <v>44955</v>
      </c>
      <c r="C114">
        <v>2023</v>
      </c>
      <c r="D114">
        <v>1</v>
      </c>
      <c r="E114" t="s">
        <v>26</v>
      </c>
      <c r="F114" t="s">
        <v>27</v>
      </c>
      <c r="G114" t="s">
        <v>44</v>
      </c>
      <c r="H114" t="s">
        <v>36</v>
      </c>
      <c r="I114" t="s">
        <v>37</v>
      </c>
      <c r="J114">
        <v>52</v>
      </c>
      <c r="K114">
        <v>1389.42</v>
      </c>
      <c r="L114">
        <v>72249.95</v>
      </c>
      <c r="M114">
        <v>44731.99</v>
      </c>
      <c r="N114">
        <v>8099.33</v>
      </c>
      <c r="O114">
        <v>5273.21</v>
      </c>
      <c r="P114">
        <v>3212.87</v>
      </c>
      <c r="Q114">
        <v>1292.77</v>
      </c>
      <c r="R114">
        <v>2045.4</v>
      </c>
      <c r="S114">
        <v>628.48</v>
      </c>
      <c r="T114">
        <v>65284.06</v>
      </c>
      <c r="U114">
        <v>27517.96</v>
      </c>
      <c r="V114">
        <v>6965.9</v>
      </c>
      <c r="W114">
        <v>6510.08</v>
      </c>
      <c r="X114">
        <v>70832.03</v>
      </c>
      <c r="Y114">
        <v>63548.59</v>
      </c>
    </row>
    <row r="115" spans="1:25" x14ac:dyDescent="0.25">
      <c r="A115" t="s">
        <v>157</v>
      </c>
      <c r="B115" s="1">
        <v>44957</v>
      </c>
      <c r="C115">
        <v>2023</v>
      </c>
      <c r="D115">
        <v>1</v>
      </c>
      <c r="E115" t="s">
        <v>26</v>
      </c>
      <c r="F115" t="s">
        <v>27</v>
      </c>
      <c r="G115" t="s">
        <v>44</v>
      </c>
      <c r="H115" t="s">
        <v>29</v>
      </c>
      <c r="I115" t="s">
        <v>33</v>
      </c>
      <c r="J115">
        <v>59</v>
      </c>
      <c r="K115">
        <v>1250.1199999999999</v>
      </c>
      <c r="L115">
        <v>73756.929999999993</v>
      </c>
      <c r="M115">
        <v>46627.27</v>
      </c>
      <c r="N115">
        <v>8353.85</v>
      </c>
      <c r="O115">
        <v>3025.54</v>
      </c>
      <c r="P115">
        <v>2372.36</v>
      </c>
      <c r="Q115">
        <v>843.59</v>
      </c>
      <c r="R115">
        <v>4182.6499999999996</v>
      </c>
      <c r="S115">
        <v>1685.42</v>
      </c>
      <c r="T115">
        <v>67090.679999999993</v>
      </c>
      <c r="U115">
        <v>27129.66</v>
      </c>
      <c r="V115">
        <v>6666.25</v>
      </c>
      <c r="W115">
        <v>6214.28</v>
      </c>
      <c r="X115">
        <v>82073.8</v>
      </c>
      <c r="Y115">
        <v>70260.759999999995</v>
      </c>
    </row>
    <row r="116" spans="1:25" x14ac:dyDescent="0.25">
      <c r="A116" t="s">
        <v>158</v>
      </c>
      <c r="B116" s="1">
        <v>44957</v>
      </c>
      <c r="C116">
        <v>2023</v>
      </c>
      <c r="D116">
        <v>1</v>
      </c>
      <c r="E116" t="s">
        <v>26</v>
      </c>
      <c r="F116" t="s">
        <v>27</v>
      </c>
      <c r="G116" t="s">
        <v>55</v>
      </c>
      <c r="H116" t="s">
        <v>36</v>
      </c>
      <c r="I116" t="s">
        <v>37</v>
      </c>
      <c r="J116">
        <v>86</v>
      </c>
      <c r="K116">
        <v>1058.17</v>
      </c>
      <c r="L116">
        <v>91003.02</v>
      </c>
      <c r="M116">
        <v>54295.81</v>
      </c>
      <c r="N116">
        <v>7189.91</v>
      </c>
      <c r="O116">
        <v>6313.51</v>
      </c>
      <c r="P116">
        <v>1494.82</v>
      </c>
      <c r="Q116">
        <v>1031.42</v>
      </c>
      <c r="R116">
        <v>5640.22</v>
      </c>
      <c r="S116">
        <v>1559.71</v>
      </c>
      <c r="T116">
        <v>77525.399999999994</v>
      </c>
      <c r="U116">
        <v>36707.21</v>
      </c>
      <c r="V116">
        <v>13477.62</v>
      </c>
      <c r="W116">
        <v>11932.53</v>
      </c>
      <c r="X116">
        <v>89671.360000000001</v>
      </c>
      <c r="Y116">
        <v>81850.080000000002</v>
      </c>
    </row>
    <row r="117" spans="1:25" x14ac:dyDescent="0.25">
      <c r="A117" t="s">
        <v>159</v>
      </c>
      <c r="B117" s="1">
        <v>44957</v>
      </c>
      <c r="C117">
        <v>2023</v>
      </c>
      <c r="D117">
        <v>1</v>
      </c>
      <c r="E117" t="s">
        <v>26</v>
      </c>
      <c r="F117" t="s">
        <v>27</v>
      </c>
      <c r="G117" t="s">
        <v>28</v>
      </c>
      <c r="H117" t="s">
        <v>36</v>
      </c>
      <c r="I117" t="s">
        <v>37</v>
      </c>
      <c r="J117">
        <v>49</v>
      </c>
      <c r="K117">
        <v>1609.87</v>
      </c>
      <c r="L117">
        <v>78883.75</v>
      </c>
      <c r="M117">
        <v>41995.49</v>
      </c>
      <c r="N117">
        <v>10149.780000000001</v>
      </c>
      <c r="O117">
        <v>2732.37</v>
      </c>
      <c r="P117">
        <v>2896.25</v>
      </c>
      <c r="Q117">
        <v>1149.69</v>
      </c>
      <c r="R117">
        <v>4366.54</v>
      </c>
      <c r="S117">
        <v>1236.52</v>
      </c>
      <c r="T117">
        <v>64526.64</v>
      </c>
      <c r="U117">
        <v>36888.25</v>
      </c>
      <c r="V117">
        <v>14357.1</v>
      </c>
      <c r="W117">
        <v>13580.04</v>
      </c>
      <c r="X117">
        <v>84329.8</v>
      </c>
      <c r="Y117">
        <v>64244.17</v>
      </c>
    </row>
    <row r="118" spans="1:25" x14ac:dyDescent="0.25">
      <c r="A118" t="s">
        <v>160</v>
      </c>
      <c r="B118" s="1">
        <v>44958</v>
      </c>
      <c r="C118">
        <v>2023</v>
      </c>
      <c r="D118">
        <v>2</v>
      </c>
      <c r="E118" t="s">
        <v>161</v>
      </c>
      <c r="F118" t="s">
        <v>27</v>
      </c>
      <c r="G118" t="s">
        <v>55</v>
      </c>
      <c r="H118" t="s">
        <v>53</v>
      </c>
      <c r="I118" t="s">
        <v>45</v>
      </c>
      <c r="J118">
        <v>57</v>
      </c>
      <c r="K118">
        <v>946.85</v>
      </c>
      <c r="L118">
        <v>53970.58</v>
      </c>
      <c r="M118">
        <v>30965.73</v>
      </c>
      <c r="N118">
        <v>4694.8500000000004</v>
      </c>
      <c r="O118">
        <v>2221.29</v>
      </c>
      <c r="P118">
        <v>947.43</v>
      </c>
      <c r="Q118">
        <v>601.91</v>
      </c>
      <c r="R118">
        <v>2992.58</v>
      </c>
      <c r="S118">
        <v>726.69</v>
      </c>
      <c r="T118">
        <v>43150.49</v>
      </c>
      <c r="U118">
        <v>23004.84</v>
      </c>
      <c r="V118">
        <v>10820.09</v>
      </c>
      <c r="W118">
        <v>9873.98</v>
      </c>
      <c r="X118">
        <v>54349.37</v>
      </c>
      <c r="Y118">
        <v>40446.81</v>
      </c>
    </row>
    <row r="119" spans="1:25" x14ac:dyDescent="0.25">
      <c r="A119" t="s">
        <v>162</v>
      </c>
      <c r="B119" s="1">
        <v>44958</v>
      </c>
      <c r="C119">
        <v>2023</v>
      </c>
      <c r="D119">
        <v>2</v>
      </c>
      <c r="E119" t="s">
        <v>161</v>
      </c>
      <c r="F119" t="s">
        <v>27</v>
      </c>
      <c r="G119" t="s">
        <v>44</v>
      </c>
      <c r="H119" t="s">
        <v>32</v>
      </c>
      <c r="I119" t="s">
        <v>37</v>
      </c>
      <c r="J119">
        <v>89</v>
      </c>
      <c r="K119">
        <v>949.24</v>
      </c>
      <c r="L119">
        <v>84482.01</v>
      </c>
      <c r="M119">
        <v>55890</v>
      </c>
      <c r="N119">
        <v>8343.2000000000007</v>
      </c>
      <c r="O119">
        <v>3557.49</v>
      </c>
      <c r="P119">
        <v>2845.49</v>
      </c>
      <c r="Q119">
        <v>1024.82</v>
      </c>
      <c r="R119">
        <v>5315.9</v>
      </c>
      <c r="S119">
        <v>1953.52</v>
      </c>
      <c r="T119">
        <v>78930.41</v>
      </c>
      <c r="U119">
        <v>28592.01</v>
      </c>
      <c r="V119">
        <v>5551.6</v>
      </c>
      <c r="W119">
        <v>5267.49</v>
      </c>
      <c r="X119">
        <v>80059.97</v>
      </c>
      <c r="Y119">
        <v>75596.41</v>
      </c>
    </row>
    <row r="120" spans="1:25" x14ac:dyDescent="0.25">
      <c r="A120" t="s">
        <v>163</v>
      </c>
      <c r="B120" s="1">
        <v>44958</v>
      </c>
      <c r="C120">
        <v>2023</v>
      </c>
      <c r="D120">
        <v>2</v>
      </c>
      <c r="E120" t="s">
        <v>161</v>
      </c>
      <c r="F120" t="s">
        <v>27</v>
      </c>
      <c r="G120" t="s">
        <v>35</v>
      </c>
      <c r="H120" t="s">
        <v>32</v>
      </c>
      <c r="I120" t="s">
        <v>37</v>
      </c>
      <c r="J120">
        <v>31</v>
      </c>
      <c r="K120">
        <v>1764.98</v>
      </c>
      <c r="L120">
        <v>54714.52</v>
      </c>
      <c r="M120">
        <v>26754.92</v>
      </c>
      <c r="N120">
        <v>6357.52</v>
      </c>
      <c r="O120">
        <v>2241.5100000000002</v>
      </c>
      <c r="P120">
        <v>1335.6</v>
      </c>
      <c r="Q120">
        <v>323.70999999999998</v>
      </c>
      <c r="R120">
        <v>2007.17</v>
      </c>
      <c r="S120">
        <v>995.81</v>
      </c>
      <c r="T120">
        <v>40016.239999999998</v>
      </c>
      <c r="U120">
        <v>27959.599999999999</v>
      </c>
      <c r="V120">
        <v>14698.28</v>
      </c>
      <c r="W120">
        <v>14025.29</v>
      </c>
      <c r="X120">
        <v>56371.59</v>
      </c>
      <c r="Y120">
        <v>40747.620000000003</v>
      </c>
    </row>
    <row r="121" spans="1:25" x14ac:dyDescent="0.25">
      <c r="A121" t="s">
        <v>164</v>
      </c>
      <c r="B121" s="1">
        <v>44959</v>
      </c>
      <c r="C121">
        <v>2023</v>
      </c>
      <c r="D121">
        <v>2</v>
      </c>
      <c r="E121" t="s">
        <v>161</v>
      </c>
      <c r="F121" t="s">
        <v>27</v>
      </c>
      <c r="G121" t="s">
        <v>35</v>
      </c>
      <c r="H121" t="s">
        <v>32</v>
      </c>
      <c r="I121" t="s">
        <v>30</v>
      </c>
      <c r="J121">
        <v>68</v>
      </c>
      <c r="K121">
        <v>1696.84</v>
      </c>
      <c r="L121">
        <v>115385.21</v>
      </c>
      <c r="M121">
        <v>73086.899999999994</v>
      </c>
      <c r="N121">
        <v>14136.61</v>
      </c>
      <c r="O121">
        <v>8037.21</v>
      </c>
      <c r="P121">
        <v>4357.37</v>
      </c>
      <c r="Q121">
        <v>1204.44</v>
      </c>
      <c r="R121">
        <v>5700.5</v>
      </c>
      <c r="S121">
        <v>2013.26</v>
      </c>
      <c r="T121">
        <v>108536.3</v>
      </c>
      <c r="U121">
        <v>42298.3</v>
      </c>
      <c r="V121">
        <v>6848.91</v>
      </c>
      <c r="W121">
        <v>6424.66</v>
      </c>
      <c r="X121">
        <v>112023.21</v>
      </c>
      <c r="Y121">
        <v>112468.61</v>
      </c>
    </row>
    <row r="122" spans="1:25" x14ac:dyDescent="0.25">
      <c r="A122" t="s">
        <v>165</v>
      </c>
      <c r="B122" s="1">
        <v>44960</v>
      </c>
      <c r="C122">
        <v>2023</v>
      </c>
      <c r="D122">
        <v>2</v>
      </c>
      <c r="E122" t="s">
        <v>161</v>
      </c>
      <c r="F122" t="s">
        <v>27</v>
      </c>
      <c r="G122" t="s">
        <v>28</v>
      </c>
      <c r="H122" t="s">
        <v>32</v>
      </c>
      <c r="I122" t="s">
        <v>30</v>
      </c>
      <c r="J122">
        <v>133</v>
      </c>
      <c r="K122">
        <v>905.88</v>
      </c>
      <c r="L122">
        <v>120482.54</v>
      </c>
      <c r="M122">
        <v>79238.820000000007</v>
      </c>
      <c r="N122">
        <v>9298.23</v>
      </c>
      <c r="O122">
        <v>4961.74</v>
      </c>
      <c r="P122">
        <v>4748.46</v>
      </c>
      <c r="Q122">
        <v>1577.33</v>
      </c>
      <c r="R122">
        <v>4914.8</v>
      </c>
      <c r="S122">
        <v>2479.8200000000002</v>
      </c>
      <c r="T122">
        <v>107219.21</v>
      </c>
      <c r="U122">
        <v>41243.72</v>
      </c>
      <c r="V122">
        <v>13263.33</v>
      </c>
      <c r="W122">
        <v>13234.31</v>
      </c>
      <c r="X122">
        <v>115796.69</v>
      </c>
      <c r="Y122">
        <v>107613.38</v>
      </c>
    </row>
    <row r="123" spans="1:25" x14ac:dyDescent="0.25">
      <c r="A123" t="s">
        <v>166</v>
      </c>
      <c r="B123" s="1">
        <v>44960</v>
      </c>
      <c r="C123">
        <v>2023</v>
      </c>
      <c r="D123">
        <v>2</v>
      </c>
      <c r="E123" t="s">
        <v>161</v>
      </c>
      <c r="F123" t="s">
        <v>27</v>
      </c>
      <c r="G123" t="s">
        <v>28</v>
      </c>
      <c r="H123" t="s">
        <v>53</v>
      </c>
      <c r="I123" t="s">
        <v>56</v>
      </c>
      <c r="J123">
        <v>34</v>
      </c>
      <c r="K123">
        <v>1001.51</v>
      </c>
      <c r="L123">
        <v>34051.230000000003</v>
      </c>
      <c r="M123">
        <v>21067.37</v>
      </c>
      <c r="N123">
        <v>3528.42</v>
      </c>
      <c r="O123">
        <v>1763.04</v>
      </c>
      <c r="P123">
        <v>996.64</v>
      </c>
      <c r="Q123">
        <v>342.09</v>
      </c>
      <c r="R123">
        <v>1819.47</v>
      </c>
      <c r="S123">
        <v>470.99</v>
      </c>
      <c r="T123">
        <v>29988.02</v>
      </c>
      <c r="U123">
        <v>12983.87</v>
      </c>
      <c r="V123">
        <v>4063.21</v>
      </c>
      <c r="W123">
        <v>4043.46</v>
      </c>
      <c r="X123">
        <v>35083.42</v>
      </c>
      <c r="Y123">
        <v>29621.16</v>
      </c>
    </row>
    <row r="124" spans="1:25" x14ac:dyDescent="0.25">
      <c r="A124" t="s">
        <v>167</v>
      </c>
      <c r="B124" s="1">
        <v>44960</v>
      </c>
      <c r="C124">
        <v>2023</v>
      </c>
      <c r="D124">
        <v>2</v>
      </c>
      <c r="E124" t="s">
        <v>161</v>
      </c>
      <c r="F124" t="s">
        <v>27</v>
      </c>
      <c r="G124" t="s">
        <v>44</v>
      </c>
      <c r="H124" t="s">
        <v>32</v>
      </c>
      <c r="I124" t="s">
        <v>50</v>
      </c>
      <c r="J124">
        <v>65</v>
      </c>
      <c r="K124">
        <v>995.94</v>
      </c>
      <c r="L124">
        <v>64735.93</v>
      </c>
      <c r="M124">
        <v>31355.59</v>
      </c>
      <c r="N124">
        <v>7396.62</v>
      </c>
      <c r="O124">
        <v>2551.59</v>
      </c>
      <c r="P124">
        <v>1756.63</v>
      </c>
      <c r="Q124">
        <v>1108.2</v>
      </c>
      <c r="R124">
        <v>1763.33</v>
      </c>
      <c r="S124">
        <v>1201.48</v>
      </c>
      <c r="T124">
        <v>47133.440000000002</v>
      </c>
      <c r="U124">
        <v>33380.339999999997</v>
      </c>
      <c r="V124">
        <v>17602.490000000002</v>
      </c>
      <c r="W124">
        <v>16382.48</v>
      </c>
      <c r="X124">
        <v>64221.75</v>
      </c>
      <c r="Y124">
        <v>44647.87</v>
      </c>
    </row>
    <row r="125" spans="1:25" x14ac:dyDescent="0.25">
      <c r="A125" t="s">
        <v>168</v>
      </c>
      <c r="B125" s="1">
        <v>44961</v>
      </c>
      <c r="C125">
        <v>2023</v>
      </c>
      <c r="D125">
        <v>2</v>
      </c>
      <c r="E125" t="s">
        <v>161</v>
      </c>
      <c r="F125" t="s">
        <v>27</v>
      </c>
      <c r="G125" t="s">
        <v>35</v>
      </c>
      <c r="H125" t="s">
        <v>36</v>
      </c>
      <c r="I125" t="s">
        <v>50</v>
      </c>
      <c r="J125">
        <v>41</v>
      </c>
      <c r="K125">
        <v>1164.75</v>
      </c>
      <c r="L125">
        <v>47754.71</v>
      </c>
      <c r="M125">
        <v>26084.34</v>
      </c>
      <c r="N125">
        <v>5488.35</v>
      </c>
      <c r="O125">
        <v>1864.78</v>
      </c>
      <c r="P125">
        <v>1845.68</v>
      </c>
      <c r="Q125">
        <v>334.16</v>
      </c>
      <c r="R125">
        <v>1677.16</v>
      </c>
      <c r="S125">
        <v>1117.6600000000001</v>
      </c>
      <c r="T125">
        <v>38412.129999999997</v>
      </c>
      <c r="U125">
        <v>21670.37</v>
      </c>
      <c r="V125">
        <v>9342.58</v>
      </c>
      <c r="W125">
        <v>8315.32</v>
      </c>
      <c r="X125">
        <v>45747.99</v>
      </c>
      <c r="Y125">
        <v>41034.68</v>
      </c>
    </row>
    <row r="126" spans="1:25" x14ac:dyDescent="0.25">
      <c r="A126" t="s">
        <v>169</v>
      </c>
      <c r="B126" s="1">
        <v>44961</v>
      </c>
      <c r="C126">
        <v>2023</v>
      </c>
      <c r="D126">
        <v>2</v>
      </c>
      <c r="E126" t="s">
        <v>161</v>
      </c>
      <c r="F126" t="s">
        <v>27</v>
      </c>
      <c r="G126" t="s">
        <v>28</v>
      </c>
      <c r="H126" t="s">
        <v>29</v>
      </c>
      <c r="I126" t="s">
        <v>37</v>
      </c>
      <c r="J126">
        <v>45</v>
      </c>
      <c r="K126">
        <v>1397.88</v>
      </c>
      <c r="L126">
        <v>62904.57</v>
      </c>
      <c r="M126">
        <v>40863.760000000002</v>
      </c>
      <c r="N126">
        <v>7970.74</v>
      </c>
      <c r="O126">
        <v>2030.81</v>
      </c>
      <c r="P126">
        <v>2215.12</v>
      </c>
      <c r="Q126">
        <v>821.51</v>
      </c>
      <c r="R126">
        <v>2621.12</v>
      </c>
      <c r="S126">
        <v>1372.95</v>
      </c>
      <c r="T126">
        <v>57896</v>
      </c>
      <c r="U126">
        <v>22040.81</v>
      </c>
      <c r="V126">
        <v>5008.57</v>
      </c>
      <c r="W126">
        <v>4605.0200000000004</v>
      </c>
      <c r="X126">
        <v>59421.67</v>
      </c>
      <c r="Y126">
        <v>62262.1</v>
      </c>
    </row>
    <row r="127" spans="1:25" x14ac:dyDescent="0.25">
      <c r="A127" t="s">
        <v>170</v>
      </c>
      <c r="B127" s="1">
        <v>44961</v>
      </c>
      <c r="C127">
        <v>2023</v>
      </c>
      <c r="D127">
        <v>2</v>
      </c>
      <c r="E127" t="s">
        <v>161</v>
      </c>
      <c r="F127" t="s">
        <v>27</v>
      </c>
      <c r="G127" t="s">
        <v>35</v>
      </c>
      <c r="H127" t="s">
        <v>32</v>
      </c>
      <c r="I127" t="s">
        <v>65</v>
      </c>
      <c r="J127">
        <v>78</v>
      </c>
      <c r="K127">
        <v>823.44</v>
      </c>
      <c r="L127">
        <v>64228.3</v>
      </c>
      <c r="M127">
        <v>39300.78</v>
      </c>
      <c r="N127">
        <v>5963.52</v>
      </c>
      <c r="O127">
        <v>2875.01</v>
      </c>
      <c r="P127">
        <v>2782.11</v>
      </c>
      <c r="Q127">
        <v>426.61</v>
      </c>
      <c r="R127">
        <v>4017.77</v>
      </c>
      <c r="S127">
        <v>688.65</v>
      </c>
      <c r="T127">
        <v>56054.45</v>
      </c>
      <c r="U127">
        <v>24927.53</v>
      </c>
      <c r="V127">
        <v>8173.86</v>
      </c>
      <c r="W127">
        <v>8146.64</v>
      </c>
      <c r="X127">
        <v>61170.74</v>
      </c>
      <c r="Y127">
        <v>54532.23</v>
      </c>
    </row>
    <row r="128" spans="1:25" x14ac:dyDescent="0.25">
      <c r="A128" t="s">
        <v>171</v>
      </c>
      <c r="B128" s="1">
        <v>44962</v>
      </c>
      <c r="C128">
        <v>2023</v>
      </c>
      <c r="D128">
        <v>2</v>
      </c>
      <c r="E128" t="s">
        <v>161</v>
      </c>
      <c r="F128" t="s">
        <v>27</v>
      </c>
      <c r="G128" t="s">
        <v>55</v>
      </c>
      <c r="H128" t="s">
        <v>29</v>
      </c>
      <c r="I128" t="s">
        <v>39</v>
      </c>
      <c r="J128">
        <v>53</v>
      </c>
      <c r="K128">
        <v>1137.78</v>
      </c>
      <c r="L128">
        <v>60302.47</v>
      </c>
      <c r="M128">
        <v>30290.59</v>
      </c>
      <c r="N128">
        <v>6610.33</v>
      </c>
      <c r="O128">
        <v>1523.65</v>
      </c>
      <c r="P128">
        <v>2651.06</v>
      </c>
      <c r="Q128">
        <v>883.76</v>
      </c>
      <c r="R128">
        <v>1672.56</v>
      </c>
      <c r="S128">
        <v>920.63</v>
      </c>
      <c r="T128">
        <v>44552.58</v>
      </c>
      <c r="U128">
        <v>30011.87</v>
      </c>
      <c r="V128">
        <v>15749.89</v>
      </c>
      <c r="W128">
        <v>15429.77</v>
      </c>
      <c r="X128">
        <v>64894.66</v>
      </c>
      <c r="Y128">
        <v>44493.33</v>
      </c>
    </row>
    <row r="129" spans="1:25" x14ac:dyDescent="0.25">
      <c r="A129" t="s">
        <v>172</v>
      </c>
      <c r="B129" s="1">
        <v>44962</v>
      </c>
      <c r="C129">
        <v>2023</v>
      </c>
      <c r="D129">
        <v>2</v>
      </c>
      <c r="E129" t="s">
        <v>161</v>
      </c>
      <c r="F129" t="s">
        <v>27</v>
      </c>
      <c r="G129" t="s">
        <v>35</v>
      </c>
      <c r="H129" t="s">
        <v>29</v>
      </c>
      <c r="I129" t="s">
        <v>56</v>
      </c>
      <c r="J129">
        <v>23</v>
      </c>
      <c r="K129">
        <v>1316.57</v>
      </c>
      <c r="L129">
        <v>30281.08</v>
      </c>
      <c r="M129">
        <v>16383.32</v>
      </c>
      <c r="N129">
        <v>3005.7</v>
      </c>
      <c r="O129">
        <v>1121.53</v>
      </c>
      <c r="P129">
        <v>529.66</v>
      </c>
      <c r="Q129">
        <v>271.81</v>
      </c>
      <c r="R129">
        <v>1255.4100000000001</v>
      </c>
      <c r="S129">
        <v>488.28</v>
      </c>
      <c r="T129">
        <v>23055.71</v>
      </c>
      <c r="U129">
        <v>13897.76</v>
      </c>
      <c r="V129">
        <v>7225.37</v>
      </c>
      <c r="W129">
        <v>6412.09</v>
      </c>
      <c r="X129">
        <v>29660.2</v>
      </c>
      <c r="Y129">
        <v>23544.74</v>
      </c>
    </row>
    <row r="130" spans="1:25" x14ac:dyDescent="0.25">
      <c r="A130" t="s">
        <v>173</v>
      </c>
      <c r="B130" s="1">
        <v>44962</v>
      </c>
      <c r="C130">
        <v>2023</v>
      </c>
      <c r="D130">
        <v>2</v>
      </c>
      <c r="E130" t="s">
        <v>161</v>
      </c>
      <c r="F130" t="s">
        <v>27</v>
      </c>
      <c r="G130" t="s">
        <v>55</v>
      </c>
      <c r="H130" t="s">
        <v>58</v>
      </c>
      <c r="I130" t="s">
        <v>56</v>
      </c>
      <c r="J130">
        <v>32</v>
      </c>
      <c r="K130">
        <v>1134.5899999999999</v>
      </c>
      <c r="L130">
        <v>36307.03</v>
      </c>
      <c r="M130">
        <v>17838.919999999998</v>
      </c>
      <c r="N130">
        <v>3331.72</v>
      </c>
      <c r="O130">
        <v>1078.9100000000001</v>
      </c>
      <c r="P130">
        <v>1540.8</v>
      </c>
      <c r="Q130">
        <v>184.86</v>
      </c>
      <c r="R130">
        <v>1344.22</v>
      </c>
      <c r="S130">
        <v>364.47</v>
      </c>
      <c r="T130">
        <v>25683.91</v>
      </c>
      <c r="U130">
        <v>18468.11</v>
      </c>
      <c r="V130">
        <v>10623.13</v>
      </c>
      <c r="W130">
        <v>9649.31</v>
      </c>
      <c r="X130">
        <v>36562.129999999997</v>
      </c>
      <c r="Y130">
        <v>26139.93</v>
      </c>
    </row>
    <row r="131" spans="1:25" x14ac:dyDescent="0.25">
      <c r="A131" t="s">
        <v>174</v>
      </c>
      <c r="B131" s="1">
        <v>44962</v>
      </c>
      <c r="C131">
        <v>2023</v>
      </c>
      <c r="D131">
        <v>2</v>
      </c>
      <c r="E131" t="s">
        <v>161</v>
      </c>
      <c r="F131" t="s">
        <v>27</v>
      </c>
      <c r="G131" t="s">
        <v>44</v>
      </c>
      <c r="H131" t="s">
        <v>58</v>
      </c>
      <c r="I131" t="s">
        <v>39</v>
      </c>
      <c r="J131">
        <v>29</v>
      </c>
      <c r="K131">
        <v>1608.84</v>
      </c>
      <c r="L131">
        <v>46656.3</v>
      </c>
      <c r="M131">
        <v>23726.6</v>
      </c>
      <c r="N131">
        <v>4308.82</v>
      </c>
      <c r="O131">
        <v>1337.8</v>
      </c>
      <c r="P131">
        <v>1256.24</v>
      </c>
      <c r="Q131">
        <v>597.78</v>
      </c>
      <c r="R131">
        <v>1369.37</v>
      </c>
      <c r="S131">
        <v>991.25</v>
      </c>
      <c r="T131">
        <v>33587.85</v>
      </c>
      <c r="U131">
        <v>22929.7</v>
      </c>
      <c r="V131">
        <v>13068.44</v>
      </c>
      <c r="W131">
        <v>12458.1</v>
      </c>
      <c r="X131">
        <v>49246.67</v>
      </c>
      <c r="Y131">
        <v>34505.410000000003</v>
      </c>
    </row>
    <row r="132" spans="1:25" x14ac:dyDescent="0.25">
      <c r="A132" t="s">
        <v>175</v>
      </c>
      <c r="B132" s="1">
        <v>44963</v>
      </c>
      <c r="C132">
        <v>2023</v>
      </c>
      <c r="D132">
        <v>2</v>
      </c>
      <c r="E132" t="s">
        <v>161</v>
      </c>
      <c r="F132" t="s">
        <v>27</v>
      </c>
      <c r="G132" t="s">
        <v>28</v>
      </c>
      <c r="H132" t="s">
        <v>53</v>
      </c>
      <c r="I132" t="s">
        <v>65</v>
      </c>
      <c r="J132">
        <v>43</v>
      </c>
      <c r="K132">
        <v>1645.42</v>
      </c>
      <c r="L132">
        <v>70752.91</v>
      </c>
      <c r="M132">
        <v>41091.85</v>
      </c>
      <c r="N132">
        <v>8693.25</v>
      </c>
      <c r="O132">
        <v>3051.04</v>
      </c>
      <c r="P132">
        <v>3179.78</v>
      </c>
      <c r="Q132">
        <v>1168.49</v>
      </c>
      <c r="R132">
        <v>3380.41</v>
      </c>
      <c r="S132">
        <v>1428.36</v>
      </c>
      <c r="T132">
        <v>61993.17</v>
      </c>
      <c r="U132">
        <v>29661.06</v>
      </c>
      <c r="V132">
        <v>8759.74</v>
      </c>
      <c r="W132">
        <v>8397.66</v>
      </c>
      <c r="X132">
        <v>68131.039999999994</v>
      </c>
      <c r="Y132">
        <v>63752.82</v>
      </c>
    </row>
    <row r="133" spans="1:25" x14ac:dyDescent="0.25">
      <c r="A133" t="s">
        <v>176</v>
      </c>
      <c r="B133" s="1">
        <v>44963</v>
      </c>
      <c r="C133">
        <v>2023</v>
      </c>
      <c r="D133">
        <v>2</v>
      </c>
      <c r="E133" t="s">
        <v>161</v>
      </c>
      <c r="F133" t="s">
        <v>27</v>
      </c>
      <c r="G133" t="s">
        <v>35</v>
      </c>
      <c r="H133" t="s">
        <v>32</v>
      </c>
      <c r="I133" t="s">
        <v>45</v>
      </c>
      <c r="J133">
        <v>49</v>
      </c>
      <c r="K133">
        <v>1160.3699999999999</v>
      </c>
      <c r="L133">
        <v>56858.14</v>
      </c>
      <c r="M133">
        <v>31060.14</v>
      </c>
      <c r="N133">
        <v>6672.89</v>
      </c>
      <c r="O133">
        <v>3741.31</v>
      </c>
      <c r="P133">
        <v>1982.56</v>
      </c>
      <c r="Q133">
        <v>747.72</v>
      </c>
      <c r="R133">
        <v>3050.84</v>
      </c>
      <c r="S133">
        <v>1263.5899999999999</v>
      </c>
      <c r="T133">
        <v>48519.06</v>
      </c>
      <c r="U133">
        <v>25798.01</v>
      </c>
      <c r="V133">
        <v>8339.09</v>
      </c>
      <c r="W133">
        <v>8432.56</v>
      </c>
      <c r="X133">
        <v>52528.25</v>
      </c>
      <c r="Y133">
        <v>49253.91</v>
      </c>
    </row>
    <row r="134" spans="1:25" x14ac:dyDescent="0.25">
      <c r="A134" t="s">
        <v>177</v>
      </c>
      <c r="B134" s="1">
        <v>44963</v>
      </c>
      <c r="C134">
        <v>2023</v>
      </c>
      <c r="D134">
        <v>2</v>
      </c>
      <c r="E134" t="s">
        <v>161</v>
      </c>
      <c r="F134" t="s">
        <v>27</v>
      </c>
      <c r="G134" t="s">
        <v>35</v>
      </c>
      <c r="H134" t="s">
        <v>36</v>
      </c>
      <c r="I134" t="s">
        <v>65</v>
      </c>
      <c r="J134">
        <v>46</v>
      </c>
      <c r="K134">
        <v>1353.04</v>
      </c>
      <c r="L134">
        <v>62239.99</v>
      </c>
      <c r="M134">
        <v>38736.300000000003</v>
      </c>
      <c r="N134">
        <v>4494.6499999999996</v>
      </c>
      <c r="O134">
        <v>3417.57</v>
      </c>
      <c r="P134">
        <v>1457.82</v>
      </c>
      <c r="Q134">
        <v>900.63</v>
      </c>
      <c r="R134">
        <v>1976.32</v>
      </c>
      <c r="S134">
        <v>829.12</v>
      </c>
      <c r="T134">
        <v>51812.41</v>
      </c>
      <c r="U134">
        <v>23503.68</v>
      </c>
      <c r="V134">
        <v>10427.58</v>
      </c>
      <c r="W134">
        <v>9886.68</v>
      </c>
      <c r="X134">
        <v>66237.31</v>
      </c>
      <c r="Y134">
        <v>54757.8</v>
      </c>
    </row>
    <row r="135" spans="1:25" x14ac:dyDescent="0.25">
      <c r="A135" t="s">
        <v>178</v>
      </c>
      <c r="B135" s="1">
        <v>44964</v>
      </c>
      <c r="C135">
        <v>2023</v>
      </c>
      <c r="D135">
        <v>2</v>
      </c>
      <c r="E135" t="s">
        <v>161</v>
      </c>
      <c r="F135" t="s">
        <v>27</v>
      </c>
      <c r="G135" t="s">
        <v>55</v>
      </c>
      <c r="H135" t="s">
        <v>32</v>
      </c>
      <c r="I135" t="s">
        <v>56</v>
      </c>
      <c r="J135">
        <v>33</v>
      </c>
      <c r="K135">
        <v>1325.84</v>
      </c>
      <c r="L135">
        <v>43752.639999999999</v>
      </c>
      <c r="M135">
        <v>21012.14</v>
      </c>
      <c r="N135">
        <v>5408.38</v>
      </c>
      <c r="O135">
        <v>2910.4</v>
      </c>
      <c r="P135">
        <v>1290.76</v>
      </c>
      <c r="Q135">
        <v>603.54999999999995</v>
      </c>
      <c r="R135">
        <v>1684.16</v>
      </c>
      <c r="S135">
        <v>953.97</v>
      </c>
      <c r="T135">
        <v>33863.360000000001</v>
      </c>
      <c r="U135">
        <v>22740.5</v>
      </c>
      <c r="V135">
        <v>9889.2800000000007</v>
      </c>
      <c r="W135">
        <v>9010.91</v>
      </c>
      <c r="X135">
        <v>41759.74</v>
      </c>
      <c r="Y135">
        <v>36925.620000000003</v>
      </c>
    </row>
    <row r="136" spans="1:25" x14ac:dyDescent="0.25">
      <c r="A136" t="s">
        <v>179</v>
      </c>
      <c r="B136" s="1">
        <v>44964</v>
      </c>
      <c r="C136">
        <v>2023</v>
      </c>
      <c r="D136">
        <v>2</v>
      </c>
      <c r="E136" t="s">
        <v>161</v>
      </c>
      <c r="F136" t="s">
        <v>27</v>
      </c>
      <c r="G136" t="s">
        <v>35</v>
      </c>
      <c r="H136" t="s">
        <v>32</v>
      </c>
      <c r="I136" t="s">
        <v>56</v>
      </c>
      <c r="J136">
        <v>27</v>
      </c>
      <c r="K136">
        <v>1606.73</v>
      </c>
      <c r="L136">
        <v>43381.67</v>
      </c>
      <c r="M136">
        <v>23597.5</v>
      </c>
      <c r="N136">
        <v>4400.37</v>
      </c>
      <c r="O136">
        <v>1223.28</v>
      </c>
      <c r="P136">
        <v>1801.17</v>
      </c>
      <c r="Q136">
        <v>401.48</v>
      </c>
      <c r="R136">
        <v>1713.44</v>
      </c>
      <c r="S136">
        <v>526.88</v>
      </c>
      <c r="T136">
        <v>33664.120000000003</v>
      </c>
      <c r="U136">
        <v>19784.169999999998</v>
      </c>
      <c r="V136">
        <v>9717.5499999999993</v>
      </c>
      <c r="W136">
        <v>9627.51</v>
      </c>
      <c r="X136">
        <v>46622.31</v>
      </c>
      <c r="Y136">
        <v>34918.870000000003</v>
      </c>
    </row>
    <row r="137" spans="1:25" x14ac:dyDescent="0.25">
      <c r="A137" t="s">
        <v>180</v>
      </c>
      <c r="B137" s="1">
        <v>44964</v>
      </c>
      <c r="C137">
        <v>2023</v>
      </c>
      <c r="D137">
        <v>2</v>
      </c>
      <c r="E137" t="s">
        <v>161</v>
      </c>
      <c r="F137" t="s">
        <v>27</v>
      </c>
      <c r="G137" t="s">
        <v>28</v>
      </c>
      <c r="H137" t="s">
        <v>36</v>
      </c>
      <c r="I137" t="s">
        <v>39</v>
      </c>
      <c r="J137">
        <v>42</v>
      </c>
      <c r="K137">
        <v>1134.57</v>
      </c>
      <c r="L137">
        <v>47651.85</v>
      </c>
      <c r="M137">
        <v>29320.91</v>
      </c>
      <c r="N137">
        <v>3730.68</v>
      </c>
      <c r="O137">
        <v>1689.46</v>
      </c>
      <c r="P137">
        <v>1283.8800000000001</v>
      </c>
      <c r="Q137">
        <v>530.15</v>
      </c>
      <c r="R137">
        <v>2897.2</v>
      </c>
      <c r="S137">
        <v>1071.73</v>
      </c>
      <c r="T137">
        <v>40524.01</v>
      </c>
      <c r="U137">
        <v>18330.939999999999</v>
      </c>
      <c r="V137">
        <v>7127.85</v>
      </c>
      <c r="W137">
        <v>7213.46</v>
      </c>
      <c r="X137">
        <v>44754.239999999998</v>
      </c>
      <c r="Y137">
        <v>42734.91</v>
      </c>
    </row>
    <row r="138" spans="1:25" x14ac:dyDescent="0.25">
      <c r="A138" t="s">
        <v>181</v>
      </c>
      <c r="B138" s="1">
        <v>44965</v>
      </c>
      <c r="C138">
        <v>2023</v>
      </c>
      <c r="D138">
        <v>2</v>
      </c>
      <c r="E138" t="s">
        <v>161</v>
      </c>
      <c r="F138" t="s">
        <v>27</v>
      </c>
      <c r="G138" t="s">
        <v>28</v>
      </c>
      <c r="H138" t="s">
        <v>53</v>
      </c>
      <c r="I138" t="s">
        <v>45</v>
      </c>
      <c r="J138">
        <v>33</v>
      </c>
      <c r="K138">
        <v>1420</v>
      </c>
      <c r="L138">
        <v>46860.05</v>
      </c>
      <c r="M138">
        <v>26402.23</v>
      </c>
      <c r="N138">
        <v>3889.29</v>
      </c>
      <c r="O138">
        <v>2089.88</v>
      </c>
      <c r="P138">
        <v>875.68</v>
      </c>
      <c r="Q138">
        <v>597.21</v>
      </c>
      <c r="R138">
        <v>2529.7399999999998</v>
      </c>
      <c r="S138">
        <v>880.3</v>
      </c>
      <c r="T138">
        <v>37264.33</v>
      </c>
      <c r="U138">
        <v>20457.82</v>
      </c>
      <c r="V138">
        <v>9595.7199999999993</v>
      </c>
      <c r="W138">
        <v>9340.59</v>
      </c>
      <c r="X138">
        <v>46157.93</v>
      </c>
      <c r="Y138">
        <v>38841.370000000003</v>
      </c>
    </row>
    <row r="139" spans="1:25" x14ac:dyDescent="0.25">
      <c r="A139" t="s">
        <v>182</v>
      </c>
      <c r="B139" s="1">
        <v>44965</v>
      </c>
      <c r="C139">
        <v>2023</v>
      </c>
      <c r="D139">
        <v>2</v>
      </c>
      <c r="E139" t="s">
        <v>161</v>
      </c>
      <c r="F139" t="s">
        <v>27</v>
      </c>
      <c r="G139" t="s">
        <v>35</v>
      </c>
      <c r="H139" t="s">
        <v>36</v>
      </c>
      <c r="I139" t="s">
        <v>45</v>
      </c>
      <c r="J139">
        <v>23</v>
      </c>
      <c r="K139">
        <v>1766.9</v>
      </c>
      <c r="L139">
        <v>40638.61</v>
      </c>
      <c r="M139">
        <v>25346.6</v>
      </c>
      <c r="N139">
        <v>5101.6400000000003</v>
      </c>
      <c r="O139">
        <v>2283.13</v>
      </c>
      <c r="P139">
        <v>807.81</v>
      </c>
      <c r="Q139">
        <v>257.55</v>
      </c>
      <c r="R139">
        <v>2467.8000000000002</v>
      </c>
      <c r="S139">
        <v>529.74</v>
      </c>
      <c r="T139">
        <v>36794.269999999997</v>
      </c>
      <c r="U139">
        <v>15292.01</v>
      </c>
      <c r="V139">
        <v>3844.34</v>
      </c>
      <c r="W139">
        <v>3789.52</v>
      </c>
      <c r="X139">
        <v>37954.269999999997</v>
      </c>
      <c r="Y139">
        <v>37074.75</v>
      </c>
    </row>
    <row r="140" spans="1:25" x14ac:dyDescent="0.25">
      <c r="A140" t="s">
        <v>183</v>
      </c>
      <c r="B140" s="1">
        <v>44965</v>
      </c>
      <c r="C140">
        <v>2023</v>
      </c>
      <c r="D140">
        <v>2</v>
      </c>
      <c r="E140" t="s">
        <v>161</v>
      </c>
      <c r="F140" t="s">
        <v>27</v>
      </c>
      <c r="G140" t="s">
        <v>44</v>
      </c>
      <c r="H140" t="s">
        <v>53</v>
      </c>
      <c r="I140" t="s">
        <v>30</v>
      </c>
      <c r="J140">
        <v>46</v>
      </c>
      <c r="K140">
        <v>1301.07</v>
      </c>
      <c r="L140">
        <v>59849.22</v>
      </c>
      <c r="M140">
        <v>33586.19</v>
      </c>
      <c r="N140">
        <v>7776.7</v>
      </c>
      <c r="O140">
        <v>2001.86</v>
      </c>
      <c r="P140">
        <v>1047.77</v>
      </c>
      <c r="Q140">
        <v>798.54</v>
      </c>
      <c r="R140">
        <v>1942.76</v>
      </c>
      <c r="S140">
        <v>1457.8</v>
      </c>
      <c r="T140">
        <v>48611.62</v>
      </c>
      <c r="U140">
        <v>26263.02</v>
      </c>
      <c r="V140">
        <v>11237.59</v>
      </c>
      <c r="W140">
        <v>10231.64</v>
      </c>
      <c r="X140">
        <v>58486.97</v>
      </c>
      <c r="Y140">
        <v>46123.24</v>
      </c>
    </row>
    <row r="141" spans="1:25" x14ac:dyDescent="0.25">
      <c r="A141" t="s">
        <v>184</v>
      </c>
      <c r="B141" s="1">
        <v>44965</v>
      </c>
      <c r="C141">
        <v>2023</v>
      </c>
      <c r="D141">
        <v>2</v>
      </c>
      <c r="E141" t="s">
        <v>161</v>
      </c>
      <c r="F141" t="s">
        <v>27</v>
      </c>
      <c r="G141" t="s">
        <v>28</v>
      </c>
      <c r="H141" t="s">
        <v>32</v>
      </c>
      <c r="I141" t="s">
        <v>30</v>
      </c>
      <c r="J141">
        <v>68</v>
      </c>
      <c r="K141">
        <v>1534.63</v>
      </c>
      <c r="L141">
        <v>104355.14</v>
      </c>
      <c r="M141">
        <v>67397.39</v>
      </c>
      <c r="N141">
        <v>11441.79</v>
      </c>
      <c r="O141">
        <v>3113.42</v>
      </c>
      <c r="P141">
        <v>2769.92</v>
      </c>
      <c r="Q141">
        <v>1810.26</v>
      </c>
      <c r="R141">
        <v>3505.03</v>
      </c>
      <c r="S141">
        <v>1500.74</v>
      </c>
      <c r="T141">
        <v>91538.54</v>
      </c>
      <c r="U141">
        <v>36957.760000000002</v>
      </c>
      <c r="V141">
        <v>12816.6</v>
      </c>
      <c r="W141">
        <v>12256.15</v>
      </c>
      <c r="X141">
        <v>112523.18</v>
      </c>
      <c r="Y141">
        <v>88893.73</v>
      </c>
    </row>
    <row r="142" spans="1:25" x14ac:dyDescent="0.25">
      <c r="A142" t="s">
        <v>185</v>
      </c>
      <c r="B142" s="1">
        <v>44965</v>
      </c>
      <c r="C142">
        <v>2023</v>
      </c>
      <c r="D142">
        <v>2</v>
      </c>
      <c r="E142" t="s">
        <v>161</v>
      </c>
      <c r="F142" t="s">
        <v>27</v>
      </c>
      <c r="G142" t="s">
        <v>35</v>
      </c>
      <c r="H142" t="s">
        <v>32</v>
      </c>
      <c r="I142" t="s">
        <v>33</v>
      </c>
      <c r="J142">
        <v>41</v>
      </c>
      <c r="K142">
        <v>1574.51</v>
      </c>
      <c r="L142">
        <v>64554.93</v>
      </c>
      <c r="M142">
        <v>34706.949999999997</v>
      </c>
      <c r="N142">
        <v>5037.28</v>
      </c>
      <c r="O142">
        <v>1807.62</v>
      </c>
      <c r="P142">
        <v>2683.89</v>
      </c>
      <c r="Q142">
        <v>603.1</v>
      </c>
      <c r="R142">
        <v>3960.02</v>
      </c>
      <c r="S142">
        <v>1256.0899999999999</v>
      </c>
      <c r="T142">
        <v>50054.95</v>
      </c>
      <c r="U142">
        <v>29847.98</v>
      </c>
      <c r="V142">
        <v>14499.99</v>
      </c>
      <c r="W142">
        <v>13757.84</v>
      </c>
      <c r="X142">
        <v>65947.03</v>
      </c>
      <c r="Y142">
        <v>55031.09</v>
      </c>
    </row>
    <row r="143" spans="1:25" x14ac:dyDescent="0.25">
      <c r="A143" t="s">
        <v>186</v>
      </c>
      <c r="B143" s="1">
        <v>44965</v>
      </c>
      <c r="C143">
        <v>2023</v>
      </c>
      <c r="D143">
        <v>2</v>
      </c>
      <c r="E143" t="s">
        <v>161</v>
      </c>
      <c r="F143" t="s">
        <v>27</v>
      </c>
      <c r="G143" t="s">
        <v>55</v>
      </c>
      <c r="H143" t="s">
        <v>32</v>
      </c>
      <c r="I143" t="s">
        <v>39</v>
      </c>
      <c r="J143">
        <v>44</v>
      </c>
      <c r="K143">
        <v>1306.0999999999999</v>
      </c>
      <c r="L143">
        <v>57468.33</v>
      </c>
      <c r="M143">
        <v>32643.73</v>
      </c>
      <c r="N143">
        <v>5668.22</v>
      </c>
      <c r="O143">
        <v>1516.64</v>
      </c>
      <c r="P143">
        <v>1095.48</v>
      </c>
      <c r="Q143">
        <v>811.94</v>
      </c>
      <c r="R143">
        <v>2277.8200000000002</v>
      </c>
      <c r="S143">
        <v>1035.3900000000001</v>
      </c>
      <c r="T143">
        <v>45049.22</v>
      </c>
      <c r="U143">
        <v>24824.6</v>
      </c>
      <c r="V143">
        <v>12419.12</v>
      </c>
      <c r="W143">
        <v>12585.81</v>
      </c>
      <c r="X143">
        <v>59801.74</v>
      </c>
      <c r="Y143">
        <v>48274.09</v>
      </c>
    </row>
    <row r="144" spans="1:25" x14ac:dyDescent="0.25">
      <c r="A144" t="s">
        <v>187</v>
      </c>
      <c r="B144" s="1">
        <v>44966</v>
      </c>
      <c r="C144">
        <v>2023</v>
      </c>
      <c r="D144">
        <v>2</v>
      </c>
      <c r="E144" t="s">
        <v>161</v>
      </c>
      <c r="F144" t="s">
        <v>27</v>
      </c>
      <c r="G144" t="s">
        <v>35</v>
      </c>
      <c r="H144" t="s">
        <v>36</v>
      </c>
      <c r="I144" t="s">
        <v>39</v>
      </c>
      <c r="J144">
        <v>30</v>
      </c>
      <c r="K144">
        <v>1170.76</v>
      </c>
      <c r="L144">
        <v>35122.79</v>
      </c>
      <c r="M144">
        <v>18689</v>
      </c>
      <c r="N144">
        <v>3101.36</v>
      </c>
      <c r="O144">
        <v>2444.14</v>
      </c>
      <c r="P144">
        <v>817.33</v>
      </c>
      <c r="Q144">
        <v>249.46</v>
      </c>
      <c r="R144">
        <v>2205.84</v>
      </c>
      <c r="S144">
        <v>422.37</v>
      </c>
      <c r="T144">
        <v>27929.5</v>
      </c>
      <c r="U144">
        <v>16433.79</v>
      </c>
      <c r="V144">
        <v>7193.29</v>
      </c>
      <c r="W144">
        <v>6926.79</v>
      </c>
      <c r="X144">
        <v>35172.39</v>
      </c>
      <c r="Y144">
        <v>30641.96</v>
      </c>
    </row>
    <row r="145" spans="1:25" x14ac:dyDescent="0.25">
      <c r="A145" t="s">
        <v>188</v>
      </c>
      <c r="B145" s="1">
        <v>44966</v>
      </c>
      <c r="C145">
        <v>2023</v>
      </c>
      <c r="D145">
        <v>2</v>
      </c>
      <c r="E145" t="s">
        <v>161</v>
      </c>
      <c r="F145" t="s">
        <v>27</v>
      </c>
      <c r="G145" t="s">
        <v>55</v>
      </c>
      <c r="H145" t="s">
        <v>32</v>
      </c>
      <c r="I145" t="s">
        <v>56</v>
      </c>
      <c r="J145">
        <v>44</v>
      </c>
      <c r="K145">
        <v>792.69</v>
      </c>
      <c r="L145">
        <v>34878.230000000003</v>
      </c>
      <c r="M145">
        <v>23042.43</v>
      </c>
      <c r="N145">
        <v>3367.76</v>
      </c>
      <c r="O145">
        <v>2201.23</v>
      </c>
      <c r="P145">
        <v>643.25</v>
      </c>
      <c r="Q145">
        <v>482.69</v>
      </c>
      <c r="R145">
        <v>993.24</v>
      </c>
      <c r="S145">
        <v>501.63</v>
      </c>
      <c r="T145">
        <v>31232.23</v>
      </c>
      <c r="U145">
        <v>11835.8</v>
      </c>
      <c r="V145">
        <v>3646</v>
      </c>
      <c r="W145">
        <v>3566.61</v>
      </c>
      <c r="X145">
        <v>32429.99</v>
      </c>
      <c r="Y145">
        <v>31879.01</v>
      </c>
    </row>
    <row r="146" spans="1:25" x14ac:dyDescent="0.25">
      <c r="A146" t="s">
        <v>189</v>
      </c>
      <c r="B146" s="1">
        <v>44966</v>
      </c>
      <c r="C146">
        <v>2023</v>
      </c>
      <c r="D146">
        <v>2</v>
      </c>
      <c r="E146" t="s">
        <v>161</v>
      </c>
      <c r="F146" t="s">
        <v>27</v>
      </c>
      <c r="G146" t="s">
        <v>55</v>
      </c>
      <c r="H146" t="s">
        <v>53</v>
      </c>
      <c r="I146" t="s">
        <v>39</v>
      </c>
      <c r="J146">
        <v>27</v>
      </c>
      <c r="K146">
        <v>1580.74</v>
      </c>
      <c r="L146">
        <v>42679.89</v>
      </c>
      <c r="M146">
        <v>21864.560000000001</v>
      </c>
      <c r="N146">
        <v>5180.8500000000004</v>
      </c>
      <c r="O146">
        <v>1814.21</v>
      </c>
      <c r="P146">
        <v>778.43</v>
      </c>
      <c r="Q146">
        <v>506.02</v>
      </c>
      <c r="R146">
        <v>2711.24</v>
      </c>
      <c r="S146">
        <v>870.38</v>
      </c>
      <c r="T146">
        <v>33725.68</v>
      </c>
      <c r="U146">
        <v>20815.330000000002</v>
      </c>
      <c r="V146">
        <v>8954.2099999999991</v>
      </c>
      <c r="W146">
        <v>8863.49</v>
      </c>
      <c r="X146">
        <v>47439.03</v>
      </c>
      <c r="Y146">
        <v>35727.440000000002</v>
      </c>
    </row>
    <row r="147" spans="1:25" x14ac:dyDescent="0.25">
      <c r="A147" t="s">
        <v>190</v>
      </c>
      <c r="B147" s="1">
        <v>44966</v>
      </c>
      <c r="C147">
        <v>2023</v>
      </c>
      <c r="D147">
        <v>2</v>
      </c>
      <c r="E147" t="s">
        <v>161</v>
      </c>
      <c r="F147" t="s">
        <v>27</v>
      </c>
      <c r="G147" t="s">
        <v>55</v>
      </c>
      <c r="H147" t="s">
        <v>29</v>
      </c>
      <c r="I147" t="s">
        <v>50</v>
      </c>
      <c r="J147">
        <v>53</v>
      </c>
      <c r="K147">
        <v>966.04</v>
      </c>
      <c r="L147">
        <v>51199.99</v>
      </c>
      <c r="M147">
        <v>28985.77</v>
      </c>
      <c r="N147">
        <v>5477.69</v>
      </c>
      <c r="O147">
        <v>3658.03</v>
      </c>
      <c r="P147">
        <v>802.55</v>
      </c>
      <c r="Q147">
        <v>687.64</v>
      </c>
      <c r="R147">
        <v>2159.7600000000002</v>
      </c>
      <c r="S147">
        <v>702.49</v>
      </c>
      <c r="T147">
        <v>42473.919999999998</v>
      </c>
      <c r="U147">
        <v>22214.22</v>
      </c>
      <c r="V147">
        <v>8726.07</v>
      </c>
      <c r="W147">
        <v>7739.25</v>
      </c>
      <c r="X147">
        <v>49813.64</v>
      </c>
      <c r="Y147">
        <v>45267.71</v>
      </c>
    </row>
    <row r="148" spans="1:25" x14ac:dyDescent="0.25">
      <c r="A148" t="s">
        <v>191</v>
      </c>
      <c r="B148" s="1">
        <v>44966</v>
      </c>
      <c r="C148">
        <v>2023</v>
      </c>
      <c r="D148">
        <v>2</v>
      </c>
      <c r="E148" t="s">
        <v>161</v>
      </c>
      <c r="F148" t="s">
        <v>27</v>
      </c>
      <c r="G148" t="s">
        <v>55</v>
      </c>
      <c r="H148" t="s">
        <v>29</v>
      </c>
      <c r="I148" t="s">
        <v>37</v>
      </c>
      <c r="J148">
        <v>53</v>
      </c>
      <c r="K148">
        <v>1720.61</v>
      </c>
      <c r="L148">
        <v>91192.34</v>
      </c>
      <c r="M148">
        <v>51277.18</v>
      </c>
      <c r="N148">
        <v>9718.67</v>
      </c>
      <c r="O148">
        <v>3105.99</v>
      </c>
      <c r="P148">
        <v>1556.98</v>
      </c>
      <c r="Q148">
        <v>1139.8900000000001</v>
      </c>
      <c r="R148">
        <v>5133.95</v>
      </c>
      <c r="S148">
        <v>2274.5100000000002</v>
      </c>
      <c r="T148">
        <v>74207.16</v>
      </c>
      <c r="U148">
        <v>39915.17</v>
      </c>
      <c r="V148">
        <v>16985.18</v>
      </c>
      <c r="W148">
        <v>15849.23</v>
      </c>
      <c r="X148">
        <v>96236.55</v>
      </c>
      <c r="Y148">
        <v>73259.33</v>
      </c>
    </row>
    <row r="149" spans="1:25" x14ac:dyDescent="0.25">
      <c r="A149" t="s">
        <v>192</v>
      </c>
      <c r="B149" s="1">
        <v>44966</v>
      </c>
      <c r="C149">
        <v>2023</v>
      </c>
      <c r="D149">
        <v>2</v>
      </c>
      <c r="E149" t="s">
        <v>161</v>
      </c>
      <c r="F149" t="s">
        <v>27</v>
      </c>
      <c r="G149" t="s">
        <v>28</v>
      </c>
      <c r="H149" t="s">
        <v>36</v>
      </c>
      <c r="I149" t="s">
        <v>56</v>
      </c>
      <c r="J149">
        <v>28</v>
      </c>
      <c r="K149">
        <v>1595.47</v>
      </c>
      <c r="L149">
        <v>44673.16</v>
      </c>
      <c r="M149">
        <v>26746.27</v>
      </c>
      <c r="N149">
        <v>3145.65</v>
      </c>
      <c r="O149">
        <v>2752.63</v>
      </c>
      <c r="P149">
        <v>1132.0899999999999</v>
      </c>
      <c r="Q149">
        <v>519.46</v>
      </c>
      <c r="R149">
        <v>1291.42</v>
      </c>
      <c r="S149">
        <v>670.39</v>
      </c>
      <c r="T149">
        <v>36257.910000000003</v>
      </c>
      <c r="U149">
        <v>17926.89</v>
      </c>
      <c r="V149">
        <v>8415.25</v>
      </c>
      <c r="W149">
        <v>8329.8799999999992</v>
      </c>
      <c r="X149">
        <v>44773.7</v>
      </c>
      <c r="Y149">
        <v>36376.910000000003</v>
      </c>
    </row>
    <row r="150" spans="1:25" x14ac:dyDescent="0.25">
      <c r="A150" t="s">
        <v>193</v>
      </c>
      <c r="B150" s="1">
        <v>44967</v>
      </c>
      <c r="C150">
        <v>2023</v>
      </c>
      <c r="D150">
        <v>2</v>
      </c>
      <c r="E150" t="s">
        <v>161</v>
      </c>
      <c r="F150" t="s">
        <v>27</v>
      </c>
      <c r="G150" t="s">
        <v>44</v>
      </c>
      <c r="H150" t="s">
        <v>36</v>
      </c>
      <c r="I150" t="s">
        <v>39</v>
      </c>
      <c r="J150">
        <v>28</v>
      </c>
      <c r="K150">
        <v>1404.56</v>
      </c>
      <c r="L150">
        <v>39327.660000000003</v>
      </c>
      <c r="M150">
        <v>25782.18</v>
      </c>
      <c r="N150">
        <v>4321.6400000000003</v>
      </c>
      <c r="O150">
        <v>1031.1099999999999</v>
      </c>
      <c r="P150">
        <v>1103.68</v>
      </c>
      <c r="Q150">
        <v>574.72</v>
      </c>
      <c r="R150">
        <v>2169.48</v>
      </c>
      <c r="S150">
        <v>518.91</v>
      </c>
      <c r="T150">
        <v>35501.730000000003</v>
      </c>
      <c r="U150">
        <v>13545.48</v>
      </c>
      <c r="V150">
        <v>3825.93</v>
      </c>
      <c r="W150">
        <v>3897.38</v>
      </c>
      <c r="X150">
        <v>43606.32</v>
      </c>
      <c r="Y150">
        <v>36307.47</v>
      </c>
    </row>
    <row r="151" spans="1:25" x14ac:dyDescent="0.25">
      <c r="A151" t="s">
        <v>194</v>
      </c>
      <c r="B151" s="1">
        <v>44967</v>
      </c>
      <c r="C151">
        <v>2023</v>
      </c>
      <c r="D151">
        <v>2</v>
      </c>
      <c r="E151" t="s">
        <v>161</v>
      </c>
      <c r="F151" t="s">
        <v>27</v>
      </c>
      <c r="G151" t="s">
        <v>35</v>
      </c>
      <c r="H151" t="s">
        <v>58</v>
      </c>
      <c r="I151" t="s">
        <v>37</v>
      </c>
      <c r="J151">
        <v>43</v>
      </c>
      <c r="K151">
        <v>1144.21</v>
      </c>
      <c r="L151">
        <v>49201.21</v>
      </c>
      <c r="M151">
        <v>28569.27</v>
      </c>
      <c r="N151">
        <v>5022.8</v>
      </c>
      <c r="O151">
        <v>2237.44</v>
      </c>
      <c r="P151">
        <v>2145.5100000000002</v>
      </c>
      <c r="Q151">
        <v>575.07000000000005</v>
      </c>
      <c r="R151">
        <v>3023.01</v>
      </c>
      <c r="S151">
        <v>628.14</v>
      </c>
      <c r="T151">
        <v>42201.24</v>
      </c>
      <c r="U151">
        <v>20631.939999999999</v>
      </c>
      <c r="V151">
        <v>6999.97</v>
      </c>
      <c r="W151">
        <v>6513.43</v>
      </c>
      <c r="X151">
        <v>49392.53</v>
      </c>
      <c r="Y151">
        <v>40218.239999999998</v>
      </c>
    </row>
    <row r="152" spans="1:25" x14ac:dyDescent="0.25">
      <c r="A152" t="s">
        <v>195</v>
      </c>
      <c r="B152" s="1">
        <v>44967</v>
      </c>
      <c r="C152">
        <v>2023</v>
      </c>
      <c r="D152">
        <v>2</v>
      </c>
      <c r="E152" t="s">
        <v>161</v>
      </c>
      <c r="F152" t="s">
        <v>27</v>
      </c>
      <c r="G152" t="s">
        <v>35</v>
      </c>
      <c r="H152" t="s">
        <v>53</v>
      </c>
      <c r="I152" t="s">
        <v>50</v>
      </c>
      <c r="J152">
        <v>21</v>
      </c>
      <c r="K152">
        <v>1773.99</v>
      </c>
      <c r="L152">
        <v>37253.82</v>
      </c>
      <c r="M152">
        <v>24644.28</v>
      </c>
      <c r="N152">
        <v>4448.43</v>
      </c>
      <c r="O152">
        <v>2254.36</v>
      </c>
      <c r="P152">
        <v>1028.24</v>
      </c>
      <c r="Q152">
        <v>403.54</v>
      </c>
      <c r="R152">
        <v>2217.11</v>
      </c>
      <c r="S152">
        <v>562.1</v>
      </c>
      <c r="T152">
        <v>35558.07</v>
      </c>
      <c r="U152">
        <v>12609.54</v>
      </c>
      <c r="V152">
        <v>1695.75</v>
      </c>
      <c r="W152">
        <v>1688.24</v>
      </c>
      <c r="X152">
        <v>36180.870000000003</v>
      </c>
      <c r="Y152">
        <v>35707.370000000003</v>
      </c>
    </row>
    <row r="153" spans="1:25" x14ac:dyDescent="0.25">
      <c r="A153" t="s">
        <v>196</v>
      </c>
      <c r="B153" s="1">
        <v>44967</v>
      </c>
      <c r="C153">
        <v>2023</v>
      </c>
      <c r="D153">
        <v>2</v>
      </c>
      <c r="E153" t="s">
        <v>161</v>
      </c>
      <c r="F153" t="s">
        <v>27</v>
      </c>
      <c r="G153" t="s">
        <v>55</v>
      </c>
      <c r="H153" t="s">
        <v>32</v>
      </c>
      <c r="I153" t="s">
        <v>45</v>
      </c>
      <c r="J153">
        <v>37</v>
      </c>
      <c r="K153">
        <v>1587.07</v>
      </c>
      <c r="L153">
        <v>58721.61</v>
      </c>
      <c r="M153">
        <v>33018.49</v>
      </c>
      <c r="N153">
        <v>5585.81</v>
      </c>
      <c r="O153">
        <v>3457.83</v>
      </c>
      <c r="P153">
        <v>1361.66</v>
      </c>
      <c r="Q153">
        <v>788.03</v>
      </c>
      <c r="R153">
        <v>1579.78</v>
      </c>
      <c r="S153">
        <v>1431.76</v>
      </c>
      <c r="T153">
        <v>47223.360000000001</v>
      </c>
      <c r="U153">
        <v>25703.119999999999</v>
      </c>
      <c r="V153">
        <v>11498.25</v>
      </c>
      <c r="W153">
        <v>11383.13</v>
      </c>
      <c r="X153">
        <v>59354.93</v>
      </c>
      <c r="Y153">
        <v>45959.34</v>
      </c>
    </row>
    <row r="154" spans="1:25" x14ac:dyDescent="0.25">
      <c r="A154" t="s">
        <v>197</v>
      </c>
      <c r="B154" s="1">
        <v>44967</v>
      </c>
      <c r="C154">
        <v>2023</v>
      </c>
      <c r="D154">
        <v>2</v>
      </c>
      <c r="E154" t="s">
        <v>161</v>
      </c>
      <c r="F154" t="s">
        <v>27</v>
      </c>
      <c r="G154" t="s">
        <v>55</v>
      </c>
      <c r="H154" t="s">
        <v>32</v>
      </c>
      <c r="I154" t="s">
        <v>39</v>
      </c>
      <c r="J154">
        <v>30</v>
      </c>
      <c r="K154">
        <v>1477.88</v>
      </c>
      <c r="L154">
        <v>44336.49</v>
      </c>
      <c r="M154">
        <v>24084.39</v>
      </c>
      <c r="N154">
        <v>3382.5</v>
      </c>
      <c r="O154">
        <v>1671.11</v>
      </c>
      <c r="P154">
        <v>960.09</v>
      </c>
      <c r="Q154">
        <v>526.41999999999996</v>
      </c>
      <c r="R154">
        <v>2122.71</v>
      </c>
      <c r="S154">
        <v>996.8</v>
      </c>
      <c r="T154">
        <v>33744.01</v>
      </c>
      <c r="U154">
        <v>20252.11</v>
      </c>
      <c r="V154">
        <v>10592.48</v>
      </c>
      <c r="W154">
        <v>10234.75</v>
      </c>
      <c r="X154">
        <v>42128.44</v>
      </c>
      <c r="Y154">
        <v>34902.57</v>
      </c>
    </row>
    <row r="155" spans="1:25" x14ac:dyDescent="0.25">
      <c r="A155" t="s">
        <v>198</v>
      </c>
      <c r="B155" s="1">
        <v>44967</v>
      </c>
      <c r="C155">
        <v>2023</v>
      </c>
      <c r="D155">
        <v>2</v>
      </c>
      <c r="E155" t="s">
        <v>161</v>
      </c>
      <c r="F155" t="s">
        <v>27</v>
      </c>
      <c r="G155" t="s">
        <v>28</v>
      </c>
      <c r="H155" t="s">
        <v>36</v>
      </c>
      <c r="I155" t="s">
        <v>65</v>
      </c>
      <c r="J155">
        <v>32</v>
      </c>
      <c r="K155">
        <v>1485.88</v>
      </c>
      <c r="L155">
        <v>47548.01</v>
      </c>
      <c r="M155">
        <v>28121.54</v>
      </c>
      <c r="N155">
        <v>4602.6000000000004</v>
      </c>
      <c r="O155">
        <v>2912.58</v>
      </c>
      <c r="P155">
        <v>1089</v>
      </c>
      <c r="Q155">
        <v>825.41</v>
      </c>
      <c r="R155">
        <v>1448.19</v>
      </c>
      <c r="S155">
        <v>997.79</v>
      </c>
      <c r="T155">
        <v>39997.11</v>
      </c>
      <c r="U155">
        <v>19426.47</v>
      </c>
      <c r="V155">
        <v>7550.9</v>
      </c>
      <c r="W155">
        <v>7393.39</v>
      </c>
      <c r="X155">
        <v>49941.26</v>
      </c>
      <c r="Y155">
        <v>37573.339999999997</v>
      </c>
    </row>
    <row r="156" spans="1:25" x14ac:dyDescent="0.25">
      <c r="A156" t="s">
        <v>199</v>
      </c>
      <c r="B156" s="1">
        <v>44968</v>
      </c>
      <c r="C156">
        <v>2023</v>
      </c>
      <c r="D156">
        <v>2</v>
      </c>
      <c r="E156" t="s">
        <v>161</v>
      </c>
      <c r="F156" t="s">
        <v>27</v>
      </c>
      <c r="G156" t="s">
        <v>55</v>
      </c>
      <c r="H156" t="s">
        <v>29</v>
      </c>
      <c r="I156" t="s">
        <v>30</v>
      </c>
      <c r="J156">
        <v>91</v>
      </c>
      <c r="K156">
        <v>895.11</v>
      </c>
      <c r="L156">
        <v>81455.41</v>
      </c>
      <c r="M156">
        <v>42282.82</v>
      </c>
      <c r="N156">
        <v>6485.63</v>
      </c>
      <c r="O156">
        <v>3196.69</v>
      </c>
      <c r="P156">
        <v>3585.29</v>
      </c>
      <c r="Q156">
        <v>1180.07</v>
      </c>
      <c r="R156">
        <v>3384.07</v>
      </c>
      <c r="S156">
        <v>692.55</v>
      </c>
      <c r="T156">
        <v>60807.11</v>
      </c>
      <c r="U156">
        <v>39172.589999999997</v>
      </c>
      <c r="V156">
        <v>20648.3</v>
      </c>
      <c r="W156">
        <v>20499.89</v>
      </c>
      <c r="X156">
        <v>85064.15</v>
      </c>
      <c r="Y156">
        <v>58707.12</v>
      </c>
    </row>
    <row r="157" spans="1:25" x14ac:dyDescent="0.25">
      <c r="A157" t="s">
        <v>200</v>
      </c>
      <c r="B157" s="1">
        <v>44968</v>
      </c>
      <c r="C157">
        <v>2023</v>
      </c>
      <c r="D157">
        <v>2</v>
      </c>
      <c r="E157" t="s">
        <v>161</v>
      </c>
      <c r="F157" t="s">
        <v>27</v>
      </c>
      <c r="G157" t="s">
        <v>44</v>
      </c>
      <c r="H157" t="s">
        <v>53</v>
      </c>
      <c r="I157" t="s">
        <v>45</v>
      </c>
      <c r="J157">
        <v>25</v>
      </c>
      <c r="K157">
        <v>1521.42</v>
      </c>
      <c r="L157">
        <v>38035.440000000002</v>
      </c>
      <c r="M157">
        <v>19546.96</v>
      </c>
      <c r="N157">
        <v>4249.22</v>
      </c>
      <c r="O157">
        <v>2841.35</v>
      </c>
      <c r="P157">
        <v>790.31</v>
      </c>
      <c r="Q157">
        <v>295.5</v>
      </c>
      <c r="R157">
        <v>2348.41</v>
      </c>
      <c r="S157">
        <v>523.53</v>
      </c>
      <c r="T157">
        <v>30595.29</v>
      </c>
      <c r="U157">
        <v>18488.48</v>
      </c>
      <c r="V157">
        <v>7440.16</v>
      </c>
      <c r="W157">
        <v>6786.68</v>
      </c>
      <c r="X157">
        <v>42014.94</v>
      </c>
      <c r="Y157">
        <v>31848.9</v>
      </c>
    </row>
    <row r="158" spans="1:25" x14ac:dyDescent="0.25">
      <c r="A158" t="s">
        <v>201</v>
      </c>
      <c r="B158" s="1">
        <v>44968</v>
      </c>
      <c r="C158">
        <v>2023</v>
      </c>
      <c r="D158">
        <v>2</v>
      </c>
      <c r="E158" t="s">
        <v>161</v>
      </c>
      <c r="F158" t="s">
        <v>27</v>
      </c>
      <c r="G158" t="s">
        <v>35</v>
      </c>
      <c r="H158" t="s">
        <v>32</v>
      </c>
      <c r="I158" t="s">
        <v>56</v>
      </c>
      <c r="J158">
        <v>45</v>
      </c>
      <c r="K158">
        <v>1016.67</v>
      </c>
      <c r="L158">
        <v>45749.98</v>
      </c>
      <c r="M158">
        <v>22838.87</v>
      </c>
      <c r="N158">
        <v>4935.03</v>
      </c>
      <c r="O158">
        <v>2310.11</v>
      </c>
      <c r="P158">
        <v>1687.42</v>
      </c>
      <c r="Q158">
        <v>371.92</v>
      </c>
      <c r="R158">
        <v>2714.83</v>
      </c>
      <c r="S158">
        <v>767.88</v>
      </c>
      <c r="T158">
        <v>35626.050000000003</v>
      </c>
      <c r="U158">
        <v>22911.11</v>
      </c>
      <c r="V158">
        <v>10123.93</v>
      </c>
      <c r="W158">
        <v>10036.23</v>
      </c>
      <c r="X158">
        <v>43853.69</v>
      </c>
      <c r="Y158">
        <v>38213.03</v>
      </c>
    </row>
    <row r="159" spans="1:25" x14ac:dyDescent="0.25">
      <c r="A159" t="s">
        <v>202</v>
      </c>
      <c r="B159" s="1">
        <v>44969</v>
      </c>
      <c r="C159">
        <v>2023</v>
      </c>
      <c r="D159">
        <v>2</v>
      </c>
      <c r="E159" t="s">
        <v>161</v>
      </c>
      <c r="F159" t="s">
        <v>27</v>
      </c>
      <c r="G159" t="s">
        <v>55</v>
      </c>
      <c r="H159" t="s">
        <v>58</v>
      </c>
      <c r="I159" t="s">
        <v>37</v>
      </c>
      <c r="J159">
        <v>55</v>
      </c>
      <c r="K159">
        <v>1239.58</v>
      </c>
      <c r="L159">
        <v>68176.72</v>
      </c>
      <c r="M159">
        <v>42090.21</v>
      </c>
      <c r="N159">
        <v>8051.24</v>
      </c>
      <c r="O159">
        <v>3030.56</v>
      </c>
      <c r="P159">
        <v>1673.32</v>
      </c>
      <c r="Q159">
        <v>468.9</v>
      </c>
      <c r="R159">
        <v>3411.64</v>
      </c>
      <c r="S159">
        <v>1293.4100000000001</v>
      </c>
      <c r="T159">
        <v>60019.29</v>
      </c>
      <c r="U159">
        <v>26086.5</v>
      </c>
      <c r="V159">
        <v>8157.43</v>
      </c>
      <c r="W159">
        <v>7303.52</v>
      </c>
      <c r="X159">
        <v>65071.77</v>
      </c>
      <c r="Y159">
        <v>59591.63</v>
      </c>
    </row>
    <row r="160" spans="1:25" x14ac:dyDescent="0.25">
      <c r="A160" t="s">
        <v>203</v>
      </c>
      <c r="B160" s="1">
        <v>44969</v>
      </c>
      <c r="C160">
        <v>2023</v>
      </c>
      <c r="D160">
        <v>2</v>
      </c>
      <c r="E160" t="s">
        <v>161</v>
      </c>
      <c r="F160" t="s">
        <v>27</v>
      </c>
      <c r="G160" t="s">
        <v>55</v>
      </c>
      <c r="H160" t="s">
        <v>29</v>
      </c>
      <c r="I160" t="s">
        <v>39</v>
      </c>
      <c r="J160">
        <v>28</v>
      </c>
      <c r="K160">
        <v>1363.09</v>
      </c>
      <c r="L160">
        <v>38166.51</v>
      </c>
      <c r="M160">
        <v>24740.720000000001</v>
      </c>
      <c r="N160">
        <v>4160.6000000000004</v>
      </c>
      <c r="O160">
        <v>1911.28</v>
      </c>
      <c r="P160">
        <v>590.45000000000005</v>
      </c>
      <c r="Q160">
        <v>365.58</v>
      </c>
      <c r="R160">
        <v>1371.25</v>
      </c>
      <c r="S160">
        <v>310.07</v>
      </c>
      <c r="T160">
        <v>33449.949999999997</v>
      </c>
      <c r="U160">
        <v>13425.79</v>
      </c>
      <c r="V160">
        <v>4716.57</v>
      </c>
      <c r="W160">
        <v>4397.3900000000003</v>
      </c>
      <c r="X160">
        <v>39372.28</v>
      </c>
      <c r="Y160">
        <v>35879.78</v>
      </c>
    </row>
    <row r="161" spans="1:25" x14ac:dyDescent="0.25">
      <c r="A161" t="s">
        <v>204</v>
      </c>
      <c r="B161" s="1">
        <v>44969</v>
      </c>
      <c r="C161">
        <v>2023</v>
      </c>
      <c r="D161">
        <v>2</v>
      </c>
      <c r="E161" t="s">
        <v>161</v>
      </c>
      <c r="F161" t="s">
        <v>27</v>
      </c>
      <c r="G161" t="s">
        <v>55</v>
      </c>
      <c r="H161" t="s">
        <v>32</v>
      </c>
      <c r="I161" t="s">
        <v>33</v>
      </c>
      <c r="J161">
        <v>74</v>
      </c>
      <c r="K161">
        <v>1375.36</v>
      </c>
      <c r="L161">
        <v>101776.39</v>
      </c>
      <c r="M161">
        <v>68345.070000000007</v>
      </c>
      <c r="N161">
        <v>12447.81</v>
      </c>
      <c r="O161">
        <v>5807.7</v>
      </c>
      <c r="P161">
        <v>2830.71</v>
      </c>
      <c r="Q161">
        <v>757.43</v>
      </c>
      <c r="R161">
        <v>3291.98</v>
      </c>
      <c r="S161">
        <v>1978.66</v>
      </c>
      <c r="T161">
        <v>95459.35</v>
      </c>
      <c r="U161">
        <v>33431.32</v>
      </c>
      <c r="V161">
        <v>6317.04</v>
      </c>
      <c r="W161">
        <v>6167.38</v>
      </c>
      <c r="X161">
        <v>111516.42</v>
      </c>
      <c r="Y161">
        <v>93350.99</v>
      </c>
    </row>
    <row r="162" spans="1:25" x14ac:dyDescent="0.25">
      <c r="A162" t="s">
        <v>205</v>
      </c>
      <c r="B162" s="1">
        <v>44969</v>
      </c>
      <c r="C162">
        <v>2023</v>
      </c>
      <c r="D162">
        <v>2</v>
      </c>
      <c r="E162" t="s">
        <v>161</v>
      </c>
      <c r="F162" t="s">
        <v>27</v>
      </c>
      <c r="G162" t="s">
        <v>28</v>
      </c>
      <c r="H162" t="s">
        <v>32</v>
      </c>
      <c r="I162" t="s">
        <v>39</v>
      </c>
      <c r="J162">
        <v>38</v>
      </c>
      <c r="K162">
        <v>1424.54</v>
      </c>
      <c r="L162">
        <v>54132.45</v>
      </c>
      <c r="M162">
        <v>28294.23</v>
      </c>
      <c r="N162">
        <v>6348.14</v>
      </c>
      <c r="O162">
        <v>3891.76</v>
      </c>
      <c r="P162">
        <v>2271.58</v>
      </c>
      <c r="Q162">
        <v>687.43</v>
      </c>
      <c r="R162">
        <v>2962.88</v>
      </c>
      <c r="S162">
        <v>848.43</v>
      </c>
      <c r="T162">
        <v>45304.46</v>
      </c>
      <c r="U162">
        <v>25838.22</v>
      </c>
      <c r="V162">
        <v>8827.99</v>
      </c>
      <c r="W162">
        <v>8607.2199999999993</v>
      </c>
      <c r="X162">
        <v>58808.14</v>
      </c>
      <c r="Y162">
        <v>45584.13</v>
      </c>
    </row>
    <row r="163" spans="1:25" x14ac:dyDescent="0.25">
      <c r="A163" t="s">
        <v>206</v>
      </c>
      <c r="B163" s="1">
        <v>44969</v>
      </c>
      <c r="C163">
        <v>2023</v>
      </c>
      <c r="D163">
        <v>2</v>
      </c>
      <c r="E163" t="s">
        <v>161</v>
      </c>
      <c r="F163" t="s">
        <v>27</v>
      </c>
      <c r="G163" t="s">
        <v>55</v>
      </c>
      <c r="H163" t="s">
        <v>36</v>
      </c>
      <c r="I163" t="s">
        <v>56</v>
      </c>
      <c r="J163">
        <v>21</v>
      </c>
      <c r="K163">
        <v>1369.45</v>
      </c>
      <c r="L163">
        <v>28758.41</v>
      </c>
      <c r="M163">
        <v>17342.75</v>
      </c>
      <c r="N163">
        <v>3344.48</v>
      </c>
      <c r="O163">
        <v>1883.7</v>
      </c>
      <c r="P163">
        <v>1141.3900000000001</v>
      </c>
      <c r="Q163">
        <v>247.7</v>
      </c>
      <c r="R163">
        <v>1817.57</v>
      </c>
      <c r="S163">
        <v>645.80999999999995</v>
      </c>
      <c r="T163">
        <v>26423.42</v>
      </c>
      <c r="U163">
        <v>11415.66</v>
      </c>
      <c r="V163">
        <v>2334.9899999999998</v>
      </c>
      <c r="W163">
        <v>2288.6999999999998</v>
      </c>
      <c r="X163">
        <v>28403.119999999999</v>
      </c>
      <c r="Y163">
        <v>24723.41</v>
      </c>
    </row>
    <row r="164" spans="1:25" x14ac:dyDescent="0.25">
      <c r="A164" t="s">
        <v>207</v>
      </c>
      <c r="B164" s="1">
        <v>44969</v>
      </c>
      <c r="C164">
        <v>2023</v>
      </c>
      <c r="D164">
        <v>2</v>
      </c>
      <c r="E164" t="s">
        <v>161</v>
      </c>
      <c r="F164" t="s">
        <v>27</v>
      </c>
      <c r="G164" t="s">
        <v>28</v>
      </c>
      <c r="H164" t="s">
        <v>53</v>
      </c>
      <c r="I164" t="s">
        <v>65</v>
      </c>
      <c r="J164">
        <v>57</v>
      </c>
      <c r="K164">
        <v>1038.42</v>
      </c>
      <c r="L164">
        <v>59189.98</v>
      </c>
      <c r="M164">
        <v>34312.17</v>
      </c>
      <c r="N164">
        <v>5374.41</v>
      </c>
      <c r="O164">
        <v>2007.9</v>
      </c>
      <c r="P164">
        <v>1627.58</v>
      </c>
      <c r="Q164">
        <v>562.28</v>
      </c>
      <c r="R164">
        <v>1651.28</v>
      </c>
      <c r="S164">
        <v>1229.23</v>
      </c>
      <c r="T164">
        <v>46764.86</v>
      </c>
      <c r="U164">
        <v>24877.81</v>
      </c>
      <c r="V164">
        <v>12425.12</v>
      </c>
      <c r="W164">
        <v>10935.31</v>
      </c>
      <c r="X164">
        <v>58144.18</v>
      </c>
      <c r="Y164">
        <v>51374.3</v>
      </c>
    </row>
    <row r="165" spans="1:25" x14ac:dyDescent="0.25">
      <c r="A165" t="s">
        <v>208</v>
      </c>
      <c r="B165" s="1">
        <v>44969</v>
      </c>
      <c r="C165">
        <v>2023</v>
      </c>
      <c r="D165">
        <v>2</v>
      </c>
      <c r="E165" t="s">
        <v>161</v>
      </c>
      <c r="F165" t="s">
        <v>27</v>
      </c>
      <c r="G165" t="s">
        <v>44</v>
      </c>
      <c r="H165" t="s">
        <v>53</v>
      </c>
      <c r="I165" t="s">
        <v>45</v>
      </c>
      <c r="J165">
        <v>23</v>
      </c>
      <c r="K165">
        <v>1812</v>
      </c>
      <c r="L165">
        <v>41675.919999999998</v>
      </c>
      <c r="M165">
        <v>23302.46</v>
      </c>
      <c r="N165">
        <v>3227.03</v>
      </c>
      <c r="O165">
        <v>3120.11</v>
      </c>
      <c r="P165">
        <v>1858.89</v>
      </c>
      <c r="Q165">
        <v>244.29</v>
      </c>
      <c r="R165">
        <v>2184.39</v>
      </c>
      <c r="S165">
        <v>930.73</v>
      </c>
      <c r="T165">
        <v>34867.910000000003</v>
      </c>
      <c r="U165">
        <v>18373.46</v>
      </c>
      <c r="V165">
        <v>6808.01</v>
      </c>
      <c r="W165">
        <v>6006.11</v>
      </c>
      <c r="X165">
        <v>40813.86</v>
      </c>
      <c r="Y165">
        <v>32711.29</v>
      </c>
    </row>
    <row r="166" spans="1:25" x14ac:dyDescent="0.25">
      <c r="A166" t="s">
        <v>209</v>
      </c>
      <c r="B166" s="1">
        <v>44970</v>
      </c>
      <c r="C166">
        <v>2023</v>
      </c>
      <c r="D166">
        <v>2</v>
      </c>
      <c r="E166" t="s">
        <v>161</v>
      </c>
      <c r="F166" t="s">
        <v>27</v>
      </c>
      <c r="G166" t="s">
        <v>28</v>
      </c>
      <c r="H166" t="s">
        <v>58</v>
      </c>
      <c r="I166" t="s">
        <v>50</v>
      </c>
      <c r="J166">
        <v>45</v>
      </c>
      <c r="K166">
        <v>1028.07</v>
      </c>
      <c r="L166">
        <v>46263.360000000001</v>
      </c>
      <c r="M166">
        <v>31321.86</v>
      </c>
      <c r="N166">
        <v>4205.07</v>
      </c>
      <c r="O166">
        <v>2463.02</v>
      </c>
      <c r="P166">
        <v>1507.52</v>
      </c>
      <c r="Q166">
        <v>613.13</v>
      </c>
      <c r="R166">
        <v>1420.88</v>
      </c>
      <c r="S166">
        <v>528.55999999999995</v>
      </c>
      <c r="T166">
        <v>42060.04</v>
      </c>
      <c r="U166">
        <v>14941.5</v>
      </c>
      <c r="V166">
        <v>4203.32</v>
      </c>
      <c r="W166">
        <v>3995.16</v>
      </c>
      <c r="X166">
        <v>48324.79</v>
      </c>
      <c r="Y166">
        <v>44299.199999999997</v>
      </c>
    </row>
    <row r="167" spans="1:25" x14ac:dyDescent="0.25">
      <c r="A167" t="s">
        <v>210</v>
      </c>
      <c r="B167" s="1">
        <v>44971</v>
      </c>
      <c r="C167">
        <v>2023</v>
      </c>
      <c r="D167">
        <v>2</v>
      </c>
      <c r="E167" t="s">
        <v>161</v>
      </c>
      <c r="F167" t="s">
        <v>27</v>
      </c>
      <c r="G167" t="s">
        <v>55</v>
      </c>
      <c r="H167" t="s">
        <v>36</v>
      </c>
      <c r="I167" t="s">
        <v>45</v>
      </c>
      <c r="J167">
        <v>41</v>
      </c>
      <c r="K167">
        <v>1066.71</v>
      </c>
      <c r="L167">
        <v>43735.13</v>
      </c>
      <c r="M167">
        <v>24394.61</v>
      </c>
      <c r="N167">
        <v>3529.12</v>
      </c>
      <c r="O167">
        <v>3135.75</v>
      </c>
      <c r="P167">
        <v>1776.8</v>
      </c>
      <c r="Q167">
        <v>614.83000000000004</v>
      </c>
      <c r="R167">
        <v>2827.71</v>
      </c>
      <c r="S167">
        <v>654.65</v>
      </c>
      <c r="T167">
        <v>36933.47</v>
      </c>
      <c r="U167">
        <v>19340.52</v>
      </c>
      <c r="V167">
        <v>6801.66</v>
      </c>
      <c r="W167">
        <v>6603.58</v>
      </c>
      <c r="X167">
        <v>41557.06</v>
      </c>
      <c r="Y167">
        <v>39083.19</v>
      </c>
    </row>
    <row r="168" spans="1:25" x14ac:dyDescent="0.25">
      <c r="A168" t="s">
        <v>211</v>
      </c>
      <c r="B168" s="1">
        <v>44972</v>
      </c>
      <c r="C168">
        <v>2023</v>
      </c>
      <c r="D168">
        <v>2</v>
      </c>
      <c r="E168" t="s">
        <v>161</v>
      </c>
      <c r="F168" t="s">
        <v>27</v>
      </c>
      <c r="G168" t="s">
        <v>44</v>
      </c>
      <c r="H168" t="s">
        <v>36</v>
      </c>
      <c r="I168" t="s">
        <v>45</v>
      </c>
      <c r="J168">
        <v>38</v>
      </c>
      <c r="K168">
        <v>1113.23</v>
      </c>
      <c r="L168">
        <v>42302.81</v>
      </c>
      <c r="M168">
        <v>26120.61</v>
      </c>
      <c r="N168">
        <v>3161.41</v>
      </c>
      <c r="O168">
        <v>1200.23</v>
      </c>
      <c r="P168">
        <v>1506.93</v>
      </c>
      <c r="Q168">
        <v>262.17</v>
      </c>
      <c r="R168">
        <v>1906.46</v>
      </c>
      <c r="S168">
        <v>890.83</v>
      </c>
      <c r="T168">
        <v>35048.639999999999</v>
      </c>
      <c r="U168">
        <v>16182.2</v>
      </c>
      <c r="V168">
        <v>7254.17</v>
      </c>
      <c r="W168">
        <v>6918.07</v>
      </c>
      <c r="X168">
        <v>43200.66</v>
      </c>
      <c r="Y168">
        <v>33647.72</v>
      </c>
    </row>
    <row r="169" spans="1:25" x14ac:dyDescent="0.25">
      <c r="A169" t="s">
        <v>212</v>
      </c>
      <c r="B169" s="1">
        <v>44973</v>
      </c>
      <c r="C169">
        <v>2023</v>
      </c>
      <c r="D169">
        <v>2</v>
      </c>
      <c r="E169" t="s">
        <v>161</v>
      </c>
      <c r="F169" t="s">
        <v>27</v>
      </c>
      <c r="G169" t="s">
        <v>35</v>
      </c>
      <c r="H169" t="s">
        <v>29</v>
      </c>
      <c r="I169" t="s">
        <v>56</v>
      </c>
      <c r="J169">
        <v>23</v>
      </c>
      <c r="K169">
        <v>1597</v>
      </c>
      <c r="L169">
        <v>36731.08</v>
      </c>
      <c r="M169">
        <v>20955.080000000002</v>
      </c>
      <c r="N169">
        <v>2951.35</v>
      </c>
      <c r="O169">
        <v>2581.27</v>
      </c>
      <c r="P169">
        <v>1475.41</v>
      </c>
      <c r="Q169">
        <v>637.34</v>
      </c>
      <c r="R169">
        <v>1283.05</v>
      </c>
      <c r="S169">
        <v>490.19</v>
      </c>
      <c r="T169">
        <v>30373.7</v>
      </c>
      <c r="U169">
        <v>15776</v>
      </c>
      <c r="V169">
        <v>6357.38</v>
      </c>
      <c r="W169">
        <v>5683.81</v>
      </c>
      <c r="X169">
        <v>38426.35</v>
      </c>
      <c r="Y169">
        <v>31721.71</v>
      </c>
    </row>
    <row r="170" spans="1:25" x14ac:dyDescent="0.25">
      <c r="A170" t="s">
        <v>213</v>
      </c>
      <c r="B170" s="1">
        <v>44973</v>
      </c>
      <c r="C170">
        <v>2023</v>
      </c>
      <c r="D170">
        <v>2</v>
      </c>
      <c r="E170" t="s">
        <v>161</v>
      </c>
      <c r="F170" t="s">
        <v>27</v>
      </c>
      <c r="G170" t="s">
        <v>44</v>
      </c>
      <c r="H170" t="s">
        <v>32</v>
      </c>
      <c r="I170" t="s">
        <v>50</v>
      </c>
      <c r="J170">
        <v>59</v>
      </c>
      <c r="K170">
        <v>921.89</v>
      </c>
      <c r="L170">
        <v>54391.73</v>
      </c>
      <c r="M170">
        <v>32133.48</v>
      </c>
      <c r="N170">
        <v>6201.47</v>
      </c>
      <c r="O170">
        <v>2385.42</v>
      </c>
      <c r="P170">
        <v>861.82</v>
      </c>
      <c r="Q170">
        <v>511.84</v>
      </c>
      <c r="R170">
        <v>1550.02</v>
      </c>
      <c r="S170">
        <v>749.18</v>
      </c>
      <c r="T170">
        <v>44393.23</v>
      </c>
      <c r="U170">
        <v>22258.26</v>
      </c>
      <c r="V170">
        <v>9998.5</v>
      </c>
      <c r="W170">
        <v>9461.02</v>
      </c>
      <c r="X170">
        <v>53947.74</v>
      </c>
      <c r="Y170">
        <v>42630.07</v>
      </c>
    </row>
    <row r="171" spans="1:25" x14ac:dyDescent="0.25">
      <c r="A171" t="s">
        <v>214</v>
      </c>
      <c r="B171" s="1">
        <v>44973</v>
      </c>
      <c r="C171">
        <v>2023</v>
      </c>
      <c r="D171">
        <v>2</v>
      </c>
      <c r="E171" t="s">
        <v>161</v>
      </c>
      <c r="F171" t="s">
        <v>27</v>
      </c>
      <c r="G171" t="s">
        <v>28</v>
      </c>
      <c r="H171" t="s">
        <v>36</v>
      </c>
      <c r="I171" t="s">
        <v>39</v>
      </c>
      <c r="J171">
        <v>49</v>
      </c>
      <c r="K171">
        <v>832.99</v>
      </c>
      <c r="L171">
        <v>40816.44</v>
      </c>
      <c r="M171">
        <v>26320.95</v>
      </c>
      <c r="N171">
        <v>4573.21</v>
      </c>
      <c r="O171">
        <v>1145.8</v>
      </c>
      <c r="P171">
        <v>827.09</v>
      </c>
      <c r="Q171">
        <v>381.05</v>
      </c>
      <c r="R171">
        <v>2045.45</v>
      </c>
      <c r="S171">
        <v>608.03</v>
      </c>
      <c r="T171">
        <v>35901.57</v>
      </c>
      <c r="U171">
        <v>14495.49</v>
      </c>
      <c r="V171">
        <v>4914.87</v>
      </c>
      <c r="W171">
        <v>4842.91</v>
      </c>
      <c r="X171">
        <v>38146.480000000003</v>
      </c>
      <c r="Y171">
        <v>35280.980000000003</v>
      </c>
    </row>
    <row r="172" spans="1:25" x14ac:dyDescent="0.25">
      <c r="A172" t="s">
        <v>215</v>
      </c>
      <c r="B172" s="1">
        <v>44973</v>
      </c>
      <c r="C172">
        <v>2023</v>
      </c>
      <c r="D172">
        <v>2</v>
      </c>
      <c r="E172" t="s">
        <v>161</v>
      </c>
      <c r="F172" t="s">
        <v>27</v>
      </c>
      <c r="G172" t="s">
        <v>55</v>
      </c>
      <c r="H172" t="s">
        <v>36</v>
      </c>
      <c r="I172" t="s">
        <v>45</v>
      </c>
      <c r="J172">
        <v>30</v>
      </c>
      <c r="K172">
        <v>1697.56</v>
      </c>
      <c r="L172">
        <v>50926.91</v>
      </c>
      <c r="M172">
        <v>26698.37</v>
      </c>
      <c r="N172">
        <v>4442.8900000000003</v>
      </c>
      <c r="O172">
        <v>2512.06</v>
      </c>
      <c r="P172">
        <v>845.41</v>
      </c>
      <c r="Q172">
        <v>613.59</v>
      </c>
      <c r="R172">
        <v>2787.62</v>
      </c>
      <c r="S172">
        <v>473.04</v>
      </c>
      <c r="T172">
        <v>38372.99</v>
      </c>
      <c r="U172">
        <v>24228.54</v>
      </c>
      <c r="V172">
        <v>12553.92</v>
      </c>
      <c r="W172">
        <v>12654.91</v>
      </c>
      <c r="X172">
        <v>54561.5</v>
      </c>
      <c r="Y172">
        <v>38925.33</v>
      </c>
    </row>
    <row r="173" spans="1:25" x14ac:dyDescent="0.25">
      <c r="A173" t="s">
        <v>216</v>
      </c>
      <c r="B173" s="1">
        <v>44973</v>
      </c>
      <c r="C173">
        <v>2023</v>
      </c>
      <c r="D173">
        <v>2</v>
      </c>
      <c r="E173" t="s">
        <v>161</v>
      </c>
      <c r="F173" t="s">
        <v>27</v>
      </c>
      <c r="G173" t="s">
        <v>44</v>
      </c>
      <c r="H173" t="s">
        <v>32</v>
      </c>
      <c r="I173" t="s">
        <v>50</v>
      </c>
      <c r="J173">
        <v>39</v>
      </c>
      <c r="K173">
        <v>1482.03</v>
      </c>
      <c r="L173">
        <v>57799.040000000001</v>
      </c>
      <c r="M173">
        <v>34657.839999999997</v>
      </c>
      <c r="N173">
        <v>5172.4399999999996</v>
      </c>
      <c r="O173">
        <v>2188.81</v>
      </c>
      <c r="P173">
        <v>2072</v>
      </c>
      <c r="Q173">
        <v>310.86</v>
      </c>
      <c r="R173">
        <v>2563.5700000000002</v>
      </c>
      <c r="S173">
        <v>640.05999999999995</v>
      </c>
      <c r="T173">
        <v>47605.58</v>
      </c>
      <c r="U173">
        <v>23141.200000000001</v>
      </c>
      <c r="V173">
        <v>10193.459999999999</v>
      </c>
      <c r="W173">
        <v>9810.74</v>
      </c>
      <c r="X173">
        <v>59793.17</v>
      </c>
      <c r="Y173">
        <v>47991.99</v>
      </c>
    </row>
    <row r="174" spans="1:25" x14ac:dyDescent="0.25">
      <c r="A174" t="s">
        <v>217</v>
      </c>
      <c r="B174" s="1">
        <v>44974</v>
      </c>
      <c r="C174">
        <v>2023</v>
      </c>
      <c r="D174">
        <v>2</v>
      </c>
      <c r="E174" t="s">
        <v>161</v>
      </c>
      <c r="F174" t="s">
        <v>27</v>
      </c>
      <c r="G174" t="s">
        <v>55</v>
      </c>
      <c r="H174" t="s">
        <v>32</v>
      </c>
      <c r="I174" t="s">
        <v>37</v>
      </c>
      <c r="J174">
        <v>53</v>
      </c>
      <c r="K174">
        <v>1333.05</v>
      </c>
      <c r="L174">
        <v>70651.42</v>
      </c>
      <c r="M174">
        <v>37879.65</v>
      </c>
      <c r="N174">
        <v>7907.56</v>
      </c>
      <c r="O174">
        <v>4641.2299999999996</v>
      </c>
      <c r="P174">
        <v>3020.96</v>
      </c>
      <c r="Q174">
        <v>722.98</v>
      </c>
      <c r="R174">
        <v>2409.9499999999998</v>
      </c>
      <c r="S174">
        <v>973.75</v>
      </c>
      <c r="T174">
        <v>57556.08</v>
      </c>
      <c r="U174">
        <v>32771.78</v>
      </c>
      <c r="V174">
        <v>13095.34</v>
      </c>
      <c r="W174">
        <v>11636.61</v>
      </c>
      <c r="X174">
        <v>65512.2</v>
      </c>
      <c r="Y174">
        <v>62118.33</v>
      </c>
    </row>
    <row r="175" spans="1:25" x14ac:dyDescent="0.25">
      <c r="A175" t="s">
        <v>218</v>
      </c>
      <c r="B175" s="1">
        <v>44974</v>
      </c>
      <c r="C175">
        <v>2023</v>
      </c>
      <c r="D175">
        <v>2</v>
      </c>
      <c r="E175" t="s">
        <v>161</v>
      </c>
      <c r="F175" t="s">
        <v>27</v>
      </c>
      <c r="G175" t="s">
        <v>44</v>
      </c>
      <c r="H175" t="s">
        <v>32</v>
      </c>
      <c r="I175" t="s">
        <v>37</v>
      </c>
      <c r="J175">
        <v>93</v>
      </c>
      <c r="K175">
        <v>829.42</v>
      </c>
      <c r="L175">
        <v>77136.37</v>
      </c>
      <c r="M175">
        <v>46765.84</v>
      </c>
      <c r="N175">
        <v>6801.06</v>
      </c>
      <c r="O175">
        <v>4715.75</v>
      </c>
      <c r="P175">
        <v>2461.2800000000002</v>
      </c>
      <c r="Q175">
        <v>1315.68</v>
      </c>
      <c r="R175">
        <v>3014.34</v>
      </c>
      <c r="S175">
        <v>958.53</v>
      </c>
      <c r="T175">
        <v>66032.479999999996</v>
      </c>
      <c r="U175">
        <v>30370.53</v>
      </c>
      <c r="V175">
        <v>11103.89</v>
      </c>
      <c r="W175">
        <v>10443.27</v>
      </c>
      <c r="X175">
        <v>85311.76</v>
      </c>
      <c r="Y175">
        <v>62634.86</v>
      </c>
    </row>
    <row r="176" spans="1:25" x14ac:dyDescent="0.25">
      <c r="A176" t="s">
        <v>219</v>
      </c>
      <c r="B176" s="1">
        <v>44975</v>
      </c>
      <c r="C176">
        <v>2023</v>
      </c>
      <c r="D176">
        <v>2</v>
      </c>
      <c r="E176" t="s">
        <v>161</v>
      </c>
      <c r="F176" t="s">
        <v>27</v>
      </c>
      <c r="G176" t="s">
        <v>28</v>
      </c>
      <c r="H176" t="s">
        <v>58</v>
      </c>
      <c r="I176" t="s">
        <v>37</v>
      </c>
      <c r="J176">
        <v>70</v>
      </c>
      <c r="K176">
        <v>1062.02</v>
      </c>
      <c r="L176">
        <v>74341.55</v>
      </c>
      <c r="M176">
        <v>40644.03</v>
      </c>
      <c r="N176">
        <v>6937.47</v>
      </c>
      <c r="O176">
        <v>3188.29</v>
      </c>
      <c r="P176">
        <v>3296.46</v>
      </c>
      <c r="Q176">
        <v>411.37</v>
      </c>
      <c r="R176">
        <v>4762.3500000000004</v>
      </c>
      <c r="S176">
        <v>860.49</v>
      </c>
      <c r="T176">
        <v>60100.46</v>
      </c>
      <c r="U176">
        <v>33697.519999999997</v>
      </c>
      <c r="V176">
        <v>14241.09</v>
      </c>
      <c r="W176">
        <v>13592.72</v>
      </c>
      <c r="X176">
        <v>80974.69</v>
      </c>
      <c r="Y176">
        <v>63938.38</v>
      </c>
    </row>
    <row r="177" spans="1:25" x14ac:dyDescent="0.25">
      <c r="A177" t="s">
        <v>220</v>
      </c>
      <c r="B177" s="1">
        <v>44975</v>
      </c>
      <c r="C177">
        <v>2023</v>
      </c>
      <c r="D177">
        <v>2</v>
      </c>
      <c r="E177" t="s">
        <v>161</v>
      </c>
      <c r="F177" t="s">
        <v>27</v>
      </c>
      <c r="G177" t="s">
        <v>44</v>
      </c>
      <c r="H177" t="s">
        <v>53</v>
      </c>
      <c r="I177" t="s">
        <v>30</v>
      </c>
      <c r="J177">
        <v>45</v>
      </c>
      <c r="K177">
        <v>1431.23</v>
      </c>
      <c r="L177">
        <v>64405.13</v>
      </c>
      <c r="M177">
        <v>35078.910000000003</v>
      </c>
      <c r="N177">
        <v>8362.83</v>
      </c>
      <c r="O177">
        <v>2467.5500000000002</v>
      </c>
      <c r="P177">
        <v>2373.79</v>
      </c>
      <c r="Q177">
        <v>955.99</v>
      </c>
      <c r="R177">
        <v>2992.82</v>
      </c>
      <c r="S177">
        <v>656.64</v>
      </c>
      <c r="T177">
        <v>52888.53</v>
      </c>
      <c r="U177">
        <v>29326.22</v>
      </c>
      <c r="V177">
        <v>11516.6</v>
      </c>
      <c r="W177">
        <v>11461.13</v>
      </c>
      <c r="X177">
        <v>72119.460000000006</v>
      </c>
      <c r="Y177">
        <v>50258.48</v>
      </c>
    </row>
    <row r="178" spans="1:25" x14ac:dyDescent="0.25">
      <c r="A178" t="s">
        <v>221</v>
      </c>
      <c r="B178" s="1">
        <v>44975</v>
      </c>
      <c r="C178">
        <v>2023</v>
      </c>
      <c r="D178">
        <v>2</v>
      </c>
      <c r="E178" t="s">
        <v>161</v>
      </c>
      <c r="F178" t="s">
        <v>27</v>
      </c>
      <c r="G178" t="s">
        <v>28</v>
      </c>
      <c r="H178" t="s">
        <v>36</v>
      </c>
      <c r="I178" t="s">
        <v>39</v>
      </c>
      <c r="J178">
        <v>20</v>
      </c>
      <c r="K178">
        <v>1671.22</v>
      </c>
      <c r="L178">
        <v>33424.43</v>
      </c>
      <c r="M178">
        <v>21383.91</v>
      </c>
      <c r="N178">
        <v>3697.69</v>
      </c>
      <c r="O178">
        <v>1959.17</v>
      </c>
      <c r="P178">
        <v>1440.24</v>
      </c>
      <c r="Q178">
        <v>494.76</v>
      </c>
      <c r="R178">
        <v>1430.97</v>
      </c>
      <c r="S178">
        <v>614.51</v>
      </c>
      <c r="T178">
        <v>31021.25</v>
      </c>
      <c r="U178">
        <v>12040.52</v>
      </c>
      <c r="V178">
        <v>2403.1799999999998</v>
      </c>
      <c r="W178">
        <v>2212.56</v>
      </c>
      <c r="X178">
        <v>31707.07</v>
      </c>
      <c r="Y178">
        <v>29785.88</v>
      </c>
    </row>
    <row r="179" spans="1:25" x14ac:dyDescent="0.25">
      <c r="A179" t="s">
        <v>222</v>
      </c>
      <c r="B179" s="1">
        <v>44975</v>
      </c>
      <c r="C179">
        <v>2023</v>
      </c>
      <c r="D179">
        <v>2</v>
      </c>
      <c r="E179" t="s">
        <v>161</v>
      </c>
      <c r="F179" t="s">
        <v>27</v>
      </c>
      <c r="G179" t="s">
        <v>44</v>
      </c>
      <c r="H179" t="s">
        <v>53</v>
      </c>
      <c r="I179" t="s">
        <v>50</v>
      </c>
      <c r="J179">
        <v>49</v>
      </c>
      <c r="K179">
        <v>865.42</v>
      </c>
      <c r="L179">
        <v>42405.73</v>
      </c>
      <c r="M179">
        <v>25213.57</v>
      </c>
      <c r="N179">
        <v>4964.66</v>
      </c>
      <c r="O179">
        <v>1227.52</v>
      </c>
      <c r="P179">
        <v>1006.31</v>
      </c>
      <c r="Q179">
        <v>715.04</v>
      </c>
      <c r="R179">
        <v>1502.2</v>
      </c>
      <c r="S179">
        <v>597.94000000000005</v>
      </c>
      <c r="T179">
        <v>35227.24</v>
      </c>
      <c r="U179">
        <v>17192.16</v>
      </c>
      <c r="V179">
        <v>7178.49</v>
      </c>
      <c r="W179">
        <v>7256.1</v>
      </c>
      <c r="X179">
        <v>44471.13</v>
      </c>
      <c r="Y179">
        <v>37569.120000000003</v>
      </c>
    </row>
    <row r="180" spans="1:25" x14ac:dyDescent="0.25">
      <c r="A180" t="s">
        <v>223</v>
      </c>
      <c r="B180" s="1">
        <v>44976</v>
      </c>
      <c r="C180">
        <v>2023</v>
      </c>
      <c r="D180">
        <v>2</v>
      </c>
      <c r="E180" t="s">
        <v>161</v>
      </c>
      <c r="F180" t="s">
        <v>27</v>
      </c>
      <c r="G180" t="s">
        <v>44</v>
      </c>
      <c r="H180" t="s">
        <v>32</v>
      </c>
      <c r="I180" t="s">
        <v>50</v>
      </c>
      <c r="J180">
        <v>50</v>
      </c>
      <c r="K180">
        <v>1035.0999999999999</v>
      </c>
      <c r="L180">
        <v>51755.14</v>
      </c>
      <c r="M180">
        <v>34720.71</v>
      </c>
      <c r="N180">
        <v>5347.71</v>
      </c>
      <c r="O180">
        <v>2372.34</v>
      </c>
      <c r="P180">
        <v>1413.77</v>
      </c>
      <c r="Q180">
        <v>534.11</v>
      </c>
      <c r="R180">
        <v>1429.32</v>
      </c>
      <c r="S180">
        <v>1156.72</v>
      </c>
      <c r="T180">
        <v>46974.67</v>
      </c>
      <c r="U180">
        <v>17034.419999999998</v>
      </c>
      <c r="V180">
        <v>4780.46</v>
      </c>
      <c r="W180">
        <v>4317.59</v>
      </c>
      <c r="X180">
        <v>52160.01</v>
      </c>
      <c r="Y180">
        <v>47208.62</v>
      </c>
    </row>
    <row r="181" spans="1:25" x14ac:dyDescent="0.25">
      <c r="A181" t="s">
        <v>224</v>
      </c>
      <c r="B181" s="1">
        <v>44976</v>
      </c>
      <c r="C181">
        <v>2023</v>
      </c>
      <c r="D181">
        <v>2</v>
      </c>
      <c r="E181" t="s">
        <v>161</v>
      </c>
      <c r="F181" t="s">
        <v>27</v>
      </c>
      <c r="G181" t="s">
        <v>28</v>
      </c>
      <c r="H181" t="s">
        <v>32</v>
      </c>
      <c r="I181" t="s">
        <v>30</v>
      </c>
      <c r="J181">
        <v>108</v>
      </c>
      <c r="K181">
        <v>1142.95</v>
      </c>
      <c r="L181">
        <v>123438.42</v>
      </c>
      <c r="M181">
        <v>80194.91</v>
      </c>
      <c r="N181">
        <v>15368.91</v>
      </c>
      <c r="O181">
        <v>7772.11</v>
      </c>
      <c r="P181">
        <v>3143.28</v>
      </c>
      <c r="Q181">
        <v>1599.78</v>
      </c>
      <c r="R181">
        <v>7274.13</v>
      </c>
      <c r="S181">
        <v>2573.56</v>
      </c>
      <c r="T181">
        <v>117926.68</v>
      </c>
      <c r="U181">
        <v>43243.51</v>
      </c>
      <c r="V181">
        <v>5511.74</v>
      </c>
      <c r="W181">
        <v>5617.58</v>
      </c>
      <c r="X181">
        <v>115381.17</v>
      </c>
      <c r="Y181">
        <v>119070.22</v>
      </c>
    </row>
    <row r="182" spans="1:25" x14ac:dyDescent="0.25">
      <c r="A182" t="s">
        <v>225</v>
      </c>
      <c r="B182" s="1">
        <v>44976</v>
      </c>
      <c r="C182">
        <v>2023</v>
      </c>
      <c r="D182">
        <v>2</v>
      </c>
      <c r="E182" t="s">
        <v>161</v>
      </c>
      <c r="F182" t="s">
        <v>27</v>
      </c>
      <c r="G182" t="s">
        <v>35</v>
      </c>
      <c r="H182" t="s">
        <v>58</v>
      </c>
      <c r="I182" t="s">
        <v>45</v>
      </c>
      <c r="J182">
        <v>32</v>
      </c>
      <c r="K182">
        <v>911.91</v>
      </c>
      <c r="L182">
        <v>29181.16</v>
      </c>
      <c r="M182">
        <v>18883.189999999999</v>
      </c>
      <c r="N182">
        <v>3299.46</v>
      </c>
      <c r="O182">
        <v>2039.5</v>
      </c>
      <c r="P182">
        <v>1187.52</v>
      </c>
      <c r="Q182">
        <v>520.96</v>
      </c>
      <c r="R182">
        <v>1729.59</v>
      </c>
      <c r="S182">
        <v>351.64</v>
      </c>
      <c r="T182">
        <v>28011.86</v>
      </c>
      <c r="U182">
        <v>10297.969999999999</v>
      </c>
      <c r="V182">
        <v>1169.3</v>
      </c>
      <c r="W182">
        <v>1082.6500000000001</v>
      </c>
      <c r="X182">
        <v>31122.37</v>
      </c>
      <c r="Y182">
        <v>29106.2</v>
      </c>
    </row>
    <row r="183" spans="1:25" x14ac:dyDescent="0.25">
      <c r="A183" t="s">
        <v>226</v>
      </c>
      <c r="B183" s="1">
        <v>44976</v>
      </c>
      <c r="C183">
        <v>2023</v>
      </c>
      <c r="D183">
        <v>2</v>
      </c>
      <c r="E183" t="s">
        <v>161</v>
      </c>
      <c r="F183" t="s">
        <v>27</v>
      </c>
      <c r="G183" t="s">
        <v>35</v>
      </c>
      <c r="H183" t="s">
        <v>53</v>
      </c>
      <c r="I183" t="s">
        <v>50</v>
      </c>
      <c r="J183">
        <v>23</v>
      </c>
      <c r="K183">
        <v>1316.18</v>
      </c>
      <c r="L183">
        <v>30272.05</v>
      </c>
      <c r="M183">
        <v>16263.62</v>
      </c>
      <c r="N183">
        <v>3487.39</v>
      </c>
      <c r="O183">
        <v>1950.06</v>
      </c>
      <c r="P183">
        <v>864.16</v>
      </c>
      <c r="Q183">
        <v>318.10000000000002</v>
      </c>
      <c r="R183">
        <v>1043.8599999999999</v>
      </c>
      <c r="S183">
        <v>419.92</v>
      </c>
      <c r="T183">
        <v>24347.11</v>
      </c>
      <c r="U183">
        <v>14008.42</v>
      </c>
      <c r="V183">
        <v>5924.94</v>
      </c>
      <c r="W183">
        <v>5852.02</v>
      </c>
      <c r="X183">
        <v>29604.6</v>
      </c>
      <c r="Y183">
        <v>25606.07</v>
      </c>
    </row>
    <row r="184" spans="1:25" x14ac:dyDescent="0.25">
      <c r="A184" t="s">
        <v>227</v>
      </c>
      <c r="B184" s="1">
        <v>44976</v>
      </c>
      <c r="C184">
        <v>2023</v>
      </c>
      <c r="D184">
        <v>2</v>
      </c>
      <c r="E184" t="s">
        <v>161</v>
      </c>
      <c r="F184" t="s">
        <v>27</v>
      </c>
      <c r="G184" t="s">
        <v>44</v>
      </c>
      <c r="H184" t="s">
        <v>32</v>
      </c>
      <c r="I184" t="s">
        <v>56</v>
      </c>
      <c r="J184">
        <v>41</v>
      </c>
      <c r="K184">
        <v>1122.21</v>
      </c>
      <c r="L184">
        <v>46010.5</v>
      </c>
      <c r="M184">
        <v>28319.84</v>
      </c>
      <c r="N184">
        <v>3405.48</v>
      </c>
      <c r="O184">
        <v>1754.16</v>
      </c>
      <c r="P184">
        <v>1785.73</v>
      </c>
      <c r="Q184">
        <v>382.1</v>
      </c>
      <c r="R184">
        <v>2957.61</v>
      </c>
      <c r="S184">
        <v>739.9</v>
      </c>
      <c r="T184">
        <v>39344.83</v>
      </c>
      <c r="U184">
        <v>17690.66</v>
      </c>
      <c r="V184">
        <v>6665.68</v>
      </c>
      <c r="W184">
        <v>6530.91</v>
      </c>
      <c r="X184">
        <v>48024.21</v>
      </c>
      <c r="Y184">
        <v>42086.080000000002</v>
      </c>
    </row>
    <row r="185" spans="1:25" x14ac:dyDescent="0.25">
      <c r="A185" t="s">
        <v>228</v>
      </c>
      <c r="B185" s="1">
        <v>44977</v>
      </c>
      <c r="C185">
        <v>2023</v>
      </c>
      <c r="D185">
        <v>2</v>
      </c>
      <c r="E185" t="s">
        <v>161</v>
      </c>
      <c r="F185" t="s">
        <v>27</v>
      </c>
      <c r="G185" t="s">
        <v>35</v>
      </c>
      <c r="H185" t="s">
        <v>32</v>
      </c>
      <c r="I185" t="s">
        <v>65</v>
      </c>
      <c r="J185">
        <v>43</v>
      </c>
      <c r="K185">
        <v>1218.17</v>
      </c>
      <c r="L185">
        <v>52381.22</v>
      </c>
      <c r="M185">
        <v>34739.49</v>
      </c>
      <c r="N185">
        <v>5382.44</v>
      </c>
      <c r="O185">
        <v>3236.69</v>
      </c>
      <c r="P185">
        <v>1269.49</v>
      </c>
      <c r="Q185">
        <v>520.80999999999995</v>
      </c>
      <c r="R185">
        <v>3349.41</v>
      </c>
      <c r="S185">
        <v>1059.3399999999999</v>
      </c>
      <c r="T185">
        <v>49557.67</v>
      </c>
      <c r="U185">
        <v>17641.73</v>
      </c>
      <c r="V185">
        <v>2823.55</v>
      </c>
      <c r="W185">
        <v>2747.68</v>
      </c>
      <c r="X185">
        <v>54119.44</v>
      </c>
      <c r="Y185">
        <v>48415.94</v>
      </c>
    </row>
    <row r="186" spans="1:25" x14ac:dyDescent="0.25">
      <c r="A186" t="s">
        <v>229</v>
      </c>
      <c r="B186" s="1">
        <v>44977</v>
      </c>
      <c r="C186">
        <v>2023</v>
      </c>
      <c r="D186">
        <v>2</v>
      </c>
      <c r="E186" t="s">
        <v>161</v>
      </c>
      <c r="F186" t="s">
        <v>27</v>
      </c>
      <c r="G186" t="s">
        <v>35</v>
      </c>
      <c r="H186" t="s">
        <v>36</v>
      </c>
      <c r="I186" t="s">
        <v>33</v>
      </c>
      <c r="J186">
        <v>77</v>
      </c>
      <c r="K186">
        <v>997.79</v>
      </c>
      <c r="L186">
        <v>76829.62</v>
      </c>
      <c r="M186">
        <v>40228.949999999997</v>
      </c>
      <c r="N186">
        <v>9945.7999999999993</v>
      </c>
      <c r="O186">
        <v>5309.86</v>
      </c>
      <c r="P186">
        <v>1201.33</v>
      </c>
      <c r="Q186">
        <v>1231.47</v>
      </c>
      <c r="R186">
        <v>4399.22</v>
      </c>
      <c r="S186">
        <v>1427.22</v>
      </c>
      <c r="T186">
        <v>63743.85</v>
      </c>
      <c r="U186">
        <v>36600.67</v>
      </c>
      <c r="V186">
        <v>13085.77</v>
      </c>
      <c r="W186">
        <v>12028.84</v>
      </c>
      <c r="X186">
        <v>72880.47</v>
      </c>
      <c r="Y186">
        <v>63012.85</v>
      </c>
    </row>
    <row r="187" spans="1:25" x14ac:dyDescent="0.25">
      <c r="A187" t="s">
        <v>230</v>
      </c>
      <c r="B187" s="1">
        <v>44977</v>
      </c>
      <c r="C187">
        <v>2023</v>
      </c>
      <c r="D187">
        <v>2</v>
      </c>
      <c r="E187" t="s">
        <v>161</v>
      </c>
      <c r="F187" t="s">
        <v>27</v>
      </c>
      <c r="G187" t="s">
        <v>35</v>
      </c>
      <c r="H187" t="s">
        <v>53</v>
      </c>
      <c r="I187" t="s">
        <v>45</v>
      </c>
      <c r="J187">
        <v>20</v>
      </c>
      <c r="K187">
        <v>1447.56</v>
      </c>
      <c r="L187">
        <v>28951.18</v>
      </c>
      <c r="M187">
        <v>17683.22</v>
      </c>
      <c r="N187">
        <v>3158.88</v>
      </c>
      <c r="O187">
        <v>2157.02</v>
      </c>
      <c r="P187">
        <v>577.08000000000004</v>
      </c>
      <c r="Q187">
        <v>153.84</v>
      </c>
      <c r="R187">
        <v>1280.9000000000001</v>
      </c>
      <c r="S187">
        <v>527.49</v>
      </c>
      <c r="T187">
        <v>25538.44</v>
      </c>
      <c r="U187">
        <v>11267.96</v>
      </c>
      <c r="V187">
        <v>3412.75</v>
      </c>
      <c r="W187">
        <v>3432.71</v>
      </c>
      <c r="X187">
        <v>32240.36</v>
      </c>
      <c r="Y187">
        <v>24289.96</v>
      </c>
    </row>
    <row r="188" spans="1:25" x14ac:dyDescent="0.25">
      <c r="A188" t="s">
        <v>231</v>
      </c>
      <c r="B188" s="1">
        <v>44977</v>
      </c>
      <c r="C188">
        <v>2023</v>
      </c>
      <c r="D188">
        <v>2</v>
      </c>
      <c r="E188" t="s">
        <v>161</v>
      </c>
      <c r="F188" t="s">
        <v>27</v>
      </c>
      <c r="G188" t="s">
        <v>28</v>
      </c>
      <c r="H188" t="s">
        <v>53</v>
      </c>
      <c r="I188" t="s">
        <v>33</v>
      </c>
      <c r="J188">
        <v>46</v>
      </c>
      <c r="K188">
        <v>1468.05</v>
      </c>
      <c r="L188">
        <v>67530.3</v>
      </c>
      <c r="M188">
        <v>43660.26</v>
      </c>
      <c r="N188">
        <v>6890.83</v>
      </c>
      <c r="O188">
        <v>3370.96</v>
      </c>
      <c r="P188">
        <v>3019.4</v>
      </c>
      <c r="Q188">
        <v>687.35</v>
      </c>
      <c r="R188">
        <v>3729.76</v>
      </c>
      <c r="S188">
        <v>1212.03</v>
      </c>
      <c r="T188">
        <v>62570.59</v>
      </c>
      <c r="U188">
        <v>23870.03</v>
      </c>
      <c r="V188">
        <v>4959.71</v>
      </c>
      <c r="W188">
        <v>4375.33</v>
      </c>
      <c r="X188">
        <v>67487.429999999993</v>
      </c>
      <c r="Y188">
        <v>67858.69</v>
      </c>
    </row>
    <row r="189" spans="1:25" x14ac:dyDescent="0.25">
      <c r="A189" t="s">
        <v>232</v>
      </c>
      <c r="B189" s="1">
        <v>44978</v>
      </c>
      <c r="C189">
        <v>2023</v>
      </c>
      <c r="D189">
        <v>2</v>
      </c>
      <c r="E189" t="s">
        <v>161</v>
      </c>
      <c r="F189" t="s">
        <v>27</v>
      </c>
      <c r="G189" t="s">
        <v>44</v>
      </c>
      <c r="H189" t="s">
        <v>32</v>
      </c>
      <c r="I189" t="s">
        <v>39</v>
      </c>
      <c r="J189">
        <v>54</v>
      </c>
      <c r="K189">
        <v>1032.31</v>
      </c>
      <c r="L189">
        <v>55744.91</v>
      </c>
      <c r="M189">
        <v>35195.01</v>
      </c>
      <c r="N189">
        <v>4382.3900000000003</v>
      </c>
      <c r="O189">
        <v>1420.25</v>
      </c>
      <c r="P189">
        <v>1868.02</v>
      </c>
      <c r="Q189">
        <v>369.62</v>
      </c>
      <c r="R189">
        <v>1730.28</v>
      </c>
      <c r="S189">
        <v>471.19</v>
      </c>
      <c r="T189">
        <v>45436.77</v>
      </c>
      <c r="U189">
        <v>20549.900000000001</v>
      </c>
      <c r="V189">
        <v>10308.15</v>
      </c>
      <c r="W189">
        <v>10181.299999999999</v>
      </c>
      <c r="X189">
        <v>53451.28</v>
      </c>
      <c r="Y189">
        <v>47254.74</v>
      </c>
    </row>
    <row r="190" spans="1:25" x14ac:dyDescent="0.25">
      <c r="A190" t="s">
        <v>233</v>
      </c>
      <c r="B190" s="1">
        <v>44979</v>
      </c>
      <c r="C190">
        <v>2023</v>
      </c>
      <c r="D190">
        <v>2</v>
      </c>
      <c r="E190" t="s">
        <v>161</v>
      </c>
      <c r="F190" t="s">
        <v>27</v>
      </c>
      <c r="G190" t="s">
        <v>44</v>
      </c>
      <c r="H190" t="s">
        <v>58</v>
      </c>
      <c r="I190" t="s">
        <v>65</v>
      </c>
      <c r="J190">
        <v>39</v>
      </c>
      <c r="K190">
        <v>1454.23</v>
      </c>
      <c r="L190">
        <v>56715.11</v>
      </c>
      <c r="M190">
        <v>36776.06</v>
      </c>
      <c r="N190">
        <v>4391.8100000000004</v>
      </c>
      <c r="O190">
        <v>1839.77</v>
      </c>
      <c r="P190">
        <v>2214.91</v>
      </c>
      <c r="Q190">
        <v>836.83</v>
      </c>
      <c r="R190">
        <v>1980.35</v>
      </c>
      <c r="S190">
        <v>1181.54</v>
      </c>
      <c r="T190">
        <v>49221.27</v>
      </c>
      <c r="U190">
        <v>19939.05</v>
      </c>
      <c r="V190">
        <v>7493.84</v>
      </c>
      <c r="W190">
        <v>7558.55</v>
      </c>
      <c r="X190">
        <v>60713.83</v>
      </c>
      <c r="Y190">
        <v>53431.51</v>
      </c>
    </row>
    <row r="191" spans="1:25" x14ac:dyDescent="0.25">
      <c r="A191" t="s">
        <v>234</v>
      </c>
      <c r="B191" s="1">
        <v>44979</v>
      </c>
      <c r="C191">
        <v>2023</v>
      </c>
      <c r="D191">
        <v>2</v>
      </c>
      <c r="E191" t="s">
        <v>161</v>
      </c>
      <c r="F191" t="s">
        <v>27</v>
      </c>
      <c r="G191" t="s">
        <v>55</v>
      </c>
      <c r="H191" t="s">
        <v>36</v>
      </c>
      <c r="I191" t="s">
        <v>45</v>
      </c>
      <c r="J191">
        <v>34</v>
      </c>
      <c r="K191">
        <v>1355.5</v>
      </c>
      <c r="L191">
        <v>46086.94</v>
      </c>
      <c r="M191">
        <v>23722.92</v>
      </c>
      <c r="N191">
        <v>4077.3</v>
      </c>
      <c r="O191">
        <v>1208.24</v>
      </c>
      <c r="P191">
        <v>1922.9</v>
      </c>
      <c r="Q191">
        <v>416.71</v>
      </c>
      <c r="R191">
        <v>1867.18</v>
      </c>
      <c r="S191">
        <v>399.9</v>
      </c>
      <c r="T191">
        <v>33615.15</v>
      </c>
      <c r="U191">
        <v>22364.02</v>
      </c>
      <c r="V191">
        <v>12471.8</v>
      </c>
      <c r="W191">
        <v>11062.04</v>
      </c>
      <c r="X191">
        <v>49696.04</v>
      </c>
      <c r="Y191">
        <v>35224.89</v>
      </c>
    </row>
    <row r="192" spans="1:25" x14ac:dyDescent="0.25">
      <c r="A192" t="s">
        <v>235</v>
      </c>
      <c r="B192" s="1">
        <v>44979</v>
      </c>
      <c r="C192">
        <v>2023</v>
      </c>
      <c r="D192">
        <v>2</v>
      </c>
      <c r="E192" t="s">
        <v>161</v>
      </c>
      <c r="F192" t="s">
        <v>27</v>
      </c>
      <c r="G192" t="s">
        <v>44</v>
      </c>
      <c r="H192" t="s">
        <v>32</v>
      </c>
      <c r="I192" t="s">
        <v>56</v>
      </c>
      <c r="J192">
        <v>42</v>
      </c>
      <c r="K192">
        <v>1172.19</v>
      </c>
      <c r="L192">
        <v>49231.78</v>
      </c>
      <c r="M192">
        <v>26587.82</v>
      </c>
      <c r="N192">
        <v>4599.6899999999996</v>
      </c>
      <c r="O192">
        <v>1265.68</v>
      </c>
      <c r="P192">
        <v>1214.53</v>
      </c>
      <c r="Q192">
        <v>462.66</v>
      </c>
      <c r="R192">
        <v>3111.58</v>
      </c>
      <c r="S192">
        <v>640.29999999999995</v>
      </c>
      <c r="T192">
        <v>37882.25</v>
      </c>
      <c r="U192">
        <v>22643.96</v>
      </c>
      <c r="V192">
        <v>11349.53</v>
      </c>
      <c r="W192">
        <v>10089.219999999999</v>
      </c>
      <c r="X192">
        <v>48165.72</v>
      </c>
      <c r="Y192">
        <v>35725.58</v>
      </c>
    </row>
    <row r="193" spans="1:25" x14ac:dyDescent="0.25">
      <c r="A193" t="s">
        <v>236</v>
      </c>
      <c r="B193" s="1">
        <v>44979</v>
      </c>
      <c r="C193">
        <v>2023</v>
      </c>
      <c r="D193">
        <v>2</v>
      </c>
      <c r="E193" t="s">
        <v>161</v>
      </c>
      <c r="F193" t="s">
        <v>27</v>
      </c>
      <c r="G193" t="s">
        <v>44</v>
      </c>
      <c r="H193" t="s">
        <v>29</v>
      </c>
      <c r="I193" t="s">
        <v>37</v>
      </c>
      <c r="J193">
        <v>39</v>
      </c>
      <c r="K193">
        <v>1690.06</v>
      </c>
      <c r="L193">
        <v>65912.22</v>
      </c>
      <c r="M193">
        <v>34043.1</v>
      </c>
      <c r="N193">
        <v>4978.3500000000004</v>
      </c>
      <c r="O193">
        <v>3238.53</v>
      </c>
      <c r="P193">
        <v>2728.6</v>
      </c>
      <c r="Q193">
        <v>1155.6600000000001</v>
      </c>
      <c r="R193">
        <v>2882.8</v>
      </c>
      <c r="S193">
        <v>560.17999999999995</v>
      </c>
      <c r="T193">
        <v>49587.24</v>
      </c>
      <c r="U193">
        <v>31869.119999999999</v>
      </c>
      <c r="V193">
        <v>16324.98</v>
      </c>
      <c r="W193">
        <v>16632.240000000002</v>
      </c>
      <c r="X193">
        <v>61807.91</v>
      </c>
      <c r="Y193">
        <v>49423.4</v>
      </c>
    </row>
    <row r="194" spans="1:25" x14ac:dyDescent="0.25">
      <c r="A194" t="s">
        <v>237</v>
      </c>
      <c r="B194" s="1">
        <v>44980</v>
      </c>
      <c r="C194">
        <v>2023</v>
      </c>
      <c r="D194">
        <v>2</v>
      </c>
      <c r="E194" t="s">
        <v>161</v>
      </c>
      <c r="F194" t="s">
        <v>27</v>
      </c>
      <c r="G194" t="s">
        <v>35</v>
      </c>
      <c r="H194" t="s">
        <v>36</v>
      </c>
      <c r="I194" t="s">
        <v>37</v>
      </c>
      <c r="J194">
        <v>47</v>
      </c>
      <c r="K194">
        <v>1254.46</v>
      </c>
      <c r="L194">
        <v>58959.51</v>
      </c>
      <c r="M194">
        <v>30597.9</v>
      </c>
      <c r="N194">
        <v>4963.87</v>
      </c>
      <c r="O194">
        <v>3371.59</v>
      </c>
      <c r="P194">
        <v>1036.21</v>
      </c>
      <c r="Q194">
        <v>761.61</v>
      </c>
      <c r="R194">
        <v>2036.8</v>
      </c>
      <c r="S194">
        <v>492.25</v>
      </c>
      <c r="T194">
        <v>43260.23</v>
      </c>
      <c r="U194">
        <v>28361.599999999999</v>
      </c>
      <c r="V194">
        <v>15699.27</v>
      </c>
      <c r="W194">
        <v>15856.41</v>
      </c>
      <c r="X194">
        <v>58092.19</v>
      </c>
      <c r="Y194">
        <v>41446.67</v>
      </c>
    </row>
    <row r="195" spans="1:25" x14ac:dyDescent="0.25">
      <c r="A195" t="s">
        <v>238</v>
      </c>
      <c r="B195" s="1">
        <v>44980</v>
      </c>
      <c r="C195">
        <v>2023</v>
      </c>
      <c r="D195">
        <v>2</v>
      </c>
      <c r="E195" t="s">
        <v>161</v>
      </c>
      <c r="F195" t="s">
        <v>27</v>
      </c>
      <c r="G195" t="s">
        <v>28</v>
      </c>
      <c r="H195" t="s">
        <v>32</v>
      </c>
      <c r="I195" t="s">
        <v>33</v>
      </c>
      <c r="J195">
        <v>59</v>
      </c>
      <c r="K195">
        <v>1698.26</v>
      </c>
      <c r="L195">
        <v>100197.63</v>
      </c>
      <c r="M195">
        <v>58722.53</v>
      </c>
      <c r="N195">
        <v>8543.33</v>
      </c>
      <c r="O195">
        <v>4185.9799999999996</v>
      </c>
      <c r="P195">
        <v>3488.57</v>
      </c>
      <c r="Q195">
        <v>1094.8399999999999</v>
      </c>
      <c r="R195">
        <v>4676.25</v>
      </c>
      <c r="S195">
        <v>1619</v>
      </c>
      <c r="T195">
        <v>82330.509999999995</v>
      </c>
      <c r="U195">
        <v>41475.1</v>
      </c>
      <c r="V195">
        <v>17867.12</v>
      </c>
      <c r="W195">
        <v>16932.8</v>
      </c>
      <c r="X195">
        <v>98500.84</v>
      </c>
      <c r="Y195">
        <v>82362.36</v>
      </c>
    </row>
    <row r="196" spans="1:25" x14ac:dyDescent="0.25">
      <c r="A196" t="s">
        <v>239</v>
      </c>
      <c r="B196" s="1">
        <v>44980</v>
      </c>
      <c r="C196">
        <v>2023</v>
      </c>
      <c r="D196">
        <v>2</v>
      </c>
      <c r="E196" t="s">
        <v>161</v>
      </c>
      <c r="F196" t="s">
        <v>27</v>
      </c>
      <c r="G196" t="s">
        <v>44</v>
      </c>
      <c r="H196" t="s">
        <v>36</v>
      </c>
      <c r="I196" t="s">
        <v>33</v>
      </c>
      <c r="J196">
        <v>59</v>
      </c>
      <c r="K196">
        <v>1127.4100000000001</v>
      </c>
      <c r="L196">
        <v>66517.05</v>
      </c>
      <c r="M196">
        <v>42856.99</v>
      </c>
      <c r="N196">
        <v>7737.6</v>
      </c>
      <c r="O196">
        <v>4634.3100000000004</v>
      </c>
      <c r="P196">
        <v>2175.0100000000002</v>
      </c>
      <c r="Q196">
        <v>338.51</v>
      </c>
      <c r="R196">
        <v>4012.08</v>
      </c>
      <c r="S196">
        <v>1078.45</v>
      </c>
      <c r="T196">
        <v>62832.94</v>
      </c>
      <c r="U196">
        <v>23660.06</v>
      </c>
      <c r="V196">
        <v>3684.1</v>
      </c>
      <c r="W196">
        <v>3338.83</v>
      </c>
      <c r="X196">
        <v>66842.149999999994</v>
      </c>
      <c r="Y196">
        <v>67498.47</v>
      </c>
    </row>
    <row r="197" spans="1:25" x14ac:dyDescent="0.25">
      <c r="A197" t="s">
        <v>240</v>
      </c>
      <c r="B197" s="1">
        <v>44980</v>
      </c>
      <c r="C197">
        <v>2023</v>
      </c>
      <c r="D197">
        <v>2</v>
      </c>
      <c r="E197" t="s">
        <v>161</v>
      </c>
      <c r="F197" t="s">
        <v>27</v>
      </c>
      <c r="G197" t="s">
        <v>55</v>
      </c>
      <c r="H197" t="s">
        <v>36</v>
      </c>
      <c r="I197" t="s">
        <v>39</v>
      </c>
      <c r="J197">
        <v>36</v>
      </c>
      <c r="K197">
        <v>1359</v>
      </c>
      <c r="L197">
        <v>48924.09</v>
      </c>
      <c r="M197">
        <v>31711.48</v>
      </c>
      <c r="N197">
        <v>4462.99</v>
      </c>
      <c r="O197">
        <v>2411.19</v>
      </c>
      <c r="P197">
        <v>1571.74</v>
      </c>
      <c r="Q197">
        <v>594.33000000000004</v>
      </c>
      <c r="R197">
        <v>2811.33</v>
      </c>
      <c r="S197">
        <v>816.69</v>
      </c>
      <c r="T197">
        <v>44379.75</v>
      </c>
      <c r="U197">
        <v>17212.61</v>
      </c>
      <c r="V197">
        <v>4544.34</v>
      </c>
      <c r="W197">
        <v>4551.6499999999996</v>
      </c>
      <c r="X197">
        <v>49379.4</v>
      </c>
      <c r="Y197">
        <v>43433.42</v>
      </c>
    </row>
    <row r="198" spans="1:25" x14ac:dyDescent="0.25">
      <c r="A198" t="s">
        <v>241</v>
      </c>
      <c r="B198" s="1">
        <v>44980</v>
      </c>
      <c r="C198">
        <v>2023</v>
      </c>
      <c r="D198">
        <v>2</v>
      </c>
      <c r="E198" t="s">
        <v>161</v>
      </c>
      <c r="F198" t="s">
        <v>27</v>
      </c>
      <c r="G198" t="s">
        <v>28</v>
      </c>
      <c r="H198" t="s">
        <v>58</v>
      </c>
      <c r="I198" t="s">
        <v>65</v>
      </c>
      <c r="J198">
        <v>56</v>
      </c>
      <c r="K198">
        <v>997.71</v>
      </c>
      <c r="L198">
        <v>55871.88</v>
      </c>
      <c r="M198">
        <v>29869.23</v>
      </c>
      <c r="N198">
        <v>3967.87</v>
      </c>
      <c r="O198">
        <v>2351.13</v>
      </c>
      <c r="P198">
        <v>1353.29</v>
      </c>
      <c r="Q198">
        <v>664.48</v>
      </c>
      <c r="R198">
        <v>2010.8</v>
      </c>
      <c r="S198">
        <v>1164.6500000000001</v>
      </c>
      <c r="T198">
        <v>41381.440000000002</v>
      </c>
      <c r="U198">
        <v>26002.65</v>
      </c>
      <c r="V198">
        <v>14490.44</v>
      </c>
      <c r="W198">
        <v>14076.86</v>
      </c>
      <c r="X198">
        <v>61372.05</v>
      </c>
      <c r="Y198">
        <v>38609.68</v>
      </c>
    </row>
    <row r="199" spans="1:25" x14ac:dyDescent="0.25">
      <c r="A199" t="s">
        <v>242</v>
      </c>
      <c r="B199" s="1">
        <v>44981</v>
      </c>
      <c r="C199">
        <v>2023</v>
      </c>
      <c r="D199">
        <v>2</v>
      </c>
      <c r="E199" t="s">
        <v>161</v>
      </c>
      <c r="F199" t="s">
        <v>27</v>
      </c>
      <c r="G199" t="s">
        <v>28</v>
      </c>
      <c r="H199" t="s">
        <v>32</v>
      </c>
      <c r="I199" t="s">
        <v>37</v>
      </c>
      <c r="J199">
        <v>86</v>
      </c>
      <c r="K199">
        <v>1255.1600000000001</v>
      </c>
      <c r="L199">
        <v>107943.52</v>
      </c>
      <c r="M199">
        <v>66723.48</v>
      </c>
      <c r="N199">
        <v>12084.16</v>
      </c>
      <c r="O199">
        <v>6024.18</v>
      </c>
      <c r="P199">
        <v>3296.22</v>
      </c>
      <c r="Q199">
        <v>628.53</v>
      </c>
      <c r="R199">
        <v>2732.91</v>
      </c>
      <c r="S199">
        <v>1655.27</v>
      </c>
      <c r="T199">
        <v>93144.76</v>
      </c>
      <c r="U199">
        <v>41220.04</v>
      </c>
      <c r="V199">
        <v>14798.76</v>
      </c>
      <c r="W199">
        <v>14695.06</v>
      </c>
      <c r="X199">
        <v>116060.94</v>
      </c>
      <c r="Y199">
        <v>102432.57</v>
      </c>
    </row>
    <row r="200" spans="1:25" x14ac:dyDescent="0.25">
      <c r="A200" t="s">
        <v>243</v>
      </c>
      <c r="B200" s="1">
        <v>44981</v>
      </c>
      <c r="C200">
        <v>2023</v>
      </c>
      <c r="D200">
        <v>2</v>
      </c>
      <c r="E200" t="s">
        <v>161</v>
      </c>
      <c r="F200" t="s">
        <v>27</v>
      </c>
      <c r="G200" t="s">
        <v>35</v>
      </c>
      <c r="H200" t="s">
        <v>53</v>
      </c>
      <c r="I200" t="s">
        <v>56</v>
      </c>
      <c r="J200">
        <v>20</v>
      </c>
      <c r="K200">
        <v>1140.3800000000001</v>
      </c>
      <c r="L200">
        <v>22807.68</v>
      </c>
      <c r="M200">
        <v>14929.36</v>
      </c>
      <c r="N200">
        <v>1867.64</v>
      </c>
      <c r="O200">
        <v>1062.3399999999999</v>
      </c>
      <c r="P200">
        <v>882.62</v>
      </c>
      <c r="Q200">
        <v>364.11</v>
      </c>
      <c r="R200">
        <v>993.66</v>
      </c>
      <c r="S200">
        <v>288.94</v>
      </c>
      <c r="T200">
        <v>20388.669999999998</v>
      </c>
      <c r="U200">
        <v>7878.32</v>
      </c>
      <c r="V200">
        <v>2419.0100000000002</v>
      </c>
      <c r="W200">
        <v>2286.62</v>
      </c>
      <c r="X200">
        <v>23409.14</v>
      </c>
      <c r="Y200">
        <v>21659.14</v>
      </c>
    </row>
    <row r="201" spans="1:25" x14ac:dyDescent="0.25">
      <c r="A201" t="s">
        <v>244</v>
      </c>
      <c r="B201" s="1">
        <v>44981</v>
      </c>
      <c r="C201">
        <v>2023</v>
      </c>
      <c r="D201">
        <v>2</v>
      </c>
      <c r="E201" t="s">
        <v>161</v>
      </c>
      <c r="F201" t="s">
        <v>27</v>
      </c>
      <c r="G201" t="s">
        <v>55</v>
      </c>
      <c r="H201" t="s">
        <v>29</v>
      </c>
      <c r="I201" t="s">
        <v>37</v>
      </c>
      <c r="J201">
        <v>110</v>
      </c>
      <c r="K201">
        <v>890.85</v>
      </c>
      <c r="L201">
        <v>97993.86</v>
      </c>
      <c r="M201">
        <v>57375.14</v>
      </c>
      <c r="N201">
        <v>12693.79</v>
      </c>
      <c r="O201">
        <v>6402.84</v>
      </c>
      <c r="P201">
        <v>2439.16</v>
      </c>
      <c r="Q201">
        <v>1172.25</v>
      </c>
      <c r="R201">
        <v>5352.52</v>
      </c>
      <c r="S201">
        <v>1861.57</v>
      </c>
      <c r="T201">
        <v>87297.27</v>
      </c>
      <c r="U201">
        <v>40618.720000000001</v>
      </c>
      <c r="V201">
        <v>10696.59</v>
      </c>
      <c r="W201">
        <v>10858.07</v>
      </c>
      <c r="X201">
        <v>108836.83</v>
      </c>
      <c r="Y201">
        <v>94808.23</v>
      </c>
    </row>
    <row r="202" spans="1:25" x14ac:dyDescent="0.25">
      <c r="A202" t="s">
        <v>245</v>
      </c>
      <c r="B202" s="1">
        <v>44981</v>
      </c>
      <c r="C202">
        <v>2023</v>
      </c>
      <c r="D202">
        <v>2</v>
      </c>
      <c r="E202" t="s">
        <v>161</v>
      </c>
      <c r="F202" t="s">
        <v>27</v>
      </c>
      <c r="G202" t="s">
        <v>55</v>
      </c>
      <c r="H202" t="s">
        <v>29</v>
      </c>
      <c r="I202" t="s">
        <v>37</v>
      </c>
      <c r="J202">
        <v>92</v>
      </c>
      <c r="K202">
        <v>1071.95</v>
      </c>
      <c r="L202">
        <v>98619.44</v>
      </c>
      <c r="M202">
        <v>60769.29</v>
      </c>
      <c r="N202">
        <v>11386.16</v>
      </c>
      <c r="O202">
        <v>4832.53</v>
      </c>
      <c r="P202">
        <v>3457.8</v>
      </c>
      <c r="Q202">
        <v>1298.5</v>
      </c>
      <c r="R202">
        <v>2589.11</v>
      </c>
      <c r="S202">
        <v>2119.9899999999998</v>
      </c>
      <c r="T202">
        <v>86453.37</v>
      </c>
      <c r="U202">
        <v>37850.15</v>
      </c>
      <c r="V202">
        <v>12166.07</v>
      </c>
      <c r="W202">
        <v>11871.85</v>
      </c>
      <c r="X202">
        <v>102001.26</v>
      </c>
      <c r="Y202">
        <v>89419.56</v>
      </c>
    </row>
    <row r="203" spans="1:25" x14ac:dyDescent="0.25">
      <c r="A203" t="s">
        <v>246</v>
      </c>
      <c r="B203" s="1">
        <v>44981</v>
      </c>
      <c r="C203">
        <v>2023</v>
      </c>
      <c r="D203">
        <v>2</v>
      </c>
      <c r="E203" t="s">
        <v>161</v>
      </c>
      <c r="F203" t="s">
        <v>27</v>
      </c>
      <c r="G203" t="s">
        <v>55</v>
      </c>
      <c r="H203" t="s">
        <v>58</v>
      </c>
      <c r="I203" t="s">
        <v>33</v>
      </c>
      <c r="J203">
        <v>75</v>
      </c>
      <c r="K203">
        <v>1304.81</v>
      </c>
      <c r="L203">
        <v>97861</v>
      </c>
      <c r="M203">
        <v>62033.45</v>
      </c>
      <c r="N203">
        <v>11786.75</v>
      </c>
      <c r="O203">
        <v>2460.5</v>
      </c>
      <c r="P203">
        <v>2878.92</v>
      </c>
      <c r="Q203">
        <v>694.49</v>
      </c>
      <c r="R203">
        <v>6276.66</v>
      </c>
      <c r="S203">
        <v>1989.63</v>
      </c>
      <c r="T203">
        <v>88120.4</v>
      </c>
      <c r="U203">
        <v>35827.550000000003</v>
      </c>
      <c r="V203">
        <v>9740.6</v>
      </c>
      <c r="W203">
        <v>9894.1299999999992</v>
      </c>
      <c r="X203">
        <v>104397.26</v>
      </c>
      <c r="Y203">
        <v>82322.06</v>
      </c>
    </row>
    <row r="204" spans="1:25" x14ac:dyDescent="0.25">
      <c r="A204" t="s">
        <v>247</v>
      </c>
      <c r="B204" s="1">
        <v>44982</v>
      </c>
      <c r="C204">
        <v>2023</v>
      </c>
      <c r="D204">
        <v>2</v>
      </c>
      <c r="E204" t="s">
        <v>161</v>
      </c>
      <c r="F204" t="s">
        <v>27</v>
      </c>
      <c r="G204" t="s">
        <v>28</v>
      </c>
      <c r="H204" t="s">
        <v>36</v>
      </c>
      <c r="I204" t="s">
        <v>45</v>
      </c>
      <c r="J204">
        <v>40</v>
      </c>
      <c r="K204">
        <v>1056.51</v>
      </c>
      <c r="L204">
        <v>42260.2</v>
      </c>
      <c r="M204">
        <v>26620.6</v>
      </c>
      <c r="N204">
        <v>4743.3599999999997</v>
      </c>
      <c r="O204">
        <v>1996.68</v>
      </c>
      <c r="P204">
        <v>1617.98</v>
      </c>
      <c r="Q204">
        <v>295.88</v>
      </c>
      <c r="R204">
        <v>1636.5</v>
      </c>
      <c r="S204">
        <v>686.98</v>
      </c>
      <c r="T204">
        <v>37597.97</v>
      </c>
      <c r="U204">
        <v>15639.61</v>
      </c>
      <c r="V204">
        <v>4662.2299999999996</v>
      </c>
      <c r="W204">
        <v>4369.57</v>
      </c>
      <c r="X204">
        <v>44583.16</v>
      </c>
      <c r="Y204">
        <v>39595.339999999997</v>
      </c>
    </row>
    <row r="205" spans="1:25" x14ac:dyDescent="0.25">
      <c r="A205" t="s">
        <v>248</v>
      </c>
      <c r="B205" s="1">
        <v>44982</v>
      </c>
      <c r="C205">
        <v>2023</v>
      </c>
      <c r="D205">
        <v>2</v>
      </c>
      <c r="E205" t="s">
        <v>161</v>
      </c>
      <c r="F205" t="s">
        <v>27</v>
      </c>
      <c r="G205" t="s">
        <v>55</v>
      </c>
      <c r="H205" t="s">
        <v>32</v>
      </c>
      <c r="I205" t="s">
        <v>30</v>
      </c>
      <c r="J205">
        <v>84</v>
      </c>
      <c r="K205">
        <v>1254.29</v>
      </c>
      <c r="L205">
        <v>105360.5</v>
      </c>
      <c r="M205">
        <v>51330.54</v>
      </c>
      <c r="N205">
        <v>8539.2800000000007</v>
      </c>
      <c r="O205">
        <v>5832.63</v>
      </c>
      <c r="P205">
        <v>3062.55</v>
      </c>
      <c r="Q205">
        <v>709.5</v>
      </c>
      <c r="R205">
        <v>5060.22</v>
      </c>
      <c r="S205">
        <v>1698.88</v>
      </c>
      <c r="T205">
        <v>76233.58</v>
      </c>
      <c r="U205">
        <v>54029.96</v>
      </c>
      <c r="V205">
        <v>29126.92</v>
      </c>
      <c r="W205">
        <v>29171.59</v>
      </c>
      <c r="X205">
        <v>103106.21</v>
      </c>
      <c r="Y205">
        <v>73743.960000000006</v>
      </c>
    </row>
    <row r="206" spans="1:25" x14ac:dyDescent="0.25">
      <c r="A206" t="s">
        <v>249</v>
      </c>
      <c r="B206" s="1">
        <v>44982</v>
      </c>
      <c r="C206">
        <v>2023</v>
      </c>
      <c r="D206">
        <v>2</v>
      </c>
      <c r="E206" t="s">
        <v>161</v>
      </c>
      <c r="F206" t="s">
        <v>27</v>
      </c>
      <c r="G206" t="s">
        <v>35</v>
      </c>
      <c r="H206" t="s">
        <v>32</v>
      </c>
      <c r="I206" t="s">
        <v>65</v>
      </c>
      <c r="J206">
        <v>64</v>
      </c>
      <c r="K206">
        <v>1177.42</v>
      </c>
      <c r="L206">
        <v>75354.78</v>
      </c>
      <c r="M206">
        <v>43350.93</v>
      </c>
      <c r="N206">
        <v>7715.62</v>
      </c>
      <c r="O206">
        <v>5230.67</v>
      </c>
      <c r="P206">
        <v>1913.36</v>
      </c>
      <c r="Q206">
        <v>1259.01</v>
      </c>
      <c r="R206">
        <v>3803.35</v>
      </c>
      <c r="S206">
        <v>1182.69</v>
      </c>
      <c r="T206">
        <v>64455.63</v>
      </c>
      <c r="U206">
        <v>32003.84</v>
      </c>
      <c r="V206">
        <v>10899.15</v>
      </c>
      <c r="W206">
        <v>11115.44</v>
      </c>
      <c r="X206">
        <v>72525.600000000006</v>
      </c>
      <c r="Y206">
        <v>61092.47</v>
      </c>
    </row>
    <row r="207" spans="1:25" x14ac:dyDescent="0.25">
      <c r="A207" t="s">
        <v>250</v>
      </c>
      <c r="B207" s="1">
        <v>44983</v>
      </c>
      <c r="C207">
        <v>2023</v>
      </c>
      <c r="D207">
        <v>2</v>
      </c>
      <c r="E207" t="s">
        <v>161</v>
      </c>
      <c r="F207" t="s">
        <v>27</v>
      </c>
      <c r="G207" t="s">
        <v>28</v>
      </c>
      <c r="H207" t="s">
        <v>53</v>
      </c>
      <c r="I207" t="s">
        <v>45</v>
      </c>
      <c r="J207">
        <v>33</v>
      </c>
      <c r="K207">
        <v>1452.35</v>
      </c>
      <c r="L207">
        <v>47927.47</v>
      </c>
      <c r="M207">
        <v>26328.39</v>
      </c>
      <c r="N207">
        <v>5819.16</v>
      </c>
      <c r="O207">
        <v>2988.2</v>
      </c>
      <c r="P207">
        <v>773.69</v>
      </c>
      <c r="Q207">
        <v>799.94</v>
      </c>
      <c r="R207">
        <v>2044.55</v>
      </c>
      <c r="S207">
        <v>1187.94</v>
      </c>
      <c r="T207">
        <v>39941.870000000003</v>
      </c>
      <c r="U207">
        <v>21599.09</v>
      </c>
      <c r="V207">
        <v>7985.6</v>
      </c>
      <c r="W207">
        <v>7970.51</v>
      </c>
      <c r="X207">
        <v>52599.53</v>
      </c>
      <c r="Y207">
        <v>37224.449999999997</v>
      </c>
    </row>
    <row r="208" spans="1:25" x14ac:dyDescent="0.25">
      <c r="A208" t="s">
        <v>251</v>
      </c>
      <c r="B208" s="1">
        <v>44983</v>
      </c>
      <c r="C208">
        <v>2023</v>
      </c>
      <c r="D208">
        <v>2</v>
      </c>
      <c r="E208" t="s">
        <v>161</v>
      </c>
      <c r="F208" t="s">
        <v>27</v>
      </c>
      <c r="G208" t="s">
        <v>28</v>
      </c>
      <c r="H208" t="s">
        <v>36</v>
      </c>
      <c r="I208" t="s">
        <v>65</v>
      </c>
      <c r="J208">
        <v>86</v>
      </c>
      <c r="K208">
        <v>922.03</v>
      </c>
      <c r="L208">
        <v>79294.64</v>
      </c>
      <c r="M208">
        <v>43127.26</v>
      </c>
      <c r="N208">
        <v>6725.71</v>
      </c>
      <c r="O208">
        <v>4852.3</v>
      </c>
      <c r="P208">
        <v>2571.44</v>
      </c>
      <c r="Q208">
        <v>1344.12</v>
      </c>
      <c r="R208">
        <v>2797.45</v>
      </c>
      <c r="S208">
        <v>1188.93</v>
      </c>
      <c r="T208">
        <v>62607.21</v>
      </c>
      <c r="U208">
        <v>36167.379999999997</v>
      </c>
      <c r="V208">
        <v>16687.43</v>
      </c>
      <c r="W208">
        <v>16007.21</v>
      </c>
      <c r="X208">
        <v>78833.48</v>
      </c>
      <c r="Y208">
        <v>60701.7</v>
      </c>
    </row>
    <row r="209" spans="1:25" x14ac:dyDescent="0.25">
      <c r="A209" t="s">
        <v>252</v>
      </c>
      <c r="B209" s="1">
        <v>44984</v>
      </c>
      <c r="C209">
        <v>2023</v>
      </c>
      <c r="D209">
        <v>2</v>
      </c>
      <c r="E209" t="s">
        <v>161</v>
      </c>
      <c r="F209" t="s">
        <v>27</v>
      </c>
      <c r="G209" t="s">
        <v>28</v>
      </c>
      <c r="H209" t="s">
        <v>32</v>
      </c>
      <c r="I209" t="s">
        <v>37</v>
      </c>
      <c r="J209">
        <v>69</v>
      </c>
      <c r="K209">
        <v>1268.74</v>
      </c>
      <c r="L209">
        <v>87542.97</v>
      </c>
      <c r="M209">
        <v>42876.27</v>
      </c>
      <c r="N209">
        <v>6150.84</v>
      </c>
      <c r="O209">
        <v>2321.13</v>
      </c>
      <c r="P209">
        <v>1456.33</v>
      </c>
      <c r="Q209">
        <v>1304.1300000000001</v>
      </c>
      <c r="R209">
        <v>2462.1799999999998</v>
      </c>
      <c r="S209">
        <v>1669.96</v>
      </c>
      <c r="T209">
        <v>58240.83</v>
      </c>
      <c r="U209">
        <v>44666.7</v>
      </c>
      <c r="V209">
        <v>29302.13</v>
      </c>
      <c r="W209">
        <v>29670.13</v>
      </c>
      <c r="X209">
        <v>81539.210000000006</v>
      </c>
      <c r="Y209">
        <v>59990.01</v>
      </c>
    </row>
    <row r="210" spans="1:25" x14ac:dyDescent="0.25">
      <c r="A210" t="s">
        <v>253</v>
      </c>
      <c r="B210" s="1">
        <v>44984</v>
      </c>
      <c r="C210">
        <v>2023</v>
      </c>
      <c r="D210">
        <v>2</v>
      </c>
      <c r="E210" t="s">
        <v>161</v>
      </c>
      <c r="F210" t="s">
        <v>27</v>
      </c>
      <c r="G210" t="s">
        <v>28</v>
      </c>
      <c r="H210" t="s">
        <v>32</v>
      </c>
      <c r="I210" t="s">
        <v>37</v>
      </c>
      <c r="J210">
        <v>41</v>
      </c>
      <c r="K210">
        <v>1546.34</v>
      </c>
      <c r="L210">
        <v>63399.76</v>
      </c>
      <c r="M210">
        <v>35834.31</v>
      </c>
      <c r="N210">
        <v>8087.93</v>
      </c>
      <c r="O210">
        <v>3634.41</v>
      </c>
      <c r="P210">
        <v>2141.37</v>
      </c>
      <c r="Q210">
        <v>1062.83</v>
      </c>
      <c r="R210">
        <v>4016.59</v>
      </c>
      <c r="S210">
        <v>1442.95</v>
      </c>
      <c r="T210">
        <v>56220.39</v>
      </c>
      <c r="U210">
        <v>27565.45</v>
      </c>
      <c r="V210">
        <v>7179.37</v>
      </c>
      <c r="W210">
        <v>6373.69</v>
      </c>
      <c r="X210">
        <v>59518.74</v>
      </c>
      <c r="Y210">
        <v>59486.89</v>
      </c>
    </row>
    <row r="211" spans="1:25" x14ac:dyDescent="0.25">
      <c r="A211" t="s">
        <v>254</v>
      </c>
      <c r="B211" s="1">
        <v>44984</v>
      </c>
      <c r="C211">
        <v>2023</v>
      </c>
      <c r="D211">
        <v>2</v>
      </c>
      <c r="E211" t="s">
        <v>161</v>
      </c>
      <c r="F211" t="s">
        <v>27</v>
      </c>
      <c r="G211" t="s">
        <v>28</v>
      </c>
      <c r="H211" t="s">
        <v>32</v>
      </c>
      <c r="I211" t="s">
        <v>45</v>
      </c>
      <c r="J211">
        <v>48</v>
      </c>
      <c r="K211">
        <v>968.41</v>
      </c>
      <c r="L211">
        <v>46483.7</v>
      </c>
      <c r="M211">
        <v>23961.759999999998</v>
      </c>
      <c r="N211">
        <v>4829.53</v>
      </c>
      <c r="O211">
        <v>2255.0100000000002</v>
      </c>
      <c r="P211">
        <v>998.65</v>
      </c>
      <c r="Q211">
        <v>547.23</v>
      </c>
      <c r="R211">
        <v>1668.4</v>
      </c>
      <c r="S211">
        <v>592.87</v>
      </c>
      <c r="T211">
        <v>34853.449999999997</v>
      </c>
      <c r="U211">
        <v>22521.94</v>
      </c>
      <c r="V211">
        <v>11630.26</v>
      </c>
      <c r="W211">
        <v>10750.78</v>
      </c>
      <c r="X211">
        <v>51689.51</v>
      </c>
      <c r="Y211">
        <v>37237.11</v>
      </c>
    </row>
    <row r="212" spans="1:25" x14ac:dyDescent="0.25">
      <c r="A212" t="s">
        <v>255</v>
      </c>
      <c r="B212" s="1">
        <v>44984</v>
      </c>
      <c r="C212">
        <v>2023</v>
      </c>
      <c r="D212">
        <v>2</v>
      </c>
      <c r="E212" t="s">
        <v>161</v>
      </c>
      <c r="F212" t="s">
        <v>27</v>
      </c>
      <c r="G212" t="s">
        <v>28</v>
      </c>
      <c r="H212" t="s">
        <v>36</v>
      </c>
      <c r="I212" t="s">
        <v>45</v>
      </c>
      <c r="J212">
        <v>29</v>
      </c>
      <c r="K212">
        <v>1465.96</v>
      </c>
      <c r="L212">
        <v>42512.93</v>
      </c>
      <c r="M212">
        <v>23634.45</v>
      </c>
      <c r="N212">
        <v>3693.21</v>
      </c>
      <c r="O212">
        <v>1357.29</v>
      </c>
      <c r="P212">
        <v>1414.57</v>
      </c>
      <c r="Q212">
        <v>697.43</v>
      </c>
      <c r="R212">
        <v>2487.5500000000002</v>
      </c>
      <c r="S212">
        <v>490.82</v>
      </c>
      <c r="T212">
        <v>33775.32</v>
      </c>
      <c r="U212">
        <v>18878.490000000002</v>
      </c>
      <c r="V212">
        <v>8737.61</v>
      </c>
      <c r="W212">
        <v>7843.39</v>
      </c>
      <c r="X212">
        <v>43553.71</v>
      </c>
      <c r="Y212">
        <v>35179.22</v>
      </c>
    </row>
    <row r="213" spans="1:25" x14ac:dyDescent="0.25">
      <c r="A213" t="s">
        <v>256</v>
      </c>
      <c r="B213" s="1">
        <v>44985</v>
      </c>
      <c r="C213">
        <v>2023</v>
      </c>
      <c r="D213">
        <v>2</v>
      </c>
      <c r="E213" t="s">
        <v>161</v>
      </c>
      <c r="F213" t="s">
        <v>27</v>
      </c>
      <c r="G213" t="s">
        <v>28</v>
      </c>
      <c r="H213" t="s">
        <v>29</v>
      </c>
      <c r="I213" t="s">
        <v>39</v>
      </c>
      <c r="J213">
        <v>21</v>
      </c>
      <c r="K213">
        <v>1632.09</v>
      </c>
      <c r="L213">
        <v>34273.85</v>
      </c>
      <c r="M213">
        <v>17108.53</v>
      </c>
      <c r="N213">
        <v>2534.0100000000002</v>
      </c>
      <c r="O213">
        <v>1409.43</v>
      </c>
      <c r="P213">
        <v>937.72</v>
      </c>
      <c r="Q213">
        <v>371.81</v>
      </c>
      <c r="R213">
        <v>1721.27</v>
      </c>
      <c r="S213">
        <v>553.79</v>
      </c>
      <c r="T213">
        <v>24636.560000000001</v>
      </c>
      <c r="U213">
        <v>17165.32</v>
      </c>
      <c r="V213">
        <v>9637.2900000000009</v>
      </c>
      <c r="W213">
        <v>9409.86</v>
      </c>
      <c r="X213">
        <v>34322.51</v>
      </c>
      <c r="Y213">
        <v>23099.7</v>
      </c>
    </row>
    <row r="214" spans="1:25" x14ac:dyDescent="0.25">
      <c r="A214" t="s">
        <v>257</v>
      </c>
      <c r="B214" s="1">
        <v>44985</v>
      </c>
      <c r="C214">
        <v>2023</v>
      </c>
      <c r="D214">
        <v>2</v>
      </c>
      <c r="E214" t="s">
        <v>161</v>
      </c>
      <c r="F214" t="s">
        <v>27</v>
      </c>
      <c r="G214" t="s">
        <v>28</v>
      </c>
      <c r="H214" t="s">
        <v>36</v>
      </c>
      <c r="I214" t="s">
        <v>39</v>
      </c>
      <c r="J214">
        <v>32</v>
      </c>
      <c r="K214">
        <v>1692.76</v>
      </c>
      <c r="L214">
        <v>54168.31</v>
      </c>
      <c r="M214">
        <v>28552.3</v>
      </c>
      <c r="N214">
        <v>5511.47</v>
      </c>
      <c r="O214">
        <v>3972.18</v>
      </c>
      <c r="P214">
        <v>1909.64</v>
      </c>
      <c r="Q214">
        <v>468.99</v>
      </c>
      <c r="R214">
        <v>2184.65</v>
      </c>
      <c r="S214">
        <v>1224.3800000000001</v>
      </c>
      <c r="T214">
        <v>43823.61</v>
      </c>
      <c r="U214">
        <v>25616.01</v>
      </c>
      <c r="V214">
        <v>10344.700000000001</v>
      </c>
      <c r="W214">
        <v>9165.9599999999991</v>
      </c>
      <c r="X214">
        <v>54873.03</v>
      </c>
      <c r="Y214">
        <v>47253.69</v>
      </c>
    </row>
    <row r="215" spans="1:25" x14ac:dyDescent="0.25">
      <c r="A215" t="s">
        <v>258</v>
      </c>
      <c r="B215" s="1">
        <v>44985</v>
      </c>
      <c r="C215">
        <v>2023</v>
      </c>
      <c r="D215">
        <v>2</v>
      </c>
      <c r="E215" t="s">
        <v>161</v>
      </c>
      <c r="F215" t="s">
        <v>27</v>
      </c>
      <c r="G215" t="s">
        <v>55</v>
      </c>
      <c r="H215" t="s">
        <v>32</v>
      </c>
      <c r="I215" t="s">
        <v>45</v>
      </c>
      <c r="J215">
        <v>41</v>
      </c>
      <c r="K215">
        <v>1771.32</v>
      </c>
      <c r="L215">
        <v>72624.289999999994</v>
      </c>
      <c r="M215">
        <v>39787.339999999997</v>
      </c>
      <c r="N215">
        <v>8521.7099999999991</v>
      </c>
      <c r="O215">
        <v>4549.4799999999996</v>
      </c>
      <c r="P215">
        <v>2460.5300000000002</v>
      </c>
      <c r="Q215">
        <v>905.29</v>
      </c>
      <c r="R215">
        <v>2460.6999999999998</v>
      </c>
      <c r="S215">
        <v>686.22</v>
      </c>
      <c r="T215">
        <v>59371.27</v>
      </c>
      <c r="U215">
        <v>32836.949999999997</v>
      </c>
      <c r="V215">
        <v>13253.02</v>
      </c>
      <c r="W215">
        <v>13171.44</v>
      </c>
      <c r="X215">
        <v>74520.570000000007</v>
      </c>
      <c r="Y215">
        <v>59638.38</v>
      </c>
    </row>
    <row r="216" spans="1:25" x14ac:dyDescent="0.25">
      <c r="A216" t="s">
        <v>259</v>
      </c>
      <c r="B216" s="1">
        <v>44986</v>
      </c>
      <c r="C216">
        <v>2023</v>
      </c>
      <c r="D216">
        <v>3</v>
      </c>
      <c r="E216" t="s">
        <v>260</v>
      </c>
      <c r="F216" t="s">
        <v>27</v>
      </c>
      <c r="G216" t="s">
        <v>44</v>
      </c>
      <c r="H216" t="s">
        <v>53</v>
      </c>
      <c r="I216" t="s">
        <v>30</v>
      </c>
      <c r="J216">
        <v>71</v>
      </c>
      <c r="K216">
        <v>1214.1199999999999</v>
      </c>
      <c r="L216">
        <v>86202.74</v>
      </c>
      <c r="M216">
        <v>57665.440000000002</v>
      </c>
      <c r="N216">
        <v>10129.15</v>
      </c>
      <c r="O216">
        <v>2338.25</v>
      </c>
      <c r="P216">
        <v>2112.29</v>
      </c>
      <c r="Q216">
        <v>864.12</v>
      </c>
      <c r="R216">
        <v>5583.76</v>
      </c>
      <c r="S216">
        <v>1238.1500000000001</v>
      </c>
      <c r="T216">
        <v>79931.17</v>
      </c>
      <c r="U216">
        <v>28537.3</v>
      </c>
      <c r="V216">
        <v>6271.57</v>
      </c>
      <c r="W216">
        <v>5749.58</v>
      </c>
      <c r="X216">
        <v>83998.48</v>
      </c>
      <c r="Y216">
        <v>80506.89</v>
      </c>
    </row>
    <row r="217" spans="1:25" x14ac:dyDescent="0.25">
      <c r="A217" t="s">
        <v>261</v>
      </c>
      <c r="B217" s="1">
        <v>44987</v>
      </c>
      <c r="C217">
        <v>2023</v>
      </c>
      <c r="D217">
        <v>3</v>
      </c>
      <c r="E217" t="s">
        <v>260</v>
      </c>
      <c r="F217" t="s">
        <v>27</v>
      </c>
      <c r="G217" t="s">
        <v>55</v>
      </c>
      <c r="H217" t="s">
        <v>32</v>
      </c>
      <c r="I217" t="s">
        <v>33</v>
      </c>
      <c r="J217">
        <v>75</v>
      </c>
      <c r="K217">
        <v>1108.0899999999999</v>
      </c>
      <c r="L217">
        <v>83107.03</v>
      </c>
      <c r="M217">
        <v>42670.720000000001</v>
      </c>
      <c r="N217">
        <v>9096.74</v>
      </c>
      <c r="O217">
        <v>4193.41</v>
      </c>
      <c r="P217">
        <v>3024.92</v>
      </c>
      <c r="Q217">
        <v>453.9</v>
      </c>
      <c r="R217">
        <v>5010.03</v>
      </c>
      <c r="S217">
        <v>1072.3800000000001</v>
      </c>
      <c r="T217">
        <v>65522.11</v>
      </c>
      <c r="U217">
        <v>40436.31</v>
      </c>
      <c r="V217">
        <v>17584.919999999998</v>
      </c>
      <c r="W217">
        <v>17884.86</v>
      </c>
      <c r="X217">
        <v>77180.479999999996</v>
      </c>
      <c r="Y217">
        <v>65021.52</v>
      </c>
    </row>
    <row r="218" spans="1:25" x14ac:dyDescent="0.25">
      <c r="A218" t="s">
        <v>262</v>
      </c>
      <c r="B218" s="1">
        <v>44987</v>
      </c>
      <c r="C218">
        <v>2023</v>
      </c>
      <c r="D218">
        <v>3</v>
      </c>
      <c r="E218" t="s">
        <v>260</v>
      </c>
      <c r="F218" t="s">
        <v>27</v>
      </c>
      <c r="G218" t="s">
        <v>35</v>
      </c>
      <c r="H218" t="s">
        <v>32</v>
      </c>
      <c r="I218" t="s">
        <v>39</v>
      </c>
      <c r="J218">
        <v>40</v>
      </c>
      <c r="K218">
        <v>1095.6300000000001</v>
      </c>
      <c r="L218">
        <v>43825.02</v>
      </c>
      <c r="M218">
        <v>22663.94</v>
      </c>
      <c r="N218">
        <v>3168.16</v>
      </c>
      <c r="O218">
        <v>3040.9</v>
      </c>
      <c r="P218">
        <v>1179.75</v>
      </c>
      <c r="Q218">
        <v>416.52</v>
      </c>
      <c r="R218">
        <v>2388.61</v>
      </c>
      <c r="S218">
        <v>679.33</v>
      </c>
      <c r="T218">
        <v>33537.21</v>
      </c>
      <c r="U218">
        <v>21161.07</v>
      </c>
      <c r="V218">
        <v>10287.81</v>
      </c>
      <c r="W218">
        <v>9160.81</v>
      </c>
      <c r="X218">
        <v>43154.720000000001</v>
      </c>
      <c r="Y218">
        <v>35487.910000000003</v>
      </c>
    </row>
    <row r="219" spans="1:25" x14ac:dyDescent="0.25">
      <c r="A219" t="s">
        <v>263</v>
      </c>
      <c r="B219" s="1">
        <v>44987</v>
      </c>
      <c r="C219">
        <v>2023</v>
      </c>
      <c r="D219">
        <v>3</v>
      </c>
      <c r="E219" t="s">
        <v>260</v>
      </c>
      <c r="F219" t="s">
        <v>27</v>
      </c>
      <c r="G219" t="s">
        <v>28</v>
      </c>
      <c r="H219" t="s">
        <v>32</v>
      </c>
      <c r="I219" t="s">
        <v>50</v>
      </c>
      <c r="J219">
        <v>67</v>
      </c>
      <c r="K219">
        <v>1190.8399999999999</v>
      </c>
      <c r="L219">
        <v>79786.14</v>
      </c>
      <c r="M219">
        <v>46045.64</v>
      </c>
      <c r="N219">
        <v>7793.58</v>
      </c>
      <c r="O219">
        <v>4106.3999999999996</v>
      </c>
      <c r="P219">
        <v>2614.9</v>
      </c>
      <c r="Q219">
        <v>968.02</v>
      </c>
      <c r="R219">
        <v>2390.2399999999998</v>
      </c>
      <c r="S219">
        <v>1226.06</v>
      </c>
      <c r="T219">
        <v>65144.84</v>
      </c>
      <c r="U219">
        <v>33740.51</v>
      </c>
      <c r="V219">
        <v>14641.31</v>
      </c>
      <c r="W219">
        <v>13541.5</v>
      </c>
      <c r="X219">
        <v>75749.34</v>
      </c>
      <c r="Y219">
        <v>63678.99</v>
      </c>
    </row>
    <row r="220" spans="1:25" x14ac:dyDescent="0.25">
      <c r="A220" t="s">
        <v>264</v>
      </c>
      <c r="B220" s="1">
        <v>44987</v>
      </c>
      <c r="C220">
        <v>2023</v>
      </c>
      <c r="D220">
        <v>3</v>
      </c>
      <c r="E220" t="s">
        <v>260</v>
      </c>
      <c r="F220" t="s">
        <v>27</v>
      </c>
      <c r="G220" t="s">
        <v>44</v>
      </c>
      <c r="H220" t="s">
        <v>36</v>
      </c>
      <c r="I220" t="s">
        <v>65</v>
      </c>
      <c r="J220">
        <v>40</v>
      </c>
      <c r="K220">
        <v>1388.46</v>
      </c>
      <c r="L220">
        <v>55538.5</v>
      </c>
      <c r="M220">
        <v>36487.58</v>
      </c>
      <c r="N220">
        <v>6460.1</v>
      </c>
      <c r="O220">
        <v>3716.5</v>
      </c>
      <c r="P220">
        <v>2019.99</v>
      </c>
      <c r="Q220">
        <v>299.45</v>
      </c>
      <c r="R220">
        <v>2590.27</v>
      </c>
      <c r="S220">
        <v>1257.49</v>
      </c>
      <c r="T220">
        <v>52831.39</v>
      </c>
      <c r="U220">
        <v>19050.919999999998</v>
      </c>
      <c r="V220">
        <v>2707.11</v>
      </c>
      <c r="W220">
        <v>2704.89</v>
      </c>
      <c r="X220">
        <v>55472.6</v>
      </c>
      <c r="Y220">
        <v>56598.11</v>
      </c>
    </row>
    <row r="221" spans="1:25" x14ac:dyDescent="0.25">
      <c r="A221" t="s">
        <v>265</v>
      </c>
      <c r="B221" s="1">
        <v>44987</v>
      </c>
      <c r="C221">
        <v>2023</v>
      </c>
      <c r="D221">
        <v>3</v>
      </c>
      <c r="E221" t="s">
        <v>260</v>
      </c>
      <c r="F221" t="s">
        <v>27</v>
      </c>
      <c r="G221" t="s">
        <v>28</v>
      </c>
      <c r="H221" t="s">
        <v>58</v>
      </c>
      <c r="I221" t="s">
        <v>37</v>
      </c>
      <c r="J221">
        <v>31</v>
      </c>
      <c r="K221">
        <v>1653.51</v>
      </c>
      <c r="L221">
        <v>51258.93</v>
      </c>
      <c r="M221">
        <v>34077.86</v>
      </c>
      <c r="N221">
        <v>5975.01</v>
      </c>
      <c r="O221">
        <v>2012.74</v>
      </c>
      <c r="P221">
        <v>1158.1400000000001</v>
      </c>
      <c r="Q221">
        <v>654.49</v>
      </c>
      <c r="R221">
        <v>1822.46</v>
      </c>
      <c r="S221">
        <v>977.72</v>
      </c>
      <c r="T221">
        <v>46678.42</v>
      </c>
      <c r="U221">
        <v>17181.07</v>
      </c>
      <c r="V221">
        <v>4580.51</v>
      </c>
      <c r="W221">
        <v>4107.8500000000004</v>
      </c>
      <c r="X221">
        <v>48058.33</v>
      </c>
      <c r="Y221">
        <v>44194.76</v>
      </c>
    </row>
    <row r="222" spans="1:25" x14ac:dyDescent="0.25">
      <c r="A222" t="s">
        <v>266</v>
      </c>
      <c r="B222" s="1">
        <v>44987</v>
      </c>
      <c r="C222">
        <v>2023</v>
      </c>
      <c r="D222">
        <v>3</v>
      </c>
      <c r="E222" t="s">
        <v>260</v>
      </c>
      <c r="F222" t="s">
        <v>27</v>
      </c>
      <c r="G222" t="s">
        <v>44</v>
      </c>
      <c r="H222" t="s">
        <v>29</v>
      </c>
      <c r="I222" t="s">
        <v>45</v>
      </c>
      <c r="J222">
        <v>39</v>
      </c>
      <c r="K222">
        <v>961.97</v>
      </c>
      <c r="L222">
        <v>37517.019999999997</v>
      </c>
      <c r="M222">
        <v>18721.02</v>
      </c>
      <c r="N222">
        <v>3485.6</v>
      </c>
      <c r="O222">
        <v>1886.53</v>
      </c>
      <c r="P222">
        <v>1280.69</v>
      </c>
      <c r="Q222">
        <v>218.72</v>
      </c>
      <c r="R222">
        <v>2248.6999999999998</v>
      </c>
      <c r="S222">
        <v>886.96</v>
      </c>
      <c r="T222">
        <v>28728.21</v>
      </c>
      <c r="U222">
        <v>18796</v>
      </c>
      <c r="V222">
        <v>8788.81</v>
      </c>
      <c r="W222">
        <v>8263.1</v>
      </c>
      <c r="X222">
        <v>36409.99</v>
      </c>
      <c r="Y222">
        <v>29223.67</v>
      </c>
    </row>
    <row r="223" spans="1:25" x14ac:dyDescent="0.25">
      <c r="A223" t="s">
        <v>267</v>
      </c>
      <c r="B223" s="1">
        <v>44988</v>
      </c>
      <c r="C223">
        <v>2023</v>
      </c>
      <c r="D223">
        <v>3</v>
      </c>
      <c r="E223" t="s">
        <v>260</v>
      </c>
      <c r="F223" t="s">
        <v>27</v>
      </c>
      <c r="G223" t="s">
        <v>28</v>
      </c>
      <c r="H223" t="s">
        <v>32</v>
      </c>
      <c r="I223" t="s">
        <v>56</v>
      </c>
      <c r="J223">
        <v>24</v>
      </c>
      <c r="K223">
        <v>1660.89</v>
      </c>
      <c r="L223">
        <v>39861.24</v>
      </c>
      <c r="M223">
        <v>20157</v>
      </c>
      <c r="N223">
        <v>3358.55</v>
      </c>
      <c r="O223">
        <v>2981.72</v>
      </c>
      <c r="P223">
        <v>1115.71</v>
      </c>
      <c r="Q223">
        <v>628.71</v>
      </c>
      <c r="R223">
        <v>2130.66</v>
      </c>
      <c r="S223">
        <v>923.57</v>
      </c>
      <c r="T223">
        <v>31295.91</v>
      </c>
      <c r="U223">
        <v>19704.25</v>
      </c>
      <c r="V223">
        <v>8565.33</v>
      </c>
      <c r="W223">
        <v>8684.84</v>
      </c>
      <c r="X223">
        <v>44174.78</v>
      </c>
      <c r="Y223">
        <v>34118.519999999997</v>
      </c>
    </row>
    <row r="224" spans="1:25" x14ac:dyDescent="0.25">
      <c r="A224" t="s">
        <v>268</v>
      </c>
      <c r="B224" s="1">
        <v>44988</v>
      </c>
      <c r="C224">
        <v>2023</v>
      </c>
      <c r="D224">
        <v>3</v>
      </c>
      <c r="E224" t="s">
        <v>260</v>
      </c>
      <c r="F224" t="s">
        <v>27</v>
      </c>
      <c r="G224" t="s">
        <v>28</v>
      </c>
      <c r="H224" t="s">
        <v>32</v>
      </c>
      <c r="I224" t="s">
        <v>45</v>
      </c>
      <c r="J224">
        <v>35</v>
      </c>
      <c r="K224">
        <v>1766.87</v>
      </c>
      <c r="L224">
        <v>61840.32</v>
      </c>
      <c r="M224">
        <v>36385.550000000003</v>
      </c>
      <c r="N224">
        <v>4682.5200000000004</v>
      </c>
      <c r="O224">
        <v>3957.71</v>
      </c>
      <c r="P224">
        <v>2654.26</v>
      </c>
      <c r="Q224">
        <v>532.66</v>
      </c>
      <c r="R224">
        <v>3484.71</v>
      </c>
      <c r="S224">
        <v>926.5</v>
      </c>
      <c r="T224">
        <v>52623.91</v>
      </c>
      <c r="U224">
        <v>25454.77</v>
      </c>
      <c r="V224">
        <v>9216.41</v>
      </c>
      <c r="W224">
        <v>8756.36</v>
      </c>
      <c r="X224">
        <v>68633.45</v>
      </c>
      <c r="Y224">
        <v>53676.06</v>
      </c>
    </row>
    <row r="225" spans="1:25" x14ac:dyDescent="0.25">
      <c r="A225" t="s">
        <v>269</v>
      </c>
      <c r="B225" s="1">
        <v>44988</v>
      </c>
      <c r="C225">
        <v>2023</v>
      </c>
      <c r="D225">
        <v>3</v>
      </c>
      <c r="E225" t="s">
        <v>260</v>
      </c>
      <c r="F225" t="s">
        <v>27</v>
      </c>
      <c r="G225" t="s">
        <v>44</v>
      </c>
      <c r="H225" t="s">
        <v>53</v>
      </c>
      <c r="I225" t="s">
        <v>50</v>
      </c>
      <c r="J225">
        <v>38</v>
      </c>
      <c r="K225">
        <v>996.66</v>
      </c>
      <c r="L225">
        <v>37873.15</v>
      </c>
      <c r="M225">
        <v>19860.66</v>
      </c>
      <c r="N225">
        <v>4602.67</v>
      </c>
      <c r="O225">
        <v>1961.88</v>
      </c>
      <c r="P225">
        <v>1623.97</v>
      </c>
      <c r="Q225">
        <v>615.97</v>
      </c>
      <c r="R225">
        <v>2434.9899999999998</v>
      </c>
      <c r="S225">
        <v>451.88</v>
      </c>
      <c r="T225">
        <v>31552.02</v>
      </c>
      <c r="U225">
        <v>18012.490000000002</v>
      </c>
      <c r="V225">
        <v>6321.13</v>
      </c>
      <c r="W225">
        <v>6085</v>
      </c>
      <c r="X225">
        <v>38155.97</v>
      </c>
      <c r="Y225">
        <v>30622.04</v>
      </c>
    </row>
    <row r="226" spans="1:25" x14ac:dyDescent="0.25">
      <c r="A226" t="s">
        <v>270</v>
      </c>
      <c r="B226" s="1">
        <v>44989</v>
      </c>
      <c r="C226">
        <v>2023</v>
      </c>
      <c r="D226">
        <v>3</v>
      </c>
      <c r="E226" t="s">
        <v>260</v>
      </c>
      <c r="F226" t="s">
        <v>27</v>
      </c>
      <c r="G226" t="s">
        <v>55</v>
      </c>
      <c r="H226" t="s">
        <v>32</v>
      </c>
      <c r="I226" t="s">
        <v>65</v>
      </c>
      <c r="J226">
        <v>50</v>
      </c>
      <c r="K226">
        <v>1455.89</v>
      </c>
      <c r="L226">
        <v>72794.69</v>
      </c>
      <c r="M226">
        <v>36495.15</v>
      </c>
      <c r="N226">
        <v>7535.76</v>
      </c>
      <c r="O226">
        <v>3942.93</v>
      </c>
      <c r="P226">
        <v>2454.81</v>
      </c>
      <c r="Q226">
        <v>552.32000000000005</v>
      </c>
      <c r="R226">
        <v>3596.09</v>
      </c>
      <c r="S226">
        <v>1530.45</v>
      </c>
      <c r="T226">
        <v>56107.51</v>
      </c>
      <c r="U226">
        <v>36299.54</v>
      </c>
      <c r="V226">
        <v>16687.18</v>
      </c>
      <c r="W226">
        <v>15211.25</v>
      </c>
      <c r="X226">
        <v>74000.600000000006</v>
      </c>
      <c r="Y226">
        <v>53430.23</v>
      </c>
    </row>
    <row r="227" spans="1:25" x14ac:dyDescent="0.25">
      <c r="A227" t="s">
        <v>271</v>
      </c>
      <c r="B227" s="1">
        <v>44989</v>
      </c>
      <c r="C227">
        <v>2023</v>
      </c>
      <c r="D227">
        <v>3</v>
      </c>
      <c r="E227" t="s">
        <v>260</v>
      </c>
      <c r="F227" t="s">
        <v>27</v>
      </c>
      <c r="G227" t="s">
        <v>35</v>
      </c>
      <c r="H227" t="s">
        <v>36</v>
      </c>
      <c r="I227" t="s">
        <v>30</v>
      </c>
      <c r="J227">
        <v>75</v>
      </c>
      <c r="K227">
        <v>1040.3399999999999</v>
      </c>
      <c r="L227">
        <v>78025.460000000006</v>
      </c>
      <c r="M227">
        <v>43503.54</v>
      </c>
      <c r="N227">
        <v>7879.88</v>
      </c>
      <c r="O227">
        <v>3613.9</v>
      </c>
      <c r="P227">
        <v>1562.8</v>
      </c>
      <c r="Q227">
        <v>491.64</v>
      </c>
      <c r="R227">
        <v>2858.36</v>
      </c>
      <c r="S227">
        <v>1377.63</v>
      </c>
      <c r="T227">
        <v>61287.75</v>
      </c>
      <c r="U227">
        <v>34521.910000000003</v>
      </c>
      <c r="V227">
        <v>16737.71</v>
      </c>
      <c r="W227">
        <v>14734.74</v>
      </c>
      <c r="X227">
        <v>86259.7</v>
      </c>
      <c r="Y227">
        <v>58722.36</v>
      </c>
    </row>
    <row r="228" spans="1:25" x14ac:dyDescent="0.25">
      <c r="A228" t="s">
        <v>272</v>
      </c>
      <c r="B228" s="1">
        <v>44989</v>
      </c>
      <c r="C228">
        <v>2023</v>
      </c>
      <c r="D228">
        <v>3</v>
      </c>
      <c r="E228" t="s">
        <v>260</v>
      </c>
      <c r="F228" t="s">
        <v>27</v>
      </c>
      <c r="G228" t="s">
        <v>44</v>
      </c>
      <c r="H228" t="s">
        <v>29</v>
      </c>
      <c r="I228" t="s">
        <v>45</v>
      </c>
      <c r="J228">
        <v>43</v>
      </c>
      <c r="K228">
        <v>1078.92</v>
      </c>
      <c r="L228">
        <v>46393.41</v>
      </c>
      <c r="M228">
        <v>30534.33</v>
      </c>
      <c r="N228">
        <v>5921.24</v>
      </c>
      <c r="O228">
        <v>2911.5</v>
      </c>
      <c r="P228">
        <v>1017.35</v>
      </c>
      <c r="Q228">
        <v>421.12</v>
      </c>
      <c r="R228">
        <v>2455.04</v>
      </c>
      <c r="S228">
        <v>636.66</v>
      </c>
      <c r="T228">
        <v>43897.24</v>
      </c>
      <c r="U228">
        <v>15859.07</v>
      </c>
      <c r="V228">
        <v>2496.17</v>
      </c>
      <c r="W228">
        <v>2545.67</v>
      </c>
      <c r="X228">
        <v>50109.57</v>
      </c>
      <c r="Y228">
        <v>45970.68</v>
      </c>
    </row>
    <row r="229" spans="1:25" x14ac:dyDescent="0.25">
      <c r="A229" t="s">
        <v>273</v>
      </c>
      <c r="B229" s="1">
        <v>44990</v>
      </c>
      <c r="C229">
        <v>2023</v>
      </c>
      <c r="D229">
        <v>3</v>
      </c>
      <c r="E229" t="s">
        <v>260</v>
      </c>
      <c r="F229" t="s">
        <v>27</v>
      </c>
      <c r="G229" t="s">
        <v>55</v>
      </c>
      <c r="H229" t="s">
        <v>36</v>
      </c>
      <c r="I229" t="s">
        <v>39</v>
      </c>
      <c r="J229">
        <v>40</v>
      </c>
      <c r="K229">
        <v>1213.01</v>
      </c>
      <c r="L229">
        <v>48520.51</v>
      </c>
      <c r="M229">
        <v>25372.52</v>
      </c>
      <c r="N229">
        <v>5407.96</v>
      </c>
      <c r="O229">
        <v>3273.45</v>
      </c>
      <c r="P229">
        <v>1398.36</v>
      </c>
      <c r="Q229">
        <v>245.94</v>
      </c>
      <c r="R229">
        <v>2765.82</v>
      </c>
      <c r="S229">
        <v>1045.93</v>
      </c>
      <c r="T229">
        <v>39509.980000000003</v>
      </c>
      <c r="U229">
        <v>23147.99</v>
      </c>
      <c r="V229">
        <v>9010.5400000000009</v>
      </c>
      <c r="W229">
        <v>8843.8700000000008</v>
      </c>
      <c r="X229">
        <v>46741.93</v>
      </c>
      <c r="Y229">
        <v>36951.51</v>
      </c>
    </row>
    <row r="230" spans="1:25" x14ac:dyDescent="0.25">
      <c r="A230" t="s">
        <v>274</v>
      </c>
      <c r="B230" s="1">
        <v>44991</v>
      </c>
      <c r="C230">
        <v>2023</v>
      </c>
      <c r="D230">
        <v>3</v>
      </c>
      <c r="E230" t="s">
        <v>260</v>
      </c>
      <c r="F230" t="s">
        <v>27</v>
      </c>
      <c r="G230" t="s">
        <v>28</v>
      </c>
      <c r="H230" t="s">
        <v>36</v>
      </c>
      <c r="I230" t="s">
        <v>50</v>
      </c>
      <c r="J230">
        <v>48</v>
      </c>
      <c r="K230">
        <v>1256.6600000000001</v>
      </c>
      <c r="L230">
        <v>60319.68</v>
      </c>
      <c r="M230">
        <v>31803.68</v>
      </c>
      <c r="N230">
        <v>7793.28</v>
      </c>
      <c r="O230">
        <v>4270.99</v>
      </c>
      <c r="P230">
        <v>1699.18</v>
      </c>
      <c r="Q230">
        <v>926.59</v>
      </c>
      <c r="R230">
        <v>2008.94</v>
      </c>
      <c r="S230">
        <v>964.64</v>
      </c>
      <c r="T230">
        <v>49467.3</v>
      </c>
      <c r="U230">
        <v>28516</v>
      </c>
      <c r="V230">
        <v>10852.38</v>
      </c>
      <c r="W230">
        <v>9825.9599999999991</v>
      </c>
      <c r="X230">
        <v>60323.519999999997</v>
      </c>
      <c r="Y230">
        <v>53660.19</v>
      </c>
    </row>
    <row r="231" spans="1:25" x14ac:dyDescent="0.25">
      <c r="A231" t="s">
        <v>275</v>
      </c>
      <c r="B231" s="1">
        <v>44991</v>
      </c>
      <c r="C231">
        <v>2023</v>
      </c>
      <c r="D231">
        <v>3</v>
      </c>
      <c r="E231" t="s">
        <v>260</v>
      </c>
      <c r="F231" t="s">
        <v>27</v>
      </c>
      <c r="G231" t="s">
        <v>35</v>
      </c>
      <c r="H231" t="s">
        <v>36</v>
      </c>
      <c r="I231" t="s">
        <v>37</v>
      </c>
      <c r="J231">
        <v>46</v>
      </c>
      <c r="K231">
        <v>1581.93</v>
      </c>
      <c r="L231">
        <v>72768.990000000005</v>
      </c>
      <c r="M231">
        <v>37475.06</v>
      </c>
      <c r="N231">
        <v>6672.92</v>
      </c>
      <c r="O231">
        <v>1879.54</v>
      </c>
      <c r="P231">
        <v>2060.64</v>
      </c>
      <c r="Q231">
        <v>1201.5899999999999</v>
      </c>
      <c r="R231">
        <v>3414.66</v>
      </c>
      <c r="S231">
        <v>628.72</v>
      </c>
      <c r="T231">
        <v>53333.14</v>
      </c>
      <c r="U231">
        <v>35293.93</v>
      </c>
      <c r="V231">
        <v>19435.849999999999</v>
      </c>
      <c r="W231">
        <v>17405.560000000001</v>
      </c>
      <c r="X231">
        <v>76805.58</v>
      </c>
      <c r="Y231">
        <v>56049.27</v>
      </c>
    </row>
    <row r="232" spans="1:25" x14ac:dyDescent="0.25">
      <c r="A232" t="s">
        <v>276</v>
      </c>
      <c r="B232" s="1">
        <v>44991</v>
      </c>
      <c r="C232">
        <v>2023</v>
      </c>
      <c r="D232">
        <v>3</v>
      </c>
      <c r="E232" t="s">
        <v>260</v>
      </c>
      <c r="F232" t="s">
        <v>27</v>
      </c>
      <c r="G232" t="s">
        <v>35</v>
      </c>
      <c r="H232" t="s">
        <v>29</v>
      </c>
      <c r="I232" t="s">
        <v>50</v>
      </c>
      <c r="J232">
        <v>19</v>
      </c>
      <c r="K232">
        <v>1797.21</v>
      </c>
      <c r="L232">
        <v>34146.9</v>
      </c>
      <c r="M232">
        <v>22590.65</v>
      </c>
      <c r="N232">
        <v>3071</v>
      </c>
      <c r="O232">
        <v>1388.49</v>
      </c>
      <c r="P232">
        <v>1285.57</v>
      </c>
      <c r="Q232">
        <v>486.17</v>
      </c>
      <c r="R232">
        <v>963.21</v>
      </c>
      <c r="S232">
        <v>772.65</v>
      </c>
      <c r="T232">
        <v>30557.73</v>
      </c>
      <c r="U232">
        <v>11556.25</v>
      </c>
      <c r="V232">
        <v>3589.17</v>
      </c>
      <c r="W232">
        <v>3299.83</v>
      </c>
      <c r="X232">
        <v>36865.31</v>
      </c>
      <c r="Y232">
        <v>33558.26</v>
      </c>
    </row>
    <row r="233" spans="1:25" x14ac:dyDescent="0.25">
      <c r="A233" t="s">
        <v>277</v>
      </c>
      <c r="B233" s="1">
        <v>44992</v>
      </c>
      <c r="C233">
        <v>2023</v>
      </c>
      <c r="D233">
        <v>3</v>
      </c>
      <c r="E233" t="s">
        <v>260</v>
      </c>
      <c r="F233" t="s">
        <v>27</v>
      </c>
      <c r="G233" t="s">
        <v>55</v>
      </c>
      <c r="H233" t="s">
        <v>29</v>
      </c>
      <c r="I233" t="s">
        <v>33</v>
      </c>
      <c r="J233">
        <v>89</v>
      </c>
      <c r="K233">
        <v>958.93</v>
      </c>
      <c r="L233">
        <v>85344.65</v>
      </c>
      <c r="M233">
        <v>54594.83</v>
      </c>
      <c r="N233">
        <v>10346.26</v>
      </c>
      <c r="O233">
        <v>2136.56</v>
      </c>
      <c r="P233">
        <v>3307.82</v>
      </c>
      <c r="Q233">
        <v>1003.41</v>
      </c>
      <c r="R233">
        <v>5455.75</v>
      </c>
      <c r="S233">
        <v>1823.83</v>
      </c>
      <c r="T233">
        <v>78668.47</v>
      </c>
      <c r="U233">
        <v>30749.82</v>
      </c>
      <c r="V233">
        <v>6676.18</v>
      </c>
      <c r="W233">
        <v>6684.62</v>
      </c>
      <c r="X233">
        <v>85667.45</v>
      </c>
      <c r="Y233">
        <v>74528.91</v>
      </c>
    </row>
    <row r="234" spans="1:25" x14ac:dyDescent="0.25">
      <c r="A234" t="s">
        <v>278</v>
      </c>
      <c r="B234" s="1">
        <v>44992</v>
      </c>
      <c r="C234">
        <v>2023</v>
      </c>
      <c r="D234">
        <v>3</v>
      </c>
      <c r="E234" t="s">
        <v>260</v>
      </c>
      <c r="F234" t="s">
        <v>27</v>
      </c>
      <c r="G234" t="s">
        <v>35</v>
      </c>
      <c r="H234" t="s">
        <v>32</v>
      </c>
      <c r="I234" t="s">
        <v>56</v>
      </c>
      <c r="J234">
        <v>28</v>
      </c>
      <c r="K234">
        <v>1485.62</v>
      </c>
      <c r="L234">
        <v>41597.379999999997</v>
      </c>
      <c r="M234">
        <v>25641.26</v>
      </c>
      <c r="N234">
        <v>3134.51</v>
      </c>
      <c r="O234">
        <v>1741.97</v>
      </c>
      <c r="P234">
        <v>1812.05</v>
      </c>
      <c r="Q234">
        <v>611.05999999999995</v>
      </c>
      <c r="R234">
        <v>1715.42</v>
      </c>
      <c r="S234">
        <v>671.76</v>
      </c>
      <c r="T234">
        <v>35328.04</v>
      </c>
      <c r="U234">
        <v>15956.12</v>
      </c>
      <c r="V234">
        <v>6269.34</v>
      </c>
      <c r="W234">
        <v>5762.04</v>
      </c>
      <c r="X234">
        <v>40900.44</v>
      </c>
      <c r="Y234">
        <v>35188.97</v>
      </c>
    </row>
    <row r="235" spans="1:25" x14ac:dyDescent="0.25">
      <c r="A235" t="s">
        <v>279</v>
      </c>
      <c r="B235" s="1">
        <v>44993</v>
      </c>
      <c r="C235">
        <v>2023</v>
      </c>
      <c r="D235">
        <v>3</v>
      </c>
      <c r="E235" t="s">
        <v>260</v>
      </c>
      <c r="F235" t="s">
        <v>27</v>
      </c>
      <c r="G235" t="s">
        <v>28</v>
      </c>
      <c r="H235" t="s">
        <v>36</v>
      </c>
      <c r="I235" t="s">
        <v>65</v>
      </c>
      <c r="J235">
        <v>61</v>
      </c>
      <c r="K235">
        <v>1205.48</v>
      </c>
      <c r="L235">
        <v>73534.47</v>
      </c>
      <c r="M235">
        <v>45025.05</v>
      </c>
      <c r="N235">
        <v>5914.38</v>
      </c>
      <c r="O235">
        <v>5382.85</v>
      </c>
      <c r="P235">
        <v>1688.8</v>
      </c>
      <c r="Q235">
        <v>1219.32</v>
      </c>
      <c r="R235">
        <v>3359.48</v>
      </c>
      <c r="S235">
        <v>889.02</v>
      </c>
      <c r="T235">
        <v>63478.91</v>
      </c>
      <c r="U235">
        <v>28509.42</v>
      </c>
      <c r="V235">
        <v>10055.56</v>
      </c>
      <c r="W235">
        <v>9608.66</v>
      </c>
      <c r="X235">
        <v>69869.09</v>
      </c>
      <c r="Y235">
        <v>62019.25</v>
      </c>
    </row>
    <row r="236" spans="1:25" x14ac:dyDescent="0.25">
      <c r="A236" t="s">
        <v>280</v>
      </c>
      <c r="B236" s="1">
        <v>44993</v>
      </c>
      <c r="C236">
        <v>2023</v>
      </c>
      <c r="D236">
        <v>3</v>
      </c>
      <c r="E236" t="s">
        <v>260</v>
      </c>
      <c r="F236" t="s">
        <v>27</v>
      </c>
      <c r="G236" t="s">
        <v>55</v>
      </c>
      <c r="H236" t="s">
        <v>53</v>
      </c>
      <c r="I236" t="s">
        <v>37</v>
      </c>
      <c r="J236">
        <v>53</v>
      </c>
      <c r="K236">
        <v>1005.48</v>
      </c>
      <c r="L236">
        <v>53290.52</v>
      </c>
      <c r="M236">
        <v>33214.92</v>
      </c>
      <c r="N236">
        <v>6122.98</v>
      </c>
      <c r="O236">
        <v>2267.04</v>
      </c>
      <c r="P236">
        <v>1354.36</v>
      </c>
      <c r="Q236">
        <v>477.51</v>
      </c>
      <c r="R236">
        <v>1444.97</v>
      </c>
      <c r="S236">
        <v>1067.67</v>
      </c>
      <c r="T236">
        <v>45949.45</v>
      </c>
      <c r="U236">
        <v>20075.61</v>
      </c>
      <c r="V236">
        <v>7341.08</v>
      </c>
      <c r="W236">
        <v>7046.41</v>
      </c>
      <c r="X236">
        <v>58690.17</v>
      </c>
      <c r="Y236">
        <v>46151.12</v>
      </c>
    </row>
    <row r="237" spans="1:25" x14ac:dyDescent="0.25">
      <c r="A237" t="s">
        <v>281</v>
      </c>
      <c r="B237" s="1">
        <v>44994</v>
      </c>
      <c r="C237">
        <v>2023</v>
      </c>
      <c r="D237">
        <v>3</v>
      </c>
      <c r="E237" t="s">
        <v>260</v>
      </c>
      <c r="F237" t="s">
        <v>27</v>
      </c>
      <c r="G237" t="s">
        <v>55</v>
      </c>
      <c r="H237" t="s">
        <v>58</v>
      </c>
      <c r="I237" t="s">
        <v>33</v>
      </c>
      <c r="J237">
        <v>44</v>
      </c>
      <c r="K237">
        <v>1652.84</v>
      </c>
      <c r="L237">
        <v>72725.06</v>
      </c>
      <c r="M237">
        <v>45758.19</v>
      </c>
      <c r="N237">
        <v>7621.48</v>
      </c>
      <c r="O237">
        <v>3921.38</v>
      </c>
      <c r="P237">
        <v>3159.8</v>
      </c>
      <c r="Q237">
        <v>1101.83</v>
      </c>
      <c r="R237">
        <v>3177.97</v>
      </c>
      <c r="S237">
        <v>1719.58</v>
      </c>
      <c r="T237">
        <v>66460.23</v>
      </c>
      <c r="U237">
        <v>26966.87</v>
      </c>
      <c r="V237">
        <v>6264.83</v>
      </c>
      <c r="W237">
        <v>5940.29</v>
      </c>
      <c r="X237">
        <v>71056.740000000005</v>
      </c>
      <c r="Y237">
        <v>64438.239999999998</v>
      </c>
    </row>
    <row r="238" spans="1:25" x14ac:dyDescent="0.25">
      <c r="A238" t="s">
        <v>282</v>
      </c>
      <c r="B238" s="1">
        <v>44994</v>
      </c>
      <c r="C238">
        <v>2023</v>
      </c>
      <c r="D238">
        <v>3</v>
      </c>
      <c r="E238" t="s">
        <v>260</v>
      </c>
      <c r="F238" t="s">
        <v>27</v>
      </c>
      <c r="G238" t="s">
        <v>28</v>
      </c>
      <c r="H238" t="s">
        <v>29</v>
      </c>
      <c r="I238" t="s">
        <v>45</v>
      </c>
      <c r="J238">
        <v>38</v>
      </c>
      <c r="K238">
        <v>1184.07</v>
      </c>
      <c r="L238">
        <v>44994.76</v>
      </c>
      <c r="M238">
        <v>21911.35</v>
      </c>
      <c r="N238">
        <v>3824.31</v>
      </c>
      <c r="O238">
        <v>1469.65</v>
      </c>
      <c r="P238">
        <v>864.01</v>
      </c>
      <c r="Q238">
        <v>364.86</v>
      </c>
      <c r="R238">
        <v>2276.12</v>
      </c>
      <c r="S238">
        <v>606.6</v>
      </c>
      <c r="T238">
        <v>31316.91</v>
      </c>
      <c r="U238">
        <v>23083.41</v>
      </c>
      <c r="V238">
        <v>13677.86</v>
      </c>
      <c r="W238">
        <v>13091.88</v>
      </c>
      <c r="X238">
        <v>47677.63</v>
      </c>
      <c r="Y238">
        <v>31264.84</v>
      </c>
    </row>
    <row r="239" spans="1:25" x14ac:dyDescent="0.25">
      <c r="A239" t="s">
        <v>283</v>
      </c>
      <c r="B239" s="1">
        <v>44994</v>
      </c>
      <c r="C239">
        <v>2023</v>
      </c>
      <c r="D239">
        <v>3</v>
      </c>
      <c r="E239" t="s">
        <v>260</v>
      </c>
      <c r="F239" t="s">
        <v>27</v>
      </c>
      <c r="G239" t="s">
        <v>28</v>
      </c>
      <c r="H239" t="s">
        <v>36</v>
      </c>
      <c r="I239" t="s">
        <v>37</v>
      </c>
      <c r="J239">
        <v>50</v>
      </c>
      <c r="K239">
        <v>1671.76</v>
      </c>
      <c r="L239">
        <v>83588.06</v>
      </c>
      <c r="M239">
        <v>50204.13</v>
      </c>
      <c r="N239">
        <v>8919.61</v>
      </c>
      <c r="O239">
        <v>3980.15</v>
      </c>
      <c r="P239">
        <v>2258.86</v>
      </c>
      <c r="Q239">
        <v>716.47</v>
      </c>
      <c r="R239">
        <v>2568.0500000000002</v>
      </c>
      <c r="S239">
        <v>1471.08</v>
      </c>
      <c r="T239">
        <v>70118.350000000006</v>
      </c>
      <c r="U239">
        <v>33383.93</v>
      </c>
      <c r="V239">
        <v>13469.71</v>
      </c>
      <c r="W239">
        <v>12807.03</v>
      </c>
      <c r="X239">
        <v>85714.22</v>
      </c>
      <c r="Y239">
        <v>70675.13</v>
      </c>
    </row>
    <row r="240" spans="1:25" x14ac:dyDescent="0.25">
      <c r="A240" t="s">
        <v>284</v>
      </c>
      <c r="B240" s="1">
        <v>44995</v>
      </c>
      <c r="C240">
        <v>2023</v>
      </c>
      <c r="D240">
        <v>3</v>
      </c>
      <c r="E240" t="s">
        <v>260</v>
      </c>
      <c r="F240" t="s">
        <v>27</v>
      </c>
      <c r="G240" t="s">
        <v>55</v>
      </c>
      <c r="H240" t="s">
        <v>36</v>
      </c>
      <c r="I240" t="s">
        <v>30</v>
      </c>
      <c r="J240">
        <v>97</v>
      </c>
      <c r="K240">
        <v>949.04</v>
      </c>
      <c r="L240">
        <v>92056.65</v>
      </c>
      <c r="M240">
        <v>54228.13</v>
      </c>
      <c r="N240">
        <v>10544.8</v>
      </c>
      <c r="O240">
        <v>6391.37</v>
      </c>
      <c r="P240">
        <v>3920.85</v>
      </c>
      <c r="Q240">
        <v>1293.82</v>
      </c>
      <c r="R240">
        <v>5361.6</v>
      </c>
      <c r="S240">
        <v>788.15</v>
      </c>
      <c r="T240">
        <v>82528.72</v>
      </c>
      <c r="U240">
        <v>37828.519999999997</v>
      </c>
      <c r="V240">
        <v>9527.94</v>
      </c>
      <c r="W240">
        <v>8799.39</v>
      </c>
      <c r="X240">
        <v>85765.07</v>
      </c>
      <c r="Y240">
        <v>88617.49</v>
      </c>
    </row>
    <row r="241" spans="1:25" x14ac:dyDescent="0.25">
      <c r="A241" t="s">
        <v>285</v>
      </c>
      <c r="B241" s="1">
        <v>44995</v>
      </c>
      <c r="C241">
        <v>2023</v>
      </c>
      <c r="D241">
        <v>3</v>
      </c>
      <c r="E241" t="s">
        <v>260</v>
      </c>
      <c r="F241" t="s">
        <v>27</v>
      </c>
      <c r="G241" t="s">
        <v>28</v>
      </c>
      <c r="H241" t="s">
        <v>29</v>
      </c>
      <c r="I241" t="s">
        <v>30</v>
      </c>
      <c r="J241">
        <v>59</v>
      </c>
      <c r="K241">
        <v>1330.93</v>
      </c>
      <c r="L241">
        <v>78524.98</v>
      </c>
      <c r="M241">
        <v>44644.24</v>
      </c>
      <c r="N241">
        <v>6749.05</v>
      </c>
      <c r="O241">
        <v>4470.68</v>
      </c>
      <c r="P241">
        <v>1627.59</v>
      </c>
      <c r="Q241">
        <v>655.03</v>
      </c>
      <c r="R241">
        <v>2658.38</v>
      </c>
      <c r="S241">
        <v>756.23</v>
      </c>
      <c r="T241">
        <v>61561.2</v>
      </c>
      <c r="U241">
        <v>33880.74</v>
      </c>
      <c r="V241">
        <v>16963.78</v>
      </c>
      <c r="W241">
        <v>16732.77</v>
      </c>
      <c r="X241">
        <v>79156.63</v>
      </c>
      <c r="Y241">
        <v>65717.59</v>
      </c>
    </row>
    <row r="242" spans="1:25" x14ac:dyDescent="0.25">
      <c r="A242" t="s">
        <v>286</v>
      </c>
      <c r="B242" s="1">
        <v>44995</v>
      </c>
      <c r="C242">
        <v>2023</v>
      </c>
      <c r="D242">
        <v>3</v>
      </c>
      <c r="E242" t="s">
        <v>260</v>
      </c>
      <c r="F242" t="s">
        <v>27</v>
      </c>
      <c r="G242" t="s">
        <v>55</v>
      </c>
      <c r="H242" t="s">
        <v>36</v>
      </c>
      <c r="I242" t="s">
        <v>65</v>
      </c>
      <c r="J242">
        <v>57</v>
      </c>
      <c r="K242">
        <v>1062.46</v>
      </c>
      <c r="L242">
        <v>60560.26</v>
      </c>
      <c r="M242">
        <v>41071.22</v>
      </c>
      <c r="N242">
        <v>4583.83</v>
      </c>
      <c r="O242">
        <v>4173.07</v>
      </c>
      <c r="P242">
        <v>948.63</v>
      </c>
      <c r="Q242">
        <v>392.7</v>
      </c>
      <c r="R242">
        <v>2285.3200000000002</v>
      </c>
      <c r="S242">
        <v>1476.06</v>
      </c>
      <c r="T242">
        <v>54930.83</v>
      </c>
      <c r="U242">
        <v>19489.04</v>
      </c>
      <c r="V242">
        <v>5629.43</v>
      </c>
      <c r="W242">
        <v>5454.47</v>
      </c>
      <c r="X242">
        <v>58167.7</v>
      </c>
      <c r="Y242">
        <v>53642.76</v>
      </c>
    </row>
    <row r="243" spans="1:25" x14ac:dyDescent="0.25">
      <c r="A243" t="s">
        <v>287</v>
      </c>
      <c r="B243" s="1">
        <v>44995</v>
      </c>
      <c r="C243">
        <v>2023</v>
      </c>
      <c r="D243">
        <v>3</v>
      </c>
      <c r="E243" t="s">
        <v>260</v>
      </c>
      <c r="F243" t="s">
        <v>27</v>
      </c>
      <c r="G243" t="s">
        <v>44</v>
      </c>
      <c r="H243" t="s">
        <v>58</v>
      </c>
      <c r="I243" t="s">
        <v>37</v>
      </c>
      <c r="J243">
        <v>53</v>
      </c>
      <c r="K243">
        <v>1084.17</v>
      </c>
      <c r="L243">
        <v>57461.26</v>
      </c>
      <c r="M243">
        <v>28827.39</v>
      </c>
      <c r="N243">
        <v>4991.25</v>
      </c>
      <c r="O243">
        <v>3308.16</v>
      </c>
      <c r="P243">
        <v>1900.57</v>
      </c>
      <c r="Q243">
        <v>981.38</v>
      </c>
      <c r="R243">
        <v>1673.98</v>
      </c>
      <c r="S243">
        <v>526.32000000000005</v>
      </c>
      <c r="T243">
        <v>42209.05</v>
      </c>
      <c r="U243">
        <v>28633.87</v>
      </c>
      <c r="V243">
        <v>15252.21</v>
      </c>
      <c r="W243">
        <v>14715.07</v>
      </c>
      <c r="X243">
        <v>59580.28</v>
      </c>
      <c r="Y243">
        <v>41992</v>
      </c>
    </row>
    <row r="244" spans="1:25" x14ac:dyDescent="0.25">
      <c r="A244" t="s">
        <v>288</v>
      </c>
      <c r="B244" s="1">
        <v>44995</v>
      </c>
      <c r="C244">
        <v>2023</v>
      </c>
      <c r="D244">
        <v>3</v>
      </c>
      <c r="E244" t="s">
        <v>260</v>
      </c>
      <c r="F244" t="s">
        <v>27</v>
      </c>
      <c r="G244" t="s">
        <v>55</v>
      </c>
      <c r="H244" t="s">
        <v>32</v>
      </c>
      <c r="I244" t="s">
        <v>37</v>
      </c>
      <c r="J244">
        <v>75</v>
      </c>
      <c r="K244">
        <v>1344.39</v>
      </c>
      <c r="L244">
        <v>100829.07</v>
      </c>
      <c r="M244">
        <v>56083.3</v>
      </c>
      <c r="N244">
        <v>12932.77</v>
      </c>
      <c r="O244">
        <v>6900.67</v>
      </c>
      <c r="P244">
        <v>2296.2199999999998</v>
      </c>
      <c r="Q244">
        <v>1741.87</v>
      </c>
      <c r="R244">
        <v>3546.8</v>
      </c>
      <c r="S244">
        <v>2261.59</v>
      </c>
      <c r="T244">
        <v>85763.23</v>
      </c>
      <c r="U244">
        <v>44745.77</v>
      </c>
      <c r="V244">
        <v>15065.85</v>
      </c>
      <c r="W244">
        <v>15032.44</v>
      </c>
      <c r="X244">
        <v>105142.19</v>
      </c>
      <c r="Y244">
        <v>87814.54</v>
      </c>
    </row>
    <row r="245" spans="1:25" x14ac:dyDescent="0.25">
      <c r="A245" t="s">
        <v>289</v>
      </c>
      <c r="B245" s="1">
        <v>44997</v>
      </c>
      <c r="C245">
        <v>2023</v>
      </c>
      <c r="D245">
        <v>3</v>
      </c>
      <c r="E245" t="s">
        <v>260</v>
      </c>
      <c r="F245" t="s">
        <v>27</v>
      </c>
      <c r="G245" t="s">
        <v>28</v>
      </c>
      <c r="H245" t="s">
        <v>58</v>
      </c>
      <c r="I245" t="s">
        <v>50</v>
      </c>
      <c r="J245">
        <v>35</v>
      </c>
      <c r="K245">
        <v>1421.33</v>
      </c>
      <c r="L245">
        <v>49746.48</v>
      </c>
      <c r="M245">
        <v>31982.63</v>
      </c>
      <c r="N245">
        <v>4941.55</v>
      </c>
      <c r="O245">
        <v>1669.47</v>
      </c>
      <c r="P245">
        <v>1618.91</v>
      </c>
      <c r="Q245">
        <v>829.15</v>
      </c>
      <c r="R245">
        <v>2747.05</v>
      </c>
      <c r="S245">
        <v>617.22</v>
      </c>
      <c r="T245">
        <v>44405.99</v>
      </c>
      <c r="U245">
        <v>17763.849999999999</v>
      </c>
      <c r="V245">
        <v>5340.49</v>
      </c>
      <c r="W245">
        <v>4843.6400000000003</v>
      </c>
      <c r="X245">
        <v>50866.38</v>
      </c>
      <c r="Y245">
        <v>41583.25</v>
      </c>
    </row>
    <row r="246" spans="1:25" x14ac:dyDescent="0.25">
      <c r="A246" t="s">
        <v>290</v>
      </c>
      <c r="B246" s="1">
        <v>44998</v>
      </c>
      <c r="C246">
        <v>2023</v>
      </c>
      <c r="D246">
        <v>3</v>
      </c>
      <c r="E246" t="s">
        <v>260</v>
      </c>
      <c r="F246" t="s">
        <v>27</v>
      </c>
      <c r="G246" t="s">
        <v>55</v>
      </c>
      <c r="H246" t="s">
        <v>32</v>
      </c>
      <c r="I246" t="s">
        <v>37</v>
      </c>
      <c r="J246">
        <v>80</v>
      </c>
      <c r="K246">
        <v>867.23</v>
      </c>
      <c r="L246">
        <v>69378.05</v>
      </c>
      <c r="M246">
        <v>39200.93</v>
      </c>
      <c r="N246">
        <v>4934.2700000000004</v>
      </c>
      <c r="O246">
        <v>3418.69</v>
      </c>
      <c r="P246">
        <v>1338.18</v>
      </c>
      <c r="Q246">
        <v>976.27</v>
      </c>
      <c r="R246">
        <v>3948.86</v>
      </c>
      <c r="S246">
        <v>1447.71</v>
      </c>
      <c r="T246">
        <v>55264.91</v>
      </c>
      <c r="U246">
        <v>30177.119999999999</v>
      </c>
      <c r="V246">
        <v>14113.14</v>
      </c>
      <c r="W246">
        <v>13785.7</v>
      </c>
      <c r="X246">
        <v>65566.820000000007</v>
      </c>
      <c r="Y246">
        <v>52331.93</v>
      </c>
    </row>
    <row r="247" spans="1:25" x14ac:dyDescent="0.25">
      <c r="A247" t="s">
        <v>291</v>
      </c>
      <c r="B247" s="1">
        <v>44998</v>
      </c>
      <c r="C247">
        <v>2023</v>
      </c>
      <c r="D247">
        <v>3</v>
      </c>
      <c r="E247" t="s">
        <v>260</v>
      </c>
      <c r="F247" t="s">
        <v>27</v>
      </c>
      <c r="G247" t="s">
        <v>35</v>
      </c>
      <c r="H247" t="s">
        <v>58</v>
      </c>
      <c r="I247" t="s">
        <v>56</v>
      </c>
      <c r="J247">
        <v>26</v>
      </c>
      <c r="K247">
        <v>1148.94</v>
      </c>
      <c r="L247">
        <v>29872.46</v>
      </c>
      <c r="M247">
        <v>18402.95</v>
      </c>
      <c r="N247">
        <v>2851.97</v>
      </c>
      <c r="O247">
        <v>914.59</v>
      </c>
      <c r="P247">
        <v>1076.68</v>
      </c>
      <c r="Q247">
        <v>285.89999999999998</v>
      </c>
      <c r="R247">
        <v>1913.78</v>
      </c>
      <c r="S247">
        <v>278.7</v>
      </c>
      <c r="T247">
        <v>25724.57</v>
      </c>
      <c r="U247">
        <v>11469.51</v>
      </c>
      <c r="V247">
        <v>4147.8900000000003</v>
      </c>
      <c r="W247">
        <v>3812.03</v>
      </c>
      <c r="X247">
        <v>30904.57</v>
      </c>
      <c r="Y247">
        <v>25062.63</v>
      </c>
    </row>
    <row r="248" spans="1:25" x14ac:dyDescent="0.25">
      <c r="A248" t="s">
        <v>292</v>
      </c>
      <c r="B248" s="1">
        <v>44998</v>
      </c>
      <c r="C248">
        <v>2023</v>
      </c>
      <c r="D248">
        <v>3</v>
      </c>
      <c r="E248" t="s">
        <v>260</v>
      </c>
      <c r="F248" t="s">
        <v>27</v>
      </c>
      <c r="G248" t="s">
        <v>35</v>
      </c>
      <c r="H248" t="s">
        <v>29</v>
      </c>
      <c r="I248" t="s">
        <v>56</v>
      </c>
      <c r="J248">
        <v>32</v>
      </c>
      <c r="K248">
        <v>1065.02</v>
      </c>
      <c r="L248">
        <v>34080.730000000003</v>
      </c>
      <c r="M248">
        <v>21387.200000000001</v>
      </c>
      <c r="N248">
        <v>3231.3</v>
      </c>
      <c r="O248">
        <v>1374.89</v>
      </c>
      <c r="P248">
        <v>717.18</v>
      </c>
      <c r="Q248">
        <v>394.98</v>
      </c>
      <c r="R248">
        <v>1716.27</v>
      </c>
      <c r="S248">
        <v>612.71</v>
      </c>
      <c r="T248">
        <v>29434.52</v>
      </c>
      <c r="U248">
        <v>12693.53</v>
      </c>
      <c r="V248">
        <v>4646.21</v>
      </c>
      <c r="W248">
        <v>4557.2700000000004</v>
      </c>
      <c r="X248">
        <v>32049.25</v>
      </c>
      <c r="Y248">
        <v>27841.53</v>
      </c>
    </row>
    <row r="249" spans="1:25" x14ac:dyDescent="0.25">
      <c r="A249" t="s">
        <v>293</v>
      </c>
      <c r="B249" s="1">
        <v>44999</v>
      </c>
      <c r="C249">
        <v>2023</v>
      </c>
      <c r="D249">
        <v>3</v>
      </c>
      <c r="E249" t="s">
        <v>260</v>
      </c>
      <c r="F249" t="s">
        <v>27</v>
      </c>
      <c r="G249" t="s">
        <v>28</v>
      </c>
      <c r="H249" t="s">
        <v>53</v>
      </c>
      <c r="I249" t="s">
        <v>50</v>
      </c>
      <c r="J249">
        <v>41</v>
      </c>
      <c r="K249">
        <v>1373.13</v>
      </c>
      <c r="L249">
        <v>56298.5</v>
      </c>
      <c r="M249">
        <v>30092.6</v>
      </c>
      <c r="N249">
        <v>4276.3900000000003</v>
      </c>
      <c r="O249">
        <v>1446.54</v>
      </c>
      <c r="P249">
        <v>1359.47</v>
      </c>
      <c r="Q249">
        <v>650.99</v>
      </c>
      <c r="R249">
        <v>2455.91</v>
      </c>
      <c r="S249">
        <v>1394.71</v>
      </c>
      <c r="T249">
        <v>41676.61</v>
      </c>
      <c r="U249">
        <v>26205.9</v>
      </c>
      <c r="V249">
        <v>14621.89</v>
      </c>
      <c r="W249">
        <v>13047.06</v>
      </c>
      <c r="X249">
        <v>60661.08</v>
      </c>
      <c r="Y249">
        <v>44233.75</v>
      </c>
    </row>
    <row r="250" spans="1:25" x14ac:dyDescent="0.25">
      <c r="A250" t="s">
        <v>294</v>
      </c>
      <c r="B250" s="1">
        <v>44999</v>
      </c>
      <c r="C250">
        <v>2023</v>
      </c>
      <c r="D250">
        <v>3</v>
      </c>
      <c r="E250" t="s">
        <v>260</v>
      </c>
      <c r="F250" t="s">
        <v>27</v>
      </c>
      <c r="G250" t="s">
        <v>44</v>
      </c>
      <c r="H250" t="s">
        <v>32</v>
      </c>
      <c r="I250" t="s">
        <v>33</v>
      </c>
      <c r="J250">
        <v>58</v>
      </c>
      <c r="K250">
        <v>1786.66</v>
      </c>
      <c r="L250">
        <v>103626.11</v>
      </c>
      <c r="M250">
        <v>53837.48</v>
      </c>
      <c r="N250">
        <v>8173.13</v>
      </c>
      <c r="O250">
        <v>5290.36</v>
      </c>
      <c r="P250">
        <v>3821.63</v>
      </c>
      <c r="Q250">
        <v>766.84</v>
      </c>
      <c r="R250">
        <v>3509.95</v>
      </c>
      <c r="S250">
        <v>1042.79</v>
      </c>
      <c r="T250">
        <v>76442.179999999993</v>
      </c>
      <c r="U250">
        <v>49788.639999999999</v>
      </c>
      <c r="V250">
        <v>27183.93</v>
      </c>
      <c r="W250">
        <v>24351.47</v>
      </c>
      <c r="X250">
        <v>102738.85</v>
      </c>
      <c r="Y250">
        <v>73968.429999999993</v>
      </c>
    </row>
    <row r="251" spans="1:25" x14ac:dyDescent="0.25">
      <c r="A251" t="s">
        <v>295</v>
      </c>
      <c r="B251" s="1">
        <v>44999</v>
      </c>
      <c r="C251">
        <v>2023</v>
      </c>
      <c r="D251">
        <v>3</v>
      </c>
      <c r="E251" t="s">
        <v>260</v>
      </c>
      <c r="F251" t="s">
        <v>27</v>
      </c>
      <c r="G251" t="s">
        <v>55</v>
      </c>
      <c r="H251" t="s">
        <v>32</v>
      </c>
      <c r="I251" t="s">
        <v>45</v>
      </c>
      <c r="J251">
        <v>33</v>
      </c>
      <c r="K251">
        <v>1758.06</v>
      </c>
      <c r="L251">
        <v>58015.92</v>
      </c>
      <c r="M251">
        <v>37383.72</v>
      </c>
      <c r="N251">
        <v>6221.58</v>
      </c>
      <c r="O251">
        <v>2143.15</v>
      </c>
      <c r="P251">
        <v>2390.25</v>
      </c>
      <c r="Q251">
        <v>611.28</v>
      </c>
      <c r="R251">
        <v>2337.88</v>
      </c>
      <c r="S251">
        <v>771.26</v>
      </c>
      <c r="T251">
        <v>51859.12</v>
      </c>
      <c r="U251">
        <v>20632.2</v>
      </c>
      <c r="V251">
        <v>6156.8</v>
      </c>
      <c r="W251">
        <v>5503.62</v>
      </c>
      <c r="X251">
        <v>59004.56</v>
      </c>
      <c r="Y251">
        <v>53236.86</v>
      </c>
    </row>
    <row r="252" spans="1:25" x14ac:dyDescent="0.25">
      <c r="A252" t="s">
        <v>296</v>
      </c>
      <c r="B252" s="1">
        <v>44999</v>
      </c>
      <c r="C252">
        <v>2023</v>
      </c>
      <c r="D252">
        <v>3</v>
      </c>
      <c r="E252" t="s">
        <v>260</v>
      </c>
      <c r="F252" t="s">
        <v>27</v>
      </c>
      <c r="G252" t="s">
        <v>44</v>
      </c>
      <c r="H252" t="s">
        <v>36</v>
      </c>
      <c r="I252" t="s">
        <v>39</v>
      </c>
      <c r="J252">
        <v>36</v>
      </c>
      <c r="K252">
        <v>935.89</v>
      </c>
      <c r="L252">
        <v>33692.17</v>
      </c>
      <c r="M252">
        <v>21575.65</v>
      </c>
      <c r="N252">
        <v>2420.11</v>
      </c>
      <c r="O252">
        <v>2433.94</v>
      </c>
      <c r="P252">
        <v>634.45000000000005</v>
      </c>
      <c r="Q252">
        <v>269.19</v>
      </c>
      <c r="R252">
        <v>1524.16</v>
      </c>
      <c r="S252">
        <v>737.69</v>
      </c>
      <c r="T252">
        <v>29595.19</v>
      </c>
      <c r="U252">
        <v>12116.51</v>
      </c>
      <c r="V252">
        <v>4096.97</v>
      </c>
      <c r="W252">
        <v>3889.49</v>
      </c>
      <c r="X252">
        <v>37495.199999999997</v>
      </c>
      <c r="Y252">
        <v>29687.01</v>
      </c>
    </row>
    <row r="253" spans="1:25" x14ac:dyDescent="0.25">
      <c r="A253" t="s">
        <v>297</v>
      </c>
      <c r="B253" s="1">
        <v>44999</v>
      </c>
      <c r="C253">
        <v>2023</v>
      </c>
      <c r="D253">
        <v>3</v>
      </c>
      <c r="E253" t="s">
        <v>260</v>
      </c>
      <c r="F253" t="s">
        <v>27</v>
      </c>
      <c r="G253" t="s">
        <v>28</v>
      </c>
      <c r="H253" t="s">
        <v>29</v>
      </c>
      <c r="I253" t="s">
        <v>39</v>
      </c>
      <c r="J253">
        <v>41</v>
      </c>
      <c r="K253">
        <v>1400.72</v>
      </c>
      <c r="L253">
        <v>57429.45</v>
      </c>
      <c r="M253">
        <v>29254.92</v>
      </c>
      <c r="N253">
        <v>4227.4799999999996</v>
      </c>
      <c r="O253">
        <v>3121.95</v>
      </c>
      <c r="P253">
        <v>1207.71</v>
      </c>
      <c r="Q253">
        <v>651.96</v>
      </c>
      <c r="R253">
        <v>2581.36</v>
      </c>
      <c r="S253">
        <v>788.14</v>
      </c>
      <c r="T253">
        <v>41833.519999999997</v>
      </c>
      <c r="U253">
        <v>28174.53</v>
      </c>
      <c r="V253">
        <v>15595.94</v>
      </c>
      <c r="W253">
        <v>14462.98</v>
      </c>
      <c r="X253">
        <v>60450.06</v>
      </c>
      <c r="Y253">
        <v>39564.44</v>
      </c>
    </row>
    <row r="254" spans="1:25" x14ac:dyDescent="0.25">
      <c r="A254" t="s">
        <v>298</v>
      </c>
      <c r="B254" s="1">
        <v>44999</v>
      </c>
      <c r="C254">
        <v>2023</v>
      </c>
      <c r="D254">
        <v>3</v>
      </c>
      <c r="E254" t="s">
        <v>260</v>
      </c>
      <c r="F254" t="s">
        <v>27</v>
      </c>
      <c r="G254" t="s">
        <v>44</v>
      </c>
      <c r="H254" t="s">
        <v>29</v>
      </c>
      <c r="I254" t="s">
        <v>39</v>
      </c>
      <c r="J254">
        <v>33</v>
      </c>
      <c r="K254">
        <v>1383.82</v>
      </c>
      <c r="L254">
        <v>45666.13</v>
      </c>
      <c r="M254">
        <v>24102.28</v>
      </c>
      <c r="N254">
        <v>5643.07</v>
      </c>
      <c r="O254">
        <v>1851.45</v>
      </c>
      <c r="P254">
        <v>1879.98</v>
      </c>
      <c r="Q254">
        <v>678.64</v>
      </c>
      <c r="R254">
        <v>1171.8800000000001</v>
      </c>
      <c r="S254">
        <v>407.4</v>
      </c>
      <c r="T254">
        <v>35734.71</v>
      </c>
      <c r="U254">
        <v>21563.85</v>
      </c>
      <c r="V254">
        <v>9931.42</v>
      </c>
      <c r="W254">
        <v>9110.01</v>
      </c>
      <c r="X254">
        <v>44329.19</v>
      </c>
      <c r="Y254">
        <v>35269.370000000003</v>
      </c>
    </row>
    <row r="255" spans="1:25" x14ac:dyDescent="0.25">
      <c r="A255" t="s">
        <v>299</v>
      </c>
      <c r="B255" s="1">
        <v>44999</v>
      </c>
      <c r="C255">
        <v>2023</v>
      </c>
      <c r="D255">
        <v>3</v>
      </c>
      <c r="E255" t="s">
        <v>260</v>
      </c>
      <c r="F255" t="s">
        <v>27</v>
      </c>
      <c r="G255" t="s">
        <v>28</v>
      </c>
      <c r="H255" t="s">
        <v>32</v>
      </c>
      <c r="I255" t="s">
        <v>50</v>
      </c>
      <c r="J255">
        <v>65</v>
      </c>
      <c r="K255">
        <v>1130.3900000000001</v>
      </c>
      <c r="L255">
        <v>73475.520000000004</v>
      </c>
      <c r="M255">
        <v>38497.53</v>
      </c>
      <c r="N255">
        <v>5170.16</v>
      </c>
      <c r="O255">
        <v>4690.1499999999996</v>
      </c>
      <c r="P255">
        <v>2759.11</v>
      </c>
      <c r="Q255">
        <v>412.44</v>
      </c>
      <c r="R255">
        <v>3426.87</v>
      </c>
      <c r="S255">
        <v>1515.66</v>
      </c>
      <c r="T255">
        <v>56471.93</v>
      </c>
      <c r="U255">
        <v>34977.99</v>
      </c>
      <c r="V255">
        <v>17003.59</v>
      </c>
      <c r="W255">
        <v>15215.7</v>
      </c>
      <c r="X255">
        <v>67905.759999999995</v>
      </c>
      <c r="Y255">
        <v>58350.14</v>
      </c>
    </row>
    <row r="256" spans="1:25" x14ac:dyDescent="0.25">
      <c r="A256" t="s">
        <v>300</v>
      </c>
      <c r="B256" s="1">
        <v>45000</v>
      </c>
      <c r="C256">
        <v>2023</v>
      </c>
      <c r="D256">
        <v>3</v>
      </c>
      <c r="E256" t="s">
        <v>260</v>
      </c>
      <c r="F256" t="s">
        <v>27</v>
      </c>
      <c r="G256" t="s">
        <v>55</v>
      </c>
      <c r="H256" t="s">
        <v>32</v>
      </c>
      <c r="I256" t="s">
        <v>33</v>
      </c>
      <c r="J256">
        <v>96</v>
      </c>
      <c r="K256">
        <v>1191.77</v>
      </c>
      <c r="L256">
        <v>114410.24000000001</v>
      </c>
      <c r="M256">
        <v>56989.31</v>
      </c>
      <c r="N256">
        <v>11988.18</v>
      </c>
      <c r="O256">
        <v>4606.05</v>
      </c>
      <c r="P256">
        <v>4569.6099999999997</v>
      </c>
      <c r="Q256">
        <v>1269.27</v>
      </c>
      <c r="R256">
        <v>3631.08</v>
      </c>
      <c r="S256">
        <v>2798.92</v>
      </c>
      <c r="T256">
        <v>85852.42</v>
      </c>
      <c r="U256">
        <v>57420.93</v>
      </c>
      <c r="V256">
        <v>28557.82</v>
      </c>
      <c r="W256">
        <v>27655.81</v>
      </c>
      <c r="X256">
        <v>113986.12</v>
      </c>
      <c r="Y256">
        <v>91156.01</v>
      </c>
    </row>
    <row r="257" spans="1:25" x14ac:dyDescent="0.25">
      <c r="A257" t="s">
        <v>301</v>
      </c>
      <c r="B257" s="1">
        <v>45000</v>
      </c>
      <c r="C257">
        <v>2023</v>
      </c>
      <c r="D257">
        <v>3</v>
      </c>
      <c r="E257" t="s">
        <v>260</v>
      </c>
      <c r="F257" t="s">
        <v>27</v>
      </c>
      <c r="G257" t="s">
        <v>35</v>
      </c>
      <c r="H257" t="s">
        <v>29</v>
      </c>
      <c r="I257" t="s">
        <v>33</v>
      </c>
      <c r="J257">
        <v>60</v>
      </c>
      <c r="K257">
        <v>1070.03</v>
      </c>
      <c r="L257">
        <v>64201.63</v>
      </c>
      <c r="M257">
        <v>34175.68</v>
      </c>
      <c r="N257">
        <v>7815.37</v>
      </c>
      <c r="O257">
        <v>2418.21</v>
      </c>
      <c r="P257">
        <v>2718.33</v>
      </c>
      <c r="Q257">
        <v>1078.0999999999999</v>
      </c>
      <c r="R257">
        <v>2111.3200000000002</v>
      </c>
      <c r="S257">
        <v>1478.35</v>
      </c>
      <c r="T257">
        <v>51795.360000000001</v>
      </c>
      <c r="U257">
        <v>30025.95</v>
      </c>
      <c r="V257">
        <v>12406.27</v>
      </c>
      <c r="W257">
        <v>12536.17</v>
      </c>
      <c r="X257">
        <v>65823.31</v>
      </c>
      <c r="Y257">
        <v>56123.71</v>
      </c>
    </row>
    <row r="258" spans="1:25" x14ac:dyDescent="0.25">
      <c r="A258" t="s">
        <v>302</v>
      </c>
      <c r="B258" s="1">
        <v>45001</v>
      </c>
      <c r="C258">
        <v>2023</v>
      </c>
      <c r="D258">
        <v>3</v>
      </c>
      <c r="E258" t="s">
        <v>260</v>
      </c>
      <c r="F258" t="s">
        <v>27</v>
      </c>
      <c r="G258" t="s">
        <v>28</v>
      </c>
      <c r="H258" t="s">
        <v>36</v>
      </c>
      <c r="I258" t="s">
        <v>45</v>
      </c>
      <c r="J258">
        <v>41</v>
      </c>
      <c r="K258">
        <v>1327.71</v>
      </c>
      <c r="L258">
        <v>54435.98</v>
      </c>
      <c r="M258">
        <v>35199</v>
      </c>
      <c r="N258">
        <v>6024.11</v>
      </c>
      <c r="O258">
        <v>2806.66</v>
      </c>
      <c r="P258">
        <v>1580.85</v>
      </c>
      <c r="Q258">
        <v>908.44</v>
      </c>
      <c r="R258">
        <v>3090.93</v>
      </c>
      <c r="S258">
        <v>820.46</v>
      </c>
      <c r="T258">
        <v>50430.47</v>
      </c>
      <c r="U258">
        <v>19236.97</v>
      </c>
      <c r="V258">
        <v>4005.51</v>
      </c>
      <c r="W258">
        <v>3696.64</v>
      </c>
      <c r="X258">
        <v>56984.26</v>
      </c>
      <c r="Y258">
        <v>53659.66</v>
      </c>
    </row>
    <row r="259" spans="1:25" x14ac:dyDescent="0.25">
      <c r="A259" t="s">
        <v>303</v>
      </c>
      <c r="B259" s="1">
        <v>45001</v>
      </c>
      <c r="C259">
        <v>2023</v>
      </c>
      <c r="D259">
        <v>3</v>
      </c>
      <c r="E259" t="s">
        <v>260</v>
      </c>
      <c r="F259" t="s">
        <v>27</v>
      </c>
      <c r="G259" t="s">
        <v>28</v>
      </c>
      <c r="H259" t="s">
        <v>36</v>
      </c>
      <c r="I259" t="s">
        <v>30</v>
      </c>
      <c r="J259">
        <v>89</v>
      </c>
      <c r="K259">
        <v>1272.19</v>
      </c>
      <c r="L259">
        <v>113225.07</v>
      </c>
      <c r="M259">
        <v>57343.87</v>
      </c>
      <c r="N259">
        <v>10587.23</v>
      </c>
      <c r="O259">
        <v>2879.52</v>
      </c>
      <c r="P259">
        <v>2501.91</v>
      </c>
      <c r="Q259">
        <v>1785.81</v>
      </c>
      <c r="R259">
        <v>5708.22</v>
      </c>
      <c r="S259">
        <v>1379.97</v>
      </c>
      <c r="T259">
        <v>82186.539999999994</v>
      </c>
      <c r="U259">
        <v>55881.2</v>
      </c>
      <c r="V259">
        <v>31038.53</v>
      </c>
      <c r="W259">
        <v>29952.25</v>
      </c>
      <c r="X259">
        <v>117124.01</v>
      </c>
      <c r="Y259">
        <v>82876.539999999994</v>
      </c>
    </row>
    <row r="260" spans="1:25" x14ac:dyDescent="0.25">
      <c r="A260" t="s">
        <v>304</v>
      </c>
      <c r="B260" s="1">
        <v>45001</v>
      </c>
      <c r="C260">
        <v>2023</v>
      </c>
      <c r="D260">
        <v>3</v>
      </c>
      <c r="E260" t="s">
        <v>260</v>
      </c>
      <c r="F260" t="s">
        <v>27</v>
      </c>
      <c r="G260" t="s">
        <v>55</v>
      </c>
      <c r="H260" t="s">
        <v>36</v>
      </c>
      <c r="I260" t="s">
        <v>37</v>
      </c>
      <c r="J260">
        <v>68</v>
      </c>
      <c r="K260">
        <v>931.31</v>
      </c>
      <c r="L260">
        <v>63329.39</v>
      </c>
      <c r="M260">
        <v>30550.16</v>
      </c>
      <c r="N260">
        <v>4999.37</v>
      </c>
      <c r="O260">
        <v>2569.08</v>
      </c>
      <c r="P260">
        <v>2626.99</v>
      </c>
      <c r="Q260">
        <v>1109.01</v>
      </c>
      <c r="R260">
        <v>2801.18</v>
      </c>
      <c r="S260">
        <v>1245.3900000000001</v>
      </c>
      <c r="T260">
        <v>45901.19</v>
      </c>
      <c r="U260">
        <v>32779.230000000003</v>
      </c>
      <c r="V260">
        <v>17428.2</v>
      </c>
      <c r="W260">
        <v>17168.27</v>
      </c>
      <c r="X260">
        <v>64587.98</v>
      </c>
      <c r="Y260">
        <v>45522.38</v>
      </c>
    </row>
    <row r="261" spans="1:25" x14ac:dyDescent="0.25">
      <c r="A261" t="s">
        <v>305</v>
      </c>
      <c r="B261" s="1">
        <v>45001</v>
      </c>
      <c r="C261">
        <v>2023</v>
      </c>
      <c r="D261">
        <v>3</v>
      </c>
      <c r="E261" t="s">
        <v>260</v>
      </c>
      <c r="F261" t="s">
        <v>27</v>
      </c>
      <c r="G261" t="s">
        <v>28</v>
      </c>
      <c r="H261" t="s">
        <v>29</v>
      </c>
      <c r="I261" t="s">
        <v>45</v>
      </c>
      <c r="J261">
        <v>47</v>
      </c>
      <c r="K261">
        <v>969.4</v>
      </c>
      <c r="L261">
        <v>45561.88</v>
      </c>
      <c r="M261">
        <v>25003.57</v>
      </c>
      <c r="N261">
        <v>4622.24</v>
      </c>
      <c r="O261">
        <v>2441.21</v>
      </c>
      <c r="P261">
        <v>853.07</v>
      </c>
      <c r="Q261">
        <v>463.22</v>
      </c>
      <c r="R261">
        <v>1713.4</v>
      </c>
      <c r="S261">
        <v>393.93</v>
      </c>
      <c r="T261">
        <v>35490.629999999997</v>
      </c>
      <c r="U261">
        <v>20558.310000000001</v>
      </c>
      <c r="V261">
        <v>10071.25</v>
      </c>
      <c r="W261">
        <v>9779.2900000000009</v>
      </c>
      <c r="X261">
        <v>45365.79</v>
      </c>
      <c r="Y261">
        <v>33082.82</v>
      </c>
    </row>
    <row r="262" spans="1:25" x14ac:dyDescent="0.25">
      <c r="A262" t="s">
        <v>306</v>
      </c>
      <c r="B262" s="1">
        <v>45001</v>
      </c>
      <c r="C262">
        <v>2023</v>
      </c>
      <c r="D262">
        <v>3</v>
      </c>
      <c r="E262" t="s">
        <v>260</v>
      </c>
      <c r="F262" t="s">
        <v>27</v>
      </c>
      <c r="G262" t="s">
        <v>35</v>
      </c>
      <c r="H262" t="s">
        <v>29</v>
      </c>
      <c r="I262" t="s">
        <v>56</v>
      </c>
      <c r="J262">
        <v>40</v>
      </c>
      <c r="K262">
        <v>951.19</v>
      </c>
      <c r="L262">
        <v>38047.68</v>
      </c>
      <c r="M262">
        <v>21630.19</v>
      </c>
      <c r="N262">
        <v>3434</v>
      </c>
      <c r="O262">
        <v>2779.87</v>
      </c>
      <c r="P262">
        <v>1440.43</v>
      </c>
      <c r="Q262">
        <v>379.03</v>
      </c>
      <c r="R262">
        <v>1201.98</v>
      </c>
      <c r="S262">
        <v>635.23</v>
      </c>
      <c r="T262">
        <v>31500.73</v>
      </c>
      <c r="U262">
        <v>16417.490000000002</v>
      </c>
      <c r="V262">
        <v>6546.95</v>
      </c>
      <c r="W262">
        <v>6474.78</v>
      </c>
      <c r="X262">
        <v>38256.1</v>
      </c>
      <c r="Y262">
        <v>32653.94</v>
      </c>
    </row>
    <row r="263" spans="1:25" x14ac:dyDescent="0.25">
      <c r="A263" t="s">
        <v>307</v>
      </c>
      <c r="B263" s="1">
        <v>45001</v>
      </c>
      <c r="C263">
        <v>2023</v>
      </c>
      <c r="D263">
        <v>3</v>
      </c>
      <c r="E263" t="s">
        <v>260</v>
      </c>
      <c r="F263" t="s">
        <v>27</v>
      </c>
      <c r="G263" t="s">
        <v>44</v>
      </c>
      <c r="H263" t="s">
        <v>36</v>
      </c>
      <c r="I263" t="s">
        <v>37</v>
      </c>
      <c r="J263">
        <v>54</v>
      </c>
      <c r="K263">
        <v>1271</v>
      </c>
      <c r="L263">
        <v>68633.77</v>
      </c>
      <c r="M263">
        <v>33613.5</v>
      </c>
      <c r="N263">
        <v>7744.79</v>
      </c>
      <c r="O263">
        <v>3187.53</v>
      </c>
      <c r="P263">
        <v>3079.32</v>
      </c>
      <c r="Q263">
        <v>707.56</v>
      </c>
      <c r="R263">
        <v>3305.72</v>
      </c>
      <c r="S263">
        <v>1524.86</v>
      </c>
      <c r="T263">
        <v>53163.28</v>
      </c>
      <c r="U263">
        <v>35020.269999999997</v>
      </c>
      <c r="V263">
        <v>15470.49</v>
      </c>
      <c r="W263">
        <v>15456.31</v>
      </c>
      <c r="X263">
        <v>72839.929999999993</v>
      </c>
      <c r="Y263">
        <v>52284.31</v>
      </c>
    </row>
    <row r="264" spans="1:25" x14ac:dyDescent="0.25">
      <c r="A264" t="s">
        <v>308</v>
      </c>
      <c r="B264" s="1">
        <v>45002</v>
      </c>
      <c r="C264">
        <v>2023</v>
      </c>
      <c r="D264">
        <v>3</v>
      </c>
      <c r="E264" t="s">
        <v>260</v>
      </c>
      <c r="F264" t="s">
        <v>27</v>
      </c>
      <c r="G264" t="s">
        <v>44</v>
      </c>
      <c r="H264" t="s">
        <v>36</v>
      </c>
      <c r="I264" t="s">
        <v>33</v>
      </c>
      <c r="J264">
        <v>54</v>
      </c>
      <c r="K264">
        <v>1437.09</v>
      </c>
      <c r="L264">
        <v>77602.75</v>
      </c>
      <c r="M264">
        <v>41305.879999999997</v>
      </c>
      <c r="N264">
        <v>6804.38</v>
      </c>
      <c r="O264">
        <v>3765.29</v>
      </c>
      <c r="P264">
        <v>1372.92</v>
      </c>
      <c r="Q264">
        <v>1172.24</v>
      </c>
      <c r="R264">
        <v>2550.46</v>
      </c>
      <c r="S264">
        <v>898.07</v>
      </c>
      <c r="T264">
        <v>57869.24</v>
      </c>
      <c r="U264">
        <v>36296.870000000003</v>
      </c>
      <c r="V264">
        <v>19733.509999999998</v>
      </c>
      <c r="W264">
        <v>18931.240000000002</v>
      </c>
      <c r="X264">
        <v>77098.320000000007</v>
      </c>
      <c r="Y264">
        <v>54578.02</v>
      </c>
    </row>
    <row r="265" spans="1:25" x14ac:dyDescent="0.25">
      <c r="A265" t="s">
        <v>309</v>
      </c>
      <c r="B265" s="1">
        <v>45002</v>
      </c>
      <c r="C265">
        <v>2023</v>
      </c>
      <c r="D265">
        <v>3</v>
      </c>
      <c r="E265" t="s">
        <v>260</v>
      </c>
      <c r="F265" t="s">
        <v>27</v>
      </c>
      <c r="G265" t="s">
        <v>55</v>
      </c>
      <c r="H265" t="s">
        <v>53</v>
      </c>
      <c r="I265" t="s">
        <v>45</v>
      </c>
      <c r="J265">
        <v>31</v>
      </c>
      <c r="K265">
        <v>1527.2</v>
      </c>
      <c r="L265">
        <v>47343.18</v>
      </c>
      <c r="M265">
        <v>23447.54</v>
      </c>
      <c r="N265">
        <v>5648.09</v>
      </c>
      <c r="O265">
        <v>2030.27</v>
      </c>
      <c r="P265">
        <v>1776.66</v>
      </c>
      <c r="Q265">
        <v>757.18</v>
      </c>
      <c r="R265">
        <v>1303.3900000000001</v>
      </c>
      <c r="S265">
        <v>1104.3900000000001</v>
      </c>
      <c r="T265">
        <v>36067.519999999997</v>
      </c>
      <c r="U265">
        <v>23895.64</v>
      </c>
      <c r="V265">
        <v>11275.66</v>
      </c>
      <c r="W265">
        <v>11001.09</v>
      </c>
      <c r="X265">
        <v>45056.39</v>
      </c>
      <c r="Y265">
        <v>37720.75</v>
      </c>
    </row>
    <row r="266" spans="1:25" x14ac:dyDescent="0.25">
      <c r="A266" t="s">
        <v>310</v>
      </c>
      <c r="B266" s="1">
        <v>45002</v>
      </c>
      <c r="C266">
        <v>2023</v>
      </c>
      <c r="D266">
        <v>3</v>
      </c>
      <c r="E266" t="s">
        <v>260</v>
      </c>
      <c r="F266" t="s">
        <v>27</v>
      </c>
      <c r="G266" t="s">
        <v>35</v>
      </c>
      <c r="H266" t="s">
        <v>58</v>
      </c>
      <c r="I266" t="s">
        <v>30</v>
      </c>
      <c r="J266">
        <v>59</v>
      </c>
      <c r="K266">
        <v>1343.35</v>
      </c>
      <c r="L266">
        <v>79257.55</v>
      </c>
      <c r="M266">
        <v>48531.41</v>
      </c>
      <c r="N266">
        <v>5785.77</v>
      </c>
      <c r="O266">
        <v>5499.84</v>
      </c>
      <c r="P266">
        <v>2674.13</v>
      </c>
      <c r="Q266">
        <v>1207.19</v>
      </c>
      <c r="R266">
        <v>4909.53</v>
      </c>
      <c r="S266">
        <v>1312.84</v>
      </c>
      <c r="T266">
        <v>69920.72</v>
      </c>
      <c r="U266">
        <v>30726.14</v>
      </c>
      <c r="V266">
        <v>9336.83</v>
      </c>
      <c r="W266">
        <v>8637.42</v>
      </c>
      <c r="X266">
        <v>74346.23</v>
      </c>
      <c r="Y266">
        <v>70763.14</v>
      </c>
    </row>
    <row r="267" spans="1:25" x14ac:dyDescent="0.25">
      <c r="A267" t="s">
        <v>311</v>
      </c>
      <c r="B267" s="1">
        <v>45003</v>
      </c>
      <c r="C267">
        <v>2023</v>
      </c>
      <c r="D267">
        <v>3</v>
      </c>
      <c r="E267" t="s">
        <v>260</v>
      </c>
      <c r="F267" t="s">
        <v>27</v>
      </c>
      <c r="G267" t="s">
        <v>35</v>
      </c>
      <c r="H267" t="s">
        <v>53</v>
      </c>
      <c r="I267" t="s">
        <v>45</v>
      </c>
      <c r="J267">
        <v>42</v>
      </c>
      <c r="K267">
        <v>1016.29</v>
      </c>
      <c r="L267">
        <v>42684.14</v>
      </c>
      <c r="M267">
        <v>22936.94</v>
      </c>
      <c r="N267">
        <v>4079.32</v>
      </c>
      <c r="O267">
        <v>1512.97</v>
      </c>
      <c r="P267">
        <v>802.06</v>
      </c>
      <c r="Q267">
        <v>599.54999999999995</v>
      </c>
      <c r="R267">
        <v>2314.21</v>
      </c>
      <c r="S267">
        <v>1056.6400000000001</v>
      </c>
      <c r="T267">
        <v>33301.699999999997</v>
      </c>
      <c r="U267">
        <v>19747.2</v>
      </c>
      <c r="V267">
        <v>9382.43</v>
      </c>
      <c r="W267">
        <v>9538.2800000000007</v>
      </c>
      <c r="X267">
        <v>41281.1</v>
      </c>
      <c r="Y267">
        <v>31091.79</v>
      </c>
    </row>
    <row r="268" spans="1:25" x14ac:dyDescent="0.25">
      <c r="A268" t="s">
        <v>312</v>
      </c>
      <c r="B268" s="1">
        <v>45003</v>
      </c>
      <c r="C268">
        <v>2023</v>
      </c>
      <c r="D268">
        <v>3</v>
      </c>
      <c r="E268" t="s">
        <v>260</v>
      </c>
      <c r="F268" t="s">
        <v>27</v>
      </c>
      <c r="G268" t="s">
        <v>55</v>
      </c>
      <c r="H268" t="s">
        <v>29</v>
      </c>
      <c r="I268" t="s">
        <v>30</v>
      </c>
      <c r="J268">
        <v>88</v>
      </c>
      <c r="K268">
        <v>1154.97</v>
      </c>
      <c r="L268">
        <v>101637.34</v>
      </c>
      <c r="M268">
        <v>64561.99</v>
      </c>
      <c r="N268">
        <v>9241.9599999999991</v>
      </c>
      <c r="O268">
        <v>7331.26</v>
      </c>
      <c r="P268">
        <v>3001.78</v>
      </c>
      <c r="Q268">
        <v>1056.4000000000001</v>
      </c>
      <c r="R268">
        <v>4892.91</v>
      </c>
      <c r="S268">
        <v>1738</v>
      </c>
      <c r="T268">
        <v>91824.29</v>
      </c>
      <c r="U268">
        <v>37075.35</v>
      </c>
      <c r="V268">
        <v>9813.0499999999993</v>
      </c>
      <c r="W268">
        <v>9081.67</v>
      </c>
      <c r="X268">
        <v>101607.26</v>
      </c>
      <c r="Y268">
        <v>100684.41</v>
      </c>
    </row>
    <row r="269" spans="1:25" x14ac:dyDescent="0.25">
      <c r="A269" t="s">
        <v>313</v>
      </c>
      <c r="B269" s="1">
        <v>45004</v>
      </c>
      <c r="C269">
        <v>2023</v>
      </c>
      <c r="D269">
        <v>3</v>
      </c>
      <c r="E269" t="s">
        <v>260</v>
      </c>
      <c r="F269" t="s">
        <v>27</v>
      </c>
      <c r="G269" t="s">
        <v>55</v>
      </c>
      <c r="H269" t="s">
        <v>36</v>
      </c>
      <c r="I269" t="s">
        <v>45</v>
      </c>
      <c r="J269">
        <v>51</v>
      </c>
      <c r="K269">
        <v>930.71</v>
      </c>
      <c r="L269">
        <v>47466.33</v>
      </c>
      <c r="M269">
        <v>28909.95</v>
      </c>
      <c r="N269">
        <v>4874.74</v>
      </c>
      <c r="O269">
        <v>2752.1</v>
      </c>
      <c r="P269">
        <v>1617.85</v>
      </c>
      <c r="Q269">
        <v>237.4</v>
      </c>
      <c r="R269">
        <v>2923.62</v>
      </c>
      <c r="S269">
        <v>534.53</v>
      </c>
      <c r="T269">
        <v>41850.19</v>
      </c>
      <c r="U269">
        <v>18556.38</v>
      </c>
      <c r="V269">
        <v>5616.14</v>
      </c>
      <c r="W269">
        <v>5613.99</v>
      </c>
      <c r="X269">
        <v>44268.92</v>
      </c>
      <c r="Y269">
        <v>42739.58</v>
      </c>
    </row>
    <row r="270" spans="1:25" x14ac:dyDescent="0.25">
      <c r="A270" t="s">
        <v>314</v>
      </c>
      <c r="B270" s="1">
        <v>45004</v>
      </c>
      <c r="C270">
        <v>2023</v>
      </c>
      <c r="D270">
        <v>3</v>
      </c>
      <c r="E270" t="s">
        <v>260</v>
      </c>
      <c r="F270" t="s">
        <v>27</v>
      </c>
      <c r="G270" t="s">
        <v>55</v>
      </c>
      <c r="H270" t="s">
        <v>29</v>
      </c>
      <c r="I270" t="s">
        <v>39</v>
      </c>
      <c r="J270">
        <v>29</v>
      </c>
      <c r="K270">
        <v>1759.1</v>
      </c>
      <c r="L270">
        <v>51013.87</v>
      </c>
      <c r="M270">
        <v>26443.599999999999</v>
      </c>
      <c r="N270">
        <v>4379.55</v>
      </c>
      <c r="O270">
        <v>1728.59</v>
      </c>
      <c r="P270">
        <v>1590.23</v>
      </c>
      <c r="Q270">
        <v>859.86</v>
      </c>
      <c r="R270">
        <v>1441.8</v>
      </c>
      <c r="S270">
        <v>1254.54</v>
      </c>
      <c r="T270">
        <v>37698.17</v>
      </c>
      <c r="U270">
        <v>24570.27</v>
      </c>
      <c r="V270">
        <v>13315.7</v>
      </c>
      <c r="W270">
        <v>12455.43</v>
      </c>
      <c r="X270">
        <v>55762.52</v>
      </c>
      <c r="Y270">
        <v>40833.279999999999</v>
      </c>
    </row>
    <row r="271" spans="1:25" x14ac:dyDescent="0.25">
      <c r="A271" t="s">
        <v>315</v>
      </c>
      <c r="B271" s="1">
        <v>45004</v>
      </c>
      <c r="C271">
        <v>2023</v>
      </c>
      <c r="D271">
        <v>3</v>
      </c>
      <c r="E271" t="s">
        <v>260</v>
      </c>
      <c r="F271" t="s">
        <v>27</v>
      </c>
      <c r="G271" t="s">
        <v>55</v>
      </c>
      <c r="H271" t="s">
        <v>36</v>
      </c>
      <c r="I271" t="s">
        <v>33</v>
      </c>
      <c r="J271">
        <v>93</v>
      </c>
      <c r="K271">
        <v>987.45</v>
      </c>
      <c r="L271">
        <v>91833.05</v>
      </c>
      <c r="M271">
        <v>44552.480000000003</v>
      </c>
      <c r="N271">
        <v>10131.16</v>
      </c>
      <c r="O271">
        <v>3730.9</v>
      </c>
      <c r="P271">
        <v>2232.06</v>
      </c>
      <c r="Q271">
        <v>1046.67</v>
      </c>
      <c r="R271">
        <v>3868.2</v>
      </c>
      <c r="S271">
        <v>1469.31</v>
      </c>
      <c r="T271">
        <v>67030.759999999995</v>
      </c>
      <c r="U271">
        <v>47280.57</v>
      </c>
      <c r="V271">
        <v>24802.28</v>
      </c>
      <c r="W271">
        <v>23692.65</v>
      </c>
      <c r="X271">
        <v>95202.96</v>
      </c>
      <c r="Y271">
        <v>65559.149999999994</v>
      </c>
    </row>
    <row r="272" spans="1:25" x14ac:dyDescent="0.25">
      <c r="A272" t="s">
        <v>316</v>
      </c>
      <c r="B272" s="1">
        <v>45004</v>
      </c>
      <c r="C272">
        <v>2023</v>
      </c>
      <c r="D272">
        <v>3</v>
      </c>
      <c r="E272" t="s">
        <v>260</v>
      </c>
      <c r="F272" t="s">
        <v>27</v>
      </c>
      <c r="G272" t="s">
        <v>28</v>
      </c>
      <c r="H272" t="s">
        <v>32</v>
      </c>
      <c r="I272" t="s">
        <v>50</v>
      </c>
      <c r="J272">
        <v>38</v>
      </c>
      <c r="K272">
        <v>1525.86</v>
      </c>
      <c r="L272">
        <v>57982.79</v>
      </c>
      <c r="M272">
        <v>37503.74</v>
      </c>
      <c r="N272">
        <v>5748.57</v>
      </c>
      <c r="O272">
        <v>3796.79</v>
      </c>
      <c r="P272">
        <v>2144.42</v>
      </c>
      <c r="Q272">
        <v>841.89</v>
      </c>
      <c r="R272">
        <v>3568.49</v>
      </c>
      <c r="S272">
        <v>802.47</v>
      </c>
      <c r="T272">
        <v>54406.38</v>
      </c>
      <c r="U272">
        <v>20479.05</v>
      </c>
      <c r="V272">
        <v>3576.42</v>
      </c>
      <c r="W272">
        <v>3433.46</v>
      </c>
      <c r="X272">
        <v>55652.81</v>
      </c>
      <c r="Y272">
        <v>54305.79</v>
      </c>
    </row>
    <row r="273" spans="1:25" x14ac:dyDescent="0.25">
      <c r="A273" t="s">
        <v>317</v>
      </c>
      <c r="B273" s="1">
        <v>45005</v>
      </c>
      <c r="C273">
        <v>2023</v>
      </c>
      <c r="D273">
        <v>3</v>
      </c>
      <c r="E273" t="s">
        <v>260</v>
      </c>
      <c r="F273" t="s">
        <v>27</v>
      </c>
      <c r="G273" t="s">
        <v>28</v>
      </c>
      <c r="H273" t="s">
        <v>32</v>
      </c>
      <c r="I273" t="s">
        <v>45</v>
      </c>
      <c r="J273">
        <v>37</v>
      </c>
      <c r="K273">
        <v>1576.14</v>
      </c>
      <c r="L273">
        <v>58317.26</v>
      </c>
      <c r="M273">
        <v>31454.68</v>
      </c>
      <c r="N273">
        <v>7098.13</v>
      </c>
      <c r="O273">
        <v>1787.55</v>
      </c>
      <c r="P273">
        <v>2487.0500000000002</v>
      </c>
      <c r="Q273">
        <v>1027.07</v>
      </c>
      <c r="R273">
        <v>1540.89</v>
      </c>
      <c r="S273">
        <v>1440</v>
      </c>
      <c r="T273">
        <v>46835.360000000001</v>
      </c>
      <c r="U273">
        <v>26862.58</v>
      </c>
      <c r="V273">
        <v>11481.9</v>
      </c>
      <c r="W273">
        <v>10413.459999999999</v>
      </c>
      <c r="X273">
        <v>63445.89</v>
      </c>
      <c r="Y273">
        <v>44786.64</v>
      </c>
    </row>
    <row r="274" spans="1:25" x14ac:dyDescent="0.25">
      <c r="A274" t="s">
        <v>318</v>
      </c>
      <c r="B274" s="1">
        <v>45005</v>
      </c>
      <c r="C274">
        <v>2023</v>
      </c>
      <c r="D274">
        <v>3</v>
      </c>
      <c r="E274" t="s">
        <v>260</v>
      </c>
      <c r="F274" t="s">
        <v>27</v>
      </c>
      <c r="G274" t="s">
        <v>55</v>
      </c>
      <c r="H274" t="s">
        <v>32</v>
      </c>
      <c r="I274" t="s">
        <v>33</v>
      </c>
      <c r="J274">
        <v>122</v>
      </c>
      <c r="K274">
        <v>1028.3399999999999</v>
      </c>
      <c r="L274">
        <v>125457.88</v>
      </c>
      <c r="M274">
        <v>84524.94</v>
      </c>
      <c r="N274">
        <v>11218.67</v>
      </c>
      <c r="O274">
        <v>8596.56</v>
      </c>
      <c r="P274">
        <v>1940.34</v>
      </c>
      <c r="Q274">
        <v>952.95</v>
      </c>
      <c r="R274">
        <v>5962.37</v>
      </c>
      <c r="S274">
        <v>2705.94</v>
      </c>
      <c r="T274">
        <v>115901.78</v>
      </c>
      <c r="U274">
        <v>40932.94</v>
      </c>
      <c r="V274">
        <v>9556.11</v>
      </c>
      <c r="W274">
        <v>8623.5400000000009</v>
      </c>
      <c r="X274">
        <v>122362.55</v>
      </c>
      <c r="Y274">
        <v>108144.87</v>
      </c>
    </row>
    <row r="275" spans="1:25" x14ac:dyDescent="0.25">
      <c r="A275" t="s">
        <v>319</v>
      </c>
      <c r="B275" s="1">
        <v>45005</v>
      </c>
      <c r="C275">
        <v>2023</v>
      </c>
      <c r="D275">
        <v>3</v>
      </c>
      <c r="E275" t="s">
        <v>260</v>
      </c>
      <c r="F275" t="s">
        <v>27</v>
      </c>
      <c r="G275" t="s">
        <v>28</v>
      </c>
      <c r="H275" t="s">
        <v>36</v>
      </c>
      <c r="I275" t="s">
        <v>39</v>
      </c>
      <c r="J275">
        <v>38</v>
      </c>
      <c r="K275">
        <v>1165.51</v>
      </c>
      <c r="L275">
        <v>44289.31</v>
      </c>
      <c r="M275">
        <v>22213.71</v>
      </c>
      <c r="N275">
        <v>5674.33</v>
      </c>
      <c r="O275">
        <v>3154.16</v>
      </c>
      <c r="P275">
        <v>988.95</v>
      </c>
      <c r="Q275">
        <v>793.22</v>
      </c>
      <c r="R275">
        <v>2736.53</v>
      </c>
      <c r="S275">
        <v>425.91</v>
      </c>
      <c r="T275">
        <v>35986.81</v>
      </c>
      <c r="U275">
        <v>22075.61</v>
      </c>
      <c r="V275">
        <v>8302.5</v>
      </c>
      <c r="W275">
        <v>7845.17</v>
      </c>
      <c r="X275">
        <v>44111.41</v>
      </c>
      <c r="Y275">
        <v>34804.559999999998</v>
      </c>
    </row>
    <row r="276" spans="1:25" x14ac:dyDescent="0.25">
      <c r="A276" t="s">
        <v>320</v>
      </c>
      <c r="B276" s="1">
        <v>45006</v>
      </c>
      <c r="C276">
        <v>2023</v>
      </c>
      <c r="D276">
        <v>3</v>
      </c>
      <c r="E276" t="s">
        <v>260</v>
      </c>
      <c r="F276" t="s">
        <v>27</v>
      </c>
      <c r="G276" t="s">
        <v>44</v>
      </c>
      <c r="H276" t="s">
        <v>32</v>
      </c>
      <c r="I276" t="s">
        <v>45</v>
      </c>
      <c r="J276">
        <v>38</v>
      </c>
      <c r="K276">
        <v>1329.01</v>
      </c>
      <c r="L276">
        <v>50502.29</v>
      </c>
      <c r="M276">
        <v>25558.240000000002</v>
      </c>
      <c r="N276">
        <v>3619.27</v>
      </c>
      <c r="O276">
        <v>1273.5</v>
      </c>
      <c r="P276">
        <v>1510.87</v>
      </c>
      <c r="Q276">
        <v>887.58</v>
      </c>
      <c r="R276">
        <v>2957.56</v>
      </c>
      <c r="S276">
        <v>516.9</v>
      </c>
      <c r="T276">
        <v>36323.919999999998</v>
      </c>
      <c r="U276">
        <v>24944.05</v>
      </c>
      <c r="V276">
        <v>14178.37</v>
      </c>
      <c r="W276">
        <v>14309.73</v>
      </c>
      <c r="X276">
        <v>50646.32</v>
      </c>
      <c r="Y276">
        <v>39552.35</v>
      </c>
    </row>
    <row r="277" spans="1:25" x14ac:dyDescent="0.25">
      <c r="A277" t="s">
        <v>321</v>
      </c>
      <c r="B277" s="1">
        <v>45007</v>
      </c>
      <c r="C277">
        <v>2023</v>
      </c>
      <c r="D277">
        <v>3</v>
      </c>
      <c r="E277" t="s">
        <v>260</v>
      </c>
      <c r="F277" t="s">
        <v>27</v>
      </c>
      <c r="G277" t="s">
        <v>55</v>
      </c>
      <c r="H277" t="s">
        <v>32</v>
      </c>
      <c r="I277" t="s">
        <v>33</v>
      </c>
      <c r="J277">
        <v>87</v>
      </c>
      <c r="K277">
        <v>1322.92</v>
      </c>
      <c r="L277">
        <v>115093.75</v>
      </c>
      <c r="M277">
        <v>57406.879999999997</v>
      </c>
      <c r="N277">
        <v>9801.7999999999993</v>
      </c>
      <c r="O277">
        <v>3486.05</v>
      </c>
      <c r="P277">
        <v>2174.44</v>
      </c>
      <c r="Q277">
        <v>1691.31</v>
      </c>
      <c r="R277">
        <v>7271.78</v>
      </c>
      <c r="S277">
        <v>2144.08</v>
      </c>
      <c r="T277">
        <v>83976.35</v>
      </c>
      <c r="U277">
        <v>57686.879999999997</v>
      </c>
      <c r="V277">
        <v>31117.41</v>
      </c>
      <c r="W277">
        <v>27707.27</v>
      </c>
      <c r="X277">
        <v>110652.9</v>
      </c>
      <c r="Y277">
        <v>91436.02</v>
      </c>
    </row>
    <row r="278" spans="1:25" x14ac:dyDescent="0.25">
      <c r="A278" t="s">
        <v>322</v>
      </c>
      <c r="B278" s="1">
        <v>45008</v>
      </c>
      <c r="C278">
        <v>2023</v>
      </c>
      <c r="D278">
        <v>3</v>
      </c>
      <c r="E278" t="s">
        <v>260</v>
      </c>
      <c r="F278" t="s">
        <v>27</v>
      </c>
      <c r="G278" t="s">
        <v>28</v>
      </c>
      <c r="H278" t="s">
        <v>53</v>
      </c>
      <c r="I278" t="s">
        <v>30</v>
      </c>
      <c r="J278">
        <v>66</v>
      </c>
      <c r="K278">
        <v>1607.6</v>
      </c>
      <c r="L278">
        <v>106101.61</v>
      </c>
      <c r="M278">
        <v>69621.259999999995</v>
      </c>
      <c r="N278">
        <v>8409.18</v>
      </c>
      <c r="O278">
        <v>7056.91</v>
      </c>
      <c r="P278">
        <v>4462.34</v>
      </c>
      <c r="Q278">
        <v>619.88</v>
      </c>
      <c r="R278">
        <v>3952.58</v>
      </c>
      <c r="S278">
        <v>1698.17</v>
      </c>
      <c r="T278">
        <v>95820.32</v>
      </c>
      <c r="U278">
        <v>36480.35</v>
      </c>
      <c r="V278">
        <v>10281.299999999999</v>
      </c>
      <c r="W278">
        <v>9920.27</v>
      </c>
      <c r="X278">
        <v>115945.19</v>
      </c>
      <c r="Y278">
        <v>101770.48</v>
      </c>
    </row>
    <row r="279" spans="1:25" x14ac:dyDescent="0.25">
      <c r="A279" t="s">
        <v>323</v>
      </c>
      <c r="B279" s="1">
        <v>45008</v>
      </c>
      <c r="C279">
        <v>2023</v>
      </c>
      <c r="D279">
        <v>3</v>
      </c>
      <c r="E279" t="s">
        <v>260</v>
      </c>
      <c r="F279" t="s">
        <v>27</v>
      </c>
      <c r="G279" t="s">
        <v>55</v>
      </c>
      <c r="H279" t="s">
        <v>29</v>
      </c>
      <c r="I279" t="s">
        <v>56</v>
      </c>
      <c r="J279">
        <v>44</v>
      </c>
      <c r="K279">
        <v>1151.0899999999999</v>
      </c>
      <c r="L279">
        <v>50647.8</v>
      </c>
      <c r="M279">
        <v>31162.34</v>
      </c>
      <c r="N279">
        <v>4232.58</v>
      </c>
      <c r="O279">
        <v>3311.51</v>
      </c>
      <c r="P279">
        <v>2071.67</v>
      </c>
      <c r="Q279">
        <v>437.12</v>
      </c>
      <c r="R279">
        <v>2992.12</v>
      </c>
      <c r="S279">
        <v>717.48</v>
      </c>
      <c r="T279">
        <v>44924.81</v>
      </c>
      <c r="U279">
        <v>19485.46</v>
      </c>
      <c r="V279">
        <v>5722.99</v>
      </c>
      <c r="W279">
        <v>5198.32</v>
      </c>
      <c r="X279">
        <v>49055.91</v>
      </c>
      <c r="Y279">
        <v>48213.69</v>
      </c>
    </row>
    <row r="280" spans="1:25" x14ac:dyDescent="0.25">
      <c r="A280" t="s">
        <v>324</v>
      </c>
      <c r="B280" s="1">
        <v>45008</v>
      </c>
      <c r="C280">
        <v>2023</v>
      </c>
      <c r="D280">
        <v>3</v>
      </c>
      <c r="E280" t="s">
        <v>260</v>
      </c>
      <c r="F280" t="s">
        <v>27</v>
      </c>
      <c r="G280" t="s">
        <v>55</v>
      </c>
      <c r="H280" t="s">
        <v>58</v>
      </c>
      <c r="I280" t="s">
        <v>39</v>
      </c>
      <c r="J280">
        <v>44</v>
      </c>
      <c r="K280">
        <v>841.16</v>
      </c>
      <c r="L280">
        <v>37011.160000000003</v>
      </c>
      <c r="M280">
        <v>21413.84</v>
      </c>
      <c r="N280">
        <v>3825.11</v>
      </c>
      <c r="O280">
        <v>2395.2399999999998</v>
      </c>
      <c r="P280">
        <v>1061.76</v>
      </c>
      <c r="Q280">
        <v>412.51</v>
      </c>
      <c r="R280">
        <v>1605.94</v>
      </c>
      <c r="S280">
        <v>738.62</v>
      </c>
      <c r="T280">
        <v>31453.02</v>
      </c>
      <c r="U280">
        <v>15597.31</v>
      </c>
      <c r="V280">
        <v>5558.14</v>
      </c>
      <c r="W280">
        <v>4973.1099999999997</v>
      </c>
      <c r="X280">
        <v>40952.080000000002</v>
      </c>
      <c r="Y280">
        <v>34429.94</v>
      </c>
    </row>
    <row r="281" spans="1:25" x14ac:dyDescent="0.25">
      <c r="A281" t="s">
        <v>325</v>
      </c>
      <c r="B281" s="1">
        <v>45008</v>
      </c>
      <c r="C281">
        <v>2023</v>
      </c>
      <c r="D281">
        <v>3</v>
      </c>
      <c r="E281" t="s">
        <v>260</v>
      </c>
      <c r="F281" t="s">
        <v>27</v>
      </c>
      <c r="G281" t="s">
        <v>28</v>
      </c>
      <c r="H281" t="s">
        <v>36</v>
      </c>
      <c r="I281" t="s">
        <v>50</v>
      </c>
      <c r="J281">
        <v>64</v>
      </c>
      <c r="K281">
        <v>961.51</v>
      </c>
      <c r="L281">
        <v>61536.43</v>
      </c>
      <c r="M281">
        <v>39403.370000000003</v>
      </c>
      <c r="N281">
        <v>4464.7299999999996</v>
      </c>
      <c r="O281">
        <v>1575.62</v>
      </c>
      <c r="P281">
        <v>2334.9</v>
      </c>
      <c r="Q281">
        <v>884.74</v>
      </c>
      <c r="R281">
        <v>3143.62</v>
      </c>
      <c r="S281">
        <v>806.61</v>
      </c>
      <c r="T281">
        <v>52613.57</v>
      </c>
      <c r="U281">
        <v>22133.06</v>
      </c>
      <c r="V281">
        <v>8922.85</v>
      </c>
      <c r="W281">
        <v>8900.06</v>
      </c>
      <c r="X281">
        <v>61643.11</v>
      </c>
      <c r="Y281">
        <v>51358.38</v>
      </c>
    </row>
    <row r="282" spans="1:25" x14ac:dyDescent="0.25">
      <c r="A282" t="s">
        <v>326</v>
      </c>
      <c r="B282" s="1">
        <v>45009</v>
      </c>
      <c r="C282">
        <v>2023</v>
      </c>
      <c r="D282">
        <v>3</v>
      </c>
      <c r="E282" t="s">
        <v>260</v>
      </c>
      <c r="F282" t="s">
        <v>27</v>
      </c>
      <c r="G282" t="s">
        <v>35</v>
      </c>
      <c r="H282" t="s">
        <v>32</v>
      </c>
      <c r="I282" t="s">
        <v>65</v>
      </c>
      <c r="J282">
        <v>47</v>
      </c>
      <c r="K282">
        <v>1054.04</v>
      </c>
      <c r="L282">
        <v>49539.81</v>
      </c>
      <c r="M282">
        <v>32411.599999999999</v>
      </c>
      <c r="N282">
        <v>4142.4799999999996</v>
      </c>
      <c r="O282">
        <v>1865.43</v>
      </c>
      <c r="P282">
        <v>1967.62</v>
      </c>
      <c r="Q282">
        <v>531.24</v>
      </c>
      <c r="R282">
        <v>2950.46</v>
      </c>
      <c r="S282">
        <v>993.11</v>
      </c>
      <c r="T282">
        <v>44861.94</v>
      </c>
      <c r="U282">
        <v>17128.21</v>
      </c>
      <c r="V282">
        <v>4677.87</v>
      </c>
      <c r="W282">
        <v>4287.13</v>
      </c>
      <c r="X282">
        <v>52627.01</v>
      </c>
      <c r="Y282">
        <v>45022.28</v>
      </c>
    </row>
    <row r="283" spans="1:25" x14ac:dyDescent="0.25">
      <c r="A283" t="s">
        <v>327</v>
      </c>
      <c r="B283" s="1">
        <v>45009</v>
      </c>
      <c r="C283">
        <v>2023</v>
      </c>
      <c r="D283">
        <v>3</v>
      </c>
      <c r="E283" t="s">
        <v>260</v>
      </c>
      <c r="F283" t="s">
        <v>27</v>
      </c>
      <c r="G283" t="s">
        <v>28</v>
      </c>
      <c r="H283" t="s">
        <v>32</v>
      </c>
      <c r="I283" t="s">
        <v>50</v>
      </c>
      <c r="J283">
        <v>30</v>
      </c>
      <c r="K283">
        <v>1733.27</v>
      </c>
      <c r="L283">
        <v>51998</v>
      </c>
      <c r="M283">
        <v>28078.63</v>
      </c>
      <c r="N283">
        <v>5384.38</v>
      </c>
      <c r="O283">
        <v>1821.14</v>
      </c>
      <c r="P283">
        <v>977.18</v>
      </c>
      <c r="Q283">
        <v>586.37</v>
      </c>
      <c r="R283">
        <v>2077.79</v>
      </c>
      <c r="S283">
        <v>558.54999999999995</v>
      </c>
      <c r="T283">
        <v>39484.04</v>
      </c>
      <c r="U283">
        <v>23919.37</v>
      </c>
      <c r="V283">
        <v>12513.96</v>
      </c>
      <c r="W283">
        <v>11109.61</v>
      </c>
      <c r="X283">
        <v>52970.63</v>
      </c>
      <c r="Y283">
        <v>39348.839999999997</v>
      </c>
    </row>
    <row r="284" spans="1:25" x14ac:dyDescent="0.25">
      <c r="A284" t="s">
        <v>328</v>
      </c>
      <c r="B284" s="1">
        <v>45009</v>
      </c>
      <c r="C284">
        <v>2023</v>
      </c>
      <c r="D284">
        <v>3</v>
      </c>
      <c r="E284" t="s">
        <v>260</v>
      </c>
      <c r="F284" t="s">
        <v>27</v>
      </c>
      <c r="G284" t="s">
        <v>55</v>
      </c>
      <c r="H284" t="s">
        <v>53</v>
      </c>
      <c r="I284" t="s">
        <v>50</v>
      </c>
      <c r="J284">
        <v>31</v>
      </c>
      <c r="K284">
        <v>1476.84</v>
      </c>
      <c r="L284">
        <v>45781.94</v>
      </c>
      <c r="M284">
        <v>25229.9</v>
      </c>
      <c r="N284">
        <v>3911.21</v>
      </c>
      <c r="O284">
        <v>3423.75</v>
      </c>
      <c r="P284">
        <v>1959.96</v>
      </c>
      <c r="Q284">
        <v>487.23</v>
      </c>
      <c r="R284">
        <v>1285.8699999999999</v>
      </c>
      <c r="S284">
        <v>893.8</v>
      </c>
      <c r="T284">
        <v>37191.72</v>
      </c>
      <c r="U284">
        <v>20552.04</v>
      </c>
      <c r="V284">
        <v>8590.2199999999993</v>
      </c>
      <c r="W284">
        <v>8086.97</v>
      </c>
      <c r="X284">
        <v>50085.26</v>
      </c>
      <c r="Y284">
        <v>38721.21</v>
      </c>
    </row>
    <row r="285" spans="1:25" x14ac:dyDescent="0.25">
      <c r="A285" t="s">
        <v>329</v>
      </c>
      <c r="B285" s="1">
        <v>45009</v>
      </c>
      <c r="C285">
        <v>2023</v>
      </c>
      <c r="D285">
        <v>3</v>
      </c>
      <c r="E285" t="s">
        <v>260</v>
      </c>
      <c r="F285" t="s">
        <v>27</v>
      </c>
      <c r="G285" t="s">
        <v>44</v>
      </c>
      <c r="H285" t="s">
        <v>36</v>
      </c>
      <c r="I285" t="s">
        <v>65</v>
      </c>
      <c r="J285">
        <v>56</v>
      </c>
      <c r="K285">
        <v>981.76</v>
      </c>
      <c r="L285">
        <v>54978.43</v>
      </c>
      <c r="M285">
        <v>33424.07</v>
      </c>
      <c r="N285">
        <v>6225.59</v>
      </c>
      <c r="O285">
        <v>4002.03</v>
      </c>
      <c r="P285">
        <v>2003.56</v>
      </c>
      <c r="Q285">
        <v>439.33</v>
      </c>
      <c r="R285">
        <v>2326.9299999999998</v>
      </c>
      <c r="S285">
        <v>1071.81</v>
      </c>
      <c r="T285">
        <v>49493.32</v>
      </c>
      <c r="U285">
        <v>21554.36</v>
      </c>
      <c r="V285">
        <v>5485.11</v>
      </c>
      <c r="W285">
        <v>5559.21</v>
      </c>
      <c r="X285">
        <v>55668.32</v>
      </c>
      <c r="Y285">
        <v>50602.879999999997</v>
      </c>
    </row>
    <row r="286" spans="1:25" x14ac:dyDescent="0.25">
      <c r="A286" t="s">
        <v>330</v>
      </c>
      <c r="B286" s="1">
        <v>45009</v>
      </c>
      <c r="C286">
        <v>2023</v>
      </c>
      <c r="D286">
        <v>3</v>
      </c>
      <c r="E286" t="s">
        <v>260</v>
      </c>
      <c r="F286" t="s">
        <v>27</v>
      </c>
      <c r="G286" t="s">
        <v>55</v>
      </c>
      <c r="H286" t="s">
        <v>36</v>
      </c>
      <c r="I286" t="s">
        <v>33</v>
      </c>
      <c r="J286">
        <v>54</v>
      </c>
      <c r="K286">
        <v>1712.95</v>
      </c>
      <c r="L286">
        <v>92499.25</v>
      </c>
      <c r="M286">
        <v>48083.83</v>
      </c>
      <c r="N286">
        <v>11417.41</v>
      </c>
      <c r="O286">
        <v>5426.28</v>
      </c>
      <c r="P286">
        <v>3047.44</v>
      </c>
      <c r="Q286">
        <v>835.7</v>
      </c>
      <c r="R286">
        <v>3513.96</v>
      </c>
      <c r="S286">
        <v>1982.54</v>
      </c>
      <c r="T286">
        <v>74307.16</v>
      </c>
      <c r="U286">
        <v>44415.42</v>
      </c>
      <c r="V286">
        <v>18192.09</v>
      </c>
      <c r="W286">
        <v>18540.099999999999</v>
      </c>
      <c r="X286">
        <v>85823.66</v>
      </c>
      <c r="Y286">
        <v>79063.5</v>
      </c>
    </row>
    <row r="287" spans="1:25" x14ac:dyDescent="0.25">
      <c r="A287" t="s">
        <v>331</v>
      </c>
      <c r="B287" s="1">
        <v>45009</v>
      </c>
      <c r="C287">
        <v>2023</v>
      </c>
      <c r="D287">
        <v>3</v>
      </c>
      <c r="E287" t="s">
        <v>260</v>
      </c>
      <c r="F287" t="s">
        <v>27</v>
      </c>
      <c r="G287" t="s">
        <v>28</v>
      </c>
      <c r="H287" t="s">
        <v>32</v>
      </c>
      <c r="I287" t="s">
        <v>65</v>
      </c>
      <c r="J287">
        <v>36</v>
      </c>
      <c r="K287">
        <v>1734.92</v>
      </c>
      <c r="L287">
        <v>62457.14</v>
      </c>
      <c r="M287">
        <v>32184.53</v>
      </c>
      <c r="N287">
        <v>7074.71</v>
      </c>
      <c r="O287">
        <v>4422.95</v>
      </c>
      <c r="P287">
        <v>2087.6799999999998</v>
      </c>
      <c r="Q287">
        <v>602.19000000000005</v>
      </c>
      <c r="R287">
        <v>1928.26</v>
      </c>
      <c r="S287">
        <v>1475.02</v>
      </c>
      <c r="T287">
        <v>49775.33</v>
      </c>
      <c r="U287">
        <v>30272.61</v>
      </c>
      <c r="V287">
        <v>12681.81</v>
      </c>
      <c r="W287">
        <v>12052.04</v>
      </c>
      <c r="X287">
        <v>61436.67</v>
      </c>
      <c r="Y287">
        <v>46360.54</v>
      </c>
    </row>
    <row r="288" spans="1:25" x14ac:dyDescent="0.25">
      <c r="A288" t="s">
        <v>332</v>
      </c>
      <c r="B288" s="1">
        <v>45010</v>
      </c>
      <c r="C288">
        <v>2023</v>
      </c>
      <c r="D288">
        <v>3</v>
      </c>
      <c r="E288" t="s">
        <v>260</v>
      </c>
      <c r="F288" t="s">
        <v>27</v>
      </c>
      <c r="G288" t="s">
        <v>55</v>
      </c>
      <c r="H288" t="s">
        <v>58</v>
      </c>
      <c r="I288" t="s">
        <v>33</v>
      </c>
      <c r="J288">
        <v>86</v>
      </c>
      <c r="K288">
        <v>871.06</v>
      </c>
      <c r="L288">
        <v>74911.460000000006</v>
      </c>
      <c r="M288">
        <v>44363.15</v>
      </c>
      <c r="N288">
        <v>6553.09</v>
      </c>
      <c r="O288">
        <v>3041.45</v>
      </c>
      <c r="P288">
        <v>1619.61</v>
      </c>
      <c r="Q288">
        <v>698.57</v>
      </c>
      <c r="R288">
        <v>2329.4299999999998</v>
      </c>
      <c r="S288">
        <v>1691.37</v>
      </c>
      <c r="T288">
        <v>60296.67</v>
      </c>
      <c r="U288">
        <v>30548.31</v>
      </c>
      <c r="V288">
        <v>14614.79</v>
      </c>
      <c r="W288">
        <v>13677.24</v>
      </c>
      <c r="X288">
        <v>70399.8</v>
      </c>
      <c r="Y288">
        <v>60231.81</v>
      </c>
    </row>
    <row r="289" spans="1:25" x14ac:dyDescent="0.25">
      <c r="A289" t="s">
        <v>333</v>
      </c>
      <c r="B289" s="1">
        <v>45010</v>
      </c>
      <c r="C289">
        <v>2023</v>
      </c>
      <c r="D289">
        <v>3</v>
      </c>
      <c r="E289" t="s">
        <v>260</v>
      </c>
      <c r="F289" t="s">
        <v>27</v>
      </c>
      <c r="G289" t="s">
        <v>28</v>
      </c>
      <c r="H289" t="s">
        <v>58</v>
      </c>
      <c r="I289" t="s">
        <v>39</v>
      </c>
      <c r="J289">
        <v>27</v>
      </c>
      <c r="K289">
        <v>1149.43</v>
      </c>
      <c r="L289">
        <v>31034.63</v>
      </c>
      <c r="M289">
        <v>17257.96</v>
      </c>
      <c r="N289">
        <v>3484.7</v>
      </c>
      <c r="O289">
        <v>845.77</v>
      </c>
      <c r="P289">
        <v>790.48</v>
      </c>
      <c r="Q289">
        <v>444.64</v>
      </c>
      <c r="R289">
        <v>804.96</v>
      </c>
      <c r="S289">
        <v>602.74</v>
      </c>
      <c r="T289">
        <v>24231.26</v>
      </c>
      <c r="U289">
        <v>13776.67</v>
      </c>
      <c r="V289">
        <v>6803.38</v>
      </c>
      <c r="W289">
        <v>6089.1</v>
      </c>
      <c r="X289">
        <v>29139.37</v>
      </c>
      <c r="Y289">
        <v>25058.11</v>
      </c>
    </row>
    <row r="290" spans="1:25" x14ac:dyDescent="0.25">
      <c r="A290" t="s">
        <v>334</v>
      </c>
      <c r="B290" s="1">
        <v>45011</v>
      </c>
      <c r="C290">
        <v>2023</v>
      </c>
      <c r="D290">
        <v>3</v>
      </c>
      <c r="E290" t="s">
        <v>260</v>
      </c>
      <c r="F290" t="s">
        <v>27</v>
      </c>
      <c r="G290" t="s">
        <v>35</v>
      </c>
      <c r="H290" t="s">
        <v>36</v>
      </c>
      <c r="I290" t="s">
        <v>30</v>
      </c>
      <c r="J290">
        <v>49</v>
      </c>
      <c r="K290">
        <v>1312</v>
      </c>
      <c r="L290">
        <v>64288.160000000003</v>
      </c>
      <c r="M290">
        <v>34539.07</v>
      </c>
      <c r="N290">
        <v>6050.96</v>
      </c>
      <c r="O290">
        <v>4569.38</v>
      </c>
      <c r="P290">
        <v>1723.68</v>
      </c>
      <c r="Q290">
        <v>600.35</v>
      </c>
      <c r="R290">
        <v>1915.32</v>
      </c>
      <c r="S290">
        <v>1363.84</v>
      </c>
      <c r="T290">
        <v>50762.6</v>
      </c>
      <c r="U290">
        <v>29749.09</v>
      </c>
      <c r="V290">
        <v>13525.56</v>
      </c>
      <c r="W290">
        <v>12928.35</v>
      </c>
      <c r="X290">
        <v>68689.84</v>
      </c>
      <c r="Y290">
        <v>47454.080000000002</v>
      </c>
    </row>
    <row r="291" spans="1:25" x14ac:dyDescent="0.25">
      <c r="A291" t="s">
        <v>335</v>
      </c>
      <c r="B291" s="1">
        <v>45012</v>
      </c>
      <c r="C291">
        <v>2023</v>
      </c>
      <c r="D291">
        <v>3</v>
      </c>
      <c r="E291" t="s">
        <v>260</v>
      </c>
      <c r="F291" t="s">
        <v>27</v>
      </c>
      <c r="G291" t="s">
        <v>28</v>
      </c>
      <c r="H291" t="s">
        <v>32</v>
      </c>
      <c r="I291" t="s">
        <v>65</v>
      </c>
      <c r="J291">
        <v>53</v>
      </c>
      <c r="K291">
        <v>1307.54</v>
      </c>
      <c r="L291">
        <v>69299.73</v>
      </c>
      <c r="M291">
        <v>43505.06</v>
      </c>
      <c r="N291">
        <v>5597.99</v>
      </c>
      <c r="O291">
        <v>1759.84</v>
      </c>
      <c r="P291">
        <v>2444.9899999999998</v>
      </c>
      <c r="Q291">
        <v>1125.67</v>
      </c>
      <c r="R291">
        <v>1799.47</v>
      </c>
      <c r="S291">
        <v>794.1</v>
      </c>
      <c r="T291">
        <v>57027.13</v>
      </c>
      <c r="U291">
        <v>25794.66</v>
      </c>
      <c r="V291">
        <v>12272.6</v>
      </c>
      <c r="W291">
        <v>12200.8</v>
      </c>
      <c r="X291">
        <v>76530.66</v>
      </c>
      <c r="Y291">
        <v>61920.76</v>
      </c>
    </row>
    <row r="292" spans="1:25" x14ac:dyDescent="0.25">
      <c r="A292" t="s">
        <v>336</v>
      </c>
      <c r="B292" s="1">
        <v>45012</v>
      </c>
      <c r="C292">
        <v>2023</v>
      </c>
      <c r="D292">
        <v>3</v>
      </c>
      <c r="E292" t="s">
        <v>260</v>
      </c>
      <c r="F292" t="s">
        <v>27</v>
      </c>
      <c r="G292" t="s">
        <v>35</v>
      </c>
      <c r="H292" t="s">
        <v>32</v>
      </c>
      <c r="I292" t="s">
        <v>65</v>
      </c>
      <c r="J292">
        <v>46</v>
      </c>
      <c r="K292">
        <v>1747.72</v>
      </c>
      <c r="L292">
        <v>80395.23</v>
      </c>
      <c r="M292">
        <v>38765.43</v>
      </c>
      <c r="N292">
        <v>8234.7900000000009</v>
      </c>
      <c r="O292">
        <v>4193.66</v>
      </c>
      <c r="P292">
        <v>1463.95</v>
      </c>
      <c r="Q292">
        <v>1345.75</v>
      </c>
      <c r="R292">
        <v>2443.14</v>
      </c>
      <c r="S292">
        <v>1463.12</v>
      </c>
      <c r="T292">
        <v>57909.84</v>
      </c>
      <c r="U292">
        <v>41629.800000000003</v>
      </c>
      <c r="V292">
        <v>22485.39</v>
      </c>
      <c r="W292">
        <v>20821.57</v>
      </c>
      <c r="X292">
        <v>79229.990000000005</v>
      </c>
      <c r="Y292">
        <v>62349.33</v>
      </c>
    </row>
    <row r="293" spans="1:25" x14ac:dyDescent="0.25">
      <c r="A293" t="s">
        <v>337</v>
      </c>
      <c r="B293" s="1">
        <v>45012</v>
      </c>
      <c r="C293">
        <v>2023</v>
      </c>
      <c r="D293">
        <v>3</v>
      </c>
      <c r="E293" t="s">
        <v>260</v>
      </c>
      <c r="F293" t="s">
        <v>27</v>
      </c>
      <c r="G293" t="s">
        <v>44</v>
      </c>
      <c r="H293" t="s">
        <v>36</v>
      </c>
      <c r="I293" t="s">
        <v>50</v>
      </c>
      <c r="J293">
        <v>22</v>
      </c>
      <c r="K293">
        <v>1729.93</v>
      </c>
      <c r="L293">
        <v>38058.480000000003</v>
      </c>
      <c r="M293">
        <v>20810.04</v>
      </c>
      <c r="N293">
        <v>3612.47</v>
      </c>
      <c r="O293">
        <v>2628.39</v>
      </c>
      <c r="P293">
        <v>669</v>
      </c>
      <c r="Q293">
        <v>391.18</v>
      </c>
      <c r="R293">
        <v>2447.62</v>
      </c>
      <c r="S293">
        <v>478.64</v>
      </c>
      <c r="T293">
        <v>31037.33</v>
      </c>
      <c r="U293">
        <v>17248.43</v>
      </c>
      <c r="V293">
        <v>7021.14</v>
      </c>
      <c r="W293">
        <v>7023.32</v>
      </c>
      <c r="X293">
        <v>37387.800000000003</v>
      </c>
      <c r="Y293">
        <v>31448.55</v>
      </c>
    </row>
    <row r="294" spans="1:25" x14ac:dyDescent="0.25">
      <c r="A294" t="s">
        <v>338</v>
      </c>
      <c r="B294" s="1">
        <v>45013</v>
      </c>
      <c r="C294">
        <v>2023</v>
      </c>
      <c r="D294">
        <v>3</v>
      </c>
      <c r="E294" t="s">
        <v>260</v>
      </c>
      <c r="F294" t="s">
        <v>27</v>
      </c>
      <c r="G294" t="s">
        <v>28</v>
      </c>
      <c r="H294" t="s">
        <v>53</v>
      </c>
      <c r="I294" t="s">
        <v>37</v>
      </c>
      <c r="J294">
        <v>34</v>
      </c>
      <c r="K294">
        <v>1403.6</v>
      </c>
      <c r="L294">
        <v>47722.29</v>
      </c>
      <c r="M294">
        <v>28962.48</v>
      </c>
      <c r="N294">
        <v>5208.24</v>
      </c>
      <c r="O294">
        <v>1734.1</v>
      </c>
      <c r="P294">
        <v>1805.97</v>
      </c>
      <c r="Q294">
        <v>732.42</v>
      </c>
      <c r="R294">
        <v>1829.46</v>
      </c>
      <c r="S294">
        <v>974.93</v>
      </c>
      <c r="T294">
        <v>41247.589999999997</v>
      </c>
      <c r="U294">
        <v>18759.810000000001</v>
      </c>
      <c r="V294">
        <v>6474.7</v>
      </c>
      <c r="W294">
        <v>6486.29</v>
      </c>
      <c r="X294">
        <v>44843.38</v>
      </c>
      <c r="Y294">
        <v>40498.620000000003</v>
      </c>
    </row>
    <row r="295" spans="1:25" x14ac:dyDescent="0.25">
      <c r="A295" t="s">
        <v>339</v>
      </c>
      <c r="B295" s="1">
        <v>45013</v>
      </c>
      <c r="C295">
        <v>2023</v>
      </c>
      <c r="D295">
        <v>3</v>
      </c>
      <c r="E295" t="s">
        <v>260</v>
      </c>
      <c r="F295" t="s">
        <v>27</v>
      </c>
      <c r="G295" t="s">
        <v>44</v>
      </c>
      <c r="H295" t="s">
        <v>36</v>
      </c>
      <c r="I295" t="s">
        <v>30</v>
      </c>
      <c r="J295">
        <v>67</v>
      </c>
      <c r="K295">
        <v>1542.89</v>
      </c>
      <c r="L295">
        <v>103373.31</v>
      </c>
      <c r="M295">
        <v>57669.1</v>
      </c>
      <c r="N295">
        <v>11752.66</v>
      </c>
      <c r="O295">
        <v>7014.92</v>
      </c>
      <c r="P295">
        <v>2572.69</v>
      </c>
      <c r="Q295">
        <v>1688.53</v>
      </c>
      <c r="R295">
        <v>4942.57</v>
      </c>
      <c r="S295">
        <v>2552.14</v>
      </c>
      <c r="T295">
        <v>88192.62</v>
      </c>
      <c r="U295">
        <v>45704.21</v>
      </c>
      <c r="V295">
        <v>15180.69</v>
      </c>
      <c r="W295">
        <v>13515.55</v>
      </c>
      <c r="X295">
        <v>107190.91</v>
      </c>
      <c r="Y295">
        <v>91995.18</v>
      </c>
    </row>
    <row r="296" spans="1:25" x14ac:dyDescent="0.25">
      <c r="A296" t="s">
        <v>340</v>
      </c>
      <c r="B296" s="1">
        <v>45013</v>
      </c>
      <c r="C296">
        <v>2023</v>
      </c>
      <c r="D296">
        <v>3</v>
      </c>
      <c r="E296" t="s">
        <v>260</v>
      </c>
      <c r="F296" t="s">
        <v>27</v>
      </c>
      <c r="G296" t="s">
        <v>35</v>
      </c>
      <c r="H296" t="s">
        <v>36</v>
      </c>
      <c r="I296" t="s">
        <v>50</v>
      </c>
      <c r="J296">
        <v>36</v>
      </c>
      <c r="K296">
        <v>1221</v>
      </c>
      <c r="L296">
        <v>43955.9</v>
      </c>
      <c r="M296">
        <v>25501.61</v>
      </c>
      <c r="N296">
        <v>5358.83</v>
      </c>
      <c r="O296">
        <v>1617.37</v>
      </c>
      <c r="P296">
        <v>1929</v>
      </c>
      <c r="Q296">
        <v>326.24</v>
      </c>
      <c r="R296">
        <v>1123.99</v>
      </c>
      <c r="S296">
        <v>908.46</v>
      </c>
      <c r="T296">
        <v>36765.51</v>
      </c>
      <c r="U296">
        <v>18454.3</v>
      </c>
      <c r="V296">
        <v>7190.4</v>
      </c>
      <c r="W296">
        <v>6997</v>
      </c>
      <c r="X296">
        <v>48685.68</v>
      </c>
      <c r="Y296">
        <v>37350.04</v>
      </c>
    </row>
    <row r="297" spans="1:25" x14ac:dyDescent="0.25">
      <c r="A297" t="s">
        <v>341</v>
      </c>
      <c r="B297" s="1">
        <v>45013</v>
      </c>
      <c r="C297">
        <v>2023</v>
      </c>
      <c r="D297">
        <v>3</v>
      </c>
      <c r="E297" t="s">
        <v>260</v>
      </c>
      <c r="F297" t="s">
        <v>27</v>
      </c>
      <c r="G297" t="s">
        <v>44</v>
      </c>
      <c r="H297" t="s">
        <v>32</v>
      </c>
      <c r="I297" t="s">
        <v>45</v>
      </c>
      <c r="J297">
        <v>25</v>
      </c>
      <c r="K297">
        <v>1481.39</v>
      </c>
      <c r="L297">
        <v>37034.71</v>
      </c>
      <c r="M297">
        <v>19022.740000000002</v>
      </c>
      <c r="N297">
        <v>4429.24</v>
      </c>
      <c r="O297">
        <v>2674.54</v>
      </c>
      <c r="P297">
        <v>1460.06</v>
      </c>
      <c r="Q297">
        <v>661.26</v>
      </c>
      <c r="R297">
        <v>1280.8599999999999</v>
      </c>
      <c r="S297">
        <v>363.78</v>
      </c>
      <c r="T297">
        <v>29892.49</v>
      </c>
      <c r="U297">
        <v>18011.96</v>
      </c>
      <c r="V297">
        <v>7142.22</v>
      </c>
      <c r="W297">
        <v>6392.67</v>
      </c>
      <c r="X297">
        <v>38786.559999999998</v>
      </c>
      <c r="Y297">
        <v>28022.46</v>
      </c>
    </row>
    <row r="298" spans="1:25" x14ac:dyDescent="0.25">
      <c r="A298" t="s">
        <v>342</v>
      </c>
      <c r="B298" s="1">
        <v>45013</v>
      </c>
      <c r="C298">
        <v>2023</v>
      </c>
      <c r="D298">
        <v>3</v>
      </c>
      <c r="E298" t="s">
        <v>260</v>
      </c>
      <c r="F298" t="s">
        <v>27</v>
      </c>
      <c r="G298" t="s">
        <v>35</v>
      </c>
      <c r="H298" t="s">
        <v>32</v>
      </c>
      <c r="I298" t="s">
        <v>50</v>
      </c>
      <c r="J298">
        <v>37</v>
      </c>
      <c r="K298">
        <v>1376.94</v>
      </c>
      <c r="L298">
        <v>50946.62</v>
      </c>
      <c r="M298">
        <v>32355.59</v>
      </c>
      <c r="N298">
        <v>3997.43</v>
      </c>
      <c r="O298">
        <v>3347.13</v>
      </c>
      <c r="P298">
        <v>1193.3800000000001</v>
      </c>
      <c r="Q298">
        <v>795.24</v>
      </c>
      <c r="R298">
        <v>2069.19</v>
      </c>
      <c r="S298">
        <v>796.99</v>
      </c>
      <c r="T298">
        <v>44554.95</v>
      </c>
      <c r="U298">
        <v>18591.04</v>
      </c>
      <c r="V298">
        <v>6391.67</v>
      </c>
      <c r="W298">
        <v>6509.37</v>
      </c>
      <c r="X298">
        <v>52268.58</v>
      </c>
      <c r="Y298">
        <v>46619.91</v>
      </c>
    </row>
    <row r="299" spans="1:25" x14ac:dyDescent="0.25">
      <c r="A299" t="s">
        <v>343</v>
      </c>
      <c r="B299" s="1">
        <v>45013</v>
      </c>
      <c r="C299">
        <v>2023</v>
      </c>
      <c r="D299">
        <v>3</v>
      </c>
      <c r="E299" t="s">
        <v>260</v>
      </c>
      <c r="F299" t="s">
        <v>27</v>
      </c>
      <c r="G299" t="s">
        <v>35</v>
      </c>
      <c r="H299" t="s">
        <v>29</v>
      </c>
      <c r="I299" t="s">
        <v>50</v>
      </c>
      <c r="J299">
        <v>21</v>
      </c>
      <c r="K299">
        <v>1815.07</v>
      </c>
      <c r="L299">
        <v>38116.559999999998</v>
      </c>
      <c r="M299">
        <v>22399.89</v>
      </c>
      <c r="N299">
        <v>4009.98</v>
      </c>
      <c r="O299">
        <v>2737.19</v>
      </c>
      <c r="P299">
        <v>861.78</v>
      </c>
      <c r="Q299">
        <v>365.22</v>
      </c>
      <c r="R299">
        <v>2362.58</v>
      </c>
      <c r="S299">
        <v>579.41</v>
      </c>
      <c r="T299">
        <v>33316.04</v>
      </c>
      <c r="U299">
        <v>15716.67</v>
      </c>
      <c r="V299">
        <v>4800.5200000000004</v>
      </c>
      <c r="W299">
        <v>4744</v>
      </c>
      <c r="X299">
        <v>41474.519999999997</v>
      </c>
      <c r="Y299">
        <v>33840.980000000003</v>
      </c>
    </row>
    <row r="300" spans="1:25" x14ac:dyDescent="0.25">
      <c r="A300" t="s">
        <v>344</v>
      </c>
      <c r="B300" s="1">
        <v>45014</v>
      </c>
      <c r="C300">
        <v>2023</v>
      </c>
      <c r="D300">
        <v>3</v>
      </c>
      <c r="E300" t="s">
        <v>260</v>
      </c>
      <c r="F300" t="s">
        <v>27</v>
      </c>
      <c r="G300" t="s">
        <v>55</v>
      </c>
      <c r="H300" t="s">
        <v>32</v>
      </c>
      <c r="I300" t="s">
        <v>56</v>
      </c>
      <c r="J300">
        <v>31</v>
      </c>
      <c r="K300">
        <v>1468.89</v>
      </c>
      <c r="L300">
        <v>45535.48</v>
      </c>
      <c r="M300">
        <v>28720.59</v>
      </c>
      <c r="N300">
        <v>5870.67</v>
      </c>
      <c r="O300">
        <v>1658.83</v>
      </c>
      <c r="P300">
        <v>1561.66</v>
      </c>
      <c r="Q300">
        <v>249.1</v>
      </c>
      <c r="R300">
        <v>2428.84</v>
      </c>
      <c r="S300">
        <v>700.4</v>
      </c>
      <c r="T300">
        <v>41190.089999999997</v>
      </c>
      <c r="U300">
        <v>16814.89</v>
      </c>
      <c r="V300">
        <v>4345.3900000000003</v>
      </c>
      <c r="W300">
        <v>4106.3100000000004</v>
      </c>
      <c r="X300">
        <v>42247.27</v>
      </c>
      <c r="Y300">
        <v>38958.51</v>
      </c>
    </row>
    <row r="301" spans="1:25" x14ac:dyDescent="0.25">
      <c r="A301" t="s">
        <v>345</v>
      </c>
      <c r="B301" s="1">
        <v>45014</v>
      </c>
      <c r="C301">
        <v>2023</v>
      </c>
      <c r="D301">
        <v>3</v>
      </c>
      <c r="E301" t="s">
        <v>260</v>
      </c>
      <c r="F301" t="s">
        <v>27</v>
      </c>
      <c r="G301" t="s">
        <v>28</v>
      </c>
      <c r="H301" t="s">
        <v>32</v>
      </c>
      <c r="I301" t="s">
        <v>39</v>
      </c>
      <c r="J301">
        <v>37</v>
      </c>
      <c r="K301">
        <v>1202.46</v>
      </c>
      <c r="L301">
        <v>44491.18</v>
      </c>
      <c r="M301">
        <v>26241.32</v>
      </c>
      <c r="N301">
        <v>4588.3</v>
      </c>
      <c r="O301">
        <v>2881.62</v>
      </c>
      <c r="P301">
        <v>1126.1300000000001</v>
      </c>
      <c r="Q301">
        <v>436.51</v>
      </c>
      <c r="R301">
        <v>1317.21</v>
      </c>
      <c r="S301">
        <v>570.6</v>
      </c>
      <c r="T301">
        <v>37161.68</v>
      </c>
      <c r="U301">
        <v>18249.86</v>
      </c>
      <c r="V301">
        <v>7329.5</v>
      </c>
      <c r="W301">
        <v>6540.17</v>
      </c>
      <c r="X301">
        <v>47592.93</v>
      </c>
      <c r="Y301">
        <v>39022.01</v>
      </c>
    </row>
    <row r="302" spans="1:25" x14ac:dyDescent="0.25">
      <c r="A302" t="s">
        <v>346</v>
      </c>
      <c r="B302" s="1">
        <v>45014</v>
      </c>
      <c r="C302">
        <v>2023</v>
      </c>
      <c r="D302">
        <v>3</v>
      </c>
      <c r="E302" t="s">
        <v>260</v>
      </c>
      <c r="F302" t="s">
        <v>27</v>
      </c>
      <c r="G302" t="s">
        <v>35</v>
      </c>
      <c r="H302" t="s">
        <v>36</v>
      </c>
      <c r="I302" t="s">
        <v>30</v>
      </c>
      <c r="J302">
        <v>38</v>
      </c>
      <c r="K302">
        <v>1620.25</v>
      </c>
      <c r="L302">
        <v>61569.440000000002</v>
      </c>
      <c r="M302">
        <v>37815.730000000003</v>
      </c>
      <c r="N302">
        <v>6252.75</v>
      </c>
      <c r="O302">
        <v>3503.47</v>
      </c>
      <c r="P302">
        <v>1114.3</v>
      </c>
      <c r="Q302">
        <v>584.26</v>
      </c>
      <c r="R302">
        <v>2493.2399999999998</v>
      </c>
      <c r="S302">
        <v>1154.73</v>
      </c>
      <c r="T302">
        <v>52918.48</v>
      </c>
      <c r="U302">
        <v>23753.71</v>
      </c>
      <c r="V302">
        <v>8650.9599999999991</v>
      </c>
      <c r="W302">
        <v>8468.91</v>
      </c>
      <c r="X302">
        <v>61423.66</v>
      </c>
      <c r="Y302">
        <v>54017.41</v>
      </c>
    </row>
    <row r="303" spans="1:25" x14ac:dyDescent="0.25">
      <c r="A303" t="s">
        <v>347</v>
      </c>
      <c r="B303" s="1">
        <v>45014</v>
      </c>
      <c r="C303">
        <v>2023</v>
      </c>
      <c r="D303">
        <v>3</v>
      </c>
      <c r="E303" t="s">
        <v>260</v>
      </c>
      <c r="F303" t="s">
        <v>27</v>
      </c>
      <c r="G303" t="s">
        <v>28</v>
      </c>
      <c r="H303" t="s">
        <v>53</v>
      </c>
      <c r="I303" t="s">
        <v>33</v>
      </c>
      <c r="J303">
        <v>48</v>
      </c>
      <c r="K303">
        <v>1590.8</v>
      </c>
      <c r="L303">
        <v>76358.48</v>
      </c>
      <c r="M303">
        <v>47804.73</v>
      </c>
      <c r="N303">
        <v>8146.7</v>
      </c>
      <c r="O303">
        <v>3410.64</v>
      </c>
      <c r="P303">
        <v>2025.97</v>
      </c>
      <c r="Q303">
        <v>431.4</v>
      </c>
      <c r="R303">
        <v>2739.48</v>
      </c>
      <c r="S303">
        <v>1372.7</v>
      </c>
      <c r="T303">
        <v>65931.62</v>
      </c>
      <c r="U303">
        <v>28553.75</v>
      </c>
      <c r="V303">
        <v>10426.86</v>
      </c>
      <c r="W303">
        <v>10184.24</v>
      </c>
      <c r="X303">
        <v>70707.31</v>
      </c>
      <c r="Y303">
        <v>71891.33</v>
      </c>
    </row>
    <row r="304" spans="1:25" x14ac:dyDescent="0.25">
      <c r="A304" t="s">
        <v>348</v>
      </c>
      <c r="B304" s="1">
        <v>45015</v>
      </c>
      <c r="C304">
        <v>2023</v>
      </c>
      <c r="D304">
        <v>3</v>
      </c>
      <c r="E304" t="s">
        <v>260</v>
      </c>
      <c r="F304" t="s">
        <v>27</v>
      </c>
      <c r="G304" t="s">
        <v>55</v>
      </c>
      <c r="H304" t="s">
        <v>32</v>
      </c>
      <c r="I304" t="s">
        <v>33</v>
      </c>
      <c r="J304">
        <v>94</v>
      </c>
      <c r="K304">
        <v>1333.73</v>
      </c>
      <c r="L304">
        <v>125371.04</v>
      </c>
      <c r="M304">
        <v>82484.479999999996</v>
      </c>
      <c r="N304">
        <v>9329.82</v>
      </c>
      <c r="O304">
        <v>4752.92</v>
      </c>
      <c r="P304">
        <v>2049.25</v>
      </c>
      <c r="Q304">
        <v>1546.02</v>
      </c>
      <c r="R304">
        <v>6818.22</v>
      </c>
      <c r="S304">
        <v>3128.01</v>
      </c>
      <c r="T304">
        <v>110108.7</v>
      </c>
      <c r="U304">
        <v>42886.559999999998</v>
      </c>
      <c r="V304">
        <v>15262.33</v>
      </c>
      <c r="W304">
        <v>15233.43</v>
      </c>
      <c r="X304">
        <v>120004.06</v>
      </c>
      <c r="Y304">
        <v>118659.58</v>
      </c>
    </row>
    <row r="305" spans="1:25" x14ac:dyDescent="0.25">
      <c r="A305" t="s">
        <v>349</v>
      </c>
      <c r="B305" s="1">
        <v>45015</v>
      </c>
      <c r="C305">
        <v>2023</v>
      </c>
      <c r="D305">
        <v>3</v>
      </c>
      <c r="E305" t="s">
        <v>260</v>
      </c>
      <c r="F305" t="s">
        <v>27</v>
      </c>
      <c r="G305" t="s">
        <v>28</v>
      </c>
      <c r="H305" t="s">
        <v>32</v>
      </c>
      <c r="I305" t="s">
        <v>33</v>
      </c>
      <c r="J305">
        <v>53</v>
      </c>
      <c r="K305">
        <v>1708.92</v>
      </c>
      <c r="L305">
        <v>90572.51</v>
      </c>
      <c r="M305">
        <v>50645.19</v>
      </c>
      <c r="N305">
        <v>7468.22</v>
      </c>
      <c r="O305">
        <v>5794.54</v>
      </c>
      <c r="P305">
        <v>1903.42</v>
      </c>
      <c r="Q305">
        <v>565.71</v>
      </c>
      <c r="R305">
        <v>4285.17</v>
      </c>
      <c r="S305">
        <v>1149.1099999999999</v>
      </c>
      <c r="T305">
        <v>71811.34</v>
      </c>
      <c r="U305">
        <v>39927.32</v>
      </c>
      <c r="V305">
        <v>18761.16</v>
      </c>
      <c r="W305">
        <v>18390.59</v>
      </c>
      <c r="X305">
        <v>93291.35</v>
      </c>
      <c r="Y305">
        <v>73875.63</v>
      </c>
    </row>
    <row r="306" spans="1:25" x14ac:dyDescent="0.25">
      <c r="A306" t="s">
        <v>350</v>
      </c>
      <c r="B306" s="1">
        <v>45016</v>
      </c>
      <c r="C306">
        <v>2023</v>
      </c>
      <c r="D306">
        <v>3</v>
      </c>
      <c r="E306" t="s">
        <v>260</v>
      </c>
      <c r="F306" t="s">
        <v>27</v>
      </c>
      <c r="G306" t="s">
        <v>44</v>
      </c>
      <c r="H306" t="s">
        <v>36</v>
      </c>
      <c r="I306" t="s">
        <v>45</v>
      </c>
      <c r="J306">
        <v>31</v>
      </c>
      <c r="K306">
        <v>1027.4000000000001</v>
      </c>
      <c r="L306">
        <v>31849.27</v>
      </c>
      <c r="M306">
        <v>17790.689999999999</v>
      </c>
      <c r="N306">
        <v>3110.91</v>
      </c>
      <c r="O306">
        <v>1762.21</v>
      </c>
      <c r="P306">
        <v>959.89</v>
      </c>
      <c r="Q306">
        <v>515.67999999999995</v>
      </c>
      <c r="R306">
        <v>1902.31</v>
      </c>
      <c r="S306">
        <v>256.64999999999998</v>
      </c>
      <c r="T306">
        <v>26298.34</v>
      </c>
      <c r="U306">
        <v>14058.58</v>
      </c>
      <c r="V306">
        <v>5550.92</v>
      </c>
      <c r="W306">
        <v>5104.3599999999997</v>
      </c>
      <c r="X306">
        <v>32786.47</v>
      </c>
      <c r="Y306">
        <v>25848.06</v>
      </c>
    </row>
    <row r="307" spans="1:25" x14ac:dyDescent="0.25">
      <c r="A307" t="s">
        <v>351</v>
      </c>
      <c r="B307" s="1">
        <v>45016</v>
      </c>
      <c r="C307">
        <v>2023</v>
      </c>
      <c r="D307">
        <v>3</v>
      </c>
      <c r="E307" t="s">
        <v>260</v>
      </c>
      <c r="F307" t="s">
        <v>27</v>
      </c>
      <c r="G307" t="s">
        <v>44</v>
      </c>
      <c r="H307" t="s">
        <v>29</v>
      </c>
      <c r="I307" t="s">
        <v>50</v>
      </c>
      <c r="J307">
        <v>46</v>
      </c>
      <c r="K307">
        <v>920.4</v>
      </c>
      <c r="L307">
        <v>42338.31</v>
      </c>
      <c r="M307">
        <v>28688.2</v>
      </c>
      <c r="N307">
        <v>4267.41</v>
      </c>
      <c r="O307">
        <v>2060.81</v>
      </c>
      <c r="P307">
        <v>987.78</v>
      </c>
      <c r="Q307">
        <v>625.4</v>
      </c>
      <c r="R307">
        <v>1796.99</v>
      </c>
      <c r="S307">
        <v>504.75</v>
      </c>
      <c r="T307">
        <v>38931.35</v>
      </c>
      <c r="U307">
        <v>13650.12</v>
      </c>
      <c r="V307">
        <v>3406.96</v>
      </c>
      <c r="W307">
        <v>3043.4</v>
      </c>
      <c r="X307">
        <v>45233.74</v>
      </c>
      <c r="Y307">
        <v>41184.47</v>
      </c>
    </row>
    <row r="308" spans="1:25" x14ac:dyDescent="0.25">
      <c r="A308" t="s">
        <v>352</v>
      </c>
      <c r="B308" s="1">
        <v>45016</v>
      </c>
      <c r="C308">
        <v>2023</v>
      </c>
      <c r="D308">
        <v>3</v>
      </c>
      <c r="E308" t="s">
        <v>260</v>
      </c>
      <c r="F308" t="s">
        <v>27</v>
      </c>
      <c r="G308" t="s">
        <v>28</v>
      </c>
      <c r="H308" t="s">
        <v>29</v>
      </c>
      <c r="I308" t="s">
        <v>37</v>
      </c>
      <c r="J308">
        <v>68</v>
      </c>
      <c r="K308">
        <v>1349.99</v>
      </c>
      <c r="L308">
        <v>91799.26</v>
      </c>
      <c r="M308">
        <v>57703.24</v>
      </c>
      <c r="N308">
        <v>11524.77</v>
      </c>
      <c r="O308">
        <v>3737.17</v>
      </c>
      <c r="P308">
        <v>1710.53</v>
      </c>
      <c r="Q308">
        <v>1261.03</v>
      </c>
      <c r="R308">
        <v>3220.4</v>
      </c>
      <c r="S308">
        <v>1814.83</v>
      </c>
      <c r="T308">
        <v>80971.960000000006</v>
      </c>
      <c r="U308">
        <v>34096.01</v>
      </c>
      <c r="V308">
        <v>10827.3</v>
      </c>
      <c r="W308">
        <v>10441.69</v>
      </c>
      <c r="X308">
        <v>87165.9</v>
      </c>
      <c r="Y308">
        <v>80378.179999999993</v>
      </c>
    </row>
    <row r="309" spans="1:25" x14ac:dyDescent="0.25">
      <c r="A309" t="s">
        <v>353</v>
      </c>
      <c r="B309" s="1">
        <v>45016</v>
      </c>
      <c r="C309">
        <v>2023</v>
      </c>
      <c r="D309">
        <v>3</v>
      </c>
      <c r="E309" t="s">
        <v>260</v>
      </c>
      <c r="F309" t="s">
        <v>27</v>
      </c>
      <c r="G309" t="s">
        <v>28</v>
      </c>
      <c r="H309" t="s">
        <v>29</v>
      </c>
      <c r="I309" t="s">
        <v>50</v>
      </c>
      <c r="J309">
        <v>54</v>
      </c>
      <c r="K309">
        <v>1150.3</v>
      </c>
      <c r="L309">
        <v>62116.42</v>
      </c>
      <c r="M309">
        <v>40469.339999999997</v>
      </c>
      <c r="N309">
        <v>4675.92</v>
      </c>
      <c r="O309">
        <v>3910.57</v>
      </c>
      <c r="P309">
        <v>1640.56</v>
      </c>
      <c r="Q309">
        <v>509.32</v>
      </c>
      <c r="R309">
        <v>2273.59</v>
      </c>
      <c r="S309">
        <v>949.5</v>
      </c>
      <c r="T309">
        <v>54428.81</v>
      </c>
      <c r="U309">
        <v>21647.08</v>
      </c>
      <c r="V309">
        <v>7687.61</v>
      </c>
      <c r="W309">
        <v>7332.55</v>
      </c>
      <c r="X309">
        <v>63879.56</v>
      </c>
      <c r="Y309">
        <v>57009.46</v>
      </c>
    </row>
    <row r="310" spans="1:25" x14ac:dyDescent="0.25">
      <c r="A310" t="s">
        <v>354</v>
      </c>
      <c r="B310" s="1">
        <v>45016</v>
      </c>
      <c r="C310">
        <v>2023</v>
      </c>
      <c r="D310">
        <v>3</v>
      </c>
      <c r="E310" t="s">
        <v>260</v>
      </c>
      <c r="F310" t="s">
        <v>27</v>
      </c>
      <c r="G310" t="s">
        <v>28</v>
      </c>
      <c r="H310" t="s">
        <v>36</v>
      </c>
      <c r="I310" t="s">
        <v>45</v>
      </c>
      <c r="J310">
        <v>43</v>
      </c>
      <c r="K310">
        <v>997.21</v>
      </c>
      <c r="L310">
        <v>42880.07</v>
      </c>
      <c r="M310">
        <v>22950.01</v>
      </c>
      <c r="N310">
        <v>4206.82</v>
      </c>
      <c r="O310">
        <v>1962.72</v>
      </c>
      <c r="P310">
        <v>1276.31</v>
      </c>
      <c r="Q310">
        <v>436.1</v>
      </c>
      <c r="R310">
        <v>1681.95</v>
      </c>
      <c r="S310">
        <v>683.88</v>
      </c>
      <c r="T310">
        <v>33197.78</v>
      </c>
      <c r="U310">
        <v>19930.060000000001</v>
      </c>
      <c r="V310">
        <v>9682.2900000000009</v>
      </c>
      <c r="W310">
        <v>9198.7999999999993</v>
      </c>
      <c r="X310">
        <v>44583.43</v>
      </c>
      <c r="Y310">
        <v>33486.86</v>
      </c>
    </row>
    <row r="311" spans="1:25" x14ac:dyDescent="0.25">
      <c r="A311" t="s">
        <v>355</v>
      </c>
      <c r="B311" s="1">
        <v>45016</v>
      </c>
      <c r="C311">
        <v>2023</v>
      </c>
      <c r="D311">
        <v>3</v>
      </c>
      <c r="E311" t="s">
        <v>260</v>
      </c>
      <c r="F311" t="s">
        <v>27</v>
      </c>
      <c r="G311" t="s">
        <v>28</v>
      </c>
      <c r="H311" t="s">
        <v>36</v>
      </c>
      <c r="I311" t="s">
        <v>56</v>
      </c>
      <c r="J311">
        <v>33</v>
      </c>
      <c r="K311">
        <v>1027.0999999999999</v>
      </c>
      <c r="L311">
        <v>33894.25</v>
      </c>
      <c r="M311">
        <v>22689.62</v>
      </c>
      <c r="N311">
        <v>3294.91</v>
      </c>
      <c r="O311">
        <v>1538.85</v>
      </c>
      <c r="P311">
        <v>1127.0999999999999</v>
      </c>
      <c r="Q311">
        <v>493.02</v>
      </c>
      <c r="R311">
        <v>1815.74</v>
      </c>
      <c r="S311">
        <v>432.75</v>
      </c>
      <c r="T311">
        <v>31391.99</v>
      </c>
      <c r="U311">
        <v>11204.63</v>
      </c>
      <c r="V311">
        <v>2502.2600000000002</v>
      </c>
      <c r="W311">
        <v>2370.69</v>
      </c>
      <c r="X311">
        <v>35459.03</v>
      </c>
      <c r="Y311">
        <v>34183.79</v>
      </c>
    </row>
    <row r="312" spans="1:25" x14ac:dyDescent="0.25">
      <c r="A312" t="s">
        <v>356</v>
      </c>
      <c r="B312" s="1">
        <v>45017</v>
      </c>
      <c r="C312">
        <v>2023</v>
      </c>
      <c r="D312">
        <v>4</v>
      </c>
      <c r="E312" t="s">
        <v>357</v>
      </c>
      <c r="F312" t="s">
        <v>358</v>
      </c>
      <c r="G312" t="s">
        <v>55</v>
      </c>
      <c r="H312" t="s">
        <v>32</v>
      </c>
      <c r="I312" t="s">
        <v>50</v>
      </c>
      <c r="J312">
        <v>95</v>
      </c>
      <c r="K312">
        <v>842.88</v>
      </c>
      <c r="L312">
        <v>80073.78</v>
      </c>
      <c r="M312">
        <v>46133.46</v>
      </c>
      <c r="N312">
        <v>9933.0499999999993</v>
      </c>
      <c r="O312">
        <v>5612.42</v>
      </c>
      <c r="P312">
        <v>3365.79</v>
      </c>
      <c r="Q312">
        <v>1201.71</v>
      </c>
      <c r="R312">
        <v>3189.08</v>
      </c>
      <c r="S312">
        <v>1942.27</v>
      </c>
      <c r="T312">
        <v>71377.77</v>
      </c>
      <c r="U312">
        <v>33940.32</v>
      </c>
      <c r="V312">
        <v>8696.01</v>
      </c>
      <c r="W312">
        <v>8332.59</v>
      </c>
      <c r="X312">
        <v>83962.84</v>
      </c>
      <c r="Y312">
        <v>74797.710000000006</v>
      </c>
    </row>
    <row r="313" spans="1:25" x14ac:dyDescent="0.25">
      <c r="A313" t="s">
        <v>359</v>
      </c>
      <c r="B313" s="1">
        <v>45018</v>
      </c>
      <c r="C313">
        <v>2023</v>
      </c>
      <c r="D313">
        <v>4</v>
      </c>
      <c r="E313" t="s">
        <v>357</v>
      </c>
      <c r="F313" t="s">
        <v>358</v>
      </c>
      <c r="G313" t="s">
        <v>28</v>
      </c>
      <c r="H313" t="s">
        <v>32</v>
      </c>
      <c r="I313" t="s">
        <v>33</v>
      </c>
      <c r="J313">
        <v>70</v>
      </c>
      <c r="K313">
        <v>1643.54</v>
      </c>
      <c r="L313">
        <v>115047.64</v>
      </c>
      <c r="M313">
        <v>74165.149999999994</v>
      </c>
      <c r="N313">
        <v>8659.27</v>
      </c>
      <c r="O313">
        <v>3612.82</v>
      </c>
      <c r="P313">
        <v>2582.8200000000002</v>
      </c>
      <c r="Q313">
        <v>646.07000000000005</v>
      </c>
      <c r="R313">
        <v>3119.53</v>
      </c>
      <c r="S313">
        <v>2031.77</v>
      </c>
      <c r="T313">
        <v>94817.43</v>
      </c>
      <c r="U313">
        <v>40882.49</v>
      </c>
      <c r="V313">
        <v>20230.21</v>
      </c>
      <c r="W313">
        <v>18409.39</v>
      </c>
      <c r="X313">
        <v>110292.12</v>
      </c>
      <c r="Y313">
        <v>92520.62</v>
      </c>
    </row>
    <row r="314" spans="1:25" x14ac:dyDescent="0.25">
      <c r="A314" t="s">
        <v>360</v>
      </c>
      <c r="B314" s="1">
        <v>45018</v>
      </c>
      <c r="C314">
        <v>2023</v>
      </c>
      <c r="D314">
        <v>4</v>
      </c>
      <c r="E314" t="s">
        <v>357</v>
      </c>
      <c r="F314" t="s">
        <v>358</v>
      </c>
      <c r="G314" t="s">
        <v>28</v>
      </c>
      <c r="H314" t="s">
        <v>29</v>
      </c>
      <c r="I314" t="s">
        <v>39</v>
      </c>
      <c r="J314">
        <v>32</v>
      </c>
      <c r="K314">
        <v>1538.11</v>
      </c>
      <c r="L314">
        <v>49219.48</v>
      </c>
      <c r="M314">
        <v>32590.78</v>
      </c>
      <c r="N314">
        <v>4701.53</v>
      </c>
      <c r="O314">
        <v>2224.92</v>
      </c>
      <c r="P314">
        <v>1647.93</v>
      </c>
      <c r="Q314">
        <v>281.04000000000002</v>
      </c>
      <c r="R314">
        <v>2085.09</v>
      </c>
      <c r="S314">
        <v>788.41</v>
      </c>
      <c r="T314">
        <v>44319.7</v>
      </c>
      <c r="U314">
        <v>16628.7</v>
      </c>
      <c r="V314">
        <v>4899.78</v>
      </c>
      <c r="W314">
        <v>4656.22</v>
      </c>
      <c r="X314">
        <v>51341.62</v>
      </c>
      <c r="Y314">
        <v>45582.43</v>
      </c>
    </row>
    <row r="315" spans="1:25" x14ac:dyDescent="0.25">
      <c r="A315" t="s">
        <v>361</v>
      </c>
      <c r="B315" s="1">
        <v>45018</v>
      </c>
      <c r="C315">
        <v>2023</v>
      </c>
      <c r="D315">
        <v>4</v>
      </c>
      <c r="E315" t="s">
        <v>357</v>
      </c>
      <c r="F315" t="s">
        <v>358</v>
      </c>
      <c r="G315" t="s">
        <v>35</v>
      </c>
      <c r="H315" t="s">
        <v>36</v>
      </c>
      <c r="I315" t="s">
        <v>33</v>
      </c>
      <c r="J315">
        <v>86</v>
      </c>
      <c r="K315">
        <v>809.71</v>
      </c>
      <c r="L315">
        <v>69635.240000000005</v>
      </c>
      <c r="M315">
        <v>42361.13</v>
      </c>
      <c r="N315">
        <v>6803.64</v>
      </c>
      <c r="O315">
        <v>2615.04</v>
      </c>
      <c r="P315">
        <v>2656.66</v>
      </c>
      <c r="Q315">
        <v>1127.33</v>
      </c>
      <c r="R315">
        <v>3741.62</v>
      </c>
      <c r="S315">
        <v>1523</v>
      </c>
      <c r="T315">
        <v>60828.43</v>
      </c>
      <c r="U315">
        <v>27274.11</v>
      </c>
      <c r="V315">
        <v>8806.81</v>
      </c>
      <c r="W315">
        <v>8466.9599999999991</v>
      </c>
      <c r="X315">
        <v>72580.17</v>
      </c>
      <c r="Y315">
        <v>66414.3</v>
      </c>
    </row>
    <row r="316" spans="1:25" x14ac:dyDescent="0.25">
      <c r="A316" t="s">
        <v>362</v>
      </c>
      <c r="B316" s="1">
        <v>45018</v>
      </c>
      <c r="C316">
        <v>2023</v>
      </c>
      <c r="D316">
        <v>4</v>
      </c>
      <c r="E316" t="s">
        <v>357</v>
      </c>
      <c r="F316" t="s">
        <v>358</v>
      </c>
      <c r="G316" t="s">
        <v>55</v>
      </c>
      <c r="H316" t="s">
        <v>53</v>
      </c>
      <c r="I316" t="s">
        <v>30</v>
      </c>
      <c r="J316">
        <v>82</v>
      </c>
      <c r="K316">
        <v>1097.9000000000001</v>
      </c>
      <c r="L316">
        <v>90027.5</v>
      </c>
      <c r="M316">
        <v>45758.73</v>
      </c>
      <c r="N316">
        <v>11101.25</v>
      </c>
      <c r="O316">
        <v>3116.3</v>
      </c>
      <c r="P316">
        <v>2187.0700000000002</v>
      </c>
      <c r="Q316">
        <v>561.28</v>
      </c>
      <c r="R316">
        <v>4751.42</v>
      </c>
      <c r="S316">
        <v>1980.87</v>
      </c>
      <c r="T316">
        <v>69456.92</v>
      </c>
      <c r="U316">
        <v>44268.77</v>
      </c>
      <c r="V316">
        <v>20570.580000000002</v>
      </c>
      <c r="W316">
        <v>20271.25</v>
      </c>
      <c r="X316">
        <v>93335.64</v>
      </c>
      <c r="Y316">
        <v>66659.86</v>
      </c>
    </row>
    <row r="317" spans="1:25" x14ac:dyDescent="0.25">
      <c r="A317" t="s">
        <v>363</v>
      </c>
      <c r="B317" s="1">
        <v>45018</v>
      </c>
      <c r="C317">
        <v>2023</v>
      </c>
      <c r="D317">
        <v>4</v>
      </c>
      <c r="E317" t="s">
        <v>357</v>
      </c>
      <c r="F317" t="s">
        <v>358</v>
      </c>
      <c r="G317" t="s">
        <v>28</v>
      </c>
      <c r="H317" t="s">
        <v>36</v>
      </c>
      <c r="I317" t="s">
        <v>65</v>
      </c>
      <c r="J317">
        <v>47</v>
      </c>
      <c r="K317">
        <v>1558.33</v>
      </c>
      <c r="L317">
        <v>73241.509999999995</v>
      </c>
      <c r="M317">
        <v>49101.64</v>
      </c>
      <c r="N317">
        <v>7440.63</v>
      </c>
      <c r="O317">
        <v>3541.55</v>
      </c>
      <c r="P317">
        <v>2735.1</v>
      </c>
      <c r="Q317">
        <v>701.66</v>
      </c>
      <c r="R317">
        <v>3256.03</v>
      </c>
      <c r="S317">
        <v>1453.28</v>
      </c>
      <c r="T317">
        <v>68229.89</v>
      </c>
      <c r="U317">
        <v>24139.88</v>
      </c>
      <c r="V317">
        <v>5011.63</v>
      </c>
      <c r="W317">
        <v>4433.0600000000004</v>
      </c>
      <c r="X317">
        <v>77708.160000000003</v>
      </c>
      <c r="Y317">
        <v>66457</v>
      </c>
    </row>
    <row r="318" spans="1:25" x14ac:dyDescent="0.25">
      <c r="A318" t="s">
        <v>364</v>
      </c>
      <c r="B318" s="1">
        <v>45018</v>
      </c>
      <c r="C318">
        <v>2023</v>
      </c>
      <c r="D318">
        <v>4</v>
      </c>
      <c r="E318" t="s">
        <v>357</v>
      </c>
      <c r="F318" t="s">
        <v>358</v>
      </c>
      <c r="G318" t="s">
        <v>35</v>
      </c>
      <c r="H318" t="s">
        <v>32</v>
      </c>
      <c r="I318" t="s">
        <v>30</v>
      </c>
      <c r="J318">
        <v>75</v>
      </c>
      <c r="K318">
        <v>1360.95</v>
      </c>
      <c r="L318">
        <v>102071.57</v>
      </c>
      <c r="M318">
        <v>51409.34</v>
      </c>
      <c r="N318">
        <v>12276.66</v>
      </c>
      <c r="O318">
        <v>5866.82</v>
      </c>
      <c r="P318">
        <v>1860.12</v>
      </c>
      <c r="Q318">
        <v>1778.14</v>
      </c>
      <c r="R318">
        <v>4989.72</v>
      </c>
      <c r="S318">
        <v>1552.3</v>
      </c>
      <c r="T318">
        <v>79733.11</v>
      </c>
      <c r="U318">
        <v>50662.23</v>
      </c>
      <c r="V318">
        <v>22338.46</v>
      </c>
      <c r="W318">
        <v>19817.509999999998</v>
      </c>
      <c r="X318">
        <v>108423.72</v>
      </c>
      <c r="Y318">
        <v>84837.57</v>
      </c>
    </row>
    <row r="319" spans="1:25" x14ac:dyDescent="0.25">
      <c r="A319" t="s">
        <v>365</v>
      </c>
      <c r="B319" s="1">
        <v>45019</v>
      </c>
      <c r="C319">
        <v>2023</v>
      </c>
      <c r="D319">
        <v>4</v>
      </c>
      <c r="E319" t="s">
        <v>357</v>
      </c>
      <c r="F319" t="s">
        <v>358</v>
      </c>
      <c r="G319" t="s">
        <v>44</v>
      </c>
      <c r="H319" t="s">
        <v>29</v>
      </c>
      <c r="I319" t="s">
        <v>65</v>
      </c>
      <c r="J319">
        <v>47</v>
      </c>
      <c r="K319">
        <v>1293.08</v>
      </c>
      <c r="L319">
        <v>60774.84</v>
      </c>
      <c r="M319">
        <v>34429.85</v>
      </c>
      <c r="N319">
        <v>7674.78</v>
      </c>
      <c r="O319">
        <v>3291.91</v>
      </c>
      <c r="P319">
        <v>1185.76</v>
      </c>
      <c r="Q319">
        <v>1008.12</v>
      </c>
      <c r="R319">
        <v>2436.63</v>
      </c>
      <c r="S319">
        <v>817</v>
      </c>
      <c r="T319">
        <v>50844.04</v>
      </c>
      <c r="U319">
        <v>26344.99</v>
      </c>
      <c r="V319">
        <v>9930.7900000000009</v>
      </c>
      <c r="W319">
        <v>9476.85</v>
      </c>
      <c r="X319">
        <v>58861.42</v>
      </c>
      <c r="Y319">
        <v>48125.15</v>
      </c>
    </row>
    <row r="320" spans="1:25" x14ac:dyDescent="0.25">
      <c r="A320" t="s">
        <v>366</v>
      </c>
      <c r="B320" s="1">
        <v>45019</v>
      </c>
      <c r="C320">
        <v>2023</v>
      </c>
      <c r="D320">
        <v>4</v>
      </c>
      <c r="E320" t="s">
        <v>357</v>
      </c>
      <c r="F320" t="s">
        <v>358</v>
      </c>
      <c r="G320" t="s">
        <v>35</v>
      </c>
      <c r="H320" t="s">
        <v>53</v>
      </c>
      <c r="I320" t="s">
        <v>50</v>
      </c>
      <c r="J320">
        <v>32</v>
      </c>
      <c r="K320">
        <v>1202.92</v>
      </c>
      <c r="L320">
        <v>38493.49</v>
      </c>
      <c r="M320">
        <v>20080.25</v>
      </c>
      <c r="N320">
        <v>3562.83</v>
      </c>
      <c r="O320">
        <v>1626.77</v>
      </c>
      <c r="P320">
        <v>1111.6199999999999</v>
      </c>
      <c r="Q320">
        <v>639.36</v>
      </c>
      <c r="R320">
        <v>1339.71</v>
      </c>
      <c r="S320">
        <v>433.91</v>
      </c>
      <c r="T320">
        <v>28794.45</v>
      </c>
      <c r="U320">
        <v>18413.240000000002</v>
      </c>
      <c r="V320">
        <v>9699.0400000000009</v>
      </c>
      <c r="W320">
        <v>8536.4599999999991</v>
      </c>
      <c r="X320">
        <v>38062.33</v>
      </c>
      <c r="Y320">
        <v>30296.51</v>
      </c>
    </row>
    <row r="321" spans="1:25" x14ac:dyDescent="0.25">
      <c r="A321" t="s">
        <v>367</v>
      </c>
      <c r="B321" s="1">
        <v>45019</v>
      </c>
      <c r="C321">
        <v>2023</v>
      </c>
      <c r="D321">
        <v>4</v>
      </c>
      <c r="E321" t="s">
        <v>357</v>
      </c>
      <c r="F321" t="s">
        <v>358</v>
      </c>
      <c r="G321" t="s">
        <v>28</v>
      </c>
      <c r="H321" t="s">
        <v>32</v>
      </c>
      <c r="I321" t="s">
        <v>65</v>
      </c>
      <c r="J321">
        <v>62</v>
      </c>
      <c r="K321">
        <v>1463.17</v>
      </c>
      <c r="L321">
        <v>90716.34</v>
      </c>
      <c r="M321">
        <v>59086.67</v>
      </c>
      <c r="N321">
        <v>10244.09</v>
      </c>
      <c r="O321">
        <v>5354.06</v>
      </c>
      <c r="P321">
        <v>1981.78</v>
      </c>
      <c r="Q321">
        <v>1163.54</v>
      </c>
      <c r="R321">
        <v>2871.34</v>
      </c>
      <c r="S321">
        <v>1242.07</v>
      </c>
      <c r="T321">
        <v>81943.55</v>
      </c>
      <c r="U321">
        <v>31629.67</v>
      </c>
      <c r="V321">
        <v>8772.7900000000009</v>
      </c>
      <c r="W321">
        <v>8303.52</v>
      </c>
      <c r="X321">
        <v>89291.65</v>
      </c>
      <c r="Y321">
        <v>86217.93</v>
      </c>
    </row>
    <row r="322" spans="1:25" x14ac:dyDescent="0.25">
      <c r="A322" t="s">
        <v>368</v>
      </c>
      <c r="B322" s="1">
        <v>45019</v>
      </c>
      <c r="C322">
        <v>2023</v>
      </c>
      <c r="D322">
        <v>4</v>
      </c>
      <c r="E322" t="s">
        <v>357</v>
      </c>
      <c r="F322" t="s">
        <v>358</v>
      </c>
      <c r="G322" t="s">
        <v>55</v>
      </c>
      <c r="H322" t="s">
        <v>53</v>
      </c>
      <c r="I322" t="s">
        <v>30</v>
      </c>
      <c r="J322">
        <v>62</v>
      </c>
      <c r="K322">
        <v>1359.88</v>
      </c>
      <c r="L322">
        <v>84312.75</v>
      </c>
      <c r="M322">
        <v>54379.28</v>
      </c>
      <c r="N322">
        <v>6631.55</v>
      </c>
      <c r="O322">
        <v>2194.75</v>
      </c>
      <c r="P322">
        <v>3464.97</v>
      </c>
      <c r="Q322">
        <v>1185.02</v>
      </c>
      <c r="R322">
        <v>4565.07</v>
      </c>
      <c r="S322">
        <v>751.8</v>
      </c>
      <c r="T322">
        <v>73172.429999999993</v>
      </c>
      <c r="U322">
        <v>29933.48</v>
      </c>
      <c r="V322">
        <v>11140.32</v>
      </c>
      <c r="W322">
        <v>11009.81</v>
      </c>
      <c r="X322">
        <v>85992.04</v>
      </c>
      <c r="Y322">
        <v>74087.509999999995</v>
      </c>
    </row>
    <row r="323" spans="1:25" x14ac:dyDescent="0.25">
      <c r="A323" t="s">
        <v>369</v>
      </c>
      <c r="B323" s="1">
        <v>45019</v>
      </c>
      <c r="C323">
        <v>2023</v>
      </c>
      <c r="D323">
        <v>4</v>
      </c>
      <c r="E323" t="s">
        <v>357</v>
      </c>
      <c r="F323" t="s">
        <v>358</v>
      </c>
      <c r="G323" t="s">
        <v>28</v>
      </c>
      <c r="H323" t="s">
        <v>29</v>
      </c>
      <c r="I323" t="s">
        <v>33</v>
      </c>
      <c r="J323">
        <v>60</v>
      </c>
      <c r="K323">
        <v>1393.62</v>
      </c>
      <c r="L323">
        <v>83617.23</v>
      </c>
      <c r="M323">
        <v>52654.400000000001</v>
      </c>
      <c r="N323">
        <v>8034.32</v>
      </c>
      <c r="O323">
        <v>5541.11</v>
      </c>
      <c r="P323">
        <v>1838.92</v>
      </c>
      <c r="Q323">
        <v>573.41</v>
      </c>
      <c r="R323">
        <v>5210.6499999999996</v>
      </c>
      <c r="S323">
        <v>1863.67</v>
      </c>
      <c r="T323">
        <v>75716.490000000005</v>
      </c>
      <c r="U323">
        <v>30962.83</v>
      </c>
      <c r="V323">
        <v>7900.74</v>
      </c>
      <c r="W323">
        <v>7705.96</v>
      </c>
      <c r="X323">
        <v>83920.6</v>
      </c>
      <c r="Y323">
        <v>71861.56</v>
      </c>
    </row>
    <row r="324" spans="1:25" x14ac:dyDescent="0.25">
      <c r="A324" t="s">
        <v>370</v>
      </c>
      <c r="B324" s="1">
        <v>45019</v>
      </c>
      <c r="C324">
        <v>2023</v>
      </c>
      <c r="D324">
        <v>4</v>
      </c>
      <c r="E324" t="s">
        <v>357</v>
      </c>
      <c r="F324" t="s">
        <v>358</v>
      </c>
      <c r="G324" t="s">
        <v>55</v>
      </c>
      <c r="H324" t="s">
        <v>58</v>
      </c>
      <c r="I324" t="s">
        <v>45</v>
      </c>
      <c r="J324">
        <v>66</v>
      </c>
      <c r="K324">
        <v>886.07</v>
      </c>
      <c r="L324">
        <v>58480.56</v>
      </c>
      <c r="M324">
        <v>28311.759999999998</v>
      </c>
      <c r="N324">
        <v>5192.93</v>
      </c>
      <c r="O324">
        <v>2366.0700000000002</v>
      </c>
      <c r="P324">
        <v>1360.26</v>
      </c>
      <c r="Q324">
        <v>595.44000000000005</v>
      </c>
      <c r="R324">
        <v>2174.44</v>
      </c>
      <c r="S324">
        <v>802.55</v>
      </c>
      <c r="T324">
        <v>40803.449999999997</v>
      </c>
      <c r="U324">
        <v>30168.799999999999</v>
      </c>
      <c r="V324">
        <v>17677.099999999999</v>
      </c>
      <c r="W324">
        <v>16935.240000000002</v>
      </c>
      <c r="X324">
        <v>64418.2</v>
      </c>
      <c r="Y324">
        <v>38144.49</v>
      </c>
    </row>
    <row r="325" spans="1:25" x14ac:dyDescent="0.25">
      <c r="A325" t="s">
        <v>371</v>
      </c>
      <c r="B325" s="1">
        <v>45020</v>
      </c>
      <c r="C325">
        <v>2023</v>
      </c>
      <c r="D325">
        <v>4</v>
      </c>
      <c r="E325" t="s">
        <v>357</v>
      </c>
      <c r="F325" t="s">
        <v>358</v>
      </c>
      <c r="G325" t="s">
        <v>28</v>
      </c>
      <c r="H325" t="s">
        <v>53</v>
      </c>
      <c r="I325" t="s">
        <v>33</v>
      </c>
      <c r="J325">
        <v>75</v>
      </c>
      <c r="K325">
        <v>1083.3599999999999</v>
      </c>
      <c r="L325">
        <v>81252.33</v>
      </c>
      <c r="M325">
        <v>52701.54</v>
      </c>
      <c r="N325">
        <v>7140.63</v>
      </c>
      <c r="O325">
        <v>5057.4799999999996</v>
      </c>
      <c r="P325">
        <v>3379.04</v>
      </c>
      <c r="Q325">
        <v>1142.49</v>
      </c>
      <c r="R325">
        <v>2076</v>
      </c>
      <c r="S325">
        <v>1606.44</v>
      </c>
      <c r="T325">
        <v>73103.61</v>
      </c>
      <c r="U325">
        <v>28550.79</v>
      </c>
      <c r="V325">
        <v>8148.72</v>
      </c>
      <c r="W325">
        <v>8298.25</v>
      </c>
      <c r="X325">
        <v>84174.87</v>
      </c>
      <c r="Y325">
        <v>73686.05</v>
      </c>
    </row>
    <row r="326" spans="1:25" x14ac:dyDescent="0.25">
      <c r="A326" t="s">
        <v>372</v>
      </c>
      <c r="B326" s="1">
        <v>45021</v>
      </c>
      <c r="C326">
        <v>2023</v>
      </c>
      <c r="D326">
        <v>4</v>
      </c>
      <c r="E326" t="s">
        <v>357</v>
      </c>
      <c r="F326" t="s">
        <v>358</v>
      </c>
      <c r="G326" t="s">
        <v>28</v>
      </c>
      <c r="H326" t="s">
        <v>36</v>
      </c>
      <c r="I326" t="s">
        <v>45</v>
      </c>
      <c r="J326">
        <v>53</v>
      </c>
      <c r="K326">
        <v>922.16</v>
      </c>
      <c r="L326">
        <v>48874.49</v>
      </c>
      <c r="M326">
        <v>26180.45</v>
      </c>
      <c r="N326">
        <v>4136.08</v>
      </c>
      <c r="O326">
        <v>3385.93</v>
      </c>
      <c r="P326">
        <v>1528.08</v>
      </c>
      <c r="Q326">
        <v>305.12</v>
      </c>
      <c r="R326">
        <v>1622.35</v>
      </c>
      <c r="S326">
        <v>562.75</v>
      </c>
      <c r="T326">
        <v>37720.76</v>
      </c>
      <c r="U326">
        <v>22694.05</v>
      </c>
      <c r="V326">
        <v>11153.73</v>
      </c>
      <c r="W326">
        <v>11076.59</v>
      </c>
      <c r="X326">
        <v>48394.42</v>
      </c>
      <c r="Y326">
        <v>40661.24</v>
      </c>
    </row>
    <row r="327" spans="1:25" x14ac:dyDescent="0.25">
      <c r="A327" t="s">
        <v>373</v>
      </c>
      <c r="B327" s="1">
        <v>45021</v>
      </c>
      <c r="C327">
        <v>2023</v>
      </c>
      <c r="D327">
        <v>4</v>
      </c>
      <c r="E327" t="s">
        <v>357</v>
      </c>
      <c r="F327" t="s">
        <v>358</v>
      </c>
      <c r="G327" t="s">
        <v>28</v>
      </c>
      <c r="H327" t="s">
        <v>32</v>
      </c>
      <c r="I327" t="s">
        <v>56</v>
      </c>
      <c r="J327">
        <v>34</v>
      </c>
      <c r="K327">
        <v>1208.47</v>
      </c>
      <c r="L327">
        <v>41088.050000000003</v>
      </c>
      <c r="M327">
        <v>22090.61</v>
      </c>
      <c r="N327">
        <v>3808.76</v>
      </c>
      <c r="O327">
        <v>3080.1</v>
      </c>
      <c r="P327">
        <v>1622.72</v>
      </c>
      <c r="Q327">
        <v>552.79</v>
      </c>
      <c r="R327">
        <v>1468.86</v>
      </c>
      <c r="S327">
        <v>970.9</v>
      </c>
      <c r="T327">
        <v>33594.74</v>
      </c>
      <c r="U327">
        <v>18997.45</v>
      </c>
      <c r="V327">
        <v>7493.31</v>
      </c>
      <c r="W327">
        <v>7107.41</v>
      </c>
      <c r="X327">
        <v>45158.080000000002</v>
      </c>
      <c r="Y327">
        <v>36502.07</v>
      </c>
    </row>
    <row r="328" spans="1:25" x14ac:dyDescent="0.25">
      <c r="A328" t="s">
        <v>374</v>
      </c>
      <c r="B328" s="1">
        <v>45021</v>
      </c>
      <c r="C328">
        <v>2023</v>
      </c>
      <c r="D328">
        <v>4</v>
      </c>
      <c r="E328" t="s">
        <v>357</v>
      </c>
      <c r="F328" t="s">
        <v>358</v>
      </c>
      <c r="G328" t="s">
        <v>44</v>
      </c>
      <c r="H328" t="s">
        <v>32</v>
      </c>
      <c r="I328" t="s">
        <v>37</v>
      </c>
      <c r="J328">
        <v>58</v>
      </c>
      <c r="K328">
        <v>1434.41</v>
      </c>
      <c r="L328">
        <v>83195.98</v>
      </c>
      <c r="M328">
        <v>45371.66</v>
      </c>
      <c r="N328">
        <v>9360.19</v>
      </c>
      <c r="O328">
        <v>3477.06</v>
      </c>
      <c r="P328">
        <v>1537.17</v>
      </c>
      <c r="Q328">
        <v>1218.25</v>
      </c>
      <c r="R328">
        <v>4726.74</v>
      </c>
      <c r="S328">
        <v>1897.86</v>
      </c>
      <c r="T328">
        <v>67588.94</v>
      </c>
      <c r="U328">
        <v>37824.32</v>
      </c>
      <c r="V328">
        <v>15607.04</v>
      </c>
      <c r="W328">
        <v>15367.03</v>
      </c>
      <c r="X328">
        <v>85783.25</v>
      </c>
      <c r="Y328">
        <v>64898.32</v>
      </c>
    </row>
    <row r="329" spans="1:25" x14ac:dyDescent="0.25">
      <c r="A329" t="s">
        <v>375</v>
      </c>
      <c r="B329" s="1">
        <v>45021</v>
      </c>
      <c r="C329">
        <v>2023</v>
      </c>
      <c r="D329">
        <v>4</v>
      </c>
      <c r="E329" t="s">
        <v>357</v>
      </c>
      <c r="F329" t="s">
        <v>358</v>
      </c>
      <c r="G329" t="s">
        <v>44</v>
      </c>
      <c r="H329" t="s">
        <v>32</v>
      </c>
      <c r="I329" t="s">
        <v>39</v>
      </c>
      <c r="J329">
        <v>51</v>
      </c>
      <c r="K329">
        <v>957.22</v>
      </c>
      <c r="L329">
        <v>48818.1</v>
      </c>
      <c r="M329">
        <v>23792.31</v>
      </c>
      <c r="N329">
        <v>5497.78</v>
      </c>
      <c r="O329">
        <v>1989.88</v>
      </c>
      <c r="P329">
        <v>1446.4</v>
      </c>
      <c r="Q329">
        <v>393.7</v>
      </c>
      <c r="R329">
        <v>1684.17</v>
      </c>
      <c r="S329">
        <v>1210.53</v>
      </c>
      <c r="T329">
        <v>36014.769999999997</v>
      </c>
      <c r="U329">
        <v>25025.79</v>
      </c>
      <c r="V329">
        <v>12803.33</v>
      </c>
      <c r="W329">
        <v>11438.2</v>
      </c>
      <c r="X329">
        <v>50877.43</v>
      </c>
      <c r="Y329">
        <v>38021.49</v>
      </c>
    </row>
    <row r="330" spans="1:25" x14ac:dyDescent="0.25">
      <c r="A330" t="s">
        <v>376</v>
      </c>
      <c r="B330" s="1">
        <v>45022</v>
      </c>
      <c r="C330">
        <v>2023</v>
      </c>
      <c r="D330">
        <v>4</v>
      </c>
      <c r="E330" t="s">
        <v>357</v>
      </c>
      <c r="F330" t="s">
        <v>358</v>
      </c>
      <c r="G330" t="s">
        <v>44</v>
      </c>
      <c r="H330" t="s">
        <v>32</v>
      </c>
      <c r="I330" t="s">
        <v>56</v>
      </c>
      <c r="J330">
        <v>27</v>
      </c>
      <c r="K330">
        <v>1693.94</v>
      </c>
      <c r="L330">
        <v>45736.44</v>
      </c>
      <c r="M330">
        <v>23849.57</v>
      </c>
      <c r="N330">
        <v>5682.65</v>
      </c>
      <c r="O330">
        <v>3092.85</v>
      </c>
      <c r="P330">
        <v>1632.11</v>
      </c>
      <c r="Q330">
        <v>420.88</v>
      </c>
      <c r="R330">
        <v>1821.85</v>
      </c>
      <c r="S330">
        <v>631.59</v>
      </c>
      <c r="T330">
        <v>37131.49</v>
      </c>
      <c r="U330">
        <v>21886.87</v>
      </c>
      <c r="V330">
        <v>8604.9500000000007</v>
      </c>
      <c r="W330">
        <v>7902.88</v>
      </c>
      <c r="X330">
        <v>43771.51</v>
      </c>
      <c r="Y330">
        <v>37839.96</v>
      </c>
    </row>
    <row r="331" spans="1:25" x14ac:dyDescent="0.25">
      <c r="A331" t="s">
        <v>377</v>
      </c>
      <c r="B331" s="1">
        <v>45022</v>
      </c>
      <c r="C331">
        <v>2023</v>
      </c>
      <c r="D331">
        <v>4</v>
      </c>
      <c r="E331" t="s">
        <v>357</v>
      </c>
      <c r="F331" t="s">
        <v>358</v>
      </c>
      <c r="G331" t="s">
        <v>55</v>
      </c>
      <c r="H331" t="s">
        <v>32</v>
      </c>
      <c r="I331" t="s">
        <v>37</v>
      </c>
      <c r="J331">
        <v>52</v>
      </c>
      <c r="K331">
        <v>1645.87</v>
      </c>
      <c r="L331">
        <v>85585.32</v>
      </c>
      <c r="M331">
        <v>52575.33</v>
      </c>
      <c r="N331">
        <v>9571.2099999999991</v>
      </c>
      <c r="O331">
        <v>5321.88</v>
      </c>
      <c r="P331">
        <v>1455.43</v>
      </c>
      <c r="Q331">
        <v>1322.21</v>
      </c>
      <c r="R331">
        <v>2980.63</v>
      </c>
      <c r="S331">
        <v>1880.86</v>
      </c>
      <c r="T331">
        <v>75107.539999999994</v>
      </c>
      <c r="U331">
        <v>33010</v>
      </c>
      <c r="V331">
        <v>10477.780000000001</v>
      </c>
      <c r="W331">
        <v>10441.85</v>
      </c>
      <c r="X331">
        <v>88034.9</v>
      </c>
      <c r="Y331">
        <v>72062.17</v>
      </c>
    </row>
    <row r="332" spans="1:25" x14ac:dyDescent="0.25">
      <c r="A332" t="s">
        <v>378</v>
      </c>
      <c r="B332" s="1">
        <v>45022</v>
      </c>
      <c r="C332">
        <v>2023</v>
      </c>
      <c r="D332">
        <v>4</v>
      </c>
      <c r="E332" t="s">
        <v>357</v>
      </c>
      <c r="F332" t="s">
        <v>358</v>
      </c>
      <c r="G332" t="s">
        <v>55</v>
      </c>
      <c r="H332" t="s">
        <v>36</v>
      </c>
      <c r="I332" t="s">
        <v>45</v>
      </c>
      <c r="J332">
        <v>31</v>
      </c>
      <c r="K332">
        <v>1408.16</v>
      </c>
      <c r="L332">
        <v>43652.98</v>
      </c>
      <c r="M332">
        <v>26872.16</v>
      </c>
      <c r="N332">
        <v>3544.99</v>
      </c>
      <c r="O332">
        <v>3080.41</v>
      </c>
      <c r="P332">
        <v>1104.08</v>
      </c>
      <c r="Q332">
        <v>401.53</v>
      </c>
      <c r="R332">
        <v>2469.98</v>
      </c>
      <c r="S332">
        <v>492.69</v>
      </c>
      <c r="T332">
        <v>37965.839999999997</v>
      </c>
      <c r="U332">
        <v>16780.82</v>
      </c>
      <c r="V332">
        <v>5687.13</v>
      </c>
      <c r="W332">
        <v>5589.92</v>
      </c>
      <c r="X332">
        <v>43647.56</v>
      </c>
      <c r="Y332">
        <v>35810.9</v>
      </c>
    </row>
    <row r="333" spans="1:25" x14ac:dyDescent="0.25">
      <c r="A333" t="s">
        <v>379</v>
      </c>
      <c r="B333" s="1">
        <v>45022</v>
      </c>
      <c r="C333">
        <v>2023</v>
      </c>
      <c r="D333">
        <v>4</v>
      </c>
      <c r="E333" t="s">
        <v>357</v>
      </c>
      <c r="F333" t="s">
        <v>358</v>
      </c>
      <c r="G333" t="s">
        <v>55</v>
      </c>
      <c r="H333" t="s">
        <v>32</v>
      </c>
      <c r="I333" t="s">
        <v>33</v>
      </c>
      <c r="J333">
        <v>50</v>
      </c>
      <c r="K333">
        <v>1693.12</v>
      </c>
      <c r="L333">
        <v>84655.8</v>
      </c>
      <c r="M333">
        <v>50816.63</v>
      </c>
      <c r="N333">
        <v>10577.33</v>
      </c>
      <c r="O333">
        <v>4353.84</v>
      </c>
      <c r="P333">
        <v>1530.82</v>
      </c>
      <c r="Q333">
        <v>1160.1500000000001</v>
      </c>
      <c r="R333">
        <v>4164.45</v>
      </c>
      <c r="S333">
        <v>1393.81</v>
      </c>
      <c r="T333">
        <v>73997.02</v>
      </c>
      <c r="U333">
        <v>33839.17</v>
      </c>
      <c r="V333">
        <v>10658.78</v>
      </c>
      <c r="W333">
        <v>9644.67</v>
      </c>
      <c r="X333">
        <v>94330.97</v>
      </c>
      <c r="Y333">
        <v>74580.639999999999</v>
      </c>
    </row>
    <row r="334" spans="1:25" x14ac:dyDescent="0.25">
      <c r="A334" t="s">
        <v>380</v>
      </c>
      <c r="B334" s="1">
        <v>45022</v>
      </c>
      <c r="C334">
        <v>2023</v>
      </c>
      <c r="D334">
        <v>4</v>
      </c>
      <c r="E334" t="s">
        <v>357</v>
      </c>
      <c r="F334" t="s">
        <v>358</v>
      </c>
      <c r="G334" t="s">
        <v>44</v>
      </c>
      <c r="H334" t="s">
        <v>32</v>
      </c>
      <c r="I334" t="s">
        <v>50</v>
      </c>
      <c r="J334">
        <v>31</v>
      </c>
      <c r="K334">
        <v>1554.83</v>
      </c>
      <c r="L334">
        <v>48199.83</v>
      </c>
      <c r="M334">
        <v>26673.8</v>
      </c>
      <c r="N334">
        <v>3450.15</v>
      </c>
      <c r="O334">
        <v>1795.56</v>
      </c>
      <c r="P334">
        <v>728.04</v>
      </c>
      <c r="Q334">
        <v>753.76</v>
      </c>
      <c r="R334">
        <v>2140.3000000000002</v>
      </c>
      <c r="S334">
        <v>751.19</v>
      </c>
      <c r="T334">
        <v>36292.800000000003</v>
      </c>
      <c r="U334">
        <v>21526.03</v>
      </c>
      <c r="V334">
        <v>11907.03</v>
      </c>
      <c r="W334">
        <v>12110.29</v>
      </c>
      <c r="X334">
        <v>48308.86</v>
      </c>
      <c r="Y334">
        <v>36433.089999999997</v>
      </c>
    </row>
    <row r="335" spans="1:25" x14ac:dyDescent="0.25">
      <c r="A335" t="s">
        <v>381</v>
      </c>
      <c r="B335" s="1">
        <v>45023</v>
      </c>
      <c r="C335">
        <v>2023</v>
      </c>
      <c r="D335">
        <v>4</v>
      </c>
      <c r="E335" t="s">
        <v>357</v>
      </c>
      <c r="F335" t="s">
        <v>358</v>
      </c>
      <c r="G335" t="s">
        <v>35</v>
      </c>
      <c r="H335" t="s">
        <v>53</v>
      </c>
      <c r="I335" t="s">
        <v>33</v>
      </c>
      <c r="J335">
        <v>59</v>
      </c>
      <c r="K335">
        <v>1249.69</v>
      </c>
      <c r="L335">
        <v>73731.42</v>
      </c>
      <c r="M335">
        <v>37788.69</v>
      </c>
      <c r="N335">
        <v>9090.1</v>
      </c>
      <c r="O335">
        <v>2712.63</v>
      </c>
      <c r="P335">
        <v>3187.72</v>
      </c>
      <c r="Q335">
        <v>524.6</v>
      </c>
      <c r="R335">
        <v>2095.58</v>
      </c>
      <c r="S335">
        <v>1782.29</v>
      </c>
      <c r="T335">
        <v>57181.599999999999</v>
      </c>
      <c r="U335">
        <v>35942.730000000003</v>
      </c>
      <c r="V335">
        <v>16549.82</v>
      </c>
      <c r="W335">
        <v>15009.78</v>
      </c>
      <c r="X335">
        <v>82270.48</v>
      </c>
      <c r="Y335">
        <v>53792.51</v>
      </c>
    </row>
    <row r="336" spans="1:25" x14ac:dyDescent="0.25">
      <c r="A336" t="s">
        <v>382</v>
      </c>
      <c r="B336" s="1">
        <v>45024</v>
      </c>
      <c r="C336">
        <v>2023</v>
      </c>
      <c r="D336">
        <v>4</v>
      </c>
      <c r="E336" t="s">
        <v>357</v>
      </c>
      <c r="F336" t="s">
        <v>358</v>
      </c>
      <c r="G336" t="s">
        <v>35</v>
      </c>
      <c r="H336" t="s">
        <v>36</v>
      </c>
      <c r="I336" t="s">
        <v>65</v>
      </c>
      <c r="J336">
        <v>47</v>
      </c>
      <c r="K336">
        <v>1233.27</v>
      </c>
      <c r="L336">
        <v>57963.75</v>
      </c>
      <c r="M336">
        <v>32891.58</v>
      </c>
      <c r="N336">
        <v>4393.49</v>
      </c>
      <c r="O336">
        <v>2644.88</v>
      </c>
      <c r="P336">
        <v>2125.25</v>
      </c>
      <c r="Q336">
        <v>941.4</v>
      </c>
      <c r="R336">
        <v>1607.35</v>
      </c>
      <c r="S336">
        <v>1132.82</v>
      </c>
      <c r="T336">
        <v>45736.78</v>
      </c>
      <c r="U336">
        <v>25072.17</v>
      </c>
      <c r="V336">
        <v>12226.96</v>
      </c>
      <c r="W336">
        <v>11937.82</v>
      </c>
      <c r="X336">
        <v>53785.22</v>
      </c>
      <c r="Y336">
        <v>46106.720000000001</v>
      </c>
    </row>
    <row r="337" spans="1:25" x14ac:dyDescent="0.25">
      <c r="A337" t="s">
        <v>383</v>
      </c>
      <c r="B337" s="1">
        <v>45024</v>
      </c>
      <c r="C337">
        <v>2023</v>
      </c>
      <c r="D337">
        <v>4</v>
      </c>
      <c r="E337" t="s">
        <v>357</v>
      </c>
      <c r="F337" t="s">
        <v>358</v>
      </c>
      <c r="G337" t="s">
        <v>44</v>
      </c>
      <c r="H337" t="s">
        <v>53</v>
      </c>
      <c r="I337" t="s">
        <v>39</v>
      </c>
      <c r="J337">
        <v>28</v>
      </c>
      <c r="K337">
        <v>989.32</v>
      </c>
      <c r="L337">
        <v>27701.05</v>
      </c>
      <c r="M337">
        <v>14078.84</v>
      </c>
      <c r="N337">
        <v>3216.99</v>
      </c>
      <c r="O337">
        <v>1694.01</v>
      </c>
      <c r="P337">
        <v>434.36</v>
      </c>
      <c r="Q337">
        <v>483.48</v>
      </c>
      <c r="R337">
        <v>1761.26</v>
      </c>
      <c r="S337">
        <v>391.46</v>
      </c>
      <c r="T337">
        <v>22060.400000000001</v>
      </c>
      <c r="U337">
        <v>13622.21</v>
      </c>
      <c r="V337">
        <v>5640.65</v>
      </c>
      <c r="W337">
        <v>5336.66</v>
      </c>
      <c r="X337">
        <v>30708.05</v>
      </c>
      <c r="Y337">
        <v>23378.51</v>
      </c>
    </row>
    <row r="338" spans="1:25" x14ac:dyDescent="0.25">
      <c r="A338" t="s">
        <v>384</v>
      </c>
      <c r="B338" s="1">
        <v>45024</v>
      </c>
      <c r="C338">
        <v>2023</v>
      </c>
      <c r="D338">
        <v>4</v>
      </c>
      <c r="E338" t="s">
        <v>357</v>
      </c>
      <c r="F338" t="s">
        <v>358</v>
      </c>
      <c r="G338" t="s">
        <v>55</v>
      </c>
      <c r="H338" t="s">
        <v>53</v>
      </c>
      <c r="I338" t="s">
        <v>65</v>
      </c>
      <c r="J338">
        <v>32</v>
      </c>
      <c r="K338">
        <v>1590.21</v>
      </c>
      <c r="L338">
        <v>50886.61</v>
      </c>
      <c r="M338">
        <v>33028.83</v>
      </c>
      <c r="N338">
        <v>3783.79</v>
      </c>
      <c r="O338">
        <v>2629.02</v>
      </c>
      <c r="P338">
        <v>1294.3499999999999</v>
      </c>
      <c r="Q338">
        <v>571.79</v>
      </c>
      <c r="R338">
        <v>1367.81</v>
      </c>
      <c r="S338">
        <v>781.54</v>
      </c>
      <c r="T338">
        <v>43457.14</v>
      </c>
      <c r="U338">
        <v>17857.78</v>
      </c>
      <c r="V338">
        <v>7429.48</v>
      </c>
      <c r="W338">
        <v>6854.04</v>
      </c>
      <c r="X338">
        <v>50670.45</v>
      </c>
      <c r="Y338">
        <v>44497.84</v>
      </c>
    </row>
    <row r="339" spans="1:25" x14ac:dyDescent="0.25">
      <c r="A339" t="s">
        <v>385</v>
      </c>
      <c r="B339" s="1">
        <v>45024</v>
      </c>
      <c r="C339">
        <v>2023</v>
      </c>
      <c r="D339">
        <v>4</v>
      </c>
      <c r="E339" t="s">
        <v>357</v>
      </c>
      <c r="F339" t="s">
        <v>358</v>
      </c>
      <c r="G339" t="s">
        <v>44</v>
      </c>
      <c r="H339" t="s">
        <v>32</v>
      </c>
      <c r="I339" t="s">
        <v>37</v>
      </c>
      <c r="J339">
        <v>59</v>
      </c>
      <c r="K339">
        <v>1366.32</v>
      </c>
      <c r="L339">
        <v>80613.09</v>
      </c>
      <c r="M339">
        <v>46543.56</v>
      </c>
      <c r="N339">
        <v>5880.62</v>
      </c>
      <c r="O339">
        <v>2942.43</v>
      </c>
      <c r="P339">
        <v>2003.84</v>
      </c>
      <c r="Q339">
        <v>445.69</v>
      </c>
      <c r="R339">
        <v>2526.11</v>
      </c>
      <c r="S339">
        <v>647.74</v>
      </c>
      <c r="T339">
        <v>60989.99</v>
      </c>
      <c r="U339">
        <v>34069.53</v>
      </c>
      <c r="V339">
        <v>19623.099999999999</v>
      </c>
      <c r="W339">
        <v>18698.740000000002</v>
      </c>
      <c r="X339">
        <v>75064.13</v>
      </c>
      <c r="Y339">
        <v>59790.02</v>
      </c>
    </row>
    <row r="340" spans="1:25" x14ac:dyDescent="0.25">
      <c r="A340" t="s">
        <v>386</v>
      </c>
      <c r="B340" s="1">
        <v>45025</v>
      </c>
      <c r="C340">
        <v>2023</v>
      </c>
      <c r="D340">
        <v>4</v>
      </c>
      <c r="E340" t="s">
        <v>357</v>
      </c>
      <c r="F340" t="s">
        <v>358</v>
      </c>
      <c r="G340" t="s">
        <v>44</v>
      </c>
      <c r="H340" t="s">
        <v>36</v>
      </c>
      <c r="I340" t="s">
        <v>45</v>
      </c>
      <c r="J340">
        <v>36</v>
      </c>
      <c r="K340">
        <v>1409.76</v>
      </c>
      <c r="L340">
        <v>50751.22</v>
      </c>
      <c r="M340">
        <v>32566.959999999999</v>
      </c>
      <c r="N340">
        <v>4016.15</v>
      </c>
      <c r="O340">
        <v>2719.62</v>
      </c>
      <c r="P340">
        <v>1995.32</v>
      </c>
      <c r="Q340">
        <v>357.66</v>
      </c>
      <c r="R340">
        <v>1926.54</v>
      </c>
      <c r="S340">
        <v>1055.99</v>
      </c>
      <c r="T340">
        <v>44638.25</v>
      </c>
      <c r="U340">
        <v>18184.259999999998</v>
      </c>
      <c r="V340">
        <v>6112.97</v>
      </c>
      <c r="W340">
        <v>5668.7</v>
      </c>
      <c r="X340">
        <v>56049.9</v>
      </c>
      <c r="Y340">
        <v>48148.160000000003</v>
      </c>
    </row>
    <row r="341" spans="1:25" x14ac:dyDescent="0.25">
      <c r="A341" t="s">
        <v>387</v>
      </c>
      <c r="B341" s="1">
        <v>45025</v>
      </c>
      <c r="C341">
        <v>2023</v>
      </c>
      <c r="D341">
        <v>4</v>
      </c>
      <c r="E341" t="s">
        <v>357</v>
      </c>
      <c r="F341" t="s">
        <v>358</v>
      </c>
      <c r="G341" t="s">
        <v>44</v>
      </c>
      <c r="H341" t="s">
        <v>29</v>
      </c>
      <c r="I341" t="s">
        <v>30</v>
      </c>
      <c r="J341">
        <v>96</v>
      </c>
      <c r="K341">
        <v>870.43</v>
      </c>
      <c r="L341">
        <v>83561.02</v>
      </c>
      <c r="M341">
        <v>47602.21</v>
      </c>
      <c r="N341">
        <v>6776.23</v>
      </c>
      <c r="O341">
        <v>6220.78</v>
      </c>
      <c r="P341">
        <v>2353.39</v>
      </c>
      <c r="Q341">
        <v>479.38</v>
      </c>
      <c r="R341">
        <v>5312.78</v>
      </c>
      <c r="S341">
        <v>1361.36</v>
      </c>
      <c r="T341">
        <v>70106.14</v>
      </c>
      <c r="U341">
        <v>35958.81</v>
      </c>
      <c r="V341">
        <v>13454.88</v>
      </c>
      <c r="W341">
        <v>12578.06</v>
      </c>
      <c r="X341">
        <v>91796.62</v>
      </c>
      <c r="Y341">
        <v>75195.72</v>
      </c>
    </row>
    <row r="342" spans="1:25" x14ac:dyDescent="0.25">
      <c r="A342" t="s">
        <v>388</v>
      </c>
      <c r="B342" s="1">
        <v>45025</v>
      </c>
      <c r="C342">
        <v>2023</v>
      </c>
      <c r="D342">
        <v>4</v>
      </c>
      <c r="E342" t="s">
        <v>357</v>
      </c>
      <c r="F342" t="s">
        <v>358</v>
      </c>
      <c r="G342" t="s">
        <v>44</v>
      </c>
      <c r="H342" t="s">
        <v>32</v>
      </c>
      <c r="I342" t="s">
        <v>33</v>
      </c>
      <c r="J342">
        <v>74</v>
      </c>
      <c r="K342">
        <v>868.22</v>
      </c>
      <c r="L342">
        <v>64248.31</v>
      </c>
      <c r="M342">
        <v>35151.910000000003</v>
      </c>
      <c r="N342">
        <v>5028.1499999999996</v>
      </c>
      <c r="O342">
        <v>1811.47</v>
      </c>
      <c r="P342">
        <v>2808.41</v>
      </c>
      <c r="Q342">
        <v>733.44</v>
      </c>
      <c r="R342">
        <v>2186.02</v>
      </c>
      <c r="S342">
        <v>747.51</v>
      </c>
      <c r="T342">
        <v>48466.91</v>
      </c>
      <c r="U342">
        <v>29096.400000000001</v>
      </c>
      <c r="V342">
        <v>15781.4</v>
      </c>
      <c r="W342">
        <v>14790.78</v>
      </c>
      <c r="X342">
        <v>62825.81</v>
      </c>
      <c r="Y342">
        <v>49899.71</v>
      </c>
    </row>
    <row r="343" spans="1:25" x14ac:dyDescent="0.25">
      <c r="A343" t="s">
        <v>389</v>
      </c>
      <c r="B343" s="1">
        <v>45025</v>
      </c>
      <c r="C343">
        <v>2023</v>
      </c>
      <c r="D343">
        <v>4</v>
      </c>
      <c r="E343" t="s">
        <v>357</v>
      </c>
      <c r="F343" t="s">
        <v>358</v>
      </c>
      <c r="G343" t="s">
        <v>28</v>
      </c>
      <c r="H343" t="s">
        <v>32</v>
      </c>
      <c r="I343" t="s">
        <v>65</v>
      </c>
      <c r="J343">
        <v>61</v>
      </c>
      <c r="K343">
        <v>1283.72</v>
      </c>
      <c r="L343">
        <v>78306.67</v>
      </c>
      <c r="M343">
        <v>49110.99</v>
      </c>
      <c r="N343">
        <v>5581.22</v>
      </c>
      <c r="O343">
        <v>3473.78</v>
      </c>
      <c r="P343">
        <v>2930.67</v>
      </c>
      <c r="Q343">
        <v>982.71</v>
      </c>
      <c r="R343">
        <v>4279.55</v>
      </c>
      <c r="S343">
        <v>1211.26</v>
      </c>
      <c r="T343">
        <v>67570.179999999993</v>
      </c>
      <c r="U343">
        <v>29195.68</v>
      </c>
      <c r="V343">
        <v>10736.49</v>
      </c>
      <c r="W343">
        <v>10050.6</v>
      </c>
      <c r="X343">
        <v>77352.11</v>
      </c>
      <c r="Y343">
        <v>72169.740000000005</v>
      </c>
    </row>
    <row r="344" spans="1:25" x14ac:dyDescent="0.25">
      <c r="A344" t="s">
        <v>390</v>
      </c>
      <c r="B344" s="1">
        <v>45026</v>
      </c>
      <c r="C344">
        <v>2023</v>
      </c>
      <c r="D344">
        <v>4</v>
      </c>
      <c r="E344" t="s">
        <v>357</v>
      </c>
      <c r="F344" t="s">
        <v>358</v>
      </c>
      <c r="G344" t="s">
        <v>28</v>
      </c>
      <c r="H344" t="s">
        <v>58</v>
      </c>
      <c r="I344" t="s">
        <v>33</v>
      </c>
      <c r="J344">
        <v>93</v>
      </c>
      <c r="K344">
        <v>924.91</v>
      </c>
      <c r="L344">
        <v>86016.51</v>
      </c>
      <c r="M344">
        <v>45709.03</v>
      </c>
      <c r="N344">
        <v>9803.9500000000007</v>
      </c>
      <c r="O344">
        <v>4752.57</v>
      </c>
      <c r="P344">
        <v>3288.77</v>
      </c>
      <c r="Q344">
        <v>628.45000000000005</v>
      </c>
      <c r="R344">
        <v>4041.19</v>
      </c>
      <c r="S344">
        <v>1549.27</v>
      </c>
      <c r="T344">
        <v>69773.210000000006</v>
      </c>
      <c r="U344">
        <v>40307.480000000003</v>
      </c>
      <c r="V344">
        <v>16243.3</v>
      </c>
      <c r="W344">
        <v>15926.91</v>
      </c>
      <c r="X344">
        <v>88211.45</v>
      </c>
      <c r="Y344">
        <v>73963.429999999993</v>
      </c>
    </row>
    <row r="345" spans="1:25" x14ac:dyDescent="0.25">
      <c r="A345" t="s">
        <v>391</v>
      </c>
      <c r="B345" s="1">
        <v>45026</v>
      </c>
      <c r="C345">
        <v>2023</v>
      </c>
      <c r="D345">
        <v>4</v>
      </c>
      <c r="E345" t="s">
        <v>357</v>
      </c>
      <c r="F345" t="s">
        <v>358</v>
      </c>
      <c r="G345" t="s">
        <v>28</v>
      </c>
      <c r="H345" t="s">
        <v>53</v>
      </c>
      <c r="I345" t="s">
        <v>65</v>
      </c>
      <c r="J345">
        <v>57</v>
      </c>
      <c r="K345">
        <v>1015.47</v>
      </c>
      <c r="L345">
        <v>57882</v>
      </c>
      <c r="M345">
        <v>29588.49</v>
      </c>
      <c r="N345">
        <v>4117.8999999999996</v>
      </c>
      <c r="O345">
        <v>2735.21</v>
      </c>
      <c r="P345">
        <v>2494.46</v>
      </c>
      <c r="Q345">
        <v>411.61</v>
      </c>
      <c r="R345">
        <v>2158.38</v>
      </c>
      <c r="S345">
        <v>949.35</v>
      </c>
      <c r="T345">
        <v>42455.4</v>
      </c>
      <c r="U345">
        <v>28293.51</v>
      </c>
      <c r="V345">
        <v>15426.6</v>
      </c>
      <c r="W345">
        <v>14420.94</v>
      </c>
      <c r="X345">
        <v>53298.1</v>
      </c>
      <c r="Y345">
        <v>40015.26</v>
      </c>
    </row>
    <row r="346" spans="1:25" x14ac:dyDescent="0.25">
      <c r="A346" t="s">
        <v>392</v>
      </c>
      <c r="B346" s="1">
        <v>45027</v>
      </c>
      <c r="C346">
        <v>2023</v>
      </c>
      <c r="D346">
        <v>4</v>
      </c>
      <c r="E346" t="s">
        <v>357</v>
      </c>
      <c r="F346" t="s">
        <v>358</v>
      </c>
      <c r="G346" t="s">
        <v>35</v>
      </c>
      <c r="H346" t="s">
        <v>36</v>
      </c>
      <c r="I346" t="s">
        <v>39</v>
      </c>
      <c r="J346">
        <v>25</v>
      </c>
      <c r="K346">
        <v>1668.33</v>
      </c>
      <c r="L346">
        <v>41708.26</v>
      </c>
      <c r="M346">
        <v>25394.53</v>
      </c>
      <c r="N346">
        <v>4221.63</v>
      </c>
      <c r="O346">
        <v>1442.2</v>
      </c>
      <c r="P346">
        <v>1345.6</v>
      </c>
      <c r="Q346">
        <v>690.31</v>
      </c>
      <c r="R346">
        <v>1096.33</v>
      </c>
      <c r="S346">
        <v>957.53</v>
      </c>
      <c r="T346">
        <v>35148.129999999997</v>
      </c>
      <c r="U346">
        <v>16313.73</v>
      </c>
      <c r="V346">
        <v>6560.13</v>
      </c>
      <c r="W346">
        <v>5777.39</v>
      </c>
      <c r="X346">
        <v>40364.089999999997</v>
      </c>
      <c r="Y346">
        <v>36038.18</v>
      </c>
    </row>
    <row r="347" spans="1:25" x14ac:dyDescent="0.25">
      <c r="A347" t="s">
        <v>393</v>
      </c>
      <c r="B347" s="1">
        <v>45027</v>
      </c>
      <c r="C347">
        <v>2023</v>
      </c>
      <c r="D347">
        <v>4</v>
      </c>
      <c r="E347" t="s">
        <v>357</v>
      </c>
      <c r="F347" t="s">
        <v>358</v>
      </c>
      <c r="G347" t="s">
        <v>55</v>
      </c>
      <c r="H347" t="s">
        <v>29</v>
      </c>
      <c r="I347" t="s">
        <v>37</v>
      </c>
      <c r="J347">
        <v>112</v>
      </c>
      <c r="K347">
        <v>856.48</v>
      </c>
      <c r="L347">
        <v>95925.62</v>
      </c>
      <c r="M347">
        <v>48150.43</v>
      </c>
      <c r="N347">
        <v>10823.16</v>
      </c>
      <c r="O347">
        <v>4988.83</v>
      </c>
      <c r="P347">
        <v>3030.01</v>
      </c>
      <c r="Q347">
        <v>1269.1099999999999</v>
      </c>
      <c r="R347">
        <v>2408.7600000000002</v>
      </c>
      <c r="S347">
        <v>873.6</v>
      </c>
      <c r="T347">
        <v>71543.89</v>
      </c>
      <c r="U347">
        <v>47775.199999999997</v>
      </c>
      <c r="V347">
        <v>24381.73</v>
      </c>
      <c r="W347">
        <v>22973.71</v>
      </c>
      <c r="X347">
        <v>97612.69</v>
      </c>
      <c r="Y347">
        <v>75733.039999999994</v>
      </c>
    </row>
    <row r="348" spans="1:25" x14ac:dyDescent="0.25">
      <c r="A348" t="s">
        <v>394</v>
      </c>
      <c r="B348" s="1">
        <v>45027</v>
      </c>
      <c r="C348">
        <v>2023</v>
      </c>
      <c r="D348">
        <v>4</v>
      </c>
      <c r="E348" t="s">
        <v>357</v>
      </c>
      <c r="F348" t="s">
        <v>358</v>
      </c>
      <c r="G348" t="s">
        <v>35</v>
      </c>
      <c r="H348" t="s">
        <v>29</v>
      </c>
      <c r="I348" t="s">
        <v>50</v>
      </c>
      <c r="J348">
        <v>53</v>
      </c>
      <c r="K348">
        <v>1087.9000000000001</v>
      </c>
      <c r="L348">
        <v>57658.8</v>
      </c>
      <c r="M348">
        <v>33632.83</v>
      </c>
      <c r="N348">
        <v>7151.26</v>
      </c>
      <c r="O348">
        <v>3655.59</v>
      </c>
      <c r="P348">
        <v>2594.6</v>
      </c>
      <c r="Q348">
        <v>387.59</v>
      </c>
      <c r="R348">
        <v>2177.52</v>
      </c>
      <c r="S348">
        <v>891.9</v>
      </c>
      <c r="T348">
        <v>50491.3</v>
      </c>
      <c r="U348">
        <v>24025.97</v>
      </c>
      <c r="V348">
        <v>7167.5</v>
      </c>
      <c r="W348">
        <v>6365.6</v>
      </c>
      <c r="X348">
        <v>59108.800000000003</v>
      </c>
      <c r="Y348">
        <v>51045.74</v>
      </c>
    </row>
    <row r="349" spans="1:25" x14ac:dyDescent="0.25">
      <c r="A349" t="s">
        <v>395</v>
      </c>
      <c r="B349" s="1">
        <v>45028</v>
      </c>
      <c r="C349">
        <v>2023</v>
      </c>
      <c r="D349">
        <v>4</v>
      </c>
      <c r="E349" t="s">
        <v>357</v>
      </c>
      <c r="F349" t="s">
        <v>358</v>
      </c>
      <c r="G349" t="s">
        <v>55</v>
      </c>
      <c r="H349" t="s">
        <v>36</v>
      </c>
      <c r="I349" t="s">
        <v>65</v>
      </c>
      <c r="J349">
        <v>64</v>
      </c>
      <c r="K349">
        <v>913.59</v>
      </c>
      <c r="L349">
        <v>58469.9</v>
      </c>
      <c r="M349">
        <v>28887.84</v>
      </c>
      <c r="N349">
        <v>7313.45</v>
      </c>
      <c r="O349">
        <v>4080.01</v>
      </c>
      <c r="P349">
        <v>1252.75</v>
      </c>
      <c r="Q349">
        <v>618.49</v>
      </c>
      <c r="R349">
        <v>1894.07</v>
      </c>
      <c r="S349">
        <v>699.78</v>
      </c>
      <c r="T349">
        <v>44746.37</v>
      </c>
      <c r="U349">
        <v>29582.07</v>
      </c>
      <c r="V349">
        <v>13723.53</v>
      </c>
      <c r="W349">
        <v>13578.79</v>
      </c>
      <c r="X349">
        <v>59448.86</v>
      </c>
      <c r="Y349">
        <v>47205.81</v>
      </c>
    </row>
    <row r="350" spans="1:25" x14ac:dyDescent="0.25">
      <c r="A350" t="s">
        <v>396</v>
      </c>
      <c r="B350" s="1">
        <v>45028</v>
      </c>
      <c r="C350">
        <v>2023</v>
      </c>
      <c r="D350">
        <v>4</v>
      </c>
      <c r="E350" t="s">
        <v>357</v>
      </c>
      <c r="F350" t="s">
        <v>358</v>
      </c>
      <c r="G350" t="s">
        <v>44</v>
      </c>
      <c r="H350" t="s">
        <v>32</v>
      </c>
      <c r="I350" t="s">
        <v>39</v>
      </c>
      <c r="J350">
        <v>28</v>
      </c>
      <c r="K350">
        <v>1807.24</v>
      </c>
      <c r="L350">
        <v>50602.81</v>
      </c>
      <c r="M350">
        <v>33036.29</v>
      </c>
      <c r="N350">
        <v>3959.49</v>
      </c>
      <c r="O350">
        <v>2118.44</v>
      </c>
      <c r="P350">
        <v>1374.43</v>
      </c>
      <c r="Q350">
        <v>641.03</v>
      </c>
      <c r="R350">
        <v>2327.33</v>
      </c>
      <c r="S350">
        <v>529.19000000000005</v>
      </c>
      <c r="T350">
        <v>43986.21</v>
      </c>
      <c r="U350">
        <v>17566.509999999998</v>
      </c>
      <c r="V350">
        <v>6616.6</v>
      </c>
      <c r="W350">
        <v>6050.73</v>
      </c>
      <c r="X350">
        <v>47722.879999999997</v>
      </c>
      <c r="Y350">
        <v>43136.23</v>
      </c>
    </row>
    <row r="351" spans="1:25" x14ac:dyDescent="0.25">
      <c r="A351" t="s">
        <v>397</v>
      </c>
      <c r="B351" s="1">
        <v>45028</v>
      </c>
      <c r="C351">
        <v>2023</v>
      </c>
      <c r="D351">
        <v>4</v>
      </c>
      <c r="E351" t="s">
        <v>357</v>
      </c>
      <c r="F351" t="s">
        <v>358</v>
      </c>
      <c r="G351" t="s">
        <v>55</v>
      </c>
      <c r="H351" t="s">
        <v>58</v>
      </c>
      <c r="I351" t="s">
        <v>30</v>
      </c>
      <c r="J351">
        <v>90</v>
      </c>
      <c r="K351">
        <v>994.31</v>
      </c>
      <c r="L351">
        <v>89487.58</v>
      </c>
      <c r="M351">
        <v>54666.53</v>
      </c>
      <c r="N351">
        <v>11140.48</v>
      </c>
      <c r="O351">
        <v>4513.5200000000004</v>
      </c>
      <c r="P351">
        <v>2854.78</v>
      </c>
      <c r="Q351">
        <v>449.1</v>
      </c>
      <c r="R351">
        <v>4519.09</v>
      </c>
      <c r="S351">
        <v>1879.91</v>
      </c>
      <c r="T351">
        <v>80023.41</v>
      </c>
      <c r="U351">
        <v>34821.050000000003</v>
      </c>
      <c r="V351">
        <v>9464.17</v>
      </c>
      <c r="W351">
        <v>8432.24</v>
      </c>
      <c r="X351">
        <v>87002.42</v>
      </c>
      <c r="Y351">
        <v>85841.36</v>
      </c>
    </row>
    <row r="352" spans="1:25" x14ac:dyDescent="0.25">
      <c r="A352" t="s">
        <v>398</v>
      </c>
      <c r="B352" s="1">
        <v>45029</v>
      </c>
      <c r="C352">
        <v>2023</v>
      </c>
      <c r="D352">
        <v>4</v>
      </c>
      <c r="E352" t="s">
        <v>357</v>
      </c>
      <c r="F352" t="s">
        <v>358</v>
      </c>
      <c r="G352" t="s">
        <v>44</v>
      </c>
      <c r="H352" t="s">
        <v>29</v>
      </c>
      <c r="I352" t="s">
        <v>30</v>
      </c>
      <c r="J352">
        <v>48</v>
      </c>
      <c r="K352">
        <v>1709.34</v>
      </c>
      <c r="L352">
        <v>82048.259999999995</v>
      </c>
      <c r="M352">
        <v>51687.72</v>
      </c>
      <c r="N352">
        <v>9219.2000000000007</v>
      </c>
      <c r="O352">
        <v>4638.75</v>
      </c>
      <c r="P352">
        <v>2830.06</v>
      </c>
      <c r="Q352">
        <v>615.03</v>
      </c>
      <c r="R352">
        <v>2358.1999999999998</v>
      </c>
      <c r="S352">
        <v>702.07</v>
      </c>
      <c r="T352">
        <v>72051.02</v>
      </c>
      <c r="U352">
        <v>30360.55</v>
      </c>
      <c r="V352">
        <v>9997.24</v>
      </c>
      <c r="W352">
        <v>9841.7199999999993</v>
      </c>
      <c r="X352">
        <v>77026.69</v>
      </c>
      <c r="Y352">
        <v>76862.210000000006</v>
      </c>
    </row>
    <row r="353" spans="1:25" x14ac:dyDescent="0.25">
      <c r="A353" t="s">
        <v>399</v>
      </c>
      <c r="B353" s="1">
        <v>45029</v>
      </c>
      <c r="C353">
        <v>2023</v>
      </c>
      <c r="D353">
        <v>4</v>
      </c>
      <c r="E353" t="s">
        <v>357</v>
      </c>
      <c r="F353" t="s">
        <v>358</v>
      </c>
      <c r="G353" t="s">
        <v>35</v>
      </c>
      <c r="H353" t="s">
        <v>29</v>
      </c>
      <c r="I353" t="s">
        <v>37</v>
      </c>
      <c r="J353">
        <v>87</v>
      </c>
      <c r="K353">
        <v>826.94</v>
      </c>
      <c r="L353">
        <v>71943.81</v>
      </c>
      <c r="M353">
        <v>35931.040000000001</v>
      </c>
      <c r="N353">
        <v>8710.5400000000009</v>
      </c>
      <c r="O353">
        <v>4828.3</v>
      </c>
      <c r="P353">
        <v>2725.37</v>
      </c>
      <c r="Q353">
        <v>554.07000000000005</v>
      </c>
      <c r="R353">
        <v>3843</v>
      </c>
      <c r="S353">
        <v>1127.5</v>
      </c>
      <c r="T353">
        <v>57719.81</v>
      </c>
      <c r="U353">
        <v>36012.769999999997</v>
      </c>
      <c r="V353">
        <v>14224</v>
      </c>
      <c r="W353">
        <v>13447.36</v>
      </c>
      <c r="X353">
        <v>78509.399999999994</v>
      </c>
      <c r="Y353">
        <v>54622.89</v>
      </c>
    </row>
    <row r="354" spans="1:25" x14ac:dyDescent="0.25">
      <c r="A354" t="s">
        <v>400</v>
      </c>
      <c r="B354" s="1">
        <v>45030</v>
      </c>
      <c r="C354">
        <v>2023</v>
      </c>
      <c r="D354">
        <v>4</v>
      </c>
      <c r="E354" t="s">
        <v>357</v>
      </c>
      <c r="F354" t="s">
        <v>358</v>
      </c>
      <c r="G354" t="s">
        <v>35</v>
      </c>
      <c r="H354" t="s">
        <v>29</v>
      </c>
      <c r="I354" t="s">
        <v>56</v>
      </c>
      <c r="J354">
        <v>21</v>
      </c>
      <c r="K354">
        <v>1503.51</v>
      </c>
      <c r="L354">
        <v>31573.75</v>
      </c>
      <c r="M354">
        <v>18305.72</v>
      </c>
      <c r="N354">
        <v>3630.34</v>
      </c>
      <c r="O354">
        <v>2171.81</v>
      </c>
      <c r="P354">
        <v>1060.57</v>
      </c>
      <c r="Q354">
        <v>197.44</v>
      </c>
      <c r="R354">
        <v>1618.36</v>
      </c>
      <c r="S354">
        <v>769.92</v>
      </c>
      <c r="T354">
        <v>27754.16</v>
      </c>
      <c r="U354">
        <v>13268.03</v>
      </c>
      <c r="V354">
        <v>3819.59</v>
      </c>
      <c r="W354">
        <v>3460.68</v>
      </c>
      <c r="X354">
        <v>34447.03</v>
      </c>
      <c r="Y354">
        <v>28358.01</v>
      </c>
    </row>
    <row r="355" spans="1:25" x14ac:dyDescent="0.25">
      <c r="A355" t="s">
        <v>401</v>
      </c>
      <c r="B355" s="1">
        <v>45030</v>
      </c>
      <c r="C355">
        <v>2023</v>
      </c>
      <c r="D355">
        <v>4</v>
      </c>
      <c r="E355" t="s">
        <v>357</v>
      </c>
      <c r="F355" t="s">
        <v>358</v>
      </c>
      <c r="G355" t="s">
        <v>44</v>
      </c>
      <c r="H355" t="s">
        <v>32</v>
      </c>
      <c r="I355" t="s">
        <v>33</v>
      </c>
      <c r="J355">
        <v>118</v>
      </c>
      <c r="K355">
        <v>856.78</v>
      </c>
      <c r="L355">
        <v>101100.37</v>
      </c>
      <c r="M355">
        <v>49078.74</v>
      </c>
      <c r="N355">
        <v>10518.91</v>
      </c>
      <c r="O355">
        <v>3602.96</v>
      </c>
      <c r="P355">
        <v>3149.15</v>
      </c>
      <c r="Q355">
        <v>875.2</v>
      </c>
      <c r="R355">
        <v>5783.81</v>
      </c>
      <c r="S355">
        <v>1862.49</v>
      </c>
      <c r="T355">
        <v>74871.259999999995</v>
      </c>
      <c r="U355">
        <v>52021.63</v>
      </c>
      <c r="V355">
        <v>26229.11</v>
      </c>
      <c r="W355">
        <v>23701.42</v>
      </c>
      <c r="X355">
        <v>112740.87</v>
      </c>
      <c r="Y355">
        <v>78718.42</v>
      </c>
    </row>
    <row r="356" spans="1:25" x14ac:dyDescent="0.25">
      <c r="A356" t="s">
        <v>402</v>
      </c>
      <c r="B356" s="1">
        <v>45030</v>
      </c>
      <c r="C356">
        <v>2023</v>
      </c>
      <c r="D356">
        <v>4</v>
      </c>
      <c r="E356" t="s">
        <v>357</v>
      </c>
      <c r="F356" t="s">
        <v>358</v>
      </c>
      <c r="G356" t="s">
        <v>44</v>
      </c>
      <c r="H356" t="s">
        <v>32</v>
      </c>
      <c r="I356" t="s">
        <v>56</v>
      </c>
      <c r="J356">
        <v>22</v>
      </c>
      <c r="K356">
        <v>1386.7</v>
      </c>
      <c r="L356">
        <v>30507.34</v>
      </c>
      <c r="M356">
        <v>14668.62</v>
      </c>
      <c r="N356">
        <v>2928.34</v>
      </c>
      <c r="O356">
        <v>2129.86</v>
      </c>
      <c r="P356">
        <v>1224.1199999999999</v>
      </c>
      <c r="Q356">
        <v>460.64</v>
      </c>
      <c r="R356">
        <v>1716.47</v>
      </c>
      <c r="S356">
        <v>657.71</v>
      </c>
      <c r="T356">
        <v>23785.759999999998</v>
      </c>
      <c r="U356">
        <v>15838.72</v>
      </c>
      <c r="V356">
        <v>6721.58</v>
      </c>
      <c r="W356">
        <v>6680.11</v>
      </c>
      <c r="X356">
        <v>29530.880000000001</v>
      </c>
      <c r="Y356">
        <v>25193.35</v>
      </c>
    </row>
    <row r="357" spans="1:25" x14ac:dyDescent="0.25">
      <c r="A357" t="s">
        <v>403</v>
      </c>
      <c r="B357" s="1">
        <v>45030</v>
      </c>
      <c r="C357">
        <v>2023</v>
      </c>
      <c r="D357">
        <v>4</v>
      </c>
      <c r="E357" t="s">
        <v>357</v>
      </c>
      <c r="F357" t="s">
        <v>358</v>
      </c>
      <c r="G357" t="s">
        <v>28</v>
      </c>
      <c r="H357" t="s">
        <v>53</v>
      </c>
      <c r="I357" t="s">
        <v>39</v>
      </c>
      <c r="J357">
        <v>36</v>
      </c>
      <c r="K357">
        <v>832.77</v>
      </c>
      <c r="L357">
        <v>29979.56</v>
      </c>
      <c r="M357">
        <v>16983.79</v>
      </c>
      <c r="N357">
        <v>2264.41</v>
      </c>
      <c r="O357">
        <v>1367.82</v>
      </c>
      <c r="P357">
        <v>1014.23</v>
      </c>
      <c r="Q357">
        <v>152.6</v>
      </c>
      <c r="R357">
        <v>827.93</v>
      </c>
      <c r="S357">
        <v>703.62</v>
      </c>
      <c r="T357">
        <v>23314.41</v>
      </c>
      <c r="U357">
        <v>12995.77</v>
      </c>
      <c r="V357">
        <v>6665.15</v>
      </c>
      <c r="W357">
        <v>6598.91</v>
      </c>
      <c r="X357">
        <v>32923.14</v>
      </c>
      <c r="Y357">
        <v>22657.26</v>
      </c>
    </row>
    <row r="358" spans="1:25" x14ac:dyDescent="0.25">
      <c r="A358" t="s">
        <v>404</v>
      </c>
      <c r="B358" s="1">
        <v>45030</v>
      </c>
      <c r="C358">
        <v>2023</v>
      </c>
      <c r="D358">
        <v>4</v>
      </c>
      <c r="E358" t="s">
        <v>357</v>
      </c>
      <c r="F358" t="s">
        <v>358</v>
      </c>
      <c r="G358" t="s">
        <v>28</v>
      </c>
      <c r="H358" t="s">
        <v>53</v>
      </c>
      <c r="I358" t="s">
        <v>39</v>
      </c>
      <c r="J358">
        <v>31</v>
      </c>
      <c r="K358">
        <v>1597.3</v>
      </c>
      <c r="L358">
        <v>49516.23</v>
      </c>
      <c r="M358">
        <v>27711.84</v>
      </c>
      <c r="N358">
        <v>5153.05</v>
      </c>
      <c r="O358">
        <v>1834.8</v>
      </c>
      <c r="P358">
        <v>1495</v>
      </c>
      <c r="Q358">
        <v>764.67</v>
      </c>
      <c r="R358">
        <v>1745.21</v>
      </c>
      <c r="S358">
        <v>704.71</v>
      </c>
      <c r="T358">
        <v>39409.269999999997</v>
      </c>
      <c r="U358">
        <v>21804.400000000001</v>
      </c>
      <c r="V358">
        <v>10106.969999999999</v>
      </c>
      <c r="W358">
        <v>9601.67</v>
      </c>
      <c r="X358">
        <v>49693.1</v>
      </c>
      <c r="Y358">
        <v>37707.089999999997</v>
      </c>
    </row>
    <row r="359" spans="1:25" x14ac:dyDescent="0.25">
      <c r="A359" t="s">
        <v>405</v>
      </c>
      <c r="B359" s="1">
        <v>45030</v>
      </c>
      <c r="C359">
        <v>2023</v>
      </c>
      <c r="D359">
        <v>4</v>
      </c>
      <c r="E359" t="s">
        <v>357</v>
      </c>
      <c r="F359" t="s">
        <v>358</v>
      </c>
      <c r="G359" t="s">
        <v>55</v>
      </c>
      <c r="H359" t="s">
        <v>32</v>
      </c>
      <c r="I359" t="s">
        <v>56</v>
      </c>
      <c r="J359">
        <v>53</v>
      </c>
      <c r="K359">
        <v>902.53</v>
      </c>
      <c r="L359">
        <v>47834.32</v>
      </c>
      <c r="M359">
        <v>24491.9</v>
      </c>
      <c r="N359">
        <v>3379.96</v>
      </c>
      <c r="O359">
        <v>3207.15</v>
      </c>
      <c r="P359">
        <v>1110.4000000000001</v>
      </c>
      <c r="Q359">
        <v>692.23</v>
      </c>
      <c r="R359">
        <v>2602.44</v>
      </c>
      <c r="S359">
        <v>1148.1600000000001</v>
      </c>
      <c r="T359">
        <v>36632.239999999998</v>
      </c>
      <c r="U359">
        <v>23342.42</v>
      </c>
      <c r="V359">
        <v>11202.07</v>
      </c>
      <c r="W359">
        <v>10980.26</v>
      </c>
      <c r="X359">
        <v>52405.91</v>
      </c>
      <c r="Y359">
        <v>36758.26</v>
      </c>
    </row>
    <row r="360" spans="1:25" x14ac:dyDescent="0.25">
      <c r="A360" t="s">
        <v>406</v>
      </c>
      <c r="B360" s="1">
        <v>45030</v>
      </c>
      <c r="C360">
        <v>2023</v>
      </c>
      <c r="D360">
        <v>4</v>
      </c>
      <c r="E360" t="s">
        <v>357</v>
      </c>
      <c r="F360" t="s">
        <v>358</v>
      </c>
      <c r="G360" t="s">
        <v>44</v>
      </c>
      <c r="H360" t="s">
        <v>36</v>
      </c>
      <c r="I360" t="s">
        <v>39</v>
      </c>
      <c r="J360">
        <v>20</v>
      </c>
      <c r="K360">
        <v>1472.81</v>
      </c>
      <c r="L360">
        <v>29456.1</v>
      </c>
      <c r="M360">
        <v>17011.53</v>
      </c>
      <c r="N360">
        <v>2497.86</v>
      </c>
      <c r="O360">
        <v>1328.61</v>
      </c>
      <c r="P360">
        <v>712.3</v>
      </c>
      <c r="Q360">
        <v>491.38</v>
      </c>
      <c r="R360">
        <v>1664.72</v>
      </c>
      <c r="S360">
        <v>606.61</v>
      </c>
      <c r="T360">
        <v>24313.02</v>
      </c>
      <c r="U360">
        <v>12444.57</v>
      </c>
      <c r="V360">
        <v>5143.08</v>
      </c>
      <c r="W360">
        <v>4931.24</v>
      </c>
      <c r="X360">
        <v>31524.44</v>
      </c>
      <c r="Y360">
        <v>24871.200000000001</v>
      </c>
    </row>
    <row r="361" spans="1:25" x14ac:dyDescent="0.25">
      <c r="A361" t="s">
        <v>407</v>
      </c>
      <c r="B361" s="1">
        <v>45031</v>
      </c>
      <c r="C361">
        <v>2023</v>
      </c>
      <c r="D361">
        <v>4</v>
      </c>
      <c r="E361" t="s">
        <v>357</v>
      </c>
      <c r="F361" t="s">
        <v>358</v>
      </c>
      <c r="G361" t="s">
        <v>55</v>
      </c>
      <c r="H361" t="s">
        <v>32</v>
      </c>
      <c r="I361" t="s">
        <v>50</v>
      </c>
      <c r="J361">
        <v>43</v>
      </c>
      <c r="K361">
        <v>1808.08</v>
      </c>
      <c r="L361">
        <v>77747.350000000006</v>
      </c>
      <c r="M361">
        <v>48906.720000000001</v>
      </c>
      <c r="N361">
        <v>8606.6</v>
      </c>
      <c r="O361">
        <v>4570.88</v>
      </c>
      <c r="P361">
        <v>1569.59</v>
      </c>
      <c r="Q361">
        <v>435.19</v>
      </c>
      <c r="R361">
        <v>4550.99</v>
      </c>
      <c r="S361">
        <v>1168.93</v>
      </c>
      <c r="T361">
        <v>69808.899999999994</v>
      </c>
      <c r="U361">
        <v>28840.63</v>
      </c>
      <c r="V361">
        <v>7938.44</v>
      </c>
      <c r="W361">
        <v>7091.25</v>
      </c>
      <c r="X361">
        <v>80529.899999999994</v>
      </c>
      <c r="Y361">
        <v>75668.259999999995</v>
      </c>
    </row>
    <row r="362" spans="1:25" x14ac:dyDescent="0.25">
      <c r="A362" t="s">
        <v>408</v>
      </c>
      <c r="B362" s="1">
        <v>45031</v>
      </c>
      <c r="C362">
        <v>2023</v>
      </c>
      <c r="D362">
        <v>4</v>
      </c>
      <c r="E362" t="s">
        <v>357</v>
      </c>
      <c r="F362" t="s">
        <v>358</v>
      </c>
      <c r="G362" t="s">
        <v>44</v>
      </c>
      <c r="H362" t="s">
        <v>29</v>
      </c>
      <c r="I362" t="s">
        <v>50</v>
      </c>
      <c r="J362">
        <v>29</v>
      </c>
      <c r="K362">
        <v>1545.86</v>
      </c>
      <c r="L362">
        <v>44830.05</v>
      </c>
      <c r="M362">
        <v>30323.48</v>
      </c>
      <c r="N362">
        <v>4640.6099999999997</v>
      </c>
      <c r="O362">
        <v>3298.88</v>
      </c>
      <c r="P362">
        <v>1154.19</v>
      </c>
      <c r="Q362">
        <v>421.62</v>
      </c>
      <c r="R362">
        <v>2398.9499999999998</v>
      </c>
      <c r="S362">
        <v>888.73</v>
      </c>
      <c r="T362">
        <v>43126.45</v>
      </c>
      <c r="U362">
        <v>14506.57</v>
      </c>
      <c r="V362">
        <v>1703.6</v>
      </c>
      <c r="W362">
        <v>1624.33</v>
      </c>
      <c r="X362">
        <v>46507.13</v>
      </c>
      <c r="Y362">
        <v>44568.55</v>
      </c>
    </row>
    <row r="363" spans="1:25" x14ac:dyDescent="0.25">
      <c r="A363" t="s">
        <v>409</v>
      </c>
      <c r="B363" s="1">
        <v>45031</v>
      </c>
      <c r="C363">
        <v>2023</v>
      </c>
      <c r="D363">
        <v>4</v>
      </c>
      <c r="E363" t="s">
        <v>357</v>
      </c>
      <c r="F363" t="s">
        <v>358</v>
      </c>
      <c r="G363" t="s">
        <v>28</v>
      </c>
      <c r="H363" t="s">
        <v>32</v>
      </c>
      <c r="I363" t="s">
        <v>65</v>
      </c>
      <c r="J363">
        <v>60</v>
      </c>
      <c r="K363">
        <v>1426.22</v>
      </c>
      <c r="L363">
        <v>85573.22</v>
      </c>
      <c r="M363">
        <v>57699.5</v>
      </c>
      <c r="N363">
        <v>8872.34</v>
      </c>
      <c r="O363">
        <v>2514.96</v>
      </c>
      <c r="P363">
        <v>1556.14</v>
      </c>
      <c r="Q363">
        <v>1407.17</v>
      </c>
      <c r="R363">
        <v>5323</v>
      </c>
      <c r="S363">
        <v>900.46</v>
      </c>
      <c r="T363">
        <v>78273.58</v>
      </c>
      <c r="U363">
        <v>27873.72</v>
      </c>
      <c r="V363">
        <v>7299.64</v>
      </c>
      <c r="W363">
        <v>7144.29</v>
      </c>
      <c r="X363">
        <v>91721.62</v>
      </c>
      <c r="Y363">
        <v>81747.66</v>
      </c>
    </row>
    <row r="364" spans="1:25" x14ac:dyDescent="0.25">
      <c r="A364" t="s">
        <v>410</v>
      </c>
      <c r="B364" s="1">
        <v>45031</v>
      </c>
      <c r="C364">
        <v>2023</v>
      </c>
      <c r="D364">
        <v>4</v>
      </c>
      <c r="E364" t="s">
        <v>357</v>
      </c>
      <c r="F364" t="s">
        <v>358</v>
      </c>
      <c r="G364" t="s">
        <v>28</v>
      </c>
      <c r="H364" t="s">
        <v>32</v>
      </c>
      <c r="I364" t="s">
        <v>65</v>
      </c>
      <c r="J364">
        <v>90</v>
      </c>
      <c r="K364">
        <v>1074.54</v>
      </c>
      <c r="L364">
        <v>96708.23</v>
      </c>
      <c r="M364">
        <v>48335.55</v>
      </c>
      <c r="N364">
        <v>8099.83</v>
      </c>
      <c r="O364">
        <v>5458.62</v>
      </c>
      <c r="P364">
        <v>2289.67</v>
      </c>
      <c r="Q364">
        <v>1363.99</v>
      </c>
      <c r="R364">
        <v>3160.72</v>
      </c>
      <c r="S364">
        <v>1247.2</v>
      </c>
      <c r="T364">
        <v>69955.570000000007</v>
      </c>
      <c r="U364">
        <v>48372.68</v>
      </c>
      <c r="V364">
        <v>26752.66</v>
      </c>
      <c r="W364">
        <v>26082.59</v>
      </c>
      <c r="X364">
        <v>96966.41</v>
      </c>
      <c r="Y364">
        <v>67054.559999999998</v>
      </c>
    </row>
    <row r="365" spans="1:25" x14ac:dyDescent="0.25">
      <c r="A365" t="s">
        <v>411</v>
      </c>
      <c r="B365" s="1">
        <v>45031</v>
      </c>
      <c r="C365">
        <v>2023</v>
      </c>
      <c r="D365">
        <v>4</v>
      </c>
      <c r="E365" t="s">
        <v>357</v>
      </c>
      <c r="F365" t="s">
        <v>358</v>
      </c>
      <c r="G365" t="s">
        <v>55</v>
      </c>
      <c r="H365" t="s">
        <v>53</v>
      </c>
      <c r="I365" t="s">
        <v>56</v>
      </c>
      <c r="J365">
        <v>31</v>
      </c>
      <c r="K365">
        <v>1384.42</v>
      </c>
      <c r="L365">
        <v>42916.93</v>
      </c>
      <c r="M365">
        <v>22600.1</v>
      </c>
      <c r="N365">
        <v>3815.68</v>
      </c>
      <c r="O365">
        <v>1262.8800000000001</v>
      </c>
      <c r="P365">
        <v>1782.37</v>
      </c>
      <c r="Q365">
        <v>471.27</v>
      </c>
      <c r="R365">
        <v>1127.03</v>
      </c>
      <c r="S365">
        <v>1049.53</v>
      </c>
      <c r="T365">
        <v>32108.86</v>
      </c>
      <c r="U365">
        <v>20316.830000000002</v>
      </c>
      <c r="V365">
        <v>10808.06</v>
      </c>
      <c r="W365">
        <v>9806.34</v>
      </c>
      <c r="X365">
        <v>47021.17</v>
      </c>
      <c r="Y365">
        <v>34499.800000000003</v>
      </c>
    </row>
    <row r="366" spans="1:25" x14ac:dyDescent="0.25">
      <c r="A366" t="s">
        <v>412</v>
      </c>
      <c r="B366" s="1">
        <v>45032</v>
      </c>
      <c r="C366">
        <v>2023</v>
      </c>
      <c r="D366">
        <v>4</v>
      </c>
      <c r="E366" t="s">
        <v>357</v>
      </c>
      <c r="F366" t="s">
        <v>358</v>
      </c>
      <c r="G366" t="s">
        <v>35</v>
      </c>
      <c r="H366" t="s">
        <v>32</v>
      </c>
      <c r="I366" t="s">
        <v>30</v>
      </c>
      <c r="J366">
        <v>68</v>
      </c>
      <c r="K366">
        <v>1548.78</v>
      </c>
      <c r="L366">
        <v>105316.96</v>
      </c>
      <c r="M366">
        <v>51278.61</v>
      </c>
      <c r="N366">
        <v>11634.16</v>
      </c>
      <c r="O366">
        <v>6389.38</v>
      </c>
      <c r="P366">
        <v>2574.9299999999998</v>
      </c>
      <c r="Q366">
        <v>646.34</v>
      </c>
      <c r="R366">
        <v>3093.83</v>
      </c>
      <c r="S366">
        <v>2631.09</v>
      </c>
      <c r="T366">
        <v>78248.34</v>
      </c>
      <c r="U366">
        <v>54038.35</v>
      </c>
      <c r="V366">
        <v>27068.62</v>
      </c>
      <c r="W366">
        <v>27185.61</v>
      </c>
      <c r="X366">
        <v>103145.05</v>
      </c>
      <c r="Y366">
        <v>75546.3</v>
      </c>
    </row>
    <row r="367" spans="1:25" x14ac:dyDescent="0.25">
      <c r="A367" t="s">
        <v>413</v>
      </c>
      <c r="B367" s="1">
        <v>45032</v>
      </c>
      <c r="C367">
        <v>2023</v>
      </c>
      <c r="D367">
        <v>4</v>
      </c>
      <c r="E367" t="s">
        <v>357</v>
      </c>
      <c r="F367" t="s">
        <v>358</v>
      </c>
      <c r="G367" t="s">
        <v>28</v>
      </c>
      <c r="H367" t="s">
        <v>36</v>
      </c>
      <c r="I367" t="s">
        <v>50</v>
      </c>
      <c r="J367">
        <v>39</v>
      </c>
      <c r="K367">
        <v>1102.49</v>
      </c>
      <c r="L367">
        <v>42996.92</v>
      </c>
      <c r="M367">
        <v>25854.06</v>
      </c>
      <c r="N367">
        <v>5573.27</v>
      </c>
      <c r="O367">
        <v>2183.35</v>
      </c>
      <c r="P367">
        <v>1372.67</v>
      </c>
      <c r="Q367">
        <v>746.11</v>
      </c>
      <c r="R367">
        <v>2675.81</v>
      </c>
      <c r="S367">
        <v>568.41</v>
      </c>
      <c r="T367">
        <v>38973.68</v>
      </c>
      <c r="U367">
        <v>17142.87</v>
      </c>
      <c r="V367">
        <v>4023.24</v>
      </c>
      <c r="W367">
        <v>3567.19</v>
      </c>
      <c r="X367">
        <v>47864.56</v>
      </c>
      <c r="Y367">
        <v>38309.46</v>
      </c>
    </row>
    <row r="368" spans="1:25" x14ac:dyDescent="0.25">
      <c r="A368" t="s">
        <v>414</v>
      </c>
      <c r="B368" s="1">
        <v>45032</v>
      </c>
      <c r="C368">
        <v>2023</v>
      </c>
      <c r="D368">
        <v>4</v>
      </c>
      <c r="E368" t="s">
        <v>357</v>
      </c>
      <c r="F368" t="s">
        <v>358</v>
      </c>
      <c r="G368" t="s">
        <v>28</v>
      </c>
      <c r="H368" t="s">
        <v>29</v>
      </c>
      <c r="I368" t="s">
        <v>45</v>
      </c>
      <c r="J368">
        <v>49</v>
      </c>
      <c r="K368">
        <v>1006.35</v>
      </c>
      <c r="L368">
        <v>49310.99</v>
      </c>
      <c r="M368">
        <v>24082.959999999999</v>
      </c>
      <c r="N368">
        <v>6263.13</v>
      </c>
      <c r="O368">
        <v>3185.02</v>
      </c>
      <c r="P368">
        <v>1377.87</v>
      </c>
      <c r="Q368">
        <v>637.94000000000005</v>
      </c>
      <c r="R368">
        <v>3174.98</v>
      </c>
      <c r="S368">
        <v>627.11</v>
      </c>
      <c r="T368">
        <v>39349.019999999997</v>
      </c>
      <c r="U368">
        <v>25228.02</v>
      </c>
      <c r="V368">
        <v>9961.9699999999993</v>
      </c>
      <c r="W368">
        <v>8835.64</v>
      </c>
      <c r="X368">
        <v>51200.959999999999</v>
      </c>
      <c r="Y368">
        <v>36655.129999999997</v>
      </c>
    </row>
    <row r="369" spans="1:25" x14ac:dyDescent="0.25">
      <c r="A369" t="s">
        <v>415</v>
      </c>
      <c r="B369" s="1">
        <v>45032</v>
      </c>
      <c r="C369">
        <v>2023</v>
      </c>
      <c r="D369">
        <v>4</v>
      </c>
      <c r="E369" t="s">
        <v>357</v>
      </c>
      <c r="F369" t="s">
        <v>358</v>
      </c>
      <c r="G369" t="s">
        <v>55</v>
      </c>
      <c r="H369" t="s">
        <v>53</v>
      </c>
      <c r="I369" t="s">
        <v>30</v>
      </c>
      <c r="J369">
        <v>59</v>
      </c>
      <c r="K369">
        <v>1646.5</v>
      </c>
      <c r="L369">
        <v>97143.27</v>
      </c>
      <c r="M369">
        <v>50429.32</v>
      </c>
      <c r="N369">
        <v>12079.28</v>
      </c>
      <c r="O369">
        <v>6152.72</v>
      </c>
      <c r="P369">
        <v>2947.37</v>
      </c>
      <c r="Q369">
        <v>1481.87</v>
      </c>
      <c r="R369">
        <v>4494.34</v>
      </c>
      <c r="S369">
        <v>1987.34</v>
      </c>
      <c r="T369">
        <v>79572.240000000005</v>
      </c>
      <c r="U369">
        <v>46713.95</v>
      </c>
      <c r="V369">
        <v>17571.03</v>
      </c>
      <c r="W369">
        <v>17665.07</v>
      </c>
      <c r="X369">
        <v>98270.93</v>
      </c>
      <c r="Y369">
        <v>86395.520000000004</v>
      </c>
    </row>
    <row r="370" spans="1:25" x14ac:dyDescent="0.25">
      <c r="A370" t="s">
        <v>416</v>
      </c>
      <c r="B370" s="1">
        <v>45033</v>
      </c>
      <c r="C370">
        <v>2023</v>
      </c>
      <c r="D370">
        <v>4</v>
      </c>
      <c r="E370" t="s">
        <v>357</v>
      </c>
      <c r="F370" t="s">
        <v>358</v>
      </c>
      <c r="G370" t="s">
        <v>35</v>
      </c>
      <c r="H370" t="s">
        <v>36</v>
      </c>
      <c r="I370" t="s">
        <v>39</v>
      </c>
      <c r="J370">
        <v>41</v>
      </c>
      <c r="K370">
        <v>1126.26</v>
      </c>
      <c r="L370">
        <v>46176.57</v>
      </c>
      <c r="M370">
        <v>25435.72</v>
      </c>
      <c r="N370">
        <v>5877.89</v>
      </c>
      <c r="O370">
        <v>2581.48</v>
      </c>
      <c r="P370">
        <v>1562.89</v>
      </c>
      <c r="Q370">
        <v>656.88</v>
      </c>
      <c r="R370">
        <v>2547.3000000000002</v>
      </c>
      <c r="S370">
        <v>869.54</v>
      </c>
      <c r="T370">
        <v>39531.69</v>
      </c>
      <c r="U370">
        <v>20740.849999999999</v>
      </c>
      <c r="V370">
        <v>6644.87</v>
      </c>
      <c r="W370">
        <v>6166.86</v>
      </c>
      <c r="X370">
        <v>47500.99</v>
      </c>
      <c r="Y370">
        <v>40332.06</v>
      </c>
    </row>
    <row r="371" spans="1:25" x14ac:dyDescent="0.25">
      <c r="A371" t="s">
        <v>417</v>
      </c>
      <c r="B371" s="1">
        <v>45033</v>
      </c>
      <c r="C371">
        <v>2023</v>
      </c>
      <c r="D371">
        <v>4</v>
      </c>
      <c r="E371" t="s">
        <v>357</v>
      </c>
      <c r="F371" t="s">
        <v>358</v>
      </c>
      <c r="G371" t="s">
        <v>55</v>
      </c>
      <c r="H371" t="s">
        <v>32</v>
      </c>
      <c r="I371" t="s">
        <v>65</v>
      </c>
      <c r="J371">
        <v>46</v>
      </c>
      <c r="K371">
        <v>1682.93</v>
      </c>
      <c r="L371">
        <v>77414.679999999993</v>
      </c>
      <c r="M371">
        <v>52136.86</v>
      </c>
      <c r="N371">
        <v>9349.15</v>
      </c>
      <c r="O371">
        <v>3207.21</v>
      </c>
      <c r="P371">
        <v>1603.29</v>
      </c>
      <c r="Q371">
        <v>1206.07</v>
      </c>
      <c r="R371">
        <v>4170.43</v>
      </c>
      <c r="S371">
        <v>1096.21</v>
      </c>
      <c r="T371">
        <v>72769.22</v>
      </c>
      <c r="U371">
        <v>25277.82</v>
      </c>
      <c r="V371">
        <v>4645.46</v>
      </c>
      <c r="W371">
        <v>4499.83</v>
      </c>
      <c r="X371">
        <v>84477.42</v>
      </c>
      <c r="Y371">
        <v>72476.38</v>
      </c>
    </row>
    <row r="372" spans="1:25" x14ac:dyDescent="0.25">
      <c r="A372" t="s">
        <v>418</v>
      </c>
      <c r="B372" s="1">
        <v>45034</v>
      </c>
      <c r="C372">
        <v>2023</v>
      </c>
      <c r="D372">
        <v>4</v>
      </c>
      <c r="E372" t="s">
        <v>357</v>
      </c>
      <c r="F372" t="s">
        <v>358</v>
      </c>
      <c r="G372" t="s">
        <v>44</v>
      </c>
      <c r="H372" t="s">
        <v>36</v>
      </c>
      <c r="I372" t="s">
        <v>45</v>
      </c>
      <c r="J372">
        <v>36</v>
      </c>
      <c r="K372">
        <v>1192.94</v>
      </c>
      <c r="L372">
        <v>42945.93</v>
      </c>
      <c r="M372">
        <v>26977.9</v>
      </c>
      <c r="N372">
        <v>5413.26</v>
      </c>
      <c r="O372">
        <v>2717.69</v>
      </c>
      <c r="P372">
        <v>970.4</v>
      </c>
      <c r="Q372">
        <v>298.64</v>
      </c>
      <c r="R372">
        <v>2703.19</v>
      </c>
      <c r="S372">
        <v>371.24</v>
      </c>
      <c r="T372">
        <v>39452.33</v>
      </c>
      <c r="U372">
        <v>15968.03</v>
      </c>
      <c r="V372">
        <v>3493.61</v>
      </c>
      <c r="W372">
        <v>3382.63</v>
      </c>
      <c r="X372">
        <v>42963.12</v>
      </c>
      <c r="Y372">
        <v>42755.040000000001</v>
      </c>
    </row>
    <row r="373" spans="1:25" x14ac:dyDescent="0.25">
      <c r="A373" t="s">
        <v>419</v>
      </c>
      <c r="B373" s="1">
        <v>45034</v>
      </c>
      <c r="C373">
        <v>2023</v>
      </c>
      <c r="D373">
        <v>4</v>
      </c>
      <c r="E373" t="s">
        <v>357</v>
      </c>
      <c r="F373" t="s">
        <v>358</v>
      </c>
      <c r="G373" t="s">
        <v>55</v>
      </c>
      <c r="H373" t="s">
        <v>36</v>
      </c>
      <c r="I373" t="s">
        <v>65</v>
      </c>
      <c r="J373">
        <v>61</v>
      </c>
      <c r="K373">
        <v>1208.79</v>
      </c>
      <c r="L373">
        <v>73736.12</v>
      </c>
      <c r="M373">
        <v>44959.35</v>
      </c>
      <c r="N373">
        <v>5477.94</v>
      </c>
      <c r="O373">
        <v>4219.58</v>
      </c>
      <c r="P373">
        <v>2377.52</v>
      </c>
      <c r="Q373">
        <v>1230.95</v>
      </c>
      <c r="R373">
        <v>2551.9499999999998</v>
      </c>
      <c r="S373">
        <v>1612.43</v>
      </c>
      <c r="T373">
        <v>62429.72</v>
      </c>
      <c r="U373">
        <v>28776.77</v>
      </c>
      <c r="V373">
        <v>11306.39</v>
      </c>
      <c r="W373">
        <v>10993.17</v>
      </c>
      <c r="X373">
        <v>79313.53</v>
      </c>
      <c r="Y373">
        <v>62857.02</v>
      </c>
    </row>
    <row r="374" spans="1:25" x14ac:dyDescent="0.25">
      <c r="A374" t="s">
        <v>420</v>
      </c>
      <c r="B374" s="1">
        <v>45035</v>
      </c>
      <c r="C374">
        <v>2023</v>
      </c>
      <c r="D374">
        <v>4</v>
      </c>
      <c r="E374" t="s">
        <v>357</v>
      </c>
      <c r="F374" t="s">
        <v>358</v>
      </c>
      <c r="G374" t="s">
        <v>44</v>
      </c>
      <c r="H374" t="s">
        <v>29</v>
      </c>
      <c r="I374" t="s">
        <v>50</v>
      </c>
      <c r="J374">
        <v>39</v>
      </c>
      <c r="K374">
        <v>1024.3599999999999</v>
      </c>
      <c r="L374">
        <v>39950.080000000002</v>
      </c>
      <c r="M374">
        <v>25617.4</v>
      </c>
      <c r="N374">
        <v>3507.65</v>
      </c>
      <c r="O374">
        <v>1035.54</v>
      </c>
      <c r="P374">
        <v>1795.85</v>
      </c>
      <c r="Q374">
        <v>466.05</v>
      </c>
      <c r="R374">
        <v>1412.36</v>
      </c>
      <c r="S374">
        <v>601.45000000000005</v>
      </c>
      <c r="T374">
        <v>34436.29</v>
      </c>
      <c r="U374">
        <v>14332.68</v>
      </c>
      <c r="V374">
        <v>5513.78</v>
      </c>
      <c r="W374">
        <v>5570.84</v>
      </c>
      <c r="X374">
        <v>40733.83</v>
      </c>
      <c r="Y374">
        <v>37289.94</v>
      </c>
    </row>
    <row r="375" spans="1:25" x14ac:dyDescent="0.25">
      <c r="A375" t="s">
        <v>421</v>
      </c>
      <c r="B375" s="1">
        <v>45035</v>
      </c>
      <c r="C375">
        <v>2023</v>
      </c>
      <c r="D375">
        <v>4</v>
      </c>
      <c r="E375" t="s">
        <v>357</v>
      </c>
      <c r="F375" t="s">
        <v>358</v>
      </c>
      <c r="G375" t="s">
        <v>44</v>
      </c>
      <c r="H375" t="s">
        <v>32</v>
      </c>
      <c r="I375" t="s">
        <v>65</v>
      </c>
      <c r="J375">
        <v>93</v>
      </c>
      <c r="K375">
        <v>903.6</v>
      </c>
      <c r="L375">
        <v>84034.45</v>
      </c>
      <c r="M375">
        <v>56429.79</v>
      </c>
      <c r="N375">
        <v>8930.5499999999993</v>
      </c>
      <c r="O375">
        <v>4389.17</v>
      </c>
      <c r="P375">
        <v>2895.12</v>
      </c>
      <c r="Q375">
        <v>827.49</v>
      </c>
      <c r="R375">
        <v>5197.33</v>
      </c>
      <c r="S375">
        <v>1299.73</v>
      </c>
      <c r="T375">
        <v>79969.19</v>
      </c>
      <c r="U375">
        <v>27604.65</v>
      </c>
      <c r="V375">
        <v>4065.26</v>
      </c>
      <c r="W375">
        <v>3627.99</v>
      </c>
      <c r="X375">
        <v>81624.39</v>
      </c>
      <c r="Y375">
        <v>80751.05</v>
      </c>
    </row>
    <row r="376" spans="1:25" x14ac:dyDescent="0.25">
      <c r="A376" t="s">
        <v>422</v>
      </c>
      <c r="B376" s="1">
        <v>45035</v>
      </c>
      <c r="C376">
        <v>2023</v>
      </c>
      <c r="D376">
        <v>4</v>
      </c>
      <c r="E376" t="s">
        <v>357</v>
      </c>
      <c r="F376" t="s">
        <v>358</v>
      </c>
      <c r="G376" t="s">
        <v>28</v>
      </c>
      <c r="H376" t="s">
        <v>29</v>
      </c>
      <c r="I376" t="s">
        <v>33</v>
      </c>
      <c r="J376">
        <v>80</v>
      </c>
      <c r="K376">
        <v>883.55</v>
      </c>
      <c r="L376">
        <v>70683.649999999994</v>
      </c>
      <c r="M376">
        <v>42154.01</v>
      </c>
      <c r="N376">
        <v>6757.28</v>
      </c>
      <c r="O376">
        <v>3639.06</v>
      </c>
      <c r="P376">
        <v>3001.2</v>
      </c>
      <c r="Q376">
        <v>927.29</v>
      </c>
      <c r="R376">
        <v>3102.75</v>
      </c>
      <c r="S376">
        <v>1122.79</v>
      </c>
      <c r="T376">
        <v>60704.38</v>
      </c>
      <c r="U376">
        <v>28529.64</v>
      </c>
      <c r="V376">
        <v>9979.26</v>
      </c>
      <c r="W376">
        <v>9595.07</v>
      </c>
      <c r="X376">
        <v>76329.429999999993</v>
      </c>
      <c r="Y376">
        <v>58592.66</v>
      </c>
    </row>
    <row r="377" spans="1:25" x14ac:dyDescent="0.25">
      <c r="A377" t="s">
        <v>423</v>
      </c>
      <c r="B377" s="1">
        <v>45035</v>
      </c>
      <c r="C377">
        <v>2023</v>
      </c>
      <c r="D377">
        <v>4</v>
      </c>
      <c r="E377" t="s">
        <v>357</v>
      </c>
      <c r="F377" t="s">
        <v>358</v>
      </c>
      <c r="G377" t="s">
        <v>44</v>
      </c>
      <c r="H377" t="s">
        <v>32</v>
      </c>
      <c r="I377" t="s">
        <v>45</v>
      </c>
      <c r="J377">
        <v>27</v>
      </c>
      <c r="K377">
        <v>1550.59</v>
      </c>
      <c r="L377">
        <v>41865.9</v>
      </c>
      <c r="M377">
        <v>23968.94</v>
      </c>
      <c r="N377">
        <v>5100.32</v>
      </c>
      <c r="O377">
        <v>1582.16</v>
      </c>
      <c r="P377">
        <v>1404.59</v>
      </c>
      <c r="Q377">
        <v>513.28</v>
      </c>
      <c r="R377">
        <v>2422.6999999999998</v>
      </c>
      <c r="S377">
        <v>932.98</v>
      </c>
      <c r="T377">
        <v>35924.980000000003</v>
      </c>
      <c r="U377">
        <v>17896.96</v>
      </c>
      <c r="V377">
        <v>5940.92</v>
      </c>
      <c r="W377">
        <v>5368.75</v>
      </c>
      <c r="X377">
        <v>41090.06</v>
      </c>
      <c r="Y377">
        <v>37486.28</v>
      </c>
    </row>
    <row r="378" spans="1:25" x14ac:dyDescent="0.25">
      <c r="A378" t="s">
        <v>424</v>
      </c>
      <c r="B378" s="1">
        <v>45035</v>
      </c>
      <c r="C378">
        <v>2023</v>
      </c>
      <c r="D378">
        <v>4</v>
      </c>
      <c r="E378" t="s">
        <v>357</v>
      </c>
      <c r="F378" t="s">
        <v>358</v>
      </c>
      <c r="G378" t="s">
        <v>44</v>
      </c>
      <c r="H378" t="s">
        <v>36</v>
      </c>
      <c r="I378" t="s">
        <v>30</v>
      </c>
      <c r="J378">
        <v>44</v>
      </c>
      <c r="K378">
        <v>1581.98</v>
      </c>
      <c r="L378">
        <v>69607</v>
      </c>
      <c r="M378">
        <v>44467.46</v>
      </c>
      <c r="N378">
        <v>8454.8700000000008</v>
      </c>
      <c r="O378">
        <v>4308.13</v>
      </c>
      <c r="P378">
        <v>2017.32</v>
      </c>
      <c r="Q378">
        <v>713.93</v>
      </c>
      <c r="R378">
        <v>3494.21</v>
      </c>
      <c r="S378">
        <v>1626.6</v>
      </c>
      <c r="T378">
        <v>65082.52</v>
      </c>
      <c r="U378">
        <v>25139.54</v>
      </c>
      <c r="V378">
        <v>4524.4799999999996</v>
      </c>
      <c r="W378">
        <v>4077.98</v>
      </c>
      <c r="X378">
        <v>69556.399999999994</v>
      </c>
      <c r="Y378">
        <v>69633.789999999994</v>
      </c>
    </row>
    <row r="379" spans="1:25" x14ac:dyDescent="0.25">
      <c r="A379" t="s">
        <v>425</v>
      </c>
      <c r="B379" s="1">
        <v>45035</v>
      </c>
      <c r="C379">
        <v>2023</v>
      </c>
      <c r="D379">
        <v>4</v>
      </c>
      <c r="E379" t="s">
        <v>357</v>
      </c>
      <c r="F379" t="s">
        <v>358</v>
      </c>
      <c r="G379" t="s">
        <v>28</v>
      </c>
      <c r="H379" t="s">
        <v>53</v>
      </c>
      <c r="I379" t="s">
        <v>65</v>
      </c>
      <c r="J379">
        <v>39</v>
      </c>
      <c r="K379">
        <v>1078.8800000000001</v>
      </c>
      <c r="L379">
        <v>42076.18</v>
      </c>
      <c r="M379">
        <v>23918.62</v>
      </c>
      <c r="N379">
        <v>4073.22</v>
      </c>
      <c r="O379">
        <v>3102.64</v>
      </c>
      <c r="P379">
        <v>680.49</v>
      </c>
      <c r="Q379">
        <v>270.3</v>
      </c>
      <c r="R379">
        <v>2383.61</v>
      </c>
      <c r="S379">
        <v>756.96</v>
      </c>
      <c r="T379">
        <v>35185.839999999997</v>
      </c>
      <c r="U379">
        <v>18157.560000000001</v>
      </c>
      <c r="V379">
        <v>6890.33</v>
      </c>
      <c r="W379">
        <v>6918.73</v>
      </c>
      <c r="X379">
        <v>41836.57</v>
      </c>
      <c r="Y379">
        <v>37862.449999999997</v>
      </c>
    </row>
    <row r="380" spans="1:25" x14ac:dyDescent="0.25">
      <c r="A380" t="s">
        <v>426</v>
      </c>
      <c r="B380" s="1">
        <v>45036</v>
      </c>
      <c r="C380">
        <v>2023</v>
      </c>
      <c r="D380">
        <v>4</v>
      </c>
      <c r="E380" t="s">
        <v>357</v>
      </c>
      <c r="F380" t="s">
        <v>358</v>
      </c>
      <c r="G380" t="s">
        <v>44</v>
      </c>
      <c r="H380" t="s">
        <v>36</v>
      </c>
      <c r="I380" t="s">
        <v>39</v>
      </c>
      <c r="J380">
        <v>35</v>
      </c>
      <c r="K380">
        <v>1400.92</v>
      </c>
      <c r="L380">
        <v>49032.34</v>
      </c>
      <c r="M380">
        <v>27406.94</v>
      </c>
      <c r="N380">
        <v>5624.05</v>
      </c>
      <c r="O380">
        <v>3668.1</v>
      </c>
      <c r="P380">
        <v>1068.1600000000001</v>
      </c>
      <c r="Q380">
        <v>517.4</v>
      </c>
      <c r="R380">
        <v>3133.11</v>
      </c>
      <c r="S380">
        <v>1210.46</v>
      </c>
      <c r="T380">
        <v>42628.21</v>
      </c>
      <c r="U380">
        <v>21625.4</v>
      </c>
      <c r="V380">
        <v>6404.13</v>
      </c>
      <c r="W380">
        <v>6180.19</v>
      </c>
      <c r="X380">
        <v>53305.42</v>
      </c>
      <c r="Y380">
        <v>45391.19</v>
      </c>
    </row>
    <row r="381" spans="1:25" x14ac:dyDescent="0.25">
      <c r="A381" t="s">
        <v>427</v>
      </c>
      <c r="B381" s="1">
        <v>45037</v>
      </c>
      <c r="C381">
        <v>2023</v>
      </c>
      <c r="D381">
        <v>4</v>
      </c>
      <c r="E381" t="s">
        <v>357</v>
      </c>
      <c r="F381" t="s">
        <v>358</v>
      </c>
      <c r="G381" t="s">
        <v>35</v>
      </c>
      <c r="H381" t="s">
        <v>32</v>
      </c>
      <c r="I381" t="s">
        <v>37</v>
      </c>
      <c r="J381">
        <v>83</v>
      </c>
      <c r="K381">
        <v>1069.8499999999999</v>
      </c>
      <c r="L381">
        <v>88797.2</v>
      </c>
      <c r="M381">
        <v>49412.04</v>
      </c>
      <c r="N381">
        <v>8824.66</v>
      </c>
      <c r="O381">
        <v>5061.55</v>
      </c>
      <c r="P381">
        <v>1694.02</v>
      </c>
      <c r="Q381">
        <v>1000.16</v>
      </c>
      <c r="R381">
        <v>4324.5600000000004</v>
      </c>
      <c r="S381">
        <v>1000.92</v>
      </c>
      <c r="T381">
        <v>71317.899999999994</v>
      </c>
      <c r="U381">
        <v>39385.160000000003</v>
      </c>
      <c r="V381">
        <v>17479.3</v>
      </c>
      <c r="W381">
        <v>15987.11</v>
      </c>
      <c r="X381">
        <v>91981.59</v>
      </c>
      <c r="Y381">
        <v>77085.63</v>
      </c>
    </row>
    <row r="382" spans="1:25" x14ac:dyDescent="0.25">
      <c r="A382" t="s">
        <v>428</v>
      </c>
      <c r="B382" s="1">
        <v>45037</v>
      </c>
      <c r="C382">
        <v>2023</v>
      </c>
      <c r="D382">
        <v>4</v>
      </c>
      <c r="E382" t="s">
        <v>357</v>
      </c>
      <c r="F382" t="s">
        <v>358</v>
      </c>
      <c r="G382" t="s">
        <v>44</v>
      </c>
      <c r="H382" t="s">
        <v>29</v>
      </c>
      <c r="I382" t="s">
        <v>30</v>
      </c>
      <c r="J382">
        <v>77</v>
      </c>
      <c r="K382">
        <v>959.85</v>
      </c>
      <c r="L382">
        <v>73908.39</v>
      </c>
      <c r="M382">
        <v>48509.84</v>
      </c>
      <c r="N382">
        <v>7873.75</v>
      </c>
      <c r="O382">
        <v>4402.4399999999996</v>
      </c>
      <c r="P382">
        <v>2589.9299999999998</v>
      </c>
      <c r="Q382">
        <v>1010.28</v>
      </c>
      <c r="R382">
        <v>3058.54</v>
      </c>
      <c r="S382">
        <v>1319.72</v>
      </c>
      <c r="T382">
        <v>68764.5</v>
      </c>
      <c r="U382">
        <v>25398.55</v>
      </c>
      <c r="V382">
        <v>5143.8900000000003</v>
      </c>
      <c r="W382">
        <v>4794.7700000000004</v>
      </c>
      <c r="X382">
        <v>78515.53</v>
      </c>
      <c r="Y382">
        <v>68290.62</v>
      </c>
    </row>
    <row r="383" spans="1:25" x14ac:dyDescent="0.25">
      <c r="A383" t="s">
        <v>429</v>
      </c>
      <c r="B383" s="1">
        <v>45037</v>
      </c>
      <c r="C383">
        <v>2023</v>
      </c>
      <c r="D383">
        <v>4</v>
      </c>
      <c r="E383" t="s">
        <v>357</v>
      </c>
      <c r="F383" t="s">
        <v>358</v>
      </c>
      <c r="G383" t="s">
        <v>55</v>
      </c>
      <c r="H383" t="s">
        <v>32</v>
      </c>
      <c r="I383" t="s">
        <v>56</v>
      </c>
      <c r="J383">
        <v>52</v>
      </c>
      <c r="K383">
        <v>1104.17</v>
      </c>
      <c r="L383">
        <v>57416.959999999999</v>
      </c>
      <c r="M383">
        <v>38197.440000000002</v>
      </c>
      <c r="N383">
        <v>4338.32</v>
      </c>
      <c r="O383">
        <v>3926.64</v>
      </c>
      <c r="P383">
        <v>1234.49</v>
      </c>
      <c r="Q383">
        <v>965.09</v>
      </c>
      <c r="R383">
        <v>3731.55</v>
      </c>
      <c r="S383">
        <v>1189.1400000000001</v>
      </c>
      <c r="T383">
        <v>53582.67</v>
      </c>
      <c r="U383">
        <v>19219.52</v>
      </c>
      <c r="V383">
        <v>3834.29</v>
      </c>
      <c r="W383">
        <v>3884.27</v>
      </c>
      <c r="X383">
        <v>60103.62</v>
      </c>
      <c r="Y383">
        <v>57146.7</v>
      </c>
    </row>
    <row r="384" spans="1:25" x14ac:dyDescent="0.25">
      <c r="A384" t="s">
        <v>430</v>
      </c>
      <c r="B384" s="1">
        <v>45037</v>
      </c>
      <c r="C384">
        <v>2023</v>
      </c>
      <c r="D384">
        <v>4</v>
      </c>
      <c r="E384" t="s">
        <v>357</v>
      </c>
      <c r="F384" t="s">
        <v>358</v>
      </c>
      <c r="G384" t="s">
        <v>55</v>
      </c>
      <c r="H384" t="s">
        <v>29</v>
      </c>
      <c r="I384" t="s">
        <v>30</v>
      </c>
      <c r="J384">
        <v>76</v>
      </c>
      <c r="K384">
        <v>1172.33</v>
      </c>
      <c r="L384">
        <v>89097.22</v>
      </c>
      <c r="M384">
        <v>47465</v>
      </c>
      <c r="N384">
        <v>8167.81</v>
      </c>
      <c r="O384">
        <v>2957.35</v>
      </c>
      <c r="P384">
        <v>1634.18</v>
      </c>
      <c r="Q384">
        <v>457.35</v>
      </c>
      <c r="R384">
        <v>3557.46</v>
      </c>
      <c r="S384">
        <v>1049.78</v>
      </c>
      <c r="T384">
        <v>65288.93</v>
      </c>
      <c r="U384">
        <v>41632.22</v>
      </c>
      <c r="V384">
        <v>23808.29</v>
      </c>
      <c r="W384">
        <v>21248.29</v>
      </c>
      <c r="X384">
        <v>96828.37</v>
      </c>
      <c r="Y384">
        <v>63723.55</v>
      </c>
    </row>
    <row r="385" spans="1:25" x14ac:dyDescent="0.25">
      <c r="A385" t="s">
        <v>431</v>
      </c>
      <c r="B385" s="1">
        <v>45037</v>
      </c>
      <c r="C385">
        <v>2023</v>
      </c>
      <c r="D385">
        <v>4</v>
      </c>
      <c r="E385" t="s">
        <v>357</v>
      </c>
      <c r="F385" t="s">
        <v>358</v>
      </c>
      <c r="G385" t="s">
        <v>35</v>
      </c>
      <c r="H385" t="s">
        <v>32</v>
      </c>
      <c r="I385" t="s">
        <v>50</v>
      </c>
      <c r="J385">
        <v>28</v>
      </c>
      <c r="K385">
        <v>1773.12</v>
      </c>
      <c r="L385">
        <v>49647.27</v>
      </c>
      <c r="M385">
        <v>31990.18</v>
      </c>
      <c r="N385">
        <v>4259.92</v>
      </c>
      <c r="O385">
        <v>3517.42</v>
      </c>
      <c r="P385">
        <v>1541.63</v>
      </c>
      <c r="Q385">
        <v>351.21</v>
      </c>
      <c r="R385">
        <v>2015.72</v>
      </c>
      <c r="S385">
        <v>1142.78</v>
      </c>
      <c r="T385">
        <v>44818.86</v>
      </c>
      <c r="U385">
        <v>17657.09</v>
      </c>
      <c r="V385">
        <v>4828.41</v>
      </c>
      <c r="W385">
        <v>4354.91</v>
      </c>
      <c r="X385">
        <v>46331.040000000001</v>
      </c>
      <c r="Y385">
        <v>44597.13</v>
      </c>
    </row>
    <row r="386" spans="1:25" x14ac:dyDescent="0.25">
      <c r="A386" t="s">
        <v>432</v>
      </c>
      <c r="B386" s="1">
        <v>45037</v>
      </c>
      <c r="C386">
        <v>2023</v>
      </c>
      <c r="D386">
        <v>4</v>
      </c>
      <c r="E386" t="s">
        <v>357</v>
      </c>
      <c r="F386" t="s">
        <v>358</v>
      </c>
      <c r="G386" t="s">
        <v>44</v>
      </c>
      <c r="H386" t="s">
        <v>32</v>
      </c>
      <c r="I386" t="s">
        <v>65</v>
      </c>
      <c r="J386">
        <v>38</v>
      </c>
      <c r="K386">
        <v>1497.99</v>
      </c>
      <c r="L386">
        <v>56923.48</v>
      </c>
      <c r="M386">
        <v>33427.85</v>
      </c>
      <c r="N386">
        <v>6293.15</v>
      </c>
      <c r="O386">
        <v>3681.78</v>
      </c>
      <c r="P386">
        <v>2029.14</v>
      </c>
      <c r="Q386">
        <v>769.53</v>
      </c>
      <c r="R386">
        <v>2815.34</v>
      </c>
      <c r="S386">
        <v>1027.67</v>
      </c>
      <c r="T386">
        <v>50044.46</v>
      </c>
      <c r="U386">
        <v>23495.63</v>
      </c>
      <c r="V386">
        <v>6879.02</v>
      </c>
      <c r="W386">
        <v>6360.66</v>
      </c>
      <c r="X386">
        <v>52890.36</v>
      </c>
      <c r="Y386">
        <v>50830.09</v>
      </c>
    </row>
    <row r="387" spans="1:25" x14ac:dyDescent="0.25">
      <c r="A387" t="s">
        <v>433</v>
      </c>
      <c r="B387" s="1">
        <v>45038</v>
      </c>
      <c r="C387">
        <v>2023</v>
      </c>
      <c r="D387">
        <v>4</v>
      </c>
      <c r="E387" t="s">
        <v>357</v>
      </c>
      <c r="F387" t="s">
        <v>358</v>
      </c>
      <c r="G387" t="s">
        <v>28</v>
      </c>
      <c r="H387" t="s">
        <v>53</v>
      </c>
      <c r="I387" t="s">
        <v>39</v>
      </c>
      <c r="J387">
        <v>40</v>
      </c>
      <c r="K387">
        <v>983.99</v>
      </c>
      <c r="L387">
        <v>39359.629999999997</v>
      </c>
      <c r="M387">
        <v>25512.46</v>
      </c>
      <c r="N387">
        <v>4712.6000000000004</v>
      </c>
      <c r="O387">
        <v>1489.4</v>
      </c>
      <c r="P387">
        <v>1529.01</v>
      </c>
      <c r="Q387">
        <v>246.38</v>
      </c>
      <c r="R387">
        <v>2495.42</v>
      </c>
      <c r="S387">
        <v>365.52</v>
      </c>
      <c r="T387">
        <v>36350.79</v>
      </c>
      <c r="U387">
        <v>13847.17</v>
      </c>
      <c r="V387">
        <v>3008.85</v>
      </c>
      <c r="W387">
        <v>3046.28</v>
      </c>
      <c r="X387">
        <v>41799.629999999997</v>
      </c>
      <c r="Y387">
        <v>37814.07</v>
      </c>
    </row>
    <row r="388" spans="1:25" x14ac:dyDescent="0.25">
      <c r="A388" t="s">
        <v>434</v>
      </c>
      <c r="B388" s="1">
        <v>45038</v>
      </c>
      <c r="C388">
        <v>2023</v>
      </c>
      <c r="D388">
        <v>4</v>
      </c>
      <c r="E388" t="s">
        <v>357</v>
      </c>
      <c r="F388" t="s">
        <v>358</v>
      </c>
      <c r="G388" t="s">
        <v>44</v>
      </c>
      <c r="H388" t="s">
        <v>32</v>
      </c>
      <c r="I388" t="s">
        <v>45</v>
      </c>
      <c r="J388">
        <v>32</v>
      </c>
      <c r="K388">
        <v>1692.75</v>
      </c>
      <c r="L388">
        <v>54168</v>
      </c>
      <c r="M388">
        <v>28981.040000000001</v>
      </c>
      <c r="N388">
        <v>4594.6899999999996</v>
      </c>
      <c r="O388">
        <v>2257.33</v>
      </c>
      <c r="P388">
        <v>1480.99</v>
      </c>
      <c r="Q388">
        <v>966.9</v>
      </c>
      <c r="R388">
        <v>2577.2600000000002</v>
      </c>
      <c r="S388">
        <v>581.4</v>
      </c>
      <c r="T388">
        <v>41439.629999999997</v>
      </c>
      <c r="U388">
        <v>25186.95</v>
      </c>
      <c r="V388">
        <v>12728.37</v>
      </c>
      <c r="W388">
        <v>12727.67</v>
      </c>
      <c r="X388">
        <v>60488.86</v>
      </c>
      <c r="Y388">
        <v>40642.92</v>
      </c>
    </row>
    <row r="389" spans="1:25" x14ac:dyDescent="0.25">
      <c r="A389" t="s">
        <v>435</v>
      </c>
      <c r="B389" s="1">
        <v>45039</v>
      </c>
      <c r="C389">
        <v>2023</v>
      </c>
      <c r="D389">
        <v>4</v>
      </c>
      <c r="E389" t="s">
        <v>357</v>
      </c>
      <c r="F389" t="s">
        <v>358</v>
      </c>
      <c r="G389" t="s">
        <v>44</v>
      </c>
      <c r="H389" t="s">
        <v>36</v>
      </c>
      <c r="I389" t="s">
        <v>65</v>
      </c>
      <c r="J389">
        <v>55</v>
      </c>
      <c r="K389">
        <v>1108.0899999999999</v>
      </c>
      <c r="L389">
        <v>60944.97</v>
      </c>
      <c r="M389">
        <v>36561.01</v>
      </c>
      <c r="N389">
        <v>6011.74</v>
      </c>
      <c r="O389">
        <v>2173.13</v>
      </c>
      <c r="P389">
        <v>1077.43</v>
      </c>
      <c r="Q389">
        <v>973.73</v>
      </c>
      <c r="R389">
        <v>1551.34</v>
      </c>
      <c r="S389">
        <v>1285.0899999999999</v>
      </c>
      <c r="T389">
        <v>49633.45</v>
      </c>
      <c r="U389">
        <v>24383.96</v>
      </c>
      <c r="V389">
        <v>11311.52</v>
      </c>
      <c r="W389">
        <v>10915.78</v>
      </c>
      <c r="X389">
        <v>62732.43</v>
      </c>
      <c r="Y389">
        <v>51693.59</v>
      </c>
    </row>
    <row r="390" spans="1:25" x14ac:dyDescent="0.25">
      <c r="A390" t="s">
        <v>436</v>
      </c>
      <c r="B390" s="1">
        <v>45039</v>
      </c>
      <c r="C390">
        <v>2023</v>
      </c>
      <c r="D390">
        <v>4</v>
      </c>
      <c r="E390" t="s">
        <v>357</v>
      </c>
      <c r="F390" t="s">
        <v>358</v>
      </c>
      <c r="G390" t="s">
        <v>35</v>
      </c>
      <c r="H390" t="s">
        <v>36</v>
      </c>
      <c r="I390" t="s">
        <v>33</v>
      </c>
      <c r="J390">
        <v>28</v>
      </c>
      <c r="K390">
        <v>1718.71</v>
      </c>
      <c r="L390">
        <v>48123.86</v>
      </c>
      <c r="M390">
        <v>27443.41</v>
      </c>
      <c r="N390">
        <v>4408.04</v>
      </c>
      <c r="O390">
        <v>1778.38</v>
      </c>
      <c r="P390">
        <v>1650.03</v>
      </c>
      <c r="Q390">
        <v>788.08</v>
      </c>
      <c r="R390">
        <v>1543.45</v>
      </c>
      <c r="S390">
        <v>1048.52</v>
      </c>
      <c r="T390">
        <v>38659.910000000003</v>
      </c>
      <c r="U390">
        <v>20680.45</v>
      </c>
      <c r="V390">
        <v>9463.9500000000007</v>
      </c>
      <c r="W390">
        <v>8948.68</v>
      </c>
      <c r="X390">
        <v>52708.17</v>
      </c>
      <c r="Y390">
        <v>37778.639999999999</v>
      </c>
    </row>
    <row r="391" spans="1:25" x14ac:dyDescent="0.25">
      <c r="A391" t="s">
        <v>437</v>
      </c>
      <c r="B391" s="1">
        <v>45039</v>
      </c>
      <c r="C391">
        <v>2023</v>
      </c>
      <c r="D391">
        <v>4</v>
      </c>
      <c r="E391" t="s">
        <v>357</v>
      </c>
      <c r="F391" t="s">
        <v>358</v>
      </c>
      <c r="G391" t="s">
        <v>44</v>
      </c>
      <c r="H391" t="s">
        <v>53</v>
      </c>
      <c r="I391" t="s">
        <v>37</v>
      </c>
      <c r="J391">
        <v>46</v>
      </c>
      <c r="K391">
        <v>1392.49</v>
      </c>
      <c r="L391">
        <v>64054.6</v>
      </c>
      <c r="M391">
        <v>32246.2</v>
      </c>
      <c r="N391">
        <v>5259.41</v>
      </c>
      <c r="O391">
        <v>3035.37</v>
      </c>
      <c r="P391">
        <v>2702.52</v>
      </c>
      <c r="Q391">
        <v>1141.1400000000001</v>
      </c>
      <c r="R391">
        <v>3383.54</v>
      </c>
      <c r="S391">
        <v>797.73</v>
      </c>
      <c r="T391">
        <v>48565.919999999998</v>
      </c>
      <c r="U391">
        <v>31808.400000000001</v>
      </c>
      <c r="V391">
        <v>15488.68</v>
      </c>
      <c r="W391">
        <v>14002.86</v>
      </c>
      <c r="X391">
        <v>65945.47</v>
      </c>
      <c r="Y391">
        <v>48732.28</v>
      </c>
    </row>
    <row r="392" spans="1:25" x14ac:dyDescent="0.25">
      <c r="A392" t="s">
        <v>438</v>
      </c>
      <c r="B392" s="1">
        <v>45039</v>
      </c>
      <c r="C392">
        <v>2023</v>
      </c>
      <c r="D392">
        <v>4</v>
      </c>
      <c r="E392" t="s">
        <v>357</v>
      </c>
      <c r="F392" t="s">
        <v>358</v>
      </c>
      <c r="G392" t="s">
        <v>35</v>
      </c>
      <c r="H392" t="s">
        <v>36</v>
      </c>
      <c r="I392" t="s">
        <v>39</v>
      </c>
      <c r="J392">
        <v>24</v>
      </c>
      <c r="K392">
        <v>1711.91</v>
      </c>
      <c r="L392">
        <v>41085.83</v>
      </c>
      <c r="M392">
        <v>19834.5</v>
      </c>
      <c r="N392">
        <v>4466.99</v>
      </c>
      <c r="O392">
        <v>2124.94</v>
      </c>
      <c r="P392">
        <v>1791.33</v>
      </c>
      <c r="Q392">
        <v>384.3</v>
      </c>
      <c r="R392">
        <v>2396.56</v>
      </c>
      <c r="S392">
        <v>414.13</v>
      </c>
      <c r="T392">
        <v>31412.74</v>
      </c>
      <c r="U392">
        <v>21251.34</v>
      </c>
      <c r="V392">
        <v>9673.09</v>
      </c>
      <c r="W392">
        <v>9084.43</v>
      </c>
      <c r="X392">
        <v>44162.49</v>
      </c>
      <c r="Y392">
        <v>31276.46</v>
      </c>
    </row>
    <row r="393" spans="1:25" x14ac:dyDescent="0.25">
      <c r="A393" t="s">
        <v>439</v>
      </c>
      <c r="B393" s="1">
        <v>45039</v>
      </c>
      <c r="C393">
        <v>2023</v>
      </c>
      <c r="D393">
        <v>4</v>
      </c>
      <c r="E393" t="s">
        <v>357</v>
      </c>
      <c r="F393" t="s">
        <v>358</v>
      </c>
      <c r="G393" t="s">
        <v>55</v>
      </c>
      <c r="H393" t="s">
        <v>32</v>
      </c>
      <c r="I393" t="s">
        <v>33</v>
      </c>
      <c r="J393">
        <v>132</v>
      </c>
      <c r="K393">
        <v>860.97</v>
      </c>
      <c r="L393">
        <v>113647.77</v>
      </c>
      <c r="M393">
        <v>63778.78</v>
      </c>
      <c r="N393">
        <v>10187</v>
      </c>
      <c r="O393">
        <v>6546.33</v>
      </c>
      <c r="P393">
        <v>3904.91</v>
      </c>
      <c r="Q393">
        <v>1464.1</v>
      </c>
      <c r="R393">
        <v>5849.94</v>
      </c>
      <c r="S393">
        <v>2128.86</v>
      </c>
      <c r="T393">
        <v>93859.93</v>
      </c>
      <c r="U393">
        <v>49868.99</v>
      </c>
      <c r="V393">
        <v>19787.84</v>
      </c>
      <c r="W393">
        <v>19209.52</v>
      </c>
      <c r="X393">
        <v>122258.56</v>
      </c>
      <c r="Y393">
        <v>92909.35</v>
      </c>
    </row>
    <row r="394" spans="1:25" x14ac:dyDescent="0.25">
      <c r="A394" t="s">
        <v>440</v>
      </c>
      <c r="B394" s="1">
        <v>45039</v>
      </c>
      <c r="C394">
        <v>2023</v>
      </c>
      <c r="D394">
        <v>4</v>
      </c>
      <c r="E394" t="s">
        <v>357</v>
      </c>
      <c r="F394" t="s">
        <v>358</v>
      </c>
      <c r="G394" t="s">
        <v>35</v>
      </c>
      <c r="H394" t="s">
        <v>36</v>
      </c>
      <c r="I394" t="s">
        <v>39</v>
      </c>
      <c r="J394">
        <v>21</v>
      </c>
      <c r="K394">
        <v>1295.96</v>
      </c>
      <c r="L394">
        <v>27215.08</v>
      </c>
      <c r="M394">
        <v>13345.01</v>
      </c>
      <c r="N394">
        <v>2619.21</v>
      </c>
      <c r="O394">
        <v>1436.28</v>
      </c>
      <c r="P394">
        <v>1146.3399999999999</v>
      </c>
      <c r="Q394">
        <v>439.04</v>
      </c>
      <c r="R394">
        <v>1233.49</v>
      </c>
      <c r="S394">
        <v>565.67999999999995</v>
      </c>
      <c r="T394">
        <v>20785.060000000001</v>
      </c>
      <c r="U394">
        <v>13870.07</v>
      </c>
      <c r="V394">
        <v>6430.02</v>
      </c>
      <c r="W394">
        <v>5828.37</v>
      </c>
      <c r="X394">
        <v>28457.439999999999</v>
      </c>
      <c r="Y394">
        <v>19809.080000000002</v>
      </c>
    </row>
    <row r="395" spans="1:25" x14ac:dyDescent="0.25">
      <c r="A395" t="s">
        <v>441</v>
      </c>
      <c r="B395" s="1">
        <v>45040</v>
      </c>
      <c r="C395">
        <v>2023</v>
      </c>
      <c r="D395">
        <v>4</v>
      </c>
      <c r="E395" t="s">
        <v>357</v>
      </c>
      <c r="F395" t="s">
        <v>358</v>
      </c>
      <c r="G395" t="s">
        <v>55</v>
      </c>
      <c r="H395" t="s">
        <v>32</v>
      </c>
      <c r="I395" t="s">
        <v>50</v>
      </c>
      <c r="J395">
        <v>51</v>
      </c>
      <c r="K395">
        <v>1493.03</v>
      </c>
      <c r="L395">
        <v>76144.740000000005</v>
      </c>
      <c r="M395">
        <v>51560.39</v>
      </c>
      <c r="N395">
        <v>9860.26</v>
      </c>
      <c r="O395">
        <v>3274.42</v>
      </c>
      <c r="P395">
        <v>3190.97</v>
      </c>
      <c r="Q395">
        <v>740.31</v>
      </c>
      <c r="R395">
        <v>4076.72</v>
      </c>
      <c r="S395">
        <v>1776.98</v>
      </c>
      <c r="T395">
        <v>74480.05</v>
      </c>
      <c r="U395">
        <v>24584.35</v>
      </c>
      <c r="V395">
        <v>1664.69</v>
      </c>
      <c r="W395">
        <v>1510.65</v>
      </c>
      <c r="X395">
        <v>73227.399999999994</v>
      </c>
      <c r="Y395">
        <v>79232.240000000005</v>
      </c>
    </row>
    <row r="396" spans="1:25" x14ac:dyDescent="0.25">
      <c r="A396" t="s">
        <v>442</v>
      </c>
      <c r="B396" s="1">
        <v>45040</v>
      </c>
      <c r="C396">
        <v>2023</v>
      </c>
      <c r="D396">
        <v>4</v>
      </c>
      <c r="E396" t="s">
        <v>357</v>
      </c>
      <c r="F396" t="s">
        <v>358</v>
      </c>
      <c r="G396" t="s">
        <v>35</v>
      </c>
      <c r="H396" t="s">
        <v>32</v>
      </c>
      <c r="I396" t="s">
        <v>37</v>
      </c>
      <c r="J396">
        <v>47</v>
      </c>
      <c r="K396">
        <v>1245.8699999999999</v>
      </c>
      <c r="L396">
        <v>58556.12</v>
      </c>
      <c r="M396">
        <v>30613.15</v>
      </c>
      <c r="N396">
        <v>4273.28</v>
      </c>
      <c r="O396">
        <v>2228.38</v>
      </c>
      <c r="P396">
        <v>1003.87</v>
      </c>
      <c r="Q396">
        <v>536.66999999999996</v>
      </c>
      <c r="R396">
        <v>2162.44</v>
      </c>
      <c r="S396">
        <v>1149.5899999999999</v>
      </c>
      <c r="T396">
        <v>41967.37</v>
      </c>
      <c r="U396">
        <v>27942.97</v>
      </c>
      <c r="V396">
        <v>16588.740000000002</v>
      </c>
      <c r="W396">
        <v>15517.34</v>
      </c>
      <c r="X396">
        <v>57045.35</v>
      </c>
      <c r="Y396">
        <v>40169.980000000003</v>
      </c>
    </row>
    <row r="397" spans="1:25" x14ac:dyDescent="0.25">
      <c r="A397" t="s">
        <v>443</v>
      </c>
      <c r="B397" s="1">
        <v>45040</v>
      </c>
      <c r="C397">
        <v>2023</v>
      </c>
      <c r="D397">
        <v>4</v>
      </c>
      <c r="E397" t="s">
        <v>357</v>
      </c>
      <c r="F397" t="s">
        <v>358</v>
      </c>
      <c r="G397" t="s">
        <v>28</v>
      </c>
      <c r="H397" t="s">
        <v>32</v>
      </c>
      <c r="I397" t="s">
        <v>30</v>
      </c>
      <c r="J397">
        <v>75</v>
      </c>
      <c r="K397">
        <v>1443.02</v>
      </c>
      <c r="L397">
        <v>108226.3</v>
      </c>
      <c r="M397">
        <v>63223.14</v>
      </c>
      <c r="N397">
        <v>12721.74</v>
      </c>
      <c r="O397">
        <v>6999.76</v>
      </c>
      <c r="P397">
        <v>3823.86</v>
      </c>
      <c r="Q397">
        <v>1636.39</v>
      </c>
      <c r="R397">
        <v>4141.37</v>
      </c>
      <c r="S397">
        <v>2231.7600000000002</v>
      </c>
      <c r="T397">
        <v>94778.04</v>
      </c>
      <c r="U397">
        <v>45003.16</v>
      </c>
      <c r="V397">
        <v>13448.26</v>
      </c>
      <c r="W397">
        <v>11900.4</v>
      </c>
      <c r="X397">
        <v>113540.25</v>
      </c>
      <c r="Y397">
        <v>97825.36</v>
      </c>
    </row>
    <row r="398" spans="1:25" x14ac:dyDescent="0.25">
      <c r="A398" t="s">
        <v>444</v>
      </c>
      <c r="B398" s="1">
        <v>45040</v>
      </c>
      <c r="C398">
        <v>2023</v>
      </c>
      <c r="D398">
        <v>4</v>
      </c>
      <c r="E398" t="s">
        <v>357</v>
      </c>
      <c r="F398" t="s">
        <v>358</v>
      </c>
      <c r="G398" t="s">
        <v>44</v>
      </c>
      <c r="H398" t="s">
        <v>32</v>
      </c>
      <c r="I398" t="s">
        <v>30</v>
      </c>
      <c r="J398">
        <v>111</v>
      </c>
      <c r="K398">
        <v>998.58</v>
      </c>
      <c r="L398">
        <v>110842.68</v>
      </c>
      <c r="M398">
        <v>63070.65</v>
      </c>
      <c r="N398">
        <v>12719.75</v>
      </c>
      <c r="O398">
        <v>5917.89</v>
      </c>
      <c r="P398">
        <v>4364.82</v>
      </c>
      <c r="Q398">
        <v>835.38</v>
      </c>
      <c r="R398">
        <v>5562.44</v>
      </c>
      <c r="S398">
        <v>1506.59</v>
      </c>
      <c r="T398">
        <v>93977.54</v>
      </c>
      <c r="U398">
        <v>47772.03</v>
      </c>
      <c r="V398">
        <v>16865.14</v>
      </c>
      <c r="W398">
        <v>15809.36</v>
      </c>
      <c r="X398">
        <v>113673.89</v>
      </c>
      <c r="Y398">
        <v>101657.48</v>
      </c>
    </row>
    <row r="399" spans="1:25" x14ac:dyDescent="0.25">
      <c r="A399" t="s">
        <v>445</v>
      </c>
      <c r="B399" s="1">
        <v>45040</v>
      </c>
      <c r="C399">
        <v>2023</v>
      </c>
      <c r="D399">
        <v>4</v>
      </c>
      <c r="E399" t="s">
        <v>357</v>
      </c>
      <c r="F399" t="s">
        <v>358</v>
      </c>
      <c r="G399" t="s">
        <v>44</v>
      </c>
      <c r="H399" t="s">
        <v>32</v>
      </c>
      <c r="I399" t="s">
        <v>33</v>
      </c>
      <c r="J399">
        <v>79</v>
      </c>
      <c r="K399">
        <v>1084.42</v>
      </c>
      <c r="L399">
        <v>85668.94</v>
      </c>
      <c r="M399">
        <v>54273.58</v>
      </c>
      <c r="N399">
        <v>7632.27</v>
      </c>
      <c r="O399">
        <v>5736.43</v>
      </c>
      <c r="P399">
        <v>3482.23</v>
      </c>
      <c r="Q399">
        <v>892.74</v>
      </c>
      <c r="R399">
        <v>2660.33</v>
      </c>
      <c r="S399">
        <v>834.86</v>
      </c>
      <c r="T399">
        <v>75512.44</v>
      </c>
      <c r="U399">
        <v>31395.360000000001</v>
      </c>
      <c r="V399">
        <v>10156.5</v>
      </c>
      <c r="W399">
        <v>9896.18</v>
      </c>
      <c r="X399">
        <v>95456.52</v>
      </c>
      <c r="Y399">
        <v>73166.100000000006</v>
      </c>
    </row>
    <row r="400" spans="1:25" x14ac:dyDescent="0.25">
      <c r="A400" t="s">
        <v>446</v>
      </c>
      <c r="B400" s="1">
        <v>45041</v>
      </c>
      <c r="C400">
        <v>2023</v>
      </c>
      <c r="D400">
        <v>4</v>
      </c>
      <c r="E400" t="s">
        <v>357</v>
      </c>
      <c r="F400" t="s">
        <v>358</v>
      </c>
      <c r="G400" t="s">
        <v>55</v>
      </c>
      <c r="H400" t="s">
        <v>32</v>
      </c>
      <c r="I400" t="s">
        <v>56</v>
      </c>
      <c r="J400">
        <v>36</v>
      </c>
      <c r="K400">
        <v>1065.18</v>
      </c>
      <c r="L400">
        <v>38346.639999999999</v>
      </c>
      <c r="M400">
        <v>19112.91</v>
      </c>
      <c r="N400">
        <v>4915.17</v>
      </c>
      <c r="O400">
        <v>2854.95</v>
      </c>
      <c r="P400">
        <v>1012.57</v>
      </c>
      <c r="Q400">
        <v>348.27</v>
      </c>
      <c r="R400">
        <v>1755.04</v>
      </c>
      <c r="S400">
        <v>737.19</v>
      </c>
      <c r="T400">
        <v>30736.080000000002</v>
      </c>
      <c r="U400">
        <v>19233.740000000002</v>
      </c>
      <c r="V400">
        <v>7610.56</v>
      </c>
      <c r="W400">
        <v>6974.63</v>
      </c>
      <c r="X400">
        <v>36377.53</v>
      </c>
      <c r="Y400">
        <v>28720.99</v>
      </c>
    </row>
    <row r="401" spans="1:25" x14ac:dyDescent="0.25">
      <c r="A401" t="s">
        <v>447</v>
      </c>
      <c r="B401" s="1">
        <v>45041</v>
      </c>
      <c r="C401">
        <v>2023</v>
      </c>
      <c r="D401">
        <v>4</v>
      </c>
      <c r="E401" t="s">
        <v>357</v>
      </c>
      <c r="F401" t="s">
        <v>358</v>
      </c>
      <c r="G401" t="s">
        <v>55</v>
      </c>
      <c r="H401" t="s">
        <v>36</v>
      </c>
      <c r="I401" t="s">
        <v>30</v>
      </c>
      <c r="J401">
        <v>54</v>
      </c>
      <c r="K401">
        <v>1439.1</v>
      </c>
      <c r="L401">
        <v>77711.44</v>
      </c>
      <c r="M401">
        <v>38181.040000000001</v>
      </c>
      <c r="N401">
        <v>7839.05</v>
      </c>
      <c r="O401">
        <v>3342.51</v>
      </c>
      <c r="P401">
        <v>2695.68</v>
      </c>
      <c r="Q401">
        <v>1251.19</v>
      </c>
      <c r="R401">
        <v>2677.38</v>
      </c>
      <c r="S401">
        <v>633.29999999999995</v>
      </c>
      <c r="T401">
        <v>56620.160000000003</v>
      </c>
      <c r="U401">
        <v>39530.400000000001</v>
      </c>
      <c r="V401">
        <v>21091.279999999999</v>
      </c>
      <c r="W401">
        <v>21336.73</v>
      </c>
      <c r="X401">
        <v>80031.95</v>
      </c>
      <c r="Y401">
        <v>62167.14</v>
      </c>
    </row>
    <row r="402" spans="1:25" x14ac:dyDescent="0.25">
      <c r="A402" t="s">
        <v>448</v>
      </c>
      <c r="B402" s="1">
        <v>45041</v>
      </c>
      <c r="C402">
        <v>2023</v>
      </c>
      <c r="D402">
        <v>4</v>
      </c>
      <c r="E402" t="s">
        <v>357</v>
      </c>
      <c r="F402" t="s">
        <v>358</v>
      </c>
      <c r="G402" t="s">
        <v>28</v>
      </c>
      <c r="H402" t="s">
        <v>29</v>
      </c>
      <c r="I402" t="s">
        <v>65</v>
      </c>
      <c r="J402">
        <v>38</v>
      </c>
      <c r="K402">
        <v>1295.6400000000001</v>
      </c>
      <c r="L402">
        <v>49234.21</v>
      </c>
      <c r="M402">
        <v>29919.040000000001</v>
      </c>
      <c r="N402">
        <v>3568.59</v>
      </c>
      <c r="O402">
        <v>1889.08</v>
      </c>
      <c r="P402">
        <v>1204.73</v>
      </c>
      <c r="Q402">
        <v>396.35</v>
      </c>
      <c r="R402">
        <v>1373.68</v>
      </c>
      <c r="S402">
        <v>933.82</v>
      </c>
      <c r="T402">
        <v>39285.279999999999</v>
      </c>
      <c r="U402">
        <v>19315.169999999998</v>
      </c>
      <c r="V402">
        <v>9948.93</v>
      </c>
      <c r="W402">
        <v>9617.0400000000009</v>
      </c>
      <c r="X402">
        <v>50303.82</v>
      </c>
      <c r="Y402">
        <v>36649.99</v>
      </c>
    </row>
    <row r="403" spans="1:25" x14ac:dyDescent="0.25">
      <c r="A403" t="s">
        <v>449</v>
      </c>
      <c r="B403" s="1">
        <v>45042</v>
      </c>
      <c r="C403">
        <v>2023</v>
      </c>
      <c r="D403">
        <v>4</v>
      </c>
      <c r="E403" t="s">
        <v>357</v>
      </c>
      <c r="F403" t="s">
        <v>358</v>
      </c>
      <c r="G403" t="s">
        <v>55</v>
      </c>
      <c r="H403" t="s">
        <v>29</v>
      </c>
      <c r="I403" t="s">
        <v>65</v>
      </c>
      <c r="J403">
        <v>66</v>
      </c>
      <c r="K403">
        <v>1236.56</v>
      </c>
      <c r="L403">
        <v>81613.09</v>
      </c>
      <c r="M403">
        <v>41086.58</v>
      </c>
      <c r="N403">
        <v>8649.5400000000009</v>
      </c>
      <c r="O403">
        <v>2657.19</v>
      </c>
      <c r="P403">
        <v>2952.24</v>
      </c>
      <c r="Q403">
        <v>632.73</v>
      </c>
      <c r="R403">
        <v>2789.03</v>
      </c>
      <c r="S403">
        <v>917.06</v>
      </c>
      <c r="T403">
        <v>59684.37</v>
      </c>
      <c r="U403">
        <v>40526.51</v>
      </c>
      <c r="V403">
        <v>21928.71</v>
      </c>
      <c r="W403">
        <v>20448.3</v>
      </c>
      <c r="X403">
        <v>85606.34</v>
      </c>
      <c r="Y403">
        <v>64469.4</v>
      </c>
    </row>
    <row r="404" spans="1:25" x14ac:dyDescent="0.25">
      <c r="A404" t="s">
        <v>450</v>
      </c>
      <c r="B404" s="1">
        <v>45042</v>
      </c>
      <c r="C404">
        <v>2023</v>
      </c>
      <c r="D404">
        <v>4</v>
      </c>
      <c r="E404" t="s">
        <v>357</v>
      </c>
      <c r="F404" t="s">
        <v>358</v>
      </c>
      <c r="G404" t="s">
        <v>44</v>
      </c>
      <c r="H404" t="s">
        <v>32</v>
      </c>
      <c r="I404" t="s">
        <v>56</v>
      </c>
      <c r="J404">
        <v>28</v>
      </c>
      <c r="K404">
        <v>1757.6</v>
      </c>
      <c r="L404">
        <v>49212.76</v>
      </c>
      <c r="M404">
        <v>30218.55</v>
      </c>
      <c r="N404">
        <v>3774.54</v>
      </c>
      <c r="O404">
        <v>1895.97</v>
      </c>
      <c r="P404">
        <v>1676.93</v>
      </c>
      <c r="Q404">
        <v>868.81</v>
      </c>
      <c r="R404">
        <v>2931.01</v>
      </c>
      <c r="S404">
        <v>595.48</v>
      </c>
      <c r="T404">
        <v>41961.29</v>
      </c>
      <c r="U404">
        <v>18994.21</v>
      </c>
      <c r="V404">
        <v>7251.47</v>
      </c>
      <c r="W404">
        <v>6627.3</v>
      </c>
      <c r="X404">
        <v>47124.24</v>
      </c>
      <c r="Y404">
        <v>41633.629999999997</v>
      </c>
    </row>
    <row r="405" spans="1:25" x14ac:dyDescent="0.25">
      <c r="A405" t="s">
        <v>451</v>
      </c>
      <c r="B405" s="1">
        <v>45042</v>
      </c>
      <c r="C405">
        <v>2023</v>
      </c>
      <c r="D405">
        <v>4</v>
      </c>
      <c r="E405" t="s">
        <v>357</v>
      </c>
      <c r="F405" t="s">
        <v>358</v>
      </c>
      <c r="G405" t="s">
        <v>35</v>
      </c>
      <c r="H405" t="s">
        <v>29</v>
      </c>
      <c r="I405" t="s">
        <v>33</v>
      </c>
      <c r="J405">
        <v>64</v>
      </c>
      <c r="K405">
        <v>1202.06</v>
      </c>
      <c r="L405">
        <v>76931.91</v>
      </c>
      <c r="M405">
        <v>43959.31</v>
      </c>
      <c r="N405">
        <v>6222.74</v>
      </c>
      <c r="O405">
        <v>3636.21</v>
      </c>
      <c r="P405">
        <v>2115.5100000000002</v>
      </c>
      <c r="Q405">
        <v>672.84</v>
      </c>
      <c r="R405">
        <v>3688.29</v>
      </c>
      <c r="S405">
        <v>1172.29</v>
      </c>
      <c r="T405">
        <v>61467.19</v>
      </c>
      <c r="U405">
        <v>32972.589999999997</v>
      </c>
      <c r="V405">
        <v>15464.72</v>
      </c>
      <c r="W405">
        <v>14301.14</v>
      </c>
      <c r="X405">
        <v>77980.899999999994</v>
      </c>
      <c r="Y405">
        <v>62211.360000000001</v>
      </c>
    </row>
    <row r="406" spans="1:25" x14ac:dyDescent="0.25">
      <c r="A406" t="s">
        <v>452</v>
      </c>
      <c r="B406" s="1">
        <v>45042</v>
      </c>
      <c r="C406">
        <v>2023</v>
      </c>
      <c r="D406">
        <v>4</v>
      </c>
      <c r="E406" t="s">
        <v>357</v>
      </c>
      <c r="F406" t="s">
        <v>358</v>
      </c>
      <c r="G406" t="s">
        <v>44</v>
      </c>
      <c r="H406" t="s">
        <v>29</v>
      </c>
      <c r="I406" t="s">
        <v>33</v>
      </c>
      <c r="J406">
        <v>39</v>
      </c>
      <c r="K406">
        <v>1613.07</v>
      </c>
      <c r="L406">
        <v>62909.66</v>
      </c>
      <c r="M406">
        <v>33861.1</v>
      </c>
      <c r="N406">
        <v>6938.29</v>
      </c>
      <c r="O406">
        <v>4139.37</v>
      </c>
      <c r="P406">
        <v>2477.92</v>
      </c>
      <c r="Q406">
        <v>573.87</v>
      </c>
      <c r="R406">
        <v>3263.47</v>
      </c>
      <c r="S406">
        <v>783.67</v>
      </c>
      <c r="T406">
        <v>52037.69</v>
      </c>
      <c r="U406">
        <v>29048.55</v>
      </c>
      <c r="V406">
        <v>10871.96</v>
      </c>
      <c r="W406">
        <v>10825.23</v>
      </c>
      <c r="X406">
        <v>68008.63</v>
      </c>
      <c r="Y406">
        <v>56496.89</v>
      </c>
    </row>
    <row r="407" spans="1:25" x14ac:dyDescent="0.25">
      <c r="A407" t="s">
        <v>453</v>
      </c>
      <c r="B407" s="1">
        <v>45042</v>
      </c>
      <c r="C407">
        <v>2023</v>
      </c>
      <c r="D407">
        <v>4</v>
      </c>
      <c r="E407" t="s">
        <v>357</v>
      </c>
      <c r="F407" t="s">
        <v>358</v>
      </c>
      <c r="G407" t="s">
        <v>28</v>
      </c>
      <c r="H407" t="s">
        <v>29</v>
      </c>
      <c r="I407" t="s">
        <v>56</v>
      </c>
      <c r="J407">
        <v>30</v>
      </c>
      <c r="K407">
        <v>1341.39</v>
      </c>
      <c r="L407">
        <v>40241.71</v>
      </c>
      <c r="M407">
        <v>22432.44</v>
      </c>
      <c r="N407">
        <v>3295.75</v>
      </c>
      <c r="O407">
        <v>2125.96</v>
      </c>
      <c r="P407">
        <v>1020.57</v>
      </c>
      <c r="Q407">
        <v>456.77</v>
      </c>
      <c r="R407">
        <v>1257.9000000000001</v>
      </c>
      <c r="S407">
        <v>512.21</v>
      </c>
      <c r="T407">
        <v>31101.61</v>
      </c>
      <c r="U407">
        <v>17809.27</v>
      </c>
      <c r="V407">
        <v>9140.1</v>
      </c>
      <c r="W407">
        <v>9072.3700000000008</v>
      </c>
      <c r="X407">
        <v>39965.94</v>
      </c>
      <c r="Y407">
        <v>29322.6</v>
      </c>
    </row>
    <row r="408" spans="1:25" x14ac:dyDescent="0.25">
      <c r="A408" t="s">
        <v>454</v>
      </c>
      <c r="B408" s="1">
        <v>45043</v>
      </c>
      <c r="C408">
        <v>2023</v>
      </c>
      <c r="D408">
        <v>4</v>
      </c>
      <c r="E408" t="s">
        <v>357</v>
      </c>
      <c r="F408" t="s">
        <v>358</v>
      </c>
      <c r="G408" t="s">
        <v>55</v>
      </c>
      <c r="H408" t="s">
        <v>32</v>
      </c>
      <c r="I408" t="s">
        <v>37</v>
      </c>
      <c r="J408">
        <v>57</v>
      </c>
      <c r="K408">
        <v>1706.67</v>
      </c>
      <c r="L408">
        <v>97280.33</v>
      </c>
      <c r="M408">
        <v>60465.4</v>
      </c>
      <c r="N408">
        <v>11194.1</v>
      </c>
      <c r="O408">
        <v>6526.66</v>
      </c>
      <c r="P408">
        <v>2152.41</v>
      </c>
      <c r="Q408">
        <v>1235.22</v>
      </c>
      <c r="R408">
        <v>4674.25</v>
      </c>
      <c r="S408">
        <v>1927.67</v>
      </c>
      <c r="T408">
        <v>88175.72</v>
      </c>
      <c r="U408">
        <v>36814.92</v>
      </c>
      <c r="V408">
        <v>9104.61</v>
      </c>
      <c r="W408">
        <v>8138.74</v>
      </c>
      <c r="X408">
        <v>102180.7</v>
      </c>
      <c r="Y408">
        <v>90080.82</v>
      </c>
    </row>
    <row r="409" spans="1:25" x14ac:dyDescent="0.25">
      <c r="A409" t="s">
        <v>455</v>
      </c>
      <c r="B409" s="1">
        <v>45043</v>
      </c>
      <c r="C409">
        <v>2023</v>
      </c>
      <c r="D409">
        <v>4</v>
      </c>
      <c r="E409" t="s">
        <v>357</v>
      </c>
      <c r="F409" t="s">
        <v>358</v>
      </c>
      <c r="G409" t="s">
        <v>44</v>
      </c>
      <c r="H409" t="s">
        <v>29</v>
      </c>
      <c r="I409" t="s">
        <v>45</v>
      </c>
      <c r="J409">
        <v>31</v>
      </c>
      <c r="K409">
        <v>1144.74</v>
      </c>
      <c r="L409">
        <v>35487</v>
      </c>
      <c r="M409">
        <v>18122.45</v>
      </c>
      <c r="N409">
        <v>3391.31</v>
      </c>
      <c r="O409">
        <v>2137.69</v>
      </c>
      <c r="P409">
        <v>1375.14</v>
      </c>
      <c r="Q409">
        <v>372.5</v>
      </c>
      <c r="R409">
        <v>1009.67</v>
      </c>
      <c r="S409">
        <v>698.47</v>
      </c>
      <c r="T409">
        <v>27107.24</v>
      </c>
      <c r="U409">
        <v>17364.54</v>
      </c>
      <c r="V409">
        <v>8379.76</v>
      </c>
      <c r="W409">
        <v>8512.89</v>
      </c>
      <c r="X409">
        <v>35449.160000000003</v>
      </c>
      <c r="Y409">
        <v>28482.26</v>
      </c>
    </row>
    <row r="410" spans="1:25" x14ac:dyDescent="0.25">
      <c r="A410" t="s">
        <v>456</v>
      </c>
      <c r="B410" s="1">
        <v>45043</v>
      </c>
      <c r="C410">
        <v>2023</v>
      </c>
      <c r="D410">
        <v>4</v>
      </c>
      <c r="E410" t="s">
        <v>357</v>
      </c>
      <c r="F410" t="s">
        <v>358</v>
      </c>
      <c r="G410" t="s">
        <v>28</v>
      </c>
      <c r="H410" t="s">
        <v>53</v>
      </c>
      <c r="I410" t="s">
        <v>45</v>
      </c>
      <c r="J410">
        <v>32</v>
      </c>
      <c r="K410">
        <v>1345.55</v>
      </c>
      <c r="L410">
        <v>43057.71</v>
      </c>
      <c r="M410">
        <v>25167.53</v>
      </c>
      <c r="N410">
        <v>5127.78</v>
      </c>
      <c r="O410">
        <v>1165.54</v>
      </c>
      <c r="P410">
        <v>1019.72</v>
      </c>
      <c r="Q410">
        <v>761.24</v>
      </c>
      <c r="R410">
        <v>1709.76</v>
      </c>
      <c r="S410">
        <v>477.63</v>
      </c>
      <c r="T410">
        <v>35429.199999999997</v>
      </c>
      <c r="U410">
        <v>17890.169999999998</v>
      </c>
      <c r="V410">
        <v>7628.51</v>
      </c>
      <c r="W410">
        <v>6926.42</v>
      </c>
      <c r="X410">
        <v>46630.79</v>
      </c>
      <c r="Y410">
        <v>35129.72</v>
      </c>
    </row>
    <row r="411" spans="1:25" x14ac:dyDescent="0.25">
      <c r="A411" t="s">
        <v>457</v>
      </c>
      <c r="B411" s="1">
        <v>45044</v>
      </c>
      <c r="C411">
        <v>2023</v>
      </c>
      <c r="D411">
        <v>4</v>
      </c>
      <c r="E411" t="s">
        <v>357</v>
      </c>
      <c r="F411" t="s">
        <v>358</v>
      </c>
      <c r="G411" t="s">
        <v>55</v>
      </c>
      <c r="H411" t="s">
        <v>32</v>
      </c>
      <c r="I411" t="s">
        <v>30</v>
      </c>
      <c r="J411">
        <v>86</v>
      </c>
      <c r="K411">
        <v>1582.79</v>
      </c>
      <c r="L411">
        <v>136120.12</v>
      </c>
      <c r="M411">
        <v>88533.52</v>
      </c>
      <c r="N411">
        <v>17588.39</v>
      </c>
      <c r="O411">
        <v>4262.83</v>
      </c>
      <c r="P411">
        <v>5902.37</v>
      </c>
      <c r="Q411">
        <v>2136.3000000000002</v>
      </c>
      <c r="R411">
        <v>7755.72</v>
      </c>
      <c r="S411">
        <v>2205.08</v>
      </c>
      <c r="T411">
        <v>128384.21</v>
      </c>
      <c r="U411">
        <v>47586.6</v>
      </c>
      <c r="V411">
        <v>7735.9</v>
      </c>
      <c r="W411">
        <v>6828.73</v>
      </c>
      <c r="X411">
        <v>146683.78</v>
      </c>
      <c r="Y411">
        <v>136432.60999999999</v>
      </c>
    </row>
    <row r="412" spans="1:25" x14ac:dyDescent="0.25">
      <c r="A412" t="s">
        <v>458</v>
      </c>
      <c r="B412" s="1">
        <v>45044</v>
      </c>
      <c r="C412">
        <v>2023</v>
      </c>
      <c r="D412">
        <v>4</v>
      </c>
      <c r="E412" t="s">
        <v>357</v>
      </c>
      <c r="F412" t="s">
        <v>358</v>
      </c>
      <c r="G412" t="s">
        <v>55</v>
      </c>
      <c r="H412" t="s">
        <v>29</v>
      </c>
      <c r="I412" t="s">
        <v>45</v>
      </c>
      <c r="J412">
        <v>34</v>
      </c>
      <c r="K412">
        <v>1306.1199999999999</v>
      </c>
      <c r="L412">
        <v>44408.24</v>
      </c>
      <c r="M412">
        <v>25782.43</v>
      </c>
      <c r="N412">
        <v>3993.66</v>
      </c>
      <c r="O412">
        <v>2718.06</v>
      </c>
      <c r="P412">
        <v>1533.55</v>
      </c>
      <c r="Q412">
        <v>451.93</v>
      </c>
      <c r="R412">
        <v>1183.67</v>
      </c>
      <c r="S412">
        <v>383.38</v>
      </c>
      <c r="T412">
        <v>36046.68</v>
      </c>
      <c r="U412">
        <v>18625.810000000001</v>
      </c>
      <c r="V412">
        <v>8361.56</v>
      </c>
      <c r="W412">
        <v>7700.35</v>
      </c>
      <c r="X412">
        <v>42894.48</v>
      </c>
      <c r="Y412">
        <v>37595.82</v>
      </c>
    </row>
    <row r="413" spans="1:25" x14ac:dyDescent="0.25">
      <c r="A413" t="s">
        <v>459</v>
      </c>
      <c r="B413" s="1">
        <v>45044</v>
      </c>
      <c r="C413">
        <v>2023</v>
      </c>
      <c r="D413">
        <v>4</v>
      </c>
      <c r="E413" t="s">
        <v>357</v>
      </c>
      <c r="F413" t="s">
        <v>358</v>
      </c>
      <c r="G413" t="s">
        <v>55</v>
      </c>
      <c r="H413" t="s">
        <v>58</v>
      </c>
      <c r="I413" t="s">
        <v>37</v>
      </c>
      <c r="J413">
        <v>45</v>
      </c>
      <c r="K413">
        <v>1338.03</v>
      </c>
      <c r="L413">
        <v>60211.21</v>
      </c>
      <c r="M413">
        <v>32381.69</v>
      </c>
      <c r="N413">
        <v>7232.29</v>
      </c>
      <c r="O413">
        <v>3444.45</v>
      </c>
      <c r="P413">
        <v>1069.57</v>
      </c>
      <c r="Q413">
        <v>801.05</v>
      </c>
      <c r="R413">
        <v>1706.01</v>
      </c>
      <c r="S413">
        <v>580.6</v>
      </c>
      <c r="T413">
        <v>47215.66</v>
      </c>
      <c r="U413">
        <v>27829.52</v>
      </c>
      <c r="V413">
        <v>12995.55</v>
      </c>
      <c r="W413">
        <v>12097.75</v>
      </c>
      <c r="X413">
        <v>61417.22</v>
      </c>
      <c r="Y413">
        <v>47022.41</v>
      </c>
    </row>
    <row r="414" spans="1:25" x14ac:dyDescent="0.25">
      <c r="A414" t="s">
        <v>460</v>
      </c>
      <c r="B414" s="1">
        <v>45044</v>
      </c>
      <c r="C414">
        <v>2023</v>
      </c>
      <c r="D414">
        <v>4</v>
      </c>
      <c r="E414" t="s">
        <v>357</v>
      </c>
      <c r="F414" t="s">
        <v>358</v>
      </c>
      <c r="G414" t="s">
        <v>28</v>
      </c>
      <c r="H414" t="s">
        <v>32</v>
      </c>
      <c r="I414" t="s">
        <v>39</v>
      </c>
      <c r="J414">
        <v>40</v>
      </c>
      <c r="K414">
        <v>1179.8499999999999</v>
      </c>
      <c r="L414">
        <v>47193.85</v>
      </c>
      <c r="M414">
        <v>22925.03</v>
      </c>
      <c r="N414">
        <v>5629.36</v>
      </c>
      <c r="O414">
        <v>2640.9</v>
      </c>
      <c r="P414">
        <v>1805.15</v>
      </c>
      <c r="Q414">
        <v>579.58000000000004</v>
      </c>
      <c r="R414">
        <v>2054.27</v>
      </c>
      <c r="S414">
        <v>1084.75</v>
      </c>
      <c r="T414">
        <v>36719.050000000003</v>
      </c>
      <c r="U414">
        <v>24268.82</v>
      </c>
      <c r="V414">
        <v>10474.799999999999</v>
      </c>
      <c r="W414">
        <v>10382.91</v>
      </c>
      <c r="X414">
        <v>51167.73</v>
      </c>
      <c r="Y414">
        <v>34704</v>
      </c>
    </row>
    <row r="415" spans="1:25" x14ac:dyDescent="0.25">
      <c r="A415" t="s">
        <v>461</v>
      </c>
      <c r="B415" s="1">
        <v>45044</v>
      </c>
      <c r="C415">
        <v>2023</v>
      </c>
      <c r="D415">
        <v>4</v>
      </c>
      <c r="E415" t="s">
        <v>357</v>
      </c>
      <c r="F415" t="s">
        <v>358</v>
      </c>
      <c r="G415" t="s">
        <v>55</v>
      </c>
      <c r="H415" t="s">
        <v>53</v>
      </c>
      <c r="I415" t="s">
        <v>65</v>
      </c>
      <c r="J415">
        <v>46</v>
      </c>
      <c r="K415">
        <v>1550.35</v>
      </c>
      <c r="L415">
        <v>71315.94</v>
      </c>
      <c r="M415">
        <v>35546.980000000003</v>
      </c>
      <c r="N415">
        <v>8961.52</v>
      </c>
      <c r="O415">
        <v>5266.6</v>
      </c>
      <c r="P415">
        <v>1541.44</v>
      </c>
      <c r="Q415">
        <v>594.71</v>
      </c>
      <c r="R415">
        <v>2710.09</v>
      </c>
      <c r="S415">
        <v>826.63</v>
      </c>
      <c r="T415">
        <v>55447.96</v>
      </c>
      <c r="U415">
        <v>35768.959999999999</v>
      </c>
      <c r="V415">
        <v>15867.98</v>
      </c>
      <c r="W415">
        <v>15097.31</v>
      </c>
      <c r="X415">
        <v>71169.13</v>
      </c>
      <c r="Y415">
        <v>56222.58</v>
      </c>
    </row>
    <row r="416" spans="1:25" x14ac:dyDescent="0.25">
      <c r="A416" t="s">
        <v>462</v>
      </c>
      <c r="B416" s="1">
        <v>45045</v>
      </c>
      <c r="C416">
        <v>2023</v>
      </c>
      <c r="D416">
        <v>4</v>
      </c>
      <c r="E416" t="s">
        <v>357</v>
      </c>
      <c r="F416" t="s">
        <v>358</v>
      </c>
      <c r="G416" t="s">
        <v>44</v>
      </c>
      <c r="H416" t="s">
        <v>36</v>
      </c>
      <c r="I416" t="s">
        <v>45</v>
      </c>
      <c r="J416">
        <v>26</v>
      </c>
      <c r="K416">
        <v>1747.86</v>
      </c>
      <c r="L416">
        <v>45444.24</v>
      </c>
      <c r="M416">
        <v>26352.46</v>
      </c>
      <c r="N416">
        <v>4211.3599999999997</v>
      </c>
      <c r="O416">
        <v>3242.88</v>
      </c>
      <c r="P416">
        <v>1642.37</v>
      </c>
      <c r="Q416">
        <v>793.84</v>
      </c>
      <c r="R416">
        <v>2258.9699999999998</v>
      </c>
      <c r="S416">
        <v>416.34</v>
      </c>
      <c r="T416">
        <v>38918.22</v>
      </c>
      <c r="U416">
        <v>19091.78</v>
      </c>
      <c r="V416">
        <v>6526.02</v>
      </c>
      <c r="W416">
        <v>5976.35</v>
      </c>
      <c r="X416">
        <v>47222.51</v>
      </c>
      <c r="Y416">
        <v>37614.04</v>
      </c>
    </row>
    <row r="417" spans="1:25" x14ac:dyDescent="0.25">
      <c r="A417" t="s">
        <v>463</v>
      </c>
      <c r="B417" s="1">
        <v>45045</v>
      </c>
      <c r="C417">
        <v>2023</v>
      </c>
      <c r="D417">
        <v>4</v>
      </c>
      <c r="E417" t="s">
        <v>357</v>
      </c>
      <c r="F417" t="s">
        <v>358</v>
      </c>
      <c r="G417" t="s">
        <v>44</v>
      </c>
      <c r="H417" t="s">
        <v>36</v>
      </c>
      <c r="I417" t="s">
        <v>56</v>
      </c>
      <c r="J417">
        <v>44</v>
      </c>
      <c r="K417">
        <v>902.37</v>
      </c>
      <c r="L417">
        <v>39704.39</v>
      </c>
      <c r="M417">
        <v>19803.189999999999</v>
      </c>
      <c r="N417">
        <v>3929.01</v>
      </c>
      <c r="O417">
        <v>2244.34</v>
      </c>
      <c r="P417">
        <v>711.94</v>
      </c>
      <c r="Q417">
        <v>215.67</v>
      </c>
      <c r="R417">
        <v>2059.81</v>
      </c>
      <c r="S417">
        <v>796.09</v>
      </c>
      <c r="T417">
        <v>29760.05</v>
      </c>
      <c r="U417">
        <v>19901.2</v>
      </c>
      <c r="V417">
        <v>9944.34</v>
      </c>
      <c r="W417">
        <v>9718</v>
      </c>
      <c r="X417">
        <v>37642.31</v>
      </c>
      <c r="Y417">
        <v>29744.89</v>
      </c>
    </row>
    <row r="418" spans="1:25" x14ac:dyDescent="0.25">
      <c r="A418" t="s">
        <v>464</v>
      </c>
      <c r="B418" s="1">
        <v>45045</v>
      </c>
      <c r="C418">
        <v>2023</v>
      </c>
      <c r="D418">
        <v>4</v>
      </c>
      <c r="E418" t="s">
        <v>357</v>
      </c>
      <c r="F418" t="s">
        <v>358</v>
      </c>
      <c r="G418" t="s">
        <v>35</v>
      </c>
      <c r="H418" t="s">
        <v>32</v>
      </c>
      <c r="I418" t="s">
        <v>30</v>
      </c>
      <c r="J418">
        <v>80</v>
      </c>
      <c r="K418">
        <v>1307.82</v>
      </c>
      <c r="L418">
        <v>104625.28</v>
      </c>
      <c r="M418">
        <v>58836.02</v>
      </c>
      <c r="N418">
        <v>13196.15</v>
      </c>
      <c r="O418">
        <v>4244.6099999999997</v>
      </c>
      <c r="P418">
        <v>2403.88</v>
      </c>
      <c r="Q418">
        <v>1772.27</v>
      </c>
      <c r="R418">
        <v>6301.16</v>
      </c>
      <c r="S418">
        <v>1086.93</v>
      </c>
      <c r="T418">
        <v>87841.02</v>
      </c>
      <c r="U418">
        <v>45789.26</v>
      </c>
      <c r="V418">
        <v>16784.259999999998</v>
      </c>
      <c r="W418">
        <v>16734.939999999999</v>
      </c>
      <c r="X418">
        <v>108970.14</v>
      </c>
      <c r="Y418">
        <v>84591.59</v>
      </c>
    </row>
    <row r="419" spans="1:25" x14ac:dyDescent="0.25">
      <c r="A419" t="s">
        <v>465</v>
      </c>
      <c r="B419" s="1">
        <v>45046</v>
      </c>
      <c r="C419">
        <v>2023</v>
      </c>
      <c r="D419">
        <v>4</v>
      </c>
      <c r="E419" t="s">
        <v>357</v>
      </c>
      <c r="F419" t="s">
        <v>358</v>
      </c>
      <c r="G419" t="s">
        <v>28</v>
      </c>
      <c r="H419" t="s">
        <v>32</v>
      </c>
      <c r="I419" t="s">
        <v>30</v>
      </c>
      <c r="J419">
        <v>116</v>
      </c>
      <c r="K419">
        <v>1183.56</v>
      </c>
      <c r="L419">
        <v>137292.59</v>
      </c>
      <c r="M419">
        <v>71315.149999999994</v>
      </c>
      <c r="N419">
        <v>10900.29</v>
      </c>
      <c r="O419">
        <v>7994.37</v>
      </c>
      <c r="P419">
        <v>5922.35</v>
      </c>
      <c r="Q419">
        <v>752.9</v>
      </c>
      <c r="R419">
        <v>5706.47</v>
      </c>
      <c r="S419">
        <v>2396.8000000000002</v>
      </c>
      <c r="T419">
        <v>104988.32</v>
      </c>
      <c r="U419">
        <v>65977.440000000002</v>
      </c>
      <c r="V419">
        <v>32304.27</v>
      </c>
      <c r="W419">
        <v>30748.68</v>
      </c>
      <c r="X419">
        <v>132087.35999999999</v>
      </c>
      <c r="Y419">
        <v>110161.15</v>
      </c>
    </row>
    <row r="420" spans="1:25" x14ac:dyDescent="0.25">
      <c r="A420" t="s">
        <v>466</v>
      </c>
      <c r="B420" s="1">
        <v>45046</v>
      </c>
      <c r="C420">
        <v>2023</v>
      </c>
      <c r="D420">
        <v>4</v>
      </c>
      <c r="E420" t="s">
        <v>357</v>
      </c>
      <c r="F420" t="s">
        <v>358</v>
      </c>
      <c r="G420" t="s">
        <v>55</v>
      </c>
      <c r="H420" t="s">
        <v>29</v>
      </c>
      <c r="I420" t="s">
        <v>30</v>
      </c>
      <c r="J420">
        <v>94</v>
      </c>
      <c r="K420">
        <v>807.75</v>
      </c>
      <c r="L420">
        <v>75928.95</v>
      </c>
      <c r="M420">
        <v>47705.15</v>
      </c>
      <c r="N420">
        <v>5590.43</v>
      </c>
      <c r="O420">
        <v>3772.98</v>
      </c>
      <c r="P420">
        <v>2715.35</v>
      </c>
      <c r="Q420">
        <v>753.78</v>
      </c>
      <c r="R420">
        <v>4752.91</v>
      </c>
      <c r="S420">
        <v>1577.17</v>
      </c>
      <c r="T420">
        <v>66867.789999999994</v>
      </c>
      <c r="U420">
        <v>28223.8</v>
      </c>
      <c r="V420">
        <v>9061.16</v>
      </c>
      <c r="W420">
        <v>8598.24</v>
      </c>
      <c r="X420">
        <v>81956.7</v>
      </c>
      <c r="Y420">
        <v>71365.240000000005</v>
      </c>
    </row>
    <row r="421" spans="1:25" x14ac:dyDescent="0.25">
      <c r="A421" t="s">
        <v>467</v>
      </c>
      <c r="B421" s="1">
        <v>45047</v>
      </c>
      <c r="C421">
        <v>2023</v>
      </c>
      <c r="D421">
        <v>5</v>
      </c>
      <c r="E421" t="s">
        <v>468</v>
      </c>
      <c r="F421" t="s">
        <v>358</v>
      </c>
      <c r="G421" t="s">
        <v>55</v>
      </c>
      <c r="H421" t="s">
        <v>36</v>
      </c>
      <c r="I421" t="s">
        <v>33</v>
      </c>
      <c r="J421">
        <v>83</v>
      </c>
      <c r="K421">
        <v>1051.5899999999999</v>
      </c>
      <c r="L421">
        <v>87282.26</v>
      </c>
      <c r="M421">
        <v>49567</v>
      </c>
      <c r="N421">
        <v>7712.2</v>
      </c>
      <c r="O421">
        <v>5171.4799999999996</v>
      </c>
      <c r="P421">
        <v>2424.4299999999998</v>
      </c>
      <c r="Q421">
        <v>1441.82</v>
      </c>
      <c r="R421">
        <v>4654.6400000000003</v>
      </c>
      <c r="S421">
        <v>1328.71</v>
      </c>
      <c r="T421">
        <v>72300.27</v>
      </c>
      <c r="U421">
        <v>37715.26</v>
      </c>
      <c r="V421">
        <v>14981.99</v>
      </c>
      <c r="W421">
        <v>14284.26</v>
      </c>
      <c r="X421">
        <v>85478.93</v>
      </c>
      <c r="Y421">
        <v>73863.02</v>
      </c>
    </row>
    <row r="422" spans="1:25" x14ac:dyDescent="0.25">
      <c r="A422" t="s">
        <v>469</v>
      </c>
      <c r="B422" s="1">
        <v>45048</v>
      </c>
      <c r="C422">
        <v>2023</v>
      </c>
      <c r="D422">
        <v>5</v>
      </c>
      <c r="E422" t="s">
        <v>468</v>
      </c>
      <c r="F422" t="s">
        <v>358</v>
      </c>
      <c r="G422" t="s">
        <v>28</v>
      </c>
      <c r="H422" t="s">
        <v>32</v>
      </c>
      <c r="I422" t="s">
        <v>65</v>
      </c>
      <c r="J422">
        <v>92</v>
      </c>
      <c r="K422">
        <v>884.54</v>
      </c>
      <c r="L422">
        <v>81377.39</v>
      </c>
      <c r="M422">
        <v>42576.46</v>
      </c>
      <c r="N422">
        <v>8933.66</v>
      </c>
      <c r="O422">
        <v>2458.63</v>
      </c>
      <c r="P422">
        <v>2357.3000000000002</v>
      </c>
      <c r="Q422">
        <v>1016.41</v>
      </c>
      <c r="R422">
        <v>4922.37</v>
      </c>
      <c r="S422">
        <v>1644.42</v>
      </c>
      <c r="T422">
        <v>63909.25</v>
      </c>
      <c r="U422">
        <v>38800.93</v>
      </c>
      <c r="V422">
        <v>17468.14</v>
      </c>
      <c r="W422">
        <v>16884.349999999999</v>
      </c>
      <c r="X422">
        <v>85436.73</v>
      </c>
      <c r="Y422">
        <v>61981.27</v>
      </c>
    </row>
    <row r="423" spans="1:25" x14ac:dyDescent="0.25">
      <c r="A423" t="s">
        <v>470</v>
      </c>
      <c r="B423" s="1">
        <v>45048</v>
      </c>
      <c r="C423">
        <v>2023</v>
      </c>
      <c r="D423">
        <v>5</v>
      </c>
      <c r="E423" t="s">
        <v>468</v>
      </c>
      <c r="F423" t="s">
        <v>358</v>
      </c>
      <c r="G423" t="s">
        <v>28</v>
      </c>
      <c r="H423" t="s">
        <v>36</v>
      </c>
      <c r="I423" t="s">
        <v>37</v>
      </c>
      <c r="J423">
        <v>36</v>
      </c>
      <c r="K423">
        <v>1751.49</v>
      </c>
      <c r="L423">
        <v>63053.81</v>
      </c>
      <c r="M423">
        <v>31022.76</v>
      </c>
      <c r="N423">
        <v>5211.62</v>
      </c>
      <c r="O423">
        <v>4652.7700000000004</v>
      </c>
      <c r="P423">
        <v>1236.21</v>
      </c>
      <c r="Q423">
        <v>533.46</v>
      </c>
      <c r="R423">
        <v>3435.95</v>
      </c>
      <c r="S423">
        <v>878.54</v>
      </c>
      <c r="T423">
        <v>46971.32</v>
      </c>
      <c r="U423">
        <v>32031.05</v>
      </c>
      <c r="V423">
        <v>16082.49</v>
      </c>
      <c r="W423">
        <v>14904.59</v>
      </c>
      <c r="X423">
        <v>59318.05</v>
      </c>
      <c r="Y423">
        <v>45524.97</v>
      </c>
    </row>
    <row r="424" spans="1:25" x14ac:dyDescent="0.25">
      <c r="A424" t="s">
        <v>471</v>
      </c>
      <c r="B424" s="1">
        <v>45048</v>
      </c>
      <c r="C424">
        <v>2023</v>
      </c>
      <c r="D424">
        <v>5</v>
      </c>
      <c r="E424" t="s">
        <v>468</v>
      </c>
      <c r="F424" t="s">
        <v>358</v>
      </c>
      <c r="G424" t="s">
        <v>44</v>
      </c>
      <c r="H424" t="s">
        <v>32</v>
      </c>
      <c r="I424" t="s">
        <v>45</v>
      </c>
      <c r="J424">
        <v>53</v>
      </c>
      <c r="K424">
        <v>919.76</v>
      </c>
      <c r="L424">
        <v>48747.360000000001</v>
      </c>
      <c r="M424">
        <v>30889.4</v>
      </c>
      <c r="N424">
        <v>3812.41</v>
      </c>
      <c r="O424">
        <v>1860.64</v>
      </c>
      <c r="P424">
        <v>1707.06</v>
      </c>
      <c r="Q424">
        <v>596.74</v>
      </c>
      <c r="R424">
        <v>2457.9299999999998</v>
      </c>
      <c r="S424">
        <v>482.29</v>
      </c>
      <c r="T424">
        <v>41806.47</v>
      </c>
      <c r="U424">
        <v>17857.96</v>
      </c>
      <c r="V424">
        <v>6940.88</v>
      </c>
      <c r="W424">
        <v>6947.18</v>
      </c>
      <c r="X424">
        <v>51727.34</v>
      </c>
      <c r="Y424">
        <v>42320.87</v>
      </c>
    </row>
    <row r="425" spans="1:25" x14ac:dyDescent="0.25">
      <c r="A425" t="s">
        <v>472</v>
      </c>
      <c r="B425" s="1">
        <v>45048</v>
      </c>
      <c r="C425">
        <v>2023</v>
      </c>
      <c r="D425">
        <v>5</v>
      </c>
      <c r="E425" t="s">
        <v>468</v>
      </c>
      <c r="F425" t="s">
        <v>358</v>
      </c>
      <c r="G425" t="s">
        <v>44</v>
      </c>
      <c r="H425" t="s">
        <v>29</v>
      </c>
      <c r="I425" t="s">
        <v>33</v>
      </c>
      <c r="J425">
        <v>76</v>
      </c>
      <c r="K425">
        <v>988.52</v>
      </c>
      <c r="L425">
        <v>75127.19</v>
      </c>
      <c r="M425">
        <v>40575.75</v>
      </c>
      <c r="N425">
        <v>6419.11</v>
      </c>
      <c r="O425">
        <v>5524.88</v>
      </c>
      <c r="P425">
        <v>2899.42</v>
      </c>
      <c r="Q425">
        <v>1108.73</v>
      </c>
      <c r="R425">
        <v>2942.59</v>
      </c>
      <c r="S425">
        <v>942.58</v>
      </c>
      <c r="T425">
        <v>60413.07</v>
      </c>
      <c r="U425">
        <v>34551.440000000002</v>
      </c>
      <c r="V425">
        <v>14714.12</v>
      </c>
      <c r="W425">
        <v>13781.23</v>
      </c>
      <c r="X425">
        <v>77910.559999999998</v>
      </c>
      <c r="Y425">
        <v>58753.36</v>
      </c>
    </row>
    <row r="426" spans="1:25" x14ac:dyDescent="0.25">
      <c r="A426" t="s">
        <v>473</v>
      </c>
      <c r="B426" s="1">
        <v>45048</v>
      </c>
      <c r="C426">
        <v>2023</v>
      </c>
      <c r="D426">
        <v>5</v>
      </c>
      <c r="E426" t="s">
        <v>468</v>
      </c>
      <c r="F426" t="s">
        <v>358</v>
      </c>
      <c r="G426" t="s">
        <v>28</v>
      </c>
      <c r="H426" t="s">
        <v>36</v>
      </c>
      <c r="I426" t="s">
        <v>39</v>
      </c>
      <c r="J426">
        <v>28</v>
      </c>
      <c r="K426">
        <v>1714.81</v>
      </c>
      <c r="L426">
        <v>48014.66</v>
      </c>
      <c r="M426">
        <v>32115.93</v>
      </c>
      <c r="N426">
        <v>3449.78</v>
      </c>
      <c r="O426">
        <v>3171.08</v>
      </c>
      <c r="P426">
        <v>1594.4</v>
      </c>
      <c r="Q426">
        <v>821.31</v>
      </c>
      <c r="R426">
        <v>3049.88</v>
      </c>
      <c r="S426">
        <v>892.39</v>
      </c>
      <c r="T426">
        <v>45094.77</v>
      </c>
      <c r="U426">
        <v>15898.74</v>
      </c>
      <c r="V426">
        <v>2919.9</v>
      </c>
      <c r="W426">
        <v>2661.58</v>
      </c>
      <c r="X426">
        <v>44721.8</v>
      </c>
      <c r="Y426">
        <v>44953.31</v>
      </c>
    </row>
    <row r="427" spans="1:25" x14ac:dyDescent="0.25">
      <c r="A427" t="s">
        <v>474</v>
      </c>
      <c r="B427" s="1">
        <v>45049</v>
      </c>
      <c r="C427">
        <v>2023</v>
      </c>
      <c r="D427">
        <v>5</v>
      </c>
      <c r="E427" t="s">
        <v>468</v>
      </c>
      <c r="F427" t="s">
        <v>358</v>
      </c>
      <c r="G427" t="s">
        <v>55</v>
      </c>
      <c r="H427" t="s">
        <v>36</v>
      </c>
      <c r="I427" t="s">
        <v>30</v>
      </c>
      <c r="J427">
        <v>87</v>
      </c>
      <c r="K427">
        <v>850.95</v>
      </c>
      <c r="L427">
        <v>74033.039999999994</v>
      </c>
      <c r="M427">
        <v>47315.47</v>
      </c>
      <c r="N427">
        <v>6242.2</v>
      </c>
      <c r="O427">
        <v>1971.2</v>
      </c>
      <c r="P427">
        <v>1451.69</v>
      </c>
      <c r="Q427">
        <v>772.28</v>
      </c>
      <c r="R427">
        <v>3305.64</v>
      </c>
      <c r="S427">
        <v>1712.05</v>
      </c>
      <c r="T427">
        <v>62770.52</v>
      </c>
      <c r="U427">
        <v>26717.57</v>
      </c>
      <c r="V427">
        <v>11262.51</v>
      </c>
      <c r="W427">
        <v>10207.99</v>
      </c>
      <c r="X427">
        <v>68444.55</v>
      </c>
      <c r="Y427">
        <v>66009.67</v>
      </c>
    </row>
    <row r="428" spans="1:25" x14ac:dyDescent="0.25">
      <c r="A428" t="s">
        <v>475</v>
      </c>
      <c r="B428" s="1">
        <v>45049</v>
      </c>
      <c r="C428">
        <v>2023</v>
      </c>
      <c r="D428">
        <v>5</v>
      </c>
      <c r="E428" t="s">
        <v>468</v>
      </c>
      <c r="F428" t="s">
        <v>358</v>
      </c>
      <c r="G428" t="s">
        <v>55</v>
      </c>
      <c r="H428" t="s">
        <v>32</v>
      </c>
      <c r="I428" t="s">
        <v>50</v>
      </c>
      <c r="J428">
        <v>54</v>
      </c>
      <c r="K428">
        <v>908.64</v>
      </c>
      <c r="L428">
        <v>49066.55</v>
      </c>
      <c r="M428">
        <v>32716.52</v>
      </c>
      <c r="N428">
        <v>5622.07</v>
      </c>
      <c r="O428">
        <v>1427.06</v>
      </c>
      <c r="P428">
        <v>1390.39</v>
      </c>
      <c r="Q428">
        <v>570.66999999999996</v>
      </c>
      <c r="R428">
        <v>2917.07</v>
      </c>
      <c r="S428">
        <v>1158.6600000000001</v>
      </c>
      <c r="T428">
        <v>45802.44</v>
      </c>
      <c r="U428">
        <v>16350.03</v>
      </c>
      <c r="V428">
        <v>3264.11</v>
      </c>
      <c r="W428">
        <v>3293.84</v>
      </c>
      <c r="X428">
        <v>54038.37</v>
      </c>
      <c r="Y428">
        <v>50131.34</v>
      </c>
    </row>
    <row r="429" spans="1:25" x14ac:dyDescent="0.25">
      <c r="A429" t="s">
        <v>476</v>
      </c>
      <c r="B429" s="1">
        <v>45050</v>
      </c>
      <c r="C429">
        <v>2023</v>
      </c>
      <c r="D429">
        <v>5</v>
      </c>
      <c r="E429" t="s">
        <v>468</v>
      </c>
      <c r="F429" t="s">
        <v>358</v>
      </c>
      <c r="G429" t="s">
        <v>44</v>
      </c>
      <c r="H429" t="s">
        <v>58</v>
      </c>
      <c r="I429" t="s">
        <v>65</v>
      </c>
      <c r="J429">
        <v>50</v>
      </c>
      <c r="K429">
        <v>1057.98</v>
      </c>
      <c r="L429">
        <v>52898.9</v>
      </c>
      <c r="M429">
        <v>31786.33</v>
      </c>
      <c r="N429">
        <v>4195.88</v>
      </c>
      <c r="O429">
        <v>3187.54</v>
      </c>
      <c r="P429">
        <v>2352.31</v>
      </c>
      <c r="Q429">
        <v>414.19</v>
      </c>
      <c r="R429">
        <v>1488.52</v>
      </c>
      <c r="S429">
        <v>770.91</v>
      </c>
      <c r="T429">
        <v>44195.66</v>
      </c>
      <c r="U429">
        <v>21112.58</v>
      </c>
      <c r="V429">
        <v>8703.24</v>
      </c>
      <c r="W429">
        <v>8329.84</v>
      </c>
      <c r="X429">
        <v>50165.56</v>
      </c>
      <c r="Y429">
        <v>44443.4</v>
      </c>
    </row>
    <row r="430" spans="1:25" x14ac:dyDescent="0.25">
      <c r="A430" t="s">
        <v>477</v>
      </c>
      <c r="B430" s="1">
        <v>45050</v>
      </c>
      <c r="C430">
        <v>2023</v>
      </c>
      <c r="D430">
        <v>5</v>
      </c>
      <c r="E430" t="s">
        <v>468</v>
      </c>
      <c r="F430" t="s">
        <v>358</v>
      </c>
      <c r="G430" t="s">
        <v>28</v>
      </c>
      <c r="H430" t="s">
        <v>32</v>
      </c>
      <c r="I430" t="s">
        <v>39</v>
      </c>
      <c r="J430">
        <v>47</v>
      </c>
      <c r="K430">
        <v>1333.35</v>
      </c>
      <c r="L430">
        <v>62667.56</v>
      </c>
      <c r="M430">
        <v>42179.18</v>
      </c>
      <c r="N430">
        <v>5531.99</v>
      </c>
      <c r="O430">
        <v>3490.13</v>
      </c>
      <c r="P430">
        <v>2340.79</v>
      </c>
      <c r="Q430">
        <v>937.59</v>
      </c>
      <c r="R430">
        <v>1672.1</v>
      </c>
      <c r="S430">
        <v>1033.6300000000001</v>
      </c>
      <c r="T430">
        <v>57185.41</v>
      </c>
      <c r="U430">
        <v>20488.38</v>
      </c>
      <c r="V430">
        <v>5482.15</v>
      </c>
      <c r="W430">
        <v>4957.75</v>
      </c>
      <c r="X430">
        <v>58116.62</v>
      </c>
      <c r="Y430">
        <v>53217.24</v>
      </c>
    </row>
    <row r="431" spans="1:25" x14ac:dyDescent="0.25">
      <c r="A431" t="s">
        <v>478</v>
      </c>
      <c r="B431" s="1">
        <v>45050</v>
      </c>
      <c r="C431">
        <v>2023</v>
      </c>
      <c r="D431">
        <v>5</v>
      </c>
      <c r="E431" t="s">
        <v>468</v>
      </c>
      <c r="F431" t="s">
        <v>358</v>
      </c>
      <c r="G431" t="s">
        <v>35</v>
      </c>
      <c r="H431" t="s">
        <v>32</v>
      </c>
      <c r="I431" t="s">
        <v>30</v>
      </c>
      <c r="J431">
        <v>94</v>
      </c>
      <c r="K431">
        <v>1104.48</v>
      </c>
      <c r="L431">
        <v>103821.33</v>
      </c>
      <c r="M431">
        <v>62723.82</v>
      </c>
      <c r="N431">
        <v>8291.73</v>
      </c>
      <c r="O431">
        <v>2888.85</v>
      </c>
      <c r="P431">
        <v>1900.99</v>
      </c>
      <c r="Q431">
        <v>988.8</v>
      </c>
      <c r="R431">
        <v>4944.8999999999996</v>
      </c>
      <c r="S431">
        <v>2104.86</v>
      </c>
      <c r="T431">
        <v>83843.95</v>
      </c>
      <c r="U431">
        <v>41097.51</v>
      </c>
      <c r="V431">
        <v>19977.38</v>
      </c>
      <c r="W431">
        <v>20169.64</v>
      </c>
      <c r="X431">
        <v>106574.99</v>
      </c>
      <c r="Y431">
        <v>79104.34</v>
      </c>
    </row>
    <row r="432" spans="1:25" x14ac:dyDescent="0.25">
      <c r="A432" t="s">
        <v>479</v>
      </c>
      <c r="B432" s="1">
        <v>45050</v>
      </c>
      <c r="C432">
        <v>2023</v>
      </c>
      <c r="D432">
        <v>5</v>
      </c>
      <c r="E432" t="s">
        <v>468</v>
      </c>
      <c r="F432" t="s">
        <v>358</v>
      </c>
      <c r="G432" t="s">
        <v>28</v>
      </c>
      <c r="H432" t="s">
        <v>29</v>
      </c>
      <c r="I432" t="s">
        <v>37</v>
      </c>
      <c r="J432">
        <v>35</v>
      </c>
      <c r="K432">
        <v>1635.26</v>
      </c>
      <c r="L432">
        <v>57234.14</v>
      </c>
      <c r="M432">
        <v>28339.599999999999</v>
      </c>
      <c r="N432">
        <v>4790.03</v>
      </c>
      <c r="O432">
        <v>2342.81</v>
      </c>
      <c r="P432">
        <v>1813.13</v>
      </c>
      <c r="Q432">
        <v>466.34</v>
      </c>
      <c r="R432">
        <v>1441.31</v>
      </c>
      <c r="S432">
        <v>653.26</v>
      </c>
      <c r="T432">
        <v>39846.480000000003</v>
      </c>
      <c r="U432">
        <v>28894.53</v>
      </c>
      <c r="V432">
        <v>17387.650000000001</v>
      </c>
      <c r="W432">
        <v>17729.150000000001</v>
      </c>
      <c r="X432">
        <v>59615.57</v>
      </c>
      <c r="Y432">
        <v>41549.85</v>
      </c>
    </row>
    <row r="433" spans="1:25" x14ac:dyDescent="0.25">
      <c r="A433" t="s">
        <v>480</v>
      </c>
      <c r="B433" s="1">
        <v>45050</v>
      </c>
      <c r="C433">
        <v>2023</v>
      </c>
      <c r="D433">
        <v>5</v>
      </c>
      <c r="E433" t="s">
        <v>468</v>
      </c>
      <c r="F433" t="s">
        <v>358</v>
      </c>
      <c r="G433" t="s">
        <v>35</v>
      </c>
      <c r="H433" t="s">
        <v>32</v>
      </c>
      <c r="I433" t="s">
        <v>39</v>
      </c>
      <c r="J433">
        <v>60</v>
      </c>
      <c r="K433">
        <v>859.63</v>
      </c>
      <c r="L433">
        <v>51577.84</v>
      </c>
      <c r="M433">
        <v>33326.160000000003</v>
      </c>
      <c r="N433">
        <v>4206.32</v>
      </c>
      <c r="O433">
        <v>2224.7600000000002</v>
      </c>
      <c r="P433">
        <v>1038.52</v>
      </c>
      <c r="Q433">
        <v>365.23</v>
      </c>
      <c r="R433">
        <v>1707.03</v>
      </c>
      <c r="S433">
        <v>578.41</v>
      </c>
      <c r="T433">
        <v>43446.42</v>
      </c>
      <c r="U433">
        <v>18251.68</v>
      </c>
      <c r="V433">
        <v>8131.42</v>
      </c>
      <c r="W433">
        <v>8199.84</v>
      </c>
      <c r="X433">
        <v>55700.14</v>
      </c>
      <c r="Y433">
        <v>45261.66</v>
      </c>
    </row>
    <row r="434" spans="1:25" x14ac:dyDescent="0.25">
      <c r="A434" t="s">
        <v>481</v>
      </c>
      <c r="B434" s="1">
        <v>45051</v>
      </c>
      <c r="C434">
        <v>2023</v>
      </c>
      <c r="D434">
        <v>5</v>
      </c>
      <c r="E434" t="s">
        <v>468</v>
      </c>
      <c r="F434" t="s">
        <v>358</v>
      </c>
      <c r="G434" t="s">
        <v>28</v>
      </c>
      <c r="H434" t="s">
        <v>32</v>
      </c>
      <c r="I434" t="s">
        <v>50</v>
      </c>
      <c r="J434">
        <v>78</v>
      </c>
      <c r="K434">
        <v>1022.67</v>
      </c>
      <c r="L434">
        <v>79768.44</v>
      </c>
      <c r="M434">
        <v>50799.26</v>
      </c>
      <c r="N434">
        <v>7217.81</v>
      </c>
      <c r="O434">
        <v>3584.24</v>
      </c>
      <c r="P434">
        <v>3111.74</v>
      </c>
      <c r="Q434">
        <v>1382.03</v>
      </c>
      <c r="R434">
        <v>4208.09</v>
      </c>
      <c r="S434">
        <v>1818.48</v>
      </c>
      <c r="T434">
        <v>72121.67</v>
      </c>
      <c r="U434">
        <v>28969.17</v>
      </c>
      <c r="V434">
        <v>7646.77</v>
      </c>
      <c r="W434">
        <v>7618.47</v>
      </c>
      <c r="X434">
        <v>80854.34</v>
      </c>
      <c r="Y434">
        <v>67321.179999999993</v>
      </c>
    </row>
    <row r="435" spans="1:25" x14ac:dyDescent="0.25">
      <c r="A435" t="s">
        <v>482</v>
      </c>
      <c r="B435" s="1">
        <v>45051</v>
      </c>
      <c r="C435">
        <v>2023</v>
      </c>
      <c r="D435">
        <v>5</v>
      </c>
      <c r="E435" t="s">
        <v>468</v>
      </c>
      <c r="F435" t="s">
        <v>358</v>
      </c>
      <c r="G435" t="s">
        <v>28</v>
      </c>
      <c r="H435" t="s">
        <v>58</v>
      </c>
      <c r="I435" t="s">
        <v>56</v>
      </c>
      <c r="J435">
        <v>25</v>
      </c>
      <c r="K435">
        <v>1696.42</v>
      </c>
      <c r="L435">
        <v>42410.6</v>
      </c>
      <c r="M435">
        <v>25157.35</v>
      </c>
      <c r="N435">
        <v>5423.77</v>
      </c>
      <c r="O435">
        <v>2203.5500000000002</v>
      </c>
      <c r="P435">
        <v>860.81</v>
      </c>
      <c r="Q435">
        <v>674.73</v>
      </c>
      <c r="R435">
        <v>1298.8800000000001</v>
      </c>
      <c r="S435">
        <v>765.26</v>
      </c>
      <c r="T435">
        <v>36384.35</v>
      </c>
      <c r="U435">
        <v>17253.240000000002</v>
      </c>
      <c r="V435">
        <v>6026.24</v>
      </c>
      <c r="W435">
        <v>5776.91</v>
      </c>
      <c r="X435">
        <v>39350.949999999997</v>
      </c>
      <c r="Y435">
        <v>39172.21</v>
      </c>
    </row>
    <row r="436" spans="1:25" x14ac:dyDescent="0.25">
      <c r="A436" t="s">
        <v>483</v>
      </c>
      <c r="B436" s="1">
        <v>45051</v>
      </c>
      <c r="C436">
        <v>2023</v>
      </c>
      <c r="D436">
        <v>5</v>
      </c>
      <c r="E436" t="s">
        <v>468</v>
      </c>
      <c r="F436" t="s">
        <v>358</v>
      </c>
      <c r="G436" t="s">
        <v>44</v>
      </c>
      <c r="H436" t="s">
        <v>32</v>
      </c>
      <c r="I436" t="s">
        <v>30</v>
      </c>
      <c r="J436">
        <v>54</v>
      </c>
      <c r="K436">
        <v>1705.56</v>
      </c>
      <c r="L436">
        <v>92100.36</v>
      </c>
      <c r="M436">
        <v>48749.440000000002</v>
      </c>
      <c r="N436">
        <v>7272.33</v>
      </c>
      <c r="O436">
        <v>5882.42</v>
      </c>
      <c r="P436">
        <v>1629.17</v>
      </c>
      <c r="Q436">
        <v>1468.62</v>
      </c>
      <c r="R436">
        <v>5176.03</v>
      </c>
      <c r="S436">
        <v>849.86</v>
      </c>
      <c r="T436">
        <v>71027.87</v>
      </c>
      <c r="U436">
        <v>43350.92</v>
      </c>
      <c r="V436">
        <v>21072.49</v>
      </c>
      <c r="W436">
        <v>18997.13</v>
      </c>
      <c r="X436">
        <v>88556.27</v>
      </c>
      <c r="Y436">
        <v>67526.44</v>
      </c>
    </row>
    <row r="437" spans="1:25" x14ac:dyDescent="0.25">
      <c r="A437" t="s">
        <v>484</v>
      </c>
      <c r="B437" s="1">
        <v>45052</v>
      </c>
      <c r="C437">
        <v>2023</v>
      </c>
      <c r="D437">
        <v>5</v>
      </c>
      <c r="E437" t="s">
        <v>468</v>
      </c>
      <c r="F437" t="s">
        <v>358</v>
      </c>
      <c r="G437" t="s">
        <v>55</v>
      </c>
      <c r="H437" t="s">
        <v>36</v>
      </c>
      <c r="I437" t="s">
        <v>56</v>
      </c>
      <c r="J437">
        <v>32</v>
      </c>
      <c r="K437">
        <v>1314.08</v>
      </c>
      <c r="L437">
        <v>42050.53</v>
      </c>
      <c r="M437">
        <v>25583.14</v>
      </c>
      <c r="N437">
        <v>5280.44</v>
      </c>
      <c r="O437">
        <v>3066.55</v>
      </c>
      <c r="P437">
        <v>1722.01</v>
      </c>
      <c r="Q437">
        <v>625.26</v>
      </c>
      <c r="R437">
        <v>2140.5300000000002</v>
      </c>
      <c r="S437">
        <v>1039.3399999999999</v>
      </c>
      <c r="T437">
        <v>39457.25</v>
      </c>
      <c r="U437">
        <v>16467.400000000001</v>
      </c>
      <c r="V437">
        <v>2593.2800000000002</v>
      </c>
      <c r="W437">
        <v>2393.21</v>
      </c>
      <c r="X437">
        <v>42339.81</v>
      </c>
      <c r="Y437">
        <v>39585.160000000003</v>
      </c>
    </row>
    <row r="438" spans="1:25" x14ac:dyDescent="0.25">
      <c r="A438" t="s">
        <v>485</v>
      </c>
      <c r="B438" s="1">
        <v>45052</v>
      </c>
      <c r="C438">
        <v>2023</v>
      </c>
      <c r="D438">
        <v>5</v>
      </c>
      <c r="E438" t="s">
        <v>468</v>
      </c>
      <c r="F438" t="s">
        <v>358</v>
      </c>
      <c r="G438" t="s">
        <v>55</v>
      </c>
      <c r="H438" t="s">
        <v>53</v>
      </c>
      <c r="I438" t="s">
        <v>33</v>
      </c>
      <c r="J438">
        <v>39</v>
      </c>
      <c r="K438">
        <v>1465.3</v>
      </c>
      <c r="L438">
        <v>57146.82</v>
      </c>
      <c r="M438">
        <v>31574.49</v>
      </c>
      <c r="N438">
        <v>4277.59</v>
      </c>
      <c r="O438">
        <v>3810.63</v>
      </c>
      <c r="P438">
        <v>1721.9</v>
      </c>
      <c r="Q438">
        <v>355.48</v>
      </c>
      <c r="R438">
        <v>2087.65</v>
      </c>
      <c r="S438">
        <v>1290.1500000000001</v>
      </c>
      <c r="T438">
        <v>45117.89</v>
      </c>
      <c r="U438">
        <v>25572.33</v>
      </c>
      <c r="V438">
        <v>12028.92</v>
      </c>
      <c r="W438">
        <v>11628.93</v>
      </c>
      <c r="X438">
        <v>62428.41</v>
      </c>
      <c r="Y438">
        <v>48482.42</v>
      </c>
    </row>
    <row r="439" spans="1:25" x14ac:dyDescent="0.25">
      <c r="A439" t="s">
        <v>486</v>
      </c>
      <c r="B439" s="1">
        <v>45052</v>
      </c>
      <c r="C439">
        <v>2023</v>
      </c>
      <c r="D439">
        <v>5</v>
      </c>
      <c r="E439" t="s">
        <v>468</v>
      </c>
      <c r="F439" t="s">
        <v>358</v>
      </c>
      <c r="G439" t="s">
        <v>44</v>
      </c>
      <c r="H439" t="s">
        <v>32</v>
      </c>
      <c r="I439" t="s">
        <v>50</v>
      </c>
      <c r="J439">
        <v>37</v>
      </c>
      <c r="K439">
        <v>1521.19</v>
      </c>
      <c r="L439">
        <v>56284.14</v>
      </c>
      <c r="M439">
        <v>30265.65</v>
      </c>
      <c r="N439">
        <v>4166.03</v>
      </c>
      <c r="O439">
        <v>3740.72</v>
      </c>
      <c r="P439">
        <v>1770.37</v>
      </c>
      <c r="Q439">
        <v>358.64</v>
      </c>
      <c r="R439">
        <v>2572.98</v>
      </c>
      <c r="S439">
        <v>542.74</v>
      </c>
      <c r="T439">
        <v>43417.13</v>
      </c>
      <c r="U439">
        <v>26018.49</v>
      </c>
      <c r="V439">
        <v>12867.01</v>
      </c>
      <c r="W439">
        <v>11400.33</v>
      </c>
      <c r="X439">
        <v>58394.29</v>
      </c>
      <c r="Y439">
        <v>44489.4</v>
      </c>
    </row>
    <row r="440" spans="1:25" x14ac:dyDescent="0.25">
      <c r="A440" t="s">
        <v>487</v>
      </c>
      <c r="B440" s="1">
        <v>45052</v>
      </c>
      <c r="C440">
        <v>2023</v>
      </c>
      <c r="D440">
        <v>5</v>
      </c>
      <c r="E440" t="s">
        <v>468</v>
      </c>
      <c r="F440" t="s">
        <v>358</v>
      </c>
      <c r="G440" t="s">
        <v>35</v>
      </c>
      <c r="H440" t="s">
        <v>29</v>
      </c>
      <c r="I440" t="s">
        <v>33</v>
      </c>
      <c r="J440">
        <v>51</v>
      </c>
      <c r="K440">
        <v>1575.3</v>
      </c>
      <c r="L440">
        <v>80340.22</v>
      </c>
      <c r="M440">
        <v>50892.13</v>
      </c>
      <c r="N440">
        <v>7687.1</v>
      </c>
      <c r="O440">
        <v>4181.3500000000004</v>
      </c>
      <c r="P440">
        <v>1269.72</v>
      </c>
      <c r="Q440">
        <v>1054.1199999999999</v>
      </c>
      <c r="R440">
        <v>4741.53</v>
      </c>
      <c r="S440">
        <v>901.05</v>
      </c>
      <c r="T440">
        <v>70727.009999999995</v>
      </c>
      <c r="U440">
        <v>29448.09</v>
      </c>
      <c r="V440">
        <v>9613.2199999999993</v>
      </c>
      <c r="W440">
        <v>9223.91</v>
      </c>
      <c r="X440">
        <v>74513.13</v>
      </c>
      <c r="Y440">
        <v>75031.460000000006</v>
      </c>
    </row>
    <row r="441" spans="1:25" x14ac:dyDescent="0.25">
      <c r="A441" t="s">
        <v>488</v>
      </c>
      <c r="B441" s="1">
        <v>45052</v>
      </c>
      <c r="C441">
        <v>2023</v>
      </c>
      <c r="D441">
        <v>5</v>
      </c>
      <c r="E441" t="s">
        <v>468</v>
      </c>
      <c r="F441" t="s">
        <v>358</v>
      </c>
      <c r="G441" t="s">
        <v>44</v>
      </c>
      <c r="H441" t="s">
        <v>29</v>
      </c>
      <c r="I441" t="s">
        <v>50</v>
      </c>
      <c r="J441">
        <v>41</v>
      </c>
      <c r="K441">
        <v>1109.31</v>
      </c>
      <c r="L441">
        <v>45481.59</v>
      </c>
      <c r="M441">
        <v>23956.79</v>
      </c>
      <c r="N441">
        <v>3227.01</v>
      </c>
      <c r="O441">
        <v>2561.4699999999998</v>
      </c>
      <c r="P441">
        <v>862.25</v>
      </c>
      <c r="Q441">
        <v>679.14</v>
      </c>
      <c r="R441">
        <v>1315.65</v>
      </c>
      <c r="S441">
        <v>447.78</v>
      </c>
      <c r="T441">
        <v>33050.089999999997</v>
      </c>
      <c r="U441">
        <v>21524.799999999999</v>
      </c>
      <c r="V441">
        <v>12431.49</v>
      </c>
      <c r="W441">
        <v>12590.21</v>
      </c>
      <c r="X441">
        <v>46152.54</v>
      </c>
      <c r="Y441">
        <v>32852.65</v>
      </c>
    </row>
    <row r="442" spans="1:25" x14ac:dyDescent="0.25">
      <c r="A442" t="s">
        <v>489</v>
      </c>
      <c r="B442" s="1">
        <v>45053</v>
      </c>
      <c r="C442">
        <v>2023</v>
      </c>
      <c r="D442">
        <v>5</v>
      </c>
      <c r="E442" t="s">
        <v>468</v>
      </c>
      <c r="F442" t="s">
        <v>358</v>
      </c>
      <c r="G442" t="s">
        <v>44</v>
      </c>
      <c r="H442" t="s">
        <v>36</v>
      </c>
      <c r="I442" t="s">
        <v>45</v>
      </c>
      <c r="J442">
        <v>49</v>
      </c>
      <c r="K442">
        <v>996.14</v>
      </c>
      <c r="L442">
        <v>48811.09</v>
      </c>
      <c r="M442">
        <v>29091.89</v>
      </c>
      <c r="N442">
        <v>5135.2</v>
      </c>
      <c r="O442">
        <v>2594.5</v>
      </c>
      <c r="P442">
        <v>1553.66</v>
      </c>
      <c r="Q442">
        <v>646.22</v>
      </c>
      <c r="R442">
        <v>1597.89</v>
      </c>
      <c r="S442">
        <v>504.52</v>
      </c>
      <c r="T442">
        <v>41123.870000000003</v>
      </c>
      <c r="U442">
        <v>19719.21</v>
      </c>
      <c r="V442">
        <v>7687.22</v>
      </c>
      <c r="W442">
        <v>7022.31</v>
      </c>
      <c r="X442">
        <v>47244.78</v>
      </c>
      <c r="Y442">
        <v>38609.65</v>
      </c>
    </row>
    <row r="443" spans="1:25" x14ac:dyDescent="0.25">
      <c r="A443" t="s">
        <v>490</v>
      </c>
      <c r="B443" s="1">
        <v>45053</v>
      </c>
      <c r="C443">
        <v>2023</v>
      </c>
      <c r="D443">
        <v>5</v>
      </c>
      <c r="E443" t="s">
        <v>468</v>
      </c>
      <c r="F443" t="s">
        <v>358</v>
      </c>
      <c r="G443" t="s">
        <v>44</v>
      </c>
      <c r="H443" t="s">
        <v>36</v>
      </c>
      <c r="I443" t="s">
        <v>39</v>
      </c>
      <c r="J443">
        <v>26</v>
      </c>
      <c r="K443">
        <v>1309.6199999999999</v>
      </c>
      <c r="L443">
        <v>34050.06</v>
      </c>
      <c r="M443">
        <v>21902.720000000001</v>
      </c>
      <c r="N443">
        <v>2542.92</v>
      </c>
      <c r="O443">
        <v>1838.02</v>
      </c>
      <c r="P443">
        <v>715.78</v>
      </c>
      <c r="Q443">
        <v>536.89</v>
      </c>
      <c r="R443">
        <v>1462.8</v>
      </c>
      <c r="S443">
        <v>696.44</v>
      </c>
      <c r="T443">
        <v>29695.56</v>
      </c>
      <c r="U443">
        <v>12147.34</v>
      </c>
      <c r="V443">
        <v>4354.49</v>
      </c>
      <c r="W443">
        <v>3914.34</v>
      </c>
      <c r="X443">
        <v>35812.660000000003</v>
      </c>
      <c r="Y443">
        <v>28385.34</v>
      </c>
    </row>
    <row r="444" spans="1:25" x14ac:dyDescent="0.25">
      <c r="A444" t="s">
        <v>491</v>
      </c>
      <c r="B444" s="1">
        <v>45054</v>
      </c>
      <c r="C444">
        <v>2023</v>
      </c>
      <c r="D444">
        <v>5</v>
      </c>
      <c r="E444" t="s">
        <v>468</v>
      </c>
      <c r="F444" t="s">
        <v>358</v>
      </c>
      <c r="G444" t="s">
        <v>28</v>
      </c>
      <c r="H444" t="s">
        <v>32</v>
      </c>
      <c r="I444" t="s">
        <v>39</v>
      </c>
      <c r="J444">
        <v>34</v>
      </c>
      <c r="K444">
        <v>1607.28</v>
      </c>
      <c r="L444">
        <v>54647.35</v>
      </c>
      <c r="M444">
        <v>35999.57</v>
      </c>
      <c r="N444">
        <v>6425.08</v>
      </c>
      <c r="O444">
        <v>3081.25</v>
      </c>
      <c r="P444">
        <v>844.71</v>
      </c>
      <c r="Q444">
        <v>583.52</v>
      </c>
      <c r="R444">
        <v>2048.63</v>
      </c>
      <c r="S444">
        <v>973.86</v>
      </c>
      <c r="T444">
        <v>49956.62</v>
      </c>
      <c r="U444">
        <v>18647.79</v>
      </c>
      <c r="V444">
        <v>4690.7299999999996</v>
      </c>
      <c r="W444">
        <v>4241.82</v>
      </c>
      <c r="X444">
        <v>60848.11</v>
      </c>
      <c r="Y444">
        <v>54383.29</v>
      </c>
    </row>
    <row r="445" spans="1:25" x14ac:dyDescent="0.25">
      <c r="A445" t="s">
        <v>492</v>
      </c>
      <c r="B445" s="1">
        <v>45054</v>
      </c>
      <c r="C445">
        <v>2023</v>
      </c>
      <c r="D445">
        <v>5</v>
      </c>
      <c r="E445" t="s">
        <v>468</v>
      </c>
      <c r="F445" t="s">
        <v>358</v>
      </c>
      <c r="G445" t="s">
        <v>55</v>
      </c>
      <c r="H445" t="s">
        <v>32</v>
      </c>
      <c r="I445" t="s">
        <v>30</v>
      </c>
      <c r="J445">
        <v>72</v>
      </c>
      <c r="K445">
        <v>1251.92</v>
      </c>
      <c r="L445">
        <v>90138.559999999998</v>
      </c>
      <c r="M445">
        <v>57846.99</v>
      </c>
      <c r="N445">
        <v>10444.620000000001</v>
      </c>
      <c r="O445">
        <v>4458.37</v>
      </c>
      <c r="P445">
        <v>2551.39</v>
      </c>
      <c r="Q445">
        <v>914.77</v>
      </c>
      <c r="R445">
        <v>3701.44</v>
      </c>
      <c r="S445">
        <v>1786.86</v>
      </c>
      <c r="T445">
        <v>81704.460000000006</v>
      </c>
      <c r="U445">
        <v>32291.57</v>
      </c>
      <c r="V445">
        <v>8434.11</v>
      </c>
      <c r="W445">
        <v>7814.65</v>
      </c>
      <c r="X445">
        <v>88894.33</v>
      </c>
      <c r="Y445">
        <v>87592.65</v>
      </c>
    </row>
    <row r="446" spans="1:25" x14ac:dyDescent="0.25">
      <c r="A446" t="s">
        <v>493</v>
      </c>
      <c r="B446" s="1">
        <v>45054</v>
      </c>
      <c r="C446">
        <v>2023</v>
      </c>
      <c r="D446">
        <v>5</v>
      </c>
      <c r="E446" t="s">
        <v>468</v>
      </c>
      <c r="F446" t="s">
        <v>358</v>
      </c>
      <c r="G446" t="s">
        <v>35</v>
      </c>
      <c r="H446" t="s">
        <v>58</v>
      </c>
      <c r="I446" t="s">
        <v>37</v>
      </c>
      <c r="J446">
        <v>29</v>
      </c>
      <c r="K446">
        <v>1492.11</v>
      </c>
      <c r="L446">
        <v>43271.17</v>
      </c>
      <c r="M446">
        <v>23221.17</v>
      </c>
      <c r="N446">
        <v>4153.28</v>
      </c>
      <c r="O446">
        <v>2252.91</v>
      </c>
      <c r="P446">
        <v>1827.01</v>
      </c>
      <c r="Q446">
        <v>685.48</v>
      </c>
      <c r="R446">
        <v>2017.61</v>
      </c>
      <c r="S446">
        <v>706.2</v>
      </c>
      <c r="T446">
        <v>34863.660000000003</v>
      </c>
      <c r="U446">
        <v>20049.990000000002</v>
      </c>
      <c r="V446">
        <v>8407.51</v>
      </c>
      <c r="W446">
        <v>7798.77</v>
      </c>
      <c r="X446">
        <v>43686.73</v>
      </c>
      <c r="Y446">
        <v>38044.07</v>
      </c>
    </row>
    <row r="447" spans="1:25" x14ac:dyDescent="0.25">
      <c r="A447" t="s">
        <v>494</v>
      </c>
      <c r="B447" s="1">
        <v>45054</v>
      </c>
      <c r="C447">
        <v>2023</v>
      </c>
      <c r="D447">
        <v>5</v>
      </c>
      <c r="E447" t="s">
        <v>468</v>
      </c>
      <c r="F447" t="s">
        <v>358</v>
      </c>
      <c r="G447" t="s">
        <v>35</v>
      </c>
      <c r="H447" t="s">
        <v>58</v>
      </c>
      <c r="I447" t="s">
        <v>30</v>
      </c>
      <c r="J447">
        <v>37</v>
      </c>
      <c r="K447">
        <v>1536.64</v>
      </c>
      <c r="L447">
        <v>56855.65</v>
      </c>
      <c r="M447">
        <v>30292.61</v>
      </c>
      <c r="N447">
        <v>5185.2700000000004</v>
      </c>
      <c r="O447">
        <v>3162.51</v>
      </c>
      <c r="P447">
        <v>1872.7</v>
      </c>
      <c r="Q447">
        <v>352.96</v>
      </c>
      <c r="R447">
        <v>1751.38</v>
      </c>
      <c r="S447">
        <v>786.93</v>
      </c>
      <c r="T447">
        <v>43404.36</v>
      </c>
      <c r="U447">
        <v>26563.03</v>
      </c>
      <c r="V447">
        <v>13451.29</v>
      </c>
      <c r="W447">
        <v>13540.95</v>
      </c>
      <c r="X447">
        <v>59560.04</v>
      </c>
      <c r="Y447">
        <v>44187.71</v>
      </c>
    </row>
    <row r="448" spans="1:25" x14ac:dyDescent="0.25">
      <c r="A448" t="s">
        <v>495</v>
      </c>
      <c r="B448" s="1">
        <v>45054</v>
      </c>
      <c r="C448">
        <v>2023</v>
      </c>
      <c r="D448">
        <v>5</v>
      </c>
      <c r="E448" t="s">
        <v>468</v>
      </c>
      <c r="F448" t="s">
        <v>358</v>
      </c>
      <c r="G448" t="s">
        <v>55</v>
      </c>
      <c r="H448" t="s">
        <v>58</v>
      </c>
      <c r="I448" t="s">
        <v>50</v>
      </c>
      <c r="J448">
        <v>44</v>
      </c>
      <c r="K448">
        <v>1374.35</v>
      </c>
      <c r="L448">
        <v>60471.47</v>
      </c>
      <c r="M448">
        <v>30234.02</v>
      </c>
      <c r="N448">
        <v>7108.2</v>
      </c>
      <c r="O448">
        <v>2951.18</v>
      </c>
      <c r="P448">
        <v>2189.8200000000002</v>
      </c>
      <c r="Q448">
        <v>959.79</v>
      </c>
      <c r="R448">
        <v>3895.08</v>
      </c>
      <c r="S448">
        <v>936.39</v>
      </c>
      <c r="T448">
        <v>48274.48</v>
      </c>
      <c r="U448">
        <v>30237.45</v>
      </c>
      <c r="V448">
        <v>12196.99</v>
      </c>
      <c r="W448">
        <v>12323.63</v>
      </c>
      <c r="X448">
        <v>57765.32</v>
      </c>
      <c r="Y448">
        <v>47826.43</v>
      </c>
    </row>
    <row r="449" spans="1:25" x14ac:dyDescent="0.25">
      <c r="A449" t="s">
        <v>496</v>
      </c>
      <c r="B449" s="1">
        <v>45055</v>
      </c>
      <c r="C449">
        <v>2023</v>
      </c>
      <c r="D449">
        <v>5</v>
      </c>
      <c r="E449" t="s">
        <v>468</v>
      </c>
      <c r="F449" t="s">
        <v>358</v>
      </c>
      <c r="G449" t="s">
        <v>35</v>
      </c>
      <c r="H449" t="s">
        <v>32</v>
      </c>
      <c r="I449" t="s">
        <v>45</v>
      </c>
      <c r="J449">
        <v>47</v>
      </c>
      <c r="K449">
        <v>1129.95</v>
      </c>
      <c r="L449">
        <v>53107.71</v>
      </c>
      <c r="M449">
        <v>32787.870000000003</v>
      </c>
      <c r="N449">
        <v>5046.6499999999996</v>
      </c>
      <c r="O449">
        <v>2680.81</v>
      </c>
      <c r="P449">
        <v>1040.54</v>
      </c>
      <c r="Q449">
        <v>523.44000000000005</v>
      </c>
      <c r="R449">
        <v>2902.01</v>
      </c>
      <c r="S449">
        <v>607.92999999999995</v>
      </c>
      <c r="T449">
        <v>45589.24</v>
      </c>
      <c r="U449">
        <v>20319.84</v>
      </c>
      <c r="V449">
        <v>7518.47</v>
      </c>
      <c r="W449">
        <v>7658.75</v>
      </c>
      <c r="X449">
        <v>57606.76</v>
      </c>
      <c r="Y449">
        <v>49418.32</v>
      </c>
    </row>
    <row r="450" spans="1:25" x14ac:dyDescent="0.25">
      <c r="A450" t="s">
        <v>497</v>
      </c>
      <c r="B450" s="1">
        <v>45055</v>
      </c>
      <c r="C450">
        <v>2023</v>
      </c>
      <c r="D450">
        <v>5</v>
      </c>
      <c r="E450" t="s">
        <v>468</v>
      </c>
      <c r="F450" t="s">
        <v>358</v>
      </c>
      <c r="G450" t="s">
        <v>35</v>
      </c>
      <c r="H450" t="s">
        <v>32</v>
      </c>
      <c r="I450" t="s">
        <v>39</v>
      </c>
      <c r="J450">
        <v>24</v>
      </c>
      <c r="K450">
        <v>1693.08</v>
      </c>
      <c r="L450">
        <v>40633.870000000003</v>
      </c>
      <c r="M450">
        <v>24299.27</v>
      </c>
      <c r="N450">
        <v>3890.07</v>
      </c>
      <c r="O450">
        <v>1747.45</v>
      </c>
      <c r="P450">
        <v>891.86</v>
      </c>
      <c r="Q450">
        <v>433.22</v>
      </c>
      <c r="R450">
        <v>1187.82</v>
      </c>
      <c r="S450">
        <v>618.05999999999995</v>
      </c>
      <c r="T450">
        <v>33067.75</v>
      </c>
      <c r="U450">
        <v>16334.61</v>
      </c>
      <c r="V450">
        <v>7566.13</v>
      </c>
      <c r="W450">
        <v>6752.41</v>
      </c>
      <c r="X450">
        <v>39765.550000000003</v>
      </c>
      <c r="Y450">
        <v>34200.269999999997</v>
      </c>
    </row>
    <row r="451" spans="1:25" x14ac:dyDescent="0.25">
      <c r="A451" t="s">
        <v>498</v>
      </c>
      <c r="B451" s="1">
        <v>45055</v>
      </c>
      <c r="C451">
        <v>2023</v>
      </c>
      <c r="D451">
        <v>5</v>
      </c>
      <c r="E451" t="s">
        <v>468</v>
      </c>
      <c r="F451" t="s">
        <v>358</v>
      </c>
      <c r="G451" t="s">
        <v>55</v>
      </c>
      <c r="H451" t="s">
        <v>36</v>
      </c>
      <c r="I451" t="s">
        <v>30</v>
      </c>
      <c r="J451">
        <v>89</v>
      </c>
      <c r="K451">
        <v>1110</v>
      </c>
      <c r="L451">
        <v>98790.15</v>
      </c>
      <c r="M451">
        <v>55818.02</v>
      </c>
      <c r="N451">
        <v>7993.32</v>
      </c>
      <c r="O451">
        <v>7051.98</v>
      </c>
      <c r="P451">
        <v>2554.17</v>
      </c>
      <c r="Q451">
        <v>874.96</v>
      </c>
      <c r="R451">
        <v>3463.42</v>
      </c>
      <c r="S451">
        <v>2321.4</v>
      </c>
      <c r="T451">
        <v>80077.259999999995</v>
      </c>
      <c r="U451">
        <v>42972.13</v>
      </c>
      <c r="V451">
        <v>18712.89</v>
      </c>
      <c r="W451">
        <v>17541.28</v>
      </c>
      <c r="X451">
        <v>99712.12</v>
      </c>
      <c r="Y451">
        <v>87101.39</v>
      </c>
    </row>
    <row r="452" spans="1:25" x14ac:dyDescent="0.25">
      <c r="A452" t="s">
        <v>499</v>
      </c>
      <c r="B452" s="1">
        <v>45055</v>
      </c>
      <c r="C452">
        <v>2023</v>
      </c>
      <c r="D452">
        <v>5</v>
      </c>
      <c r="E452" t="s">
        <v>468</v>
      </c>
      <c r="F452" t="s">
        <v>358</v>
      </c>
      <c r="G452" t="s">
        <v>55</v>
      </c>
      <c r="H452" t="s">
        <v>29</v>
      </c>
      <c r="I452" t="s">
        <v>30</v>
      </c>
      <c r="J452">
        <v>80</v>
      </c>
      <c r="K452">
        <v>1409.79</v>
      </c>
      <c r="L452">
        <v>112782.93</v>
      </c>
      <c r="M452">
        <v>67161.62</v>
      </c>
      <c r="N452">
        <v>11919.98</v>
      </c>
      <c r="O452">
        <v>7066.64</v>
      </c>
      <c r="P452">
        <v>4889.84</v>
      </c>
      <c r="Q452">
        <v>1671.29</v>
      </c>
      <c r="R452">
        <v>6439.7</v>
      </c>
      <c r="S452">
        <v>1986.04</v>
      </c>
      <c r="T452">
        <v>101135.11</v>
      </c>
      <c r="U452">
        <v>45621.31</v>
      </c>
      <c r="V452">
        <v>11647.82</v>
      </c>
      <c r="W452">
        <v>11377.77</v>
      </c>
      <c r="X452">
        <v>109463.05</v>
      </c>
      <c r="Y452">
        <v>109728.93</v>
      </c>
    </row>
    <row r="453" spans="1:25" x14ac:dyDescent="0.25">
      <c r="A453" t="s">
        <v>500</v>
      </c>
      <c r="B453" s="1">
        <v>45056</v>
      </c>
      <c r="C453">
        <v>2023</v>
      </c>
      <c r="D453">
        <v>5</v>
      </c>
      <c r="E453" t="s">
        <v>468</v>
      </c>
      <c r="F453" t="s">
        <v>358</v>
      </c>
      <c r="G453" t="s">
        <v>28</v>
      </c>
      <c r="H453" t="s">
        <v>29</v>
      </c>
      <c r="I453" t="s">
        <v>37</v>
      </c>
      <c r="J453">
        <v>46</v>
      </c>
      <c r="K453">
        <v>1259.7</v>
      </c>
      <c r="L453">
        <v>57946.400000000001</v>
      </c>
      <c r="M453">
        <v>35570.9</v>
      </c>
      <c r="N453">
        <v>6461.99</v>
      </c>
      <c r="O453">
        <v>3932</v>
      </c>
      <c r="P453">
        <v>919.31</v>
      </c>
      <c r="Q453">
        <v>941.86</v>
      </c>
      <c r="R453">
        <v>2219.4499999999998</v>
      </c>
      <c r="S453">
        <v>627.03</v>
      </c>
      <c r="T453">
        <v>50672.54</v>
      </c>
      <c r="U453">
        <v>22375.5</v>
      </c>
      <c r="V453">
        <v>7273.86</v>
      </c>
      <c r="W453">
        <v>7319.92</v>
      </c>
      <c r="X453">
        <v>58230.16</v>
      </c>
      <c r="Y453">
        <v>53577.2</v>
      </c>
    </row>
    <row r="454" spans="1:25" x14ac:dyDescent="0.25">
      <c r="A454" t="s">
        <v>501</v>
      </c>
      <c r="B454" s="1">
        <v>45056</v>
      </c>
      <c r="C454">
        <v>2023</v>
      </c>
      <c r="D454">
        <v>5</v>
      </c>
      <c r="E454" t="s">
        <v>468</v>
      </c>
      <c r="F454" t="s">
        <v>358</v>
      </c>
      <c r="G454" t="s">
        <v>28</v>
      </c>
      <c r="H454" t="s">
        <v>32</v>
      </c>
      <c r="I454" t="s">
        <v>45</v>
      </c>
      <c r="J454">
        <v>74</v>
      </c>
      <c r="K454">
        <v>933.32</v>
      </c>
      <c r="L454">
        <v>69065.89</v>
      </c>
      <c r="M454">
        <v>43156.89</v>
      </c>
      <c r="N454">
        <v>7755.29</v>
      </c>
      <c r="O454">
        <v>3903.92</v>
      </c>
      <c r="P454">
        <v>2616.58</v>
      </c>
      <c r="Q454">
        <v>742.31</v>
      </c>
      <c r="R454">
        <v>3441.55</v>
      </c>
      <c r="S454">
        <v>957.88</v>
      </c>
      <c r="T454">
        <v>62574.42</v>
      </c>
      <c r="U454">
        <v>25909</v>
      </c>
      <c r="V454">
        <v>6491.47</v>
      </c>
      <c r="W454">
        <v>6339.22</v>
      </c>
      <c r="X454">
        <v>69954.67</v>
      </c>
      <c r="Y454">
        <v>67235.88</v>
      </c>
    </row>
    <row r="455" spans="1:25" x14ac:dyDescent="0.25">
      <c r="A455" t="s">
        <v>502</v>
      </c>
      <c r="B455" s="1">
        <v>45056</v>
      </c>
      <c r="C455">
        <v>2023</v>
      </c>
      <c r="D455">
        <v>5</v>
      </c>
      <c r="E455" t="s">
        <v>468</v>
      </c>
      <c r="F455" t="s">
        <v>358</v>
      </c>
      <c r="G455" t="s">
        <v>28</v>
      </c>
      <c r="H455" t="s">
        <v>32</v>
      </c>
      <c r="I455" t="s">
        <v>65</v>
      </c>
      <c r="J455">
        <v>47</v>
      </c>
      <c r="K455">
        <v>1642.47</v>
      </c>
      <c r="L455">
        <v>77195.97</v>
      </c>
      <c r="M455">
        <v>51684.05</v>
      </c>
      <c r="N455">
        <v>10012.25</v>
      </c>
      <c r="O455">
        <v>3241.2</v>
      </c>
      <c r="P455">
        <v>2567.6799999999998</v>
      </c>
      <c r="Q455">
        <v>1238.8399999999999</v>
      </c>
      <c r="R455">
        <v>2981.75</v>
      </c>
      <c r="S455">
        <v>1168.47</v>
      </c>
      <c r="T455">
        <v>72894.240000000005</v>
      </c>
      <c r="U455">
        <v>25511.919999999998</v>
      </c>
      <c r="V455">
        <v>4301.74</v>
      </c>
      <c r="W455">
        <v>4043.55</v>
      </c>
      <c r="X455">
        <v>81259.73</v>
      </c>
      <c r="Y455">
        <v>70740.11</v>
      </c>
    </row>
    <row r="456" spans="1:25" x14ac:dyDescent="0.25">
      <c r="A456" t="s">
        <v>503</v>
      </c>
      <c r="B456" s="1">
        <v>45056</v>
      </c>
      <c r="C456">
        <v>2023</v>
      </c>
      <c r="D456">
        <v>5</v>
      </c>
      <c r="E456" t="s">
        <v>468</v>
      </c>
      <c r="F456" t="s">
        <v>358</v>
      </c>
      <c r="G456" t="s">
        <v>35</v>
      </c>
      <c r="H456" t="s">
        <v>32</v>
      </c>
      <c r="I456" t="s">
        <v>33</v>
      </c>
      <c r="J456">
        <v>90</v>
      </c>
      <c r="K456">
        <v>1016.46</v>
      </c>
      <c r="L456">
        <v>91481.25</v>
      </c>
      <c r="M456">
        <v>57077.96</v>
      </c>
      <c r="N456">
        <v>6947.15</v>
      </c>
      <c r="O456">
        <v>3876.76</v>
      </c>
      <c r="P456">
        <v>3023.4</v>
      </c>
      <c r="Q456">
        <v>975.18</v>
      </c>
      <c r="R456">
        <v>4596.75</v>
      </c>
      <c r="S456">
        <v>1523.44</v>
      </c>
      <c r="T456">
        <v>78020.639999999999</v>
      </c>
      <c r="U456">
        <v>34403.29</v>
      </c>
      <c r="V456">
        <v>13460.61</v>
      </c>
      <c r="W456">
        <v>12498.98</v>
      </c>
      <c r="X456">
        <v>91795.87</v>
      </c>
      <c r="Y456">
        <v>76920.97</v>
      </c>
    </row>
    <row r="457" spans="1:25" x14ac:dyDescent="0.25">
      <c r="A457" t="s">
        <v>504</v>
      </c>
      <c r="B457" s="1">
        <v>45057</v>
      </c>
      <c r="C457">
        <v>2023</v>
      </c>
      <c r="D457">
        <v>5</v>
      </c>
      <c r="E457" t="s">
        <v>468</v>
      </c>
      <c r="F457" t="s">
        <v>358</v>
      </c>
      <c r="G457" t="s">
        <v>28</v>
      </c>
      <c r="H457" t="s">
        <v>32</v>
      </c>
      <c r="I457" t="s">
        <v>45</v>
      </c>
      <c r="J457">
        <v>40</v>
      </c>
      <c r="K457">
        <v>1493.84</v>
      </c>
      <c r="L457">
        <v>59753.52</v>
      </c>
      <c r="M457">
        <v>35118.720000000001</v>
      </c>
      <c r="N457">
        <v>5793.98</v>
      </c>
      <c r="O457">
        <v>3638.19</v>
      </c>
      <c r="P457">
        <v>2292.69</v>
      </c>
      <c r="Q457">
        <v>770.72</v>
      </c>
      <c r="R457">
        <v>1887.22</v>
      </c>
      <c r="S457">
        <v>731.96</v>
      </c>
      <c r="T457">
        <v>50233.48</v>
      </c>
      <c r="U457">
        <v>24634.799999999999</v>
      </c>
      <c r="V457">
        <v>9520.0400000000009</v>
      </c>
      <c r="W457">
        <v>8429.24</v>
      </c>
      <c r="X457">
        <v>57129.67</v>
      </c>
      <c r="Y457">
        <v>54407.93</v>
      </c>
    </row>
    <row r="458" spans="1:25" x14ac:dyDescent="0.25">
      <c r="A458" t="s">
        <v>505</v>
      </c>
      <c r="B458" s="1">
        <v>45057</v>
      </c>
      <c r="C458">
        <v>2023</v>
      </c>
      <c r="D458">
        <v>5</v>
      </c>
      <c r="E458" t="s">
        <v>468</v>
      </c>
      <c r="F458" t="s">
        <v>358</v>
      </c>
      <c r="G458" t="s">
        <v>55</v>
      </c>
      <c r="H458" t="s">
        <v>32</v>
      </c>
      <c r="I458" t="s">
        <v>39</v>
      </c>
      <c r="J458">
        <v>68</v>
      </c>
      <c r="K458">
        <v>959.26</v>
      </c>
      <c r="L458">
        <v>65229.87</v>
      </c>
      <c r="M458">
        <v>36336.35</v>
      </c>
      <c r="N458">
        <v>6977.85</v>
      </c>
      <c r="O458">
        <v>4128.82</v>
      </c>
      <c r="P458">
        <v>2567.62</v>
      </c>
      <c r="Q458">
        <v>450.19</v>
      </c>
      <c r="R458">
        <v>3249.04</v>
      </c>
      <c r="S458">
        <v>1345.13</v>
      </c>
      <c r="T458">
        <v>55055</v>
      </c>
      <c r="U458">
        <v>28893.52</v>
      </c>
      <c r="V458">
        <v>10174.870000000001</v>
      </c>
      <c r="W458">
        <v>9562.18</v>
      </c>
      <c r="X458">
        <v>60116.02</v>
      </c>
      <c r="Y458">
        <v>54513.82</v>
      </c>
    </row>
    <row r="459" spans="1:25" x14ac:dyDescent="0.25">
      <c r="A459" t="s">
        <v>506</v>
      </c>
      <c r="B459" s="1">
        <v>45057</v>
      </c>
      <c r="C459">
        <v>2023</v>
      </c>
      <c r="D459">
        <v>5</v>
      </c>
      <c r="E459" t="s">
        <v>468</v>
      </c>
      <c r="F459" t="s">
        <v>358</v>
      </c>
      <c r="G459" t="s">
        <v>28</v>
      </c>
      <c r="H459" t="s">
        <v>29</v>
      </c>
      <c r="I459" t="s">
        <v>39</v>
      </c>
      <c r="J459">
        <v>28</v>
      </c>
      <c r="K459">
        <v>1451.4</v>
      </c>
      <c r="L459">
        <v>40639.300000000003</v>
      </c>
      <c r="M459">
        <v>25132.86</v>
      </c>
      <c r="N459">
        <v>3544.27</v>
      </c>
      <c r="O459">
        <v>1848.22</v>
      </c>
      <c r="P459">
        <v>745.36</v>
      </c>
      <c r="Q459">
        <v>324.52</v>
      </c>
      <c r="R459">
        <v>1548.28</v>
      </c>
      <c r="S459">
        <v>552.35</v>
      </c>
      <c r="T459">
        <v>33695.870000000003</v>
      </c>
      <c r="U459">
        <v>15506.44</v>
      </c>
      <c r="V459">
        <v>6943.44</v>
      </c>
      <c r="W459">
        <v>7043.7</v>
      </c>
      <c r="X459">
        <v>43702.239999999998</v>
      </c>
      <c r="Y459">
        <v>36321.019999999997</v>
      </c>
    </row>
    <row r="460" spans="1:25" x14ac:dyDescent="0.25">
      <c r="A460" t="s">
        <v>507</v>
      </c>
      <c r="B460" s="1">
        <v>45057</v>
      </c>
      <c r="C460">
        <v>2023</v>
      </c>
      <c r="D460">
        <v>5</v>
      </c>
      <c r="E460" t="s">
        <v>468</v>
      </c>
      <c r="F460" t="s">
        <v>358</v>
      </c>
      <c r="G460" t="s">
        <v>28</v>
      </c>
      <c r="H460" t="s">
        <v>29</v>
      </c>
      <c r="I460" t="s">
        <v>30</v>
      </c>
      <c r="J460">
        <v>82</v>
      </c>
      <c r="K460">
        <v>1513.79</v>
      </c>
      <c r="L460">
        <v>124130.64</v>
      </c>
      <c r="M460">
        <v>62489.7</v>
      </c>
      <c r="N460">
        <v>12573.15</v>
      </c>
      <c r="O460">
        <v>5044.22</v>
      </c>
      <c r="P460">
        <v>4213.54</v>
      </c>
      <c r="Q460">
        <v>790.73</v>
      </c>
      <c r="R460">
        <v>3107.06</v>
      </c>
      <c r="S460">
        <v>1607.68</v>
      </c>
      <c r="T460">
        <v>89826.09</v>
      </c>
      <c r="U460">
        <v>61640.94</v>
      </c>
      <c r="V460">
        <v>34304.550000000003</v>
      </c>
      <c r="W460">
        <v>31869.83</v>
      </c>
      <c r="X460">
        <v>134251.99</v>
      </c>
      <c r="Y460">
        <v>91700.73</v>
      </c>
    </row>
    <row r="461" spans="1:25" x14ac:dyDescent="0.25">
      <c r="A461" t="s">
        <v>508</v>
      </c>
      <c r="B461" s="1">
        <v>45058</v>
      </c>
      <c r="C461">
        <v>2023</v>
      </c>
      <c r="D461">
        <v>5</v>
      </c>
      <c r="E461" t="s">
        <v>468</v>
      </c>
      <c r="F461" t="s">
        <v>358</v>
      </c>
      <c r="G461" t="s">
        <v>28</v>
      </c>
      <c r="H461" t="s">
        <v>29</v>
      </c>
      <c r="I461" t="s">
        <v>56</v>
      </c>
      <c r="J461">
        <v>55</v>
      </c>
      <c r="K461">
        <v>848.12</v>
      </c>
      <c r="L461">
        <v>46646.79</v>
      </c>
      <c r="M461">
        <v>27086.13</v>
      </c>
      <c r="N461">
        <v>4010.87</v>
      </c>
      <c r="O461">
        <v>2271.5500000000002</v>
      </c>
      <c r="P461">
        <v>701.72</v>
      </c>
      <c r="Q461">
        <v>837.3</v>
      </c>
      <c r="R461">
        <v>2215.81</v>
      </c>
      <c r="S461">
        <v>514.41999999999996</v>
      </c>
      <c r="T461">
        <v>37637.800000000003</v>
      </c>
      <c r="U461">
        <v>19560.669999999998</v>
      </c>
      <c r="V461">
        <v>9009</v>
      </c>
      <c r="W461">
        <v>8765.25</v>
      </c>
      <c r="X461">
        <v>46504.75</v>
      </c>
      <c r="Y461">
        <v>40892.89</v>
      </c>
    </row>
    <row r="462" spans="1:25" x14ac:dyDescent="0.25">
      <c r="A462" t="s">
        <v>509</v>
      </c>
      <c r="B462" s="1">
        <v>45058</v>
      </c>
      <c r="C462">
        <v>2023</v>
      </c>
      <c r="D462">
        <v>5</v>
      </c>
      <c r="E462" t="s">
        <v>468</v>
      </c>
      <c r="F462" t="s">
        <v>358</v>
      </c>
      <c r="G462" t="s">
        <v>28</v>
      </c>
      <c r="H462" t="s">
        <v>29</v>
      </c>
      <c r="I462" t="s">
        <v>56</v>
      </c>
      <c r="J462">
        <v>47</v>
      </c>
      <c r="K462">
        <v>944.14</v>
      </c>
      <c r="L462">
        <v>44374.36</v>
      </c>
      <c r="M462">
        <v>24165.59</v>
      </c>
      <c r="N462">
        <v>3653.45</v>
      </c>
      <c r="O462">
        <v>2886.33</v>
      </c>
      <c r="P462">
        <v>1286.9100000000001</v>
      </c>
      <c r="Q462">
        <v>669.52</v>
      </c>
      <c r="R462">
        <v>1661.24</v>
      </c>
      <c r="S462">
        <v>655.08000000000004</v>
      </c>
      <c r="T462">
        <v>34978.129999999997</v>
      </c>
      <c r="U462">
        <v>20208.77</v>
      </c>
      <c r="V462">
        <v>9396.24</v>
      </c>
      <c r="W462">
        <v>9242.5300000000007</v>
      </c>
      <c r="X462">
        <v>45546.21</v>
      </c>
      <c r="Y462">
        <v>33536.47</v>
      </c>
    </row>
    <row r="463" spans="1:25" x14ac:dyDescent="0.25">
      <c r="A463" t="s">
        <v>510</v>
      </c>
      <c r="B463" s="1">
        <v>45058</v>
      </c>
      <c r="C463">
        <v>2023</v>
      </c>
      <c r="D463">
        <v>5</v>
      </c>
      <c r="E463" t="s">
        <v>468</v>
      </c>
      <c r="F463" t="s">
        <v>358</v>
      </c>
      <c r="G463" t="s">
        <v>28</v>
      </c>
      <c r="H463" t="s">
        <v>29</v>
      </c>
      <c r="I463" t="s">
        <v>45</v>
      </c>
      <c r="J463">
        <v>36</v>
      </c>
      <c r="K463">
        <v>1119.1600000000001</v>
      </c>
      <c r="L463">
        <v>40289.69</v>
      </c>
      <c r="M463">
        <v>19767.52</v>
      </c>
      <c r="N463">
        <v>3020.86</v>
      </c>
      <c r="O463">
        <v>1251.25</v>
      </c>
      <c r="P463">
        <v>991.16</v>
      </c>
      <c r="Q463">
        <v>321.45</v>
      </c>
      <c r="R463">
        <v>1621.99</v>
      </c>
      <c r="S463">
        <v>893.55</v>
      </c>
      <c r="T463">
        <v>27867.79</v>
      </c>
      <c r="U463">
        <v>20522.169999999998</v>
      </c>
      <c r="V463">
        <v>12421.9</v>
      </c>
      <c r="W463">
        <v>11919.04</v>
      </c>
      <c r="X463">
        <v>43902.04</v>
      </c>
      <c r="Y463">
        <v>29385.06</v>
      </c>
    </row>
    <row r="464" spans="1:25" x14ac:dyDescent="0.25">
      <c r="A464" t="s">
        <v>511</v>
      </c>
      <c r="B464" s="1">
        <v>45058</v>
      </c>
      <c r="C464">
        <v>2023</v>
      </c>
      <c r="D464">
        <v>5</v>
      </c>
      <c r="E464" t="s">
        <v>468</v>
      </c>
      <c r="F464" t="s">
        <v>358</v>
      </c>
      <c r="G464" t="s">
        <v>28</v>
      </c>
      <c r="H464" t="s">
        <v>36</v>
      </c>
      <c r="I464" t="s">
        <v>45</v>
      </c>
      <c r="J464">
        <v>39</v>
      </c>
      <c r="K464">
        <v>1265.9000000000001</v>
      </c>
      <c r="L464">
        <v>49370.13</v>
      </c>
      <c r="M464">
        <v>23794.31</v>
      </c>
      <c r="N464">
        <v>5376.15</v>
      </c>
      <c r="O464">
        <v>3117.74</v>
      </c>
      <c r="P464">
        <v>1393.85</v>
      </c>
      <c r="Q464">
        <v>334.62</v>
      </c>
      <c r="R464">
        <v>2461.6</v>
      </c>
      <c r="S464">
        <v>672.05</v>
      </c>
      <c r="T464">
        <v>37150.32</v>
      </c>
      <c r="U464">
        <v>25575.82</v>
      </c>
      <c r="V464">
        <v>12219.81</v>
      </c>
      <c r="W464">
        <v>11200.33</v>
      </c>
      <c r="X464">
        <v>50569.37</v>
      </c>
      <c r="Y464">
        <v>36065.660000000003</v>
      </c>
    </row>
    <row r="465" spans="1:25" x14ac:dyDescent="0.25">
      <c r="A465" t="s">
        <v>512</v>
      </c>
      <c r="B465" s="1">
        <v>45059</v>
      </c>
      <c r="C465">
        <v>2023</v>
      </c>
      <c r="D465">
        <v>5</v>
      </c>
      <c r="E465" t="s">
        <v>468</v>
      </c>
      <c r="F465" t="s">
        <v>358</v>
      </c>
      <c r="G465" t="s">
        <v>35</v>
      </c>
      <c r="H465" t="s">
        <v>53</v>
      </c>
      <c r="I465" t="s">
        <v>65</v>
      </c>
      <c r="J465">
        <v>32</v>
      </c>
      <c r="K465">
        <v>1597.57</v>
      </c>
      <c r="L465">
        <v>51122.09</v>
      </c>
      <c r="M465">
        <v>34758</v>
      </c>
      <c r="N465">
        <v>6159.02</v>
      </c>
      <c r="O465">
        <v>3802.67</v>
      </c>
      <c r="P465">
        <v>1146.3900000000001</v>
      </c>
      <c r="Q465">
        <v>770.04</v>
      </c>
      <c r="R465">
        <v>1474.82</v>
      </c>
      <c r="S465">
        <v>986.87</v>
      </c>
      <c r="T465">
        <v>49097.81</v>
      </c>
      <c r="U465">
        <v>16364.09</v>
      </c>
      <c r="V465">
        <v>2024.28</v>
      </c>
      <c r="W465">
        <v>1950.7</v>
      </c>
      <c r="X465">
        <v>56032.13</v>
      </c>
      <c r="Y465">
        <v>49312.11</v>
      </c>
    </row>
    <row r="466" spans="1:25" x14ac:dyDescent="0.25">
      <c r="A466" t="s">
        <v>513</v>
      </c>
      <c r="B466" s="1">
        <v>45059</v>
      </c>
      <c r="C466">
        <v>2023</v>
      </c>
      <c r="D466">
        <v>5</v>
      </c>
      <c r="E466" t="s">
        <v>468</v>
      </c>
      <c r="F466" t="s">
        <v>358</v>
      </c>
      <c r="G466" t="s">
        <v>44</v>
      </c>
      <c r="H466" t="s">
        <v>36</v>
      </c>
      <c r="I466" t="s">
        <v>39</v>
      </c>
      <c r="J466">
        <v>20</v>
      </c>
      <c r="K466">
        <v>1803.88</v>
      </c>
      <c r="L466">
        <v>36077.699999999997</v>
      </c>
      <c r="M466">
        <v>20263.98</v>
      </c>
      <c r="N466">
        <v>3040.54</v>
      </c>
      <c r="O466">
        <v>2338.9899999999998</v>
      </c>
      <c r="P466">
        <v>1276.51</v>
      </c>
      <c r="Q466">
        <v>213.56</v>
      </c>
      <c r="R466">
        <v>2007.44</v>
      </c>
      <c r="S466">
        <v>692.21</v>
      </c>
      <c r="T466">
        <v>29833.22</v>
      </c>
      <c r="U466">
        <v>15813.72</v>
      </c>
      <c r="V466">
        <v>6244.48</v>
      </c>
      <c r="W466">
        <v>5739.61</v>
      </c>
      <c r="X466">
        <v>33613.26</v>
      </c>
      <c r="Y466">
        <v>32739.919999999998</v>
      </c>
    </row>
    <row r="467" spans="1:25" x14ac:dyDescent="0.25">
      <c r="A467" t="s">
        <v>514</v>
      </c>
      <c r="B467" s="1">
        <v>45059</v>
      </c>
      <c r="C467">
        <v>2023</v>
      </c>
      <c r="D467">
        <v>5</v>
      </c>
      <c r="E467" t="s">
        <v>468</v>
      </c>
      <c r="F467" t="s">
        <v>358</v>
      </c>
      <c r="G467" t="s">
        <v>35</v>
      </c>
      <c r="H467" t="s">
        <v>32</v>
      </c>
      <c r="I467" t="s">
        <v>30</v>
      </c>
      <c r="J467">
        <v>81</v>
      </c>
      <c r="K467">
        <v>965.27</v>
      </c>
      <c r="L467">
        <v>78186.710000000006</v>
      </c>
      <c r="M467">
        <v>49548.34</v>
      </c>
      <c r="N467">
        <v>8086.56</v>
      </c>
      <c r="O467">
        <v>4793.43</v>
      </c>
      <c r="P467">
        <v>2513.27</v>
      </c>
      <c r="Q467">
        <v>735.09</v>
      </c>
      <c r="R467">
        <v>3924.39</v>
      </c>
      <c r="S467">
        <v>1788.95</v>
      </c>
      <c r="T467">
        <v>71390.039999999994</v>
      </c>
      <c r="U467">
        <v>28638.37</v>
      </c>
      <c r="V467">
        <v>6796.67</v>
      </c>
      <c r="W467">
        <v>6529.3</v>
      </c>
      <c r="X467">
        <v>72015.850000000006</v>
      </c>
      <c r="Y467">
        <v>74035.600000000006</v>
      </c>
    </row>
    <row r="468" spans="1:25" x14ac:dyDescent="0.25">
      <c r="A468" t="s">
        <v>515</v>
      </c>
      <c r="B468" s="1">
        <v>45060</v>
      </c>
      <c r="C468">
        <v>2023</v>
      </c>
      <c r="D468">
        <v>5</v>
      </c>
      <c r="E468" t="s">
        <v>468</v>
      </c>
      <c r="F468" t="s">
        <v>358</v>
      </c>
      <c r="G468" t="s">
        <v>55</v>
      </c>
      <c r="H468" t="s">
        <v>53</v>
      </c>
      <c r="I468" t="s">
        <v>45</v>
      </c>
      <c r="J468">
        <v>41</v>
      </c>
      <c r="K468">
        <v>1301.32</v>
      </c>
      <c r="L468">
        <v>53354.23</v>
      </c>
      <c r="M468">
        <v>35754.03</v>
      </c>
      <c r="N468">
        <v>5119.7</v>
      </c>
      <c r="O468">
        <v>2257.2800000000002</v>
      </c>
      <c r="P468">
        <v>2392.77</v>
      </c>
      <c r="Q468">
        <v>500.72</v>
      </c>
      <c r="R468">
        <v>3178.68</v>
      </c>
      <c r="S468">
        <v>638.08000000000004</v>
      </c>
      <c r="T468">
        <v>49841.26</v>
      </c>
      <c r="U468">
        <v>17600.189999999999</v>
      </c>
      <c r="V468">
        <v>3512.96</v>
      </c>
      <c r="W468">
        <v>3163.12</v>
      </c>
      <c r="X468">
        <v>56732.01</v>
      </c>
      <c r="Y468">
        <v>47292.01</v>
      </c>
    </row>
    <row r="469" spans="1:25" x14ac:dyDescent="0.25">
      <c r="A469" t="s">
        <v>516</v>
      </c>
      <c r="B469" s="1">
        <v>45060</v>
      </c>
      <c r="C469">
        <v>2023</v>
      </c>
      <c r="D469">
        <v>5</v>
      </c>
      <c r="E469" t="s">
        <v>468</v>
      </c>
      <c r="F469" t="s">
        <v>358</v>
      </c>
      <c r="G469" t="s">
        <v>28</v>
      </c>
      <c r="H469" t="s">
        <v>53</v>
      </c>
      <c r="I469" t="s">
        <v>39</v>
      </c>
      <c r="J469">
        <v>52</v>
      </c>
      <c r="K469">
        <v>903.97</v>
      </c>
      <c r="L469">
        <v>47006.41</v>
      </c>
      <c r="M469">
        <v>30331.42</v>
      </c>
      <c r="N469">
        <v>4184.8900000000003</v>
      </c>
      <c r="O469">
        <v>2866.59</v>
      </c>
      <c r="P469">
        <v>1835.88</v>
      </c>
      <c r="Q469">
        <v>456.82</v>
      </c>
      <c r="R469">
        <v>2297.6999999999998</v>
      </c>
      <c r="S469">
        <v>869.74</v>
      </c>
      <c r="T469">
        <v>42843.040000000001</v>
      </c>
      <c r="U469">
        <v>16674.990000000002</v>
      </c>
      <c r="V469">
        <v>4163.37</v>
      </c>
      <c r="W469">
        <v>4154.96</v>
      </c>
      <c r="X469">
        <v>45796.84</v>
      </c>
      <c r="Y469">
        <v>41015.61</v>
      </c>
    </row>
    <row r="470" spans="1:25" x14ac:dyDescent="0.25">
      <c r="A470" t="s">
        <v>517</v>
      </c>
      <c r="B470" s="1">
        <v>45061</v>
      </c>
      <c r="C470">
        <v>2023</v>
      </c>
      <c r="D470">
        <v>5</v>
      </c>
      <c r="E470" t="s">
        <v>468</v>
      </c>
      <c r="F470" t="s">
        <v>358</v>
      </c>
      <c r="G470" t="s">
        <v>44</v>
      </c>
      <c r="H470" t="s">
        <v>58</v>
      </c>
      <c r="I470" t="s">
        <v>33</v>
      </c>
      <c r="J470">
        <v>61</v>
      </c>
      <c r="K470">
        <v>1176.0999999999999</v>
      </c>
      <c r="L470">
        <v>71741.929999999993</v>
      </c>
      <c r="M470">
        <v>39116.69</v>
      </c>
      <c r="N470">
        <v>5970.75</v>
      </c>
      <c r="O470">
        <v>4814.9799999999996</v>
      </c>
      <c r="P470">
        <v>3161.96</v>
      </c>
      <c r="Q470">
        <v>913.85</v>
      </c>
      <c r="R470">
        <v>2196.4699999999998</v>
      </c>
      <c r="S470">
        <v>617.95000000000005</v>
      </c>
      <c r="T470">
        <v>56792.639999999999</v>
      </c>
      <c r="U470">
        <v>32625.23</v>
      </c>
      <c r="V470">
        <v>14949.28</v>
      </c>
      <c r="W470">
        <v>14778.17</v>
      </c>
      <c r="X470">
        <v>67651.679999999993</v>
      </c>
      <c r="Y470">
        <v>54337.18</v>
      </c>
    </row>
    <row r="471" spans="1:25" x14ac:dyDescent="0.25">
      <c r="A471" t="s">
        <v>518</v>
      </c>
      <c r="B471" s="1">
        <v>45061</v>
      </c>
      <c r="C471">
        <v>2023</v>
      </c>
      <c r="D471">
        <v>5</v>
      </c>
      <c r="E471" t="s">
        <v>468</v>
      </c>
      <c r="F471" t="s">
        <v>358</v>
      </c>
      <c r="G471" t="s">
        <v>28</v>
      </c>
      <c r="H471" t="s">
        <v>29</v>
      </c>
      <c r="I471" t="s">
        <v>30</v>
      </c>
      <c r="J471">
        <v>85</v>
      </c>
      <c r="K471">
        <v>1093.28</v>
      </c>
      <c r="L471">
        <v>92928.95</v>
      </c>
      <c r="M471">
        <v>51893.64</v>
      </c>
      <c r="N471">
        <v>10832.36</v>
      </c>
      <c r="O471">
        <v>3515.5</v>
      </c>
      <c r="P471">
        <v>2217.4699999999998</v>
      </c>
      <c r="Q471">
        <v>1604.17</v>
      </c>
      <c r="R471">
        <v>3384.99</v>
      </c>
      <c r="S471">
        <v>2281.9899999999998</v>
      </c>
      <c r="T471">
        <v>75730.12</v>
      </c>
      <c r="U471">
        <v>41035.32</v>
      </c>
      <c r="V471">
        <v>17198.84</v>
      </c>
      <c r="W471">
        <v>17380.29</v>
      </c>
      <c r="X471">
        <v>100385.82</v>
      </c>
      <c r="Y471">
        <v>74681.91</v>
      </c>
    </row>
    <row r="472" spans="1:25" x14ac:dyDescent="0.25">
      <c r="A472" t="s">
        <v>519</v>
      </c>
      <c r="B472" s="1">
        <v>45062</v>
      </c>
      <c r="C472">
        <v>2023</v>
      </c>
      <c r="D472">
        <v>5</v>
      </c>
      <c r="E472" t="s">
        <v>468</v>
      </c>
      <c r="F472" t="s">
        <v>358</v>
      </c>
      <c r="G472" t="s">
        <v>44</v>
      </c>
      <c r="H472" t="s">
        <v>32</v>
      </c>
      <c r="I472" t="s">
        <v>45</v>
      </c>
      <c r="J472">
        <v>49</v>
      </c>
      <c r="K472">
        <v>1243.6600000000001</v>
      </c>
      <c r="L472">
        <v>60939.58</v>
      </c>
      <c r="M472">
        <v>41178.44</v>
      </c>
      <c r="N472">
        <v>5943.83</v>
      </c>
      <c r="O472">
        <v>3913.1</v>
      </c>
      <c r="P472">
        <v>1039.31</v>
      </c>
      <c r="Q472">
        <v>624.24</v>
      </c>
      <c r="R472">
        <v>2826.39</v>
      </c>
      <c r="S472">
        <v>1320.75</v>
      </c>
      <c r="T472">
        <v>56846.05</v>
      </c>
      <c r="U472">
        <v>19761.14</v>
      </c>
      <c r="V472">
        <v>4093.53</v>
      </c>
      <c r="W472">
        <v>4078.84</v>
      </c>
      <c r="X472">
        <v>57924.63</v>
      </c>
      <c r="Y472">
        <v>52886.85</v>
      </c>
    </row>
    <row r="473" spans="1:25" x14ac:dyDescent="0.25">
      <c r="A473" t="s">
        <v>520</v>
      </c>
      <c r="B473" s="1">
        <v>45063</v>
      </c>
      <c r="C473">
        <v>2023</v>
      </c>
      <c r="D473">
        <v>5</v>
      </c>
      <c r="E473" t="s">
        <v>468</v>
      </c>
      <c r="F473" t="s">
        <v>358</v>
      </c>
      <c r="G473" t="s">
        <v>28</v>
      </c>
      <c r="H473" t="s">
        <v>36</v>
      </c>
      <c r="I473" t="s">
        <v>30</v>
      </c>
      <c r="J473">
        <v>69</v>
      </c>
      <c r="K473">
        <v>1381.57</v>
      </c>
      <c r="L473">
        <v>95328.54</v>
      </c>
      <c r="M473">
        <v>59430.67</v>
      </c>
      <c r="N473">
        <v>10745.27</v>
      </c>
      <c r="O473">
        <v>3202.91</v>
      </c>
      <c r="P473">
        <v>3146.67</v>
      </c>
      <c r="Q473">
        <v>540.61</v>
      </c>
      <c r="R473">
        <v>3322.15</v>
      </c>
      <c r="S473">
        <v>1854.53</v>
      </c>
      <c r="T473">
        <v>82242.8</v>
      </c>
      <c r="U473">
        <v>35897.870000000003</v>
      </c>
      <c r="V473">
        <v>13085.74</v>
      </c>
      <c r="W473">
        <v>12617.05</v>
      </c>
      <c r="X473">
        <v>98623.26</v>
      </c>
      <c r="Y473">
        <v>79206.67</v>
      </c>
    </row>
    <row r="474" spans="1:25" x14ac:dyDescent="0.25">
      <c r="A474" t="s">
        <v>521</v>
      </c>
      <c r="B474" s="1">
        <v>45063</v>
      </c>
      <c r="C474">
        <v>2023</v>
      </c>
      <c r="D474">
        <v>5</v>
      </c>
      <c r="E474" t="s">
        <v>468</v>
      </c>
      <c r="F474" t="s">
        <v>358</v>
      </c>
      <c r="G474" t="s">
        <v>55</v>
      </c>
      <c r="H474" t="s">
        <v>32</v>
      </c>
      <c r="I474" t="s">
        <v>45</v>
      </c>
      <c r="J474">
        <v>68</v>
      </c>
      <c r="K474">
        <v>866.24</v>
      </c>
      <c r="L474">
        <v>58904.19</v>
      </c>
      <c r="M474">
        <v>34983.879999999997</v>
      </c>
      <c r="N474">
        <v>7355.2</v>
      </c>
      <c r="O474">
        <v>2797.03</v>
      </c>
      <c r="P474">
        <v>2048.36</v>
      </c>
      <c r="Q474">
        <v>493.18</v>
      </c>
      <c r="R474">
        <v>3228.75</v>
      </c>
      <c r="S474">
        <v>647.61</v>
      </c>
      <c r="T474">
        <v>51554.01</v>
      </c>
      <c r="U474">
        <v>23920.31</v>
      </c>
      <c r="V474">
        <v>7350.18</v>
      </c>
      <c r="W474">
        <v>7409.21</v>
      </c>
      <c r="X474">
        <v>59446.41</v>
      </c>
      <c r="Y474">
        <v>49353.760000000002</v>
      </c>
    </row>
    <row r="475" spans="1:25" x14ac:dyDescent="0.25">
      <c r="A475" t="s">
        <v>522</v>
      </c>
      <c r="B475" s="1">
        <v>45063</v>
      </c>
      <c r="C475">
        <v>2023</v>
      </c>
      <c r="D475">
        <v>5</v>
      </c>
      <c r="E475" t="s">
        <v>468</v>
      </c>
      <c r="F475" t="s">
        <v>358</v>
      </c>
      <c r="G475" t="s">
        <v>44</v>
      </c>
      <c r="H475" t="s">
        <v>29</v>
      </c>
      <c r="I475" t="s">
        <v>45</v>
      </c>
      <c r="J475">
        <v>33</v>
      </c>
      <c r="K475">
        <v>1326.79</v>
      </c>
      <c r="L475">
        <v>43784.1</v>
      </c>
      <c r="M475">
        <v>29724.37</v>
      </c>
      <c r="N475">
        <v>5146.8100000000004</v>
      </c>
      <c r="O475">
        <v>2391.35</v>
      </c>
      <c r="P475">
        <v>1059.57</v>
      </c>
      <c r="Q475">
        <v>256.99</v>
      </c>
      <c r="R475">
        <v>1549.7</v>
      </c>
      <c r="S475">
        <v>811.25</v>
      </c>
      <c r="T475">
        <v>40940.050000000003</v>
      </c>
      <c r="U475">
        <v>14059.72</v>
      </c>
      <c r="V475">
        <v>2844.04</v>
      </c>
      <c r="W475">
        <v>2610.15</v>
      </c>
      <c r="X475">
        <v>44923.91</v>
      </c>
      <c r="Y475">
        <v>40468.980000000003</v>
      </c>
    </row>
    <row r="476" spans="1:25" x14ac:dyDescent="0.25">
      <c r="A476" t="s">
        <v>523</v>
      </c>
      <c r="B476" s="1">
        <v>45063</v>
      </c>
      <c r="C476">
        <v>2023</v>
      </c>
      <c r="D476">
        <v>5</v>
      </c>
      <c r="E476" t="s">
        <v>468</v>
      </c>
      <c r="F476" t="s">
        <v>358</v>
      </c>
      <c r="G476" t="s">
        <v>55</v>
      </c>
      <c r="H476" t="s">
        <v>32</v>
      </c>
      <c r="I476" t="s">
        <v>30</v>
      </c>
      <c r="J476">
        <v>79</v>
      </c>
      <c r="K476">
        <v>1593.23</v>
      </c>
      <c r="L476">
        <v>125865.42</v>
      </c>
      <c r="M476">
        <v>61968.37</v>
      </c>
      <c r="N476">
        <v>11724.79</v>
      </c>
      <c r="O476">
        <v>5596.12</v>
      </c>
      <c r="P476">
        <v>2584.1</v>
      </c>
      <c r="Q476">
        <v>1125.3599999999999</v>
      </c>
      <c r="R476">
        <v>6286.02</v>
      </c>
      <c r="S476">
        <v>2913.06</v>
      </c>
      <c r="T476">
        <v>92197.82</v>
      </c>
      <c r="U476">
        <v>63897.06</v>
      </c>
      <c r="V476">
        <v>33667.599999999999</v>
      </c>
      <c r="W476">
        <v>31130.05</v>
      </c>
      <c r="X476">
        <v>128322.37</v>
      </c>
      <c r="Y476">
        <v>96747.47</v>
      </c>
    </row>
    <row r="477" spans="1:25" x14ac:dyDescent="0.25">
      <c r="A477" t="s">
        <v>524</v>
      </c>
      <c r="B477" s="1">
        <v>45063</v>
      </c>
      <c r="C477">
        <v>2023</v>
      </c>
      <c r="D477">
        <v>5</v>
      </c>
      <c r="E477" t="s">
        <v>468</v>
      </c>
      <c r="F477" t="s">
        <v>358</v>
      </c>
      <c r="G477" t="s">
        <v>44</v>
      </c>
      <c r="H477" t="s">
        <v>36</v>
      </c>
      <c r="I477" t="s">
        <v>65</v>
      </c>
      <c r="J477">
        <v>71</v>
      </c>
      <c r="K477">
        <v>875.18</v>
      </c>
      <c r="L477">
        <v>62137.53</v>
      </c>
      <c r="M477">
        <v>39428.589999999997</v>
      </c>
      <c r="N477">
        <v>6284.51</v>
      </c>
      <c r="O477">
        <v>3357.25</v>
      </c>
      <c r="P477">
        <v>2448.77</v>
      </c>
      <c r="Q477">
        <v>815.22</v>
      </c>
      <c r="R477">
        <v>3875.05</v>
      </c>
      <c r="S477">
        <v>944.98</v>
      </c>
      <c r="T477">
        <v>57154.38</v>
      </c>
      <c r="U477">
        <v>22708.94</v>
      </c>
      <c r="V477">
        <v>4983.1499999999996</v>
      </c>
      <c r="W477">
        <v>4792.1099999999997</v>
      </c>
      <c r="X477">
        <v>63758.74</v>
      </c>
      <c r="Y477">
        <v>58195.48</v>
      </c>
    </row>
    <row r="478" spans="1:25" x14ac:dyDescent="0.25">
      <c r="A478" t="s">
        <v>525</v>
      </c>
      <c r="B478" s="1">
        <v>45063</v>
      </c>
      <c r="C478">
        <v>2023</v>
      </c>
      <c r="D478">
        <v>5</v>
      </c>
      <c r="E478" t="s">
        <v>468</v>
      </c>
      <c r="F478" t="s">
        <v>358</v>
      </c>
      <c r="G478" t="s">
        <v>35</v>
      </c>
      <c r="H478" t="s">
        <v>32</v>
      </c>
      <c r="I478" t="s">
        <v>45</v>
      </c>
      <c r="J478">
        <v>36</v>
      </c>
      <c r="K478">
        <v>1607.56</v>
      </c>
      <c r="L478">
        <v>57872.18</v>
      </c>
      <c r="M478">
        <v>34812.53</v>
      </c>
      <c r="N478">
        <v>5066.32</v>
      </c>
      <c r="O478">
        <v>3694.79</v>
      </c>
      <c r="P478">
        <v>2046.53</v>
      </c>
      <c r="Q478">
        <v>622.48</v>
      </c>
      <c r="R478">
        <v>2732.7</v>
      </c>
      <c r="S478">
        <v>791.26</v>
      </c>
      <c r="T478">
        <v>49766.6</v>
      </c>
      <c r="U478">
        <v>23059.66</v>
      </c>
      <c r="V478">
        <v>8105.58</v>
      </c>
      <c r="W478">
        <v>7765.33</v>
      </c>
      <c r="X478">
        <v>61818.99</v>
      </c>
      <c r="Y478">
        <v>48437.87</v>
      </c>
    </row>
    <row r="479" spans="1:25" x14ac:dyDescent="0.25">
      <c r="A479" t="s">
        <v>526</v>
      </c>
      <c r="B479" s="1">
        <v>45063</v>
      </c>
      <c r="C479">
        <v>2023</v>
      </c>
      <c r="D479">
        <v>5</v>
      </c>
      <c r="E479" t="s">
        <v>468</v>
      </c>
      <c r="F479" t="s">
        <v>358</v>
      </c>
      <c r="G479" t="s">
        <v>44</v>
      </c>
      <c r="H479" t="s">
        <v>36</v>
      </c>
      <c r="I479" t="s">
        <v>37</v>
      </c>
      <c r="J479">
        <v>68</v>
      </c>
      <c r="K479">
        <v>916.17</v>
      </c>
      <c r="L479">
        <v>62299.5</v>
      </c>
      <c r="M479">
        <v>42271.77</v>
      </c>
      <c r="N479">
        <v>5842.26</v>
      </c>
      <c r="O479">
        <v>3101.54</v>
      </c>
      <c r="P479">
        <v>1611.53</v>
      </c>
      <c r="Q479">
        <v>805.93</v>
      </c>
      <c r="R479">
        <v>3958.07</v>
      </c>
      <c r="S479">
        <v>1533.2</v>
      </c>
      <c r="T479">
        <v>59124.3</v>
      </c>
      <c r="U479">
        <v>20027.72</v>
      </c>
      <c r="V479">
        <v>3175.19</v>
      </c>
      <c r="W479">
        <v>3204.06</v>
      </c>
      <c r="X479">
        <v>66487.34</v>
      </c>
      <c r="Y479">
        <v>55765.279999999999</v>
      </c>
    </row>
    <row r="480" spans="1:25" x14ac:dyDescent="0.25">
      <c r="A480" t="s">
        <v>527</v>
      </c>
      <c r="B480" s="1">
        <v>45064</v>
      </c>
      <c r="C480">
        <v>2023</v>
      </c>
      <c r="D480">
        <v>5</v>
      </c>
      <c r="E480" t="s">
        <v>468</v>
      </c>
      <c r="F480" t="s">
        <v>358</v>
      </c>
      <c r="G480" t="s">
        <v>44</v>
      </c>
      <c r="H480" t="s">
        <v>53</v>
      </c>
      <c r="I480" t="s">
        <v>50</v>
      </c>
      <c r="J480">
        <v>29</v>
      </c>
      <c r="K480">
        <v>1384.8</v>
      </c>
      <c r="L480">
        <v>40159.24</v>
      </c>
      <c r="M480">
        <v>19811.84</v>
      </c>
      <c r="N480">
        <v>5148.2700000000004</v>
      </c>
      <c r="O480">
        <v>1967.47</v>
      </c>
      <c r="P480">
        <v>846.48</v>
      </c>
      <c r="Q480">
        <v>271.55</v>
      </c>
      <c r="R480">
        <v>2083.81</v>
      </c>
      <c r="S480">
        <v>419.99</v>
      </c>
      <c r="T480">
        <v>30549.4</v>
      </c>
      <c r="U480">
        <v>20347.400000000001</v>
      </c>
      <c r="V480">
        <v>9609.84</v>
      </c>
      <c r="W480">
        <v>9087.5400000000009</v>
      </c>
      <c r="X480">
        <v>39013.07</v>
      </c>
      <c r="Y480">
        <v>32500.28</v>
      </c>
    </row>
    <row r="481" spans="1:25" x14ac:dyDescent="0.25">
      <c r="A481" t="s">
        <v>528</v>
      </c>
      <c r="B481" s="1">
        <v>45064</v>
      </c>
      <c r="C481">
        <v>2023</v>
      </c>
      <c r="D481">
        <v>5</v>
      </c>
      <c r="E481" t="s">
        <v>468</v>
      </c>
      <c r="F481" t="s">
        <v>358</v>
      </c>
      <c r="G481" t="s">
        <v>55</v>
      </c>
      <c r="H481" t="s">
        <v>32</v>
      </c>
      <c r="I481" t="s">
        <v>37</v>
      </c>
      <c r="J481">
        <v>124</v>
      </c>
      <c r="K481">
        <v>918.17</v>
      </c>
      <c r="L481">
        <v>113853.01</v>
      </c>
      <c r="M481">
        <v>62826.3</v>
      </c>
      <c r="N481">
        <v>8240.6200000000008</v>
      </c>
      <c r="O481">
        <v>5158.28</v>
      </c>
      <c r="P481">
        <v>2954.11</v>
      </c>
      <c r="Q481">
        <v>1579.03</v>
      </c>
      <c r="R481">
        <v>5163.46</v>
      </c>
      <c r="S481">
        <v>2795.19</v>
      </c>
      <c r="T481">
        <v>88716.98</v>
      </c>
      <c r="U481">
        <v>51026.71</v>
      </c>
      <c r="V481">
        <v>25136.03</v>
      </c>
      <c r="W481">
        <v>23375.82</v>
      </c>
      <c r="X481">
        <v>119425.61</v>
      </c>
      <c r="Y481">
        <v>96482.74</v>
      </c>
    </row>
    <row r="482" spans="1:25" x14ac:dyDescent="0.25">
      <c r="A482" t="s">
        <v>529</v>
      </c>
      <c r="B482" s="1">
        <v>45064</v>
      </c>
      <c r="C482">
        <v>2023</v>
      </c>
      <c r="D482">
        <v>5</v>
      </c>
      <c r="E482" t="s">
        <v>468</v>
      </c>
      <c r="F482" t="s">
        <v>358</v>
      </c>
      <c r="G482" t="s">
        <v>44</v>
      </c>
      <c r="H482" t="s">
        <v>36</v>
      </c>
      <c r="I482" t="s">
        <v>30</v>
      </c>
      <c r="J482">
        <v>57</v>
      </c>
      <c r="K482">
        <v>1780.29</v>
      </c>
      <c r="L482">
        <v>101476.55</v>
      </c>
      <c r="M482">
        <v>61471.93</v>
      </c>
      <c r="N482">
        <v>7748.77</v>
      </c>
      <c r="O482">
        <v>6572.29</v>
      </c>
      <c r="P482">
        <v>3559.44</v>
      </c>
      <c r="Q482">
        <v>1364.03</v>
      </c>
      <c r="R482">
        <v>5962.37</v>
      </c>
      <c r="S482">
        <v>1921.92</v>
      </c>
      <c r="T482">
        <v>88600.74</v>
      </c>
      <c r="U482">
        <v>40004.620000000003</v>
      </c>
      <c r="V482">
        <v>12875.81</v>
      </c>
      <c r="W482">
        <v>12059.41</v>
      </c>
      <c r="X482">
        <v>104817.39</v>
      </c>
      <c r="Y482">
        <v>84786.75</v>
      </c>
    </row>
    <row r="483" spans="1:25" x14ac:dyDescent="0.25">
      <c r="A483" t="s">
        <v>530</v>
      </c>
      <c r="B483" s="1">
        <v>45064</v>
      </c>
      <c r="C483">
        <v>2023</v>
      </c>
      <c r="D483">
        <v>5</v>
      </c>
      <c r="E483" t="s">
        <v>468</v>
      </c>
      <c r="F483" t="s">
        <v>358</v>
      </c>
      <c r="G483" t="s">
        <v>55</v>
      </c>
      <c r="H483" t="s">
        <v>29</v>
      </c>
      <c r="I483" t="s">
        <v>30</v>
      </c>
      <c r="J483">
        <v>54</v>
      </c>
      <c r="K483">
        <v>1736.63</v>
      </c>
      <c r="L483">
        <v>93778.15</v>
      </c>
      <c r="M483">
        <v>60647.11</v>
      </c>
      <c r="N483">
        <v>9366.3700000000008</v>
      </c>
      <c r="O483">
        <v>3118.04</v>
      </c>
      <c r="P483">
        <v>2030.97</v>
      </c>
      <c r="Q483">
        <v>1134.5899999999999</v>
      </c>
      <c r="R483">
        <v>2714.81</v>
      </c>
      <c r="S483">
        <v>1654.04</v>
      </c>
      <c r="T483">
        <v>80665.94</v>
      </c>
      <c r="U483">
        <v>33131.040000000001</v>
      </c>
      <c r="V483">
        <v>13112.21</v>
      </c>
      <c r="W483">
        <v>12580.64</v>
      </c>
      <c r="X483">
        <v>92784.08</v>
      </c>
      <c r="Y483">
        <v>77778.009999999995</v>
      </c>
    </row>
    <row r="484" spans="1:25" x14ac:dyDescent="0.25">
      <c r="A484" t="s">
        <v>531</v>
      </c>
      <c r="B484" s="1">
        <v>45065</v>
      </c>
      <c r="C484">
        <v>2023</v>
      </c>
      <c r="D484">
        <v>5</v>
      </c>
      <c r="E484" t="s">
        <v>468</v>
      </c>
      <c r="F484" t="s">
        <v>358</v>
      </c>
      <c r="G484" t="s">
        <v>55</v>
      </c>
      <c r="H484" t="s">
        <v>36</v>
      </c>
      <c r="I484" t="s">
        <v>39</v>
      </c>
      <c r="J484">
        <v>30</v>
      </c>
      <c r="K484">
        <v>1449.01</v>
      </c>
      <c r="L484">
        <v>43470.18</v>
      </c>
      <c r="M484">
        <v>24243.41</v>
      </c>
      <c r="N484">
        <v>4061.85</v>
      </c>
      <c r="O484">
        <v>1322.7</v>
      </c>
      <c r="P484">
        <v>1680.32</v>
      </c>
      <c r="Q484">
        <v>672.18</v>
      </c>
      <c r="R484">
        <v>2200.29</v>
      </c>
      <c r="S484">
        <v>921.28</v>
      </c>
      <c r="T484">
        <v>35102.04</v>
      </c>
      <c r="U484">
        <v>19226.77</v>
      </c>
      <c r="V484">
        <v>8368.14</v>
      </c>
      <c r="W484">
        <v>8062.99</v>
      </c>
      <c r="X484">
        <v>45804.58</v>
      </c>
      <c r="Y484">
        <v>35086.559999999998</v>
      </c>
    </row>
    <row r="485" spans="1:25" x14ac:dyDescent="0.25">
      <c r="A485" t="s">
        <v>532</v>
      </c>
      <c r="B485" s="1">
        <v>45065</v>
      </c>
      <c r="C485">
        <v>2023</v>
      </c>
      <c r="D485">
        <v>5</v>
      </c>
      <c r="E485" t="s">
        <v>468</v>
      </c>
      <c r="F485" t="s">
        <v>358</v>
      </c>
      <c r="G485" t="s">
        <v>28</v>
      </c>
      <c r="H485" t="s">
        <v>32</v>
      </c>
      <c r="I485" t="s">
        <v>30</v>
      </c>
      <c r="J485">
        <v>124</v>
      </c>
      <c r="K485">
        <v>1016.35</v>
      </c>
      <c r="L485">
        <v>126027.22</v>
      </c>
      <c r="M485">
        <v>72654.350000000006</v>
      </c>
      <c r="N485">
        <v>12021.78</v>
      </c>
      <c r="O485">
        <v>5875.44</v>
      </c>
      <c r="P485">
        <v>5172.25</v>
      </c>
      <c r="Q485">
        <v>1676.77</v>
      </c>
      <c r="R485">
        <v>4656.8500000000004</v>
      </c>
      <c r="S485">
        <v>3135.58</v>
      </c>
      <c r="T485">
        <v>105193.02</v>
      </c>
      <c r="U485">
        <v>53372.88</v>
      </c>
      <c r="V485">
        <v>20834.21</v>
      </c>
      <c r="W485">
        <v>20756.759999999998</v>
      </c>
      <c r="X485">
        <v>132184.94</v>
      </c>
      <c r="Y485">
        <v>112386.8</v>
      </c>
    </row>
    <row r="486" spans="1:25" x14ac:dyDescent="0.25">
      <c r="A486" t="s">
        <v>533</v>
      </c>
      <c r="B486" s="1">
        <v>45065</v>
      </c>
      <c r="C486">
        <v>2023</v>
      </c>
      <c r="D486">
        <v>5</v>
      </c>
      <c r="E486" t="s">
        <v>468</v>
      </c>
      <c r="F486" t="s">
        <v>358</v>
      </c>
      <c r="G486" t="s">
        <v>28</v>
      </c>
      <c r="H486" t="s">
        <v>36</v>
      </c>
      <c r="I486" t="s">
        <v>45</v>
      </c>
      <c r="J486">
        <v>41</v>
      </c>
      <c r="K486">
        <v>1091.17</v>
      </c>
      <c r="L486">
        <v>44737.9</v>
      </c>
      <c r="M486">
        <v>30253.74</v>
      </c>
      <c r="N486">
        <v>5619.16</v>
      </c>
      <c r="O486">
        <v>2058.96</v>
      </c>
      <c r="P486">
        <v>1627.55</v>
      </c>
      <c r="Q486">
        <v>398.89</v>
      </c>
      <c r="R486">
        <v>1950.23</v>
      </c>
      <c r="S486">
        <v>803.1</v>
      </c>
      <c r="T486">
        <v>42711.63</v>
      </c>
      <c r="U486">
        <v>14484.17</v>
      </c>
      <c r="V486">
        <v>2026.27</v>
      </c>
      <c r="W486">
        <v>2033.59</v>
      </c>
      <c r="X486">
        <v>47538.36</v>
      </c>
      <c r="Y486">
        <v>45504.39</v>
      </c>
    </row>
    <row r="487" spans="1:25" x14ac:dyDescent="0.25">
      <c r="A487" t="s">
        <v>534</v>
      </c>
      <c r="B487" s="1">
        <v>45065</v>
      </c>
      <c r="C487">
        <v>2023</v>
      </c>
      <c r="D487">
        <v>5</v>
      </c>
      <c r="E487" t="s">
        <v>468</v>
      </c>
      <c r="F487" t="s">
        <v>358</v>
      </c>
      <c r="G487" t="s">
        <v>35</v>
      </c>
      <c r="H487" t="s">
        <v>36</v>
      </c>
      <c r="I487" t="s">
        <v>33</v>
      </c>
      <c r="J487">
        <v>50</v>
      </c>
      <c r="K487">
        <v>1593.29</v>
      </c>
      <c r="L487">
        <v>79664.42</v>
      </c>
      <c r="M487">
        <v>47470.17</v>
      </c>
      <c r="N487">
        <v>6193.17</v>
      </c>
      <c r="O487">
        <v>5251.1</v>
      </c>
      <c r="P487">
        <v>2620.13</v>
      </c>
      <c r="Q487">
        <v>840.21</v>
      </c>
      <c r="R487">
        <v>2012.53</v>
      </c>
      <c r="S487">
        <v>743.97</v>
      </c>
      <c r="T487">
        <v>65131.27</v>
      </c>
      <c r="U487">
        <v>32194.26</v>
      </c>
      <c r="V487">
        <v>14533.15</v>
      </c>
      <c r="W487">
        <v>14611.26</v>
      </c>
      <c r="X487">
        <v>85983.93</v>
      </c>
      <c r="Y487">
        <v>69067.850000000006</v>
      </c>
    </row>
    <row r="488" spans="1:25" x14ac:dyDescent="0.25">
      <c r="A488" t="s">
        <v>535</v>
      </c>
      <c r="B488" s="1">
        <v>45065</v>
      </c>
      <c r="C488">
        <v>2023</v>
      </c>
      <c r="D488">
        <v>5</v>
      </c>
      <c r="E488" t="s">
        <v>468</v>
      </c>
      <c r="F488" t="s">
        <v>358</v>
      </c>
      <c r="G488" t="s">
        <v>28</v>
      </c>
      <c r="H488" t="s">
        <v>36</v>
      </c>
      <c r="I488" t="s">
        <v>37</v>
      </c>
      <c r="J488">
        <v>93</v>
      </c>
      <c r="K488">
        <v>944.37</v>
      </c>
      <c r="L488">
        <v>87826.41</v>
      </c>
      <c r="M488">
        <v>58637.22</v>
      </c>
      <c r="N488">
        <v>7119.2</v>
      </c>
      <c r="O488">
        <v>2686.6</v>
      </c>
      <c r="P488">
        <v>2436.23</v>
      </c>
      <c r="Q488">
        <v>888.1</v>
      </c>
      <c r="R488">
        <v>2858.13</v>
      </c>
      <c r="S488">
        <v>1127.72</v>
      </c>
      <c r="T488">
        <v>75753.210000000006</v>
      </c>
      <c r="U488">
        <v>29189.19</v>
      </c>
      <c r="V488">
        <v>12073.2</v>
      </c>
      <c r="W488">
        <v>11243.75</v>
      </c>
      <c r="X488">
        <v>96055.35</v>
      </c>
      <c r="Y488">
        <v>71890.28</v>
      </c>
    </row>
    <row r="489" spans="1:25" x14ac:dyDescent="0.25">
      <c r="A489" t="s">
        <v>536</v>
      </c>
      <c r="B489" s="1">
        <v>45065</v>
      </c>
      <c r="C489">
        <v>2023</v>
      </c>
      <c r="D489">
        <v>5</v>
      </c>
      <c r="E489" t="s">
        <v>468</v>
      </c>
      <c r="F489" t="s">
        <v>358</v>
      </c>
      <c r="G489" t="s">
        <v>55</v>
      </c>
      <c r="H489" t="s">
        <v>32</v>
      </c>
      <c r="I489" t="s">
        <v>37</v>
      </c>
      <c r="J489">
        <v>125</v>
      </c>
      <c r="K489">
        <v>889.51</v>
      </c>
      <c r="L489">
        <v>111188.75</v>
      </c>
      <c r="M489">
        <v>59755.74</v>
      </c>
      <c r="N489">
        <v>9198.3700000000008</v>
      </c>
      <c r="O489">
        <v>4103.3</v>
      </c>
      <c r="P489">
        <v>2584.9299999999998</v>
      </c>
      <c r="Q489">
        <v>689.04</v>
      </c>
      <c r="R489">
        <v>7120.15</v>
      </c>
      <c r="S489">
        <v>1753.97</v>
      </c>
      <c r="T489">
        <v>85205.5</v>
      </c>
      <c r="U489">
        <v>51433.01</v>
      </c>
      <c r="V489">
        <v>25983.25</v>
      </c>
      <c r="W489">
        <v>25453.87</v>
      </c>
      <c r="X489">
        <v>117400.63</v>
      </c>
      <c r="Y489">
        <v>82922.45</v>
      </c>
    </row>
    <row r="490" spans="1:25" x14ac:dyDescent="0.25">
      <c r="A490" t="s">
        <v>537</v>
      </c>
      <c r="B490" s="1">
        <v>45066</v>
      </c>
      <c r="C490">
        <v>2023</v>
      </c>
      <c r="D490">
        <v>5</v>
      </c>
      <c r="E490" t="s">
        <v>468</v>
      </c>
      <c r="F490" t="s">
        <v>358</v>
      </c>
      <c r="G490" t="s">
        <v>35</v>
      </c>
      <c r="H490" t="s">
        <v>29</v>
      </c>
      <c r="I490" t="s">
        <v>33</v>
      </c>
      <c r="J490">
        <v>41</v>
      </c>
      <c r="K490">
        <v>1493</v>
      </c>
      <c r="L490">
        <v>61212.88</v>
      </c>
      <c r="M490">
        <v>41101.82</v>
      </c>
      <c r="N490">
        <v>6552.01</v>
      </c>
      <c r="O490">
        <v>3196.44</v>
      </c>
      <c r="P490">
        <v>1994.03</v>
      </c>
      <c r="Q490">
        <v>548.20000000000005</v>
      </c>
      <c r="R490">
        <v>2344.66</v>
      </c>
      <c r="S490">
        <v>1230.76</v>
      </c>
      <c r="T490">
        <v>56967.92</v>
      </c>
      <c r="U490">
        <v>20111.060000000001</v>
      </c>
      <c r="V490">
        <v>4244.96</v>
      </c>
      <c r="W490">
        <v>3761.14</v>
      </c>
      <c r="X490">
        <v>68100.3</v>
      </c>
      <c r="Y490">
        <v>57818.86</v>
      </c>
    </row>
    <row r="491" spans="1:25" x14ac:dyDescent="0.25">
      <c r="A491" t="s">
        <v>538</v>
      </c>
      <c r="B491" s="1">
        <v>45066</v>
      </c>
      <c r="C491">
        <v>2023</v>
      </c>
      <c r="D491">
        <v>5</v>
      </c>
      <c r="E491" t="s">
        <v>468</v>
      </c>
      <c r="F491" t="s">
        <v>358</v>
      </c>
      <c r="G491" t="s">
        <v>44</v>
      </c>
      <c r="H491" t="s">
        <v>32</v>
      </c>
      <c r="I491" t="s">
        <v>50</v>
      </c>
      <c r="J491">
        <v>38</v>
      </c>
      <c r="K491">
        <v>1207.3</v>
      </c>
      <c r="L491">
        <v>45877.34</v>
      </c>
      <c r="M491">
        <v>23421.09</v>
      </c>
      <c r="N491">
        <v>4080.43</v>
      </c>
      <c r="O491">
        <v>2093.54</v>
      </c>
      <c r="P491">
        <v>1566.32</v>
      </c>
      <c r="Q491">
        <v>709.43</v>
      </c>
      <c r="R491">
        <v>2667.65</v>
      </c>
      <c r="S491">
        <v>754.8</v>
      </c>
      <c r="T491">
        <v>35293.269999999997</v>
      </c>
      <c r="U491">
        <v>22456.25</v>
      </c>
      <c r="V491">
        <v>10584.08</v>
      </c>
      <c r="W491">
        <v>9443.59</v>
      </c>
      <c r="X491">
        <v>50085.11</v>
      </c>
      <c r="Y491">
        <v>35984.5</v>
      </c>
    </row>
    <row r="492" spans="1:25" x14ac:dyDescent="0.25">
      <c r="A492" t="s">
        <v>539</v>
      </c>
      <c r="B492" s="1">
        <v>45066</v>
      </c>
      <c r="C492">
        <v>2023</v>
      </c>
      <c r="D492">
        <v>5</v>
      </c>
      <c r="E492" t="s">
        <v>468</v>
      </c>
      <c r="F492" t="s">
        <v>358</v>
      </c>
      <c r="G492" t="s">
        <v>55</v>
      </c>
      <c r="H492" t="s">
        <v>58</v>
      </c>
      <c r="I492" t="s">
        <v>56</v>
      </c>
      <c r="J492">
        <v>20</v>
      </c>
      <c r="K492">
        <v>1514.33</v>
      </c>
      <c r="L492">
        <v>30286.58</v>
      </c>
      <c r="M492">
        <v>19979.84</v>
      </c>
      <c r="N492">
        <v>3232.11</v>
      </c>
      <c r="O492">
        <v>1739.29</v>
      </c>
      <c r="P492">
        <v>593.21</v>
      </c>
      <c r="Q492">
        <v>361.47</v>
      </c>
      <c r="R492">
        <v>1167.94</v>
      </c>
      <c r="S492">
        <v>584.63</v>
      </c>
      <c r="T492">
        <v>27658.49</v>
      </c>
      <c r="U492">
        <v>10306.75</v>
      </c>
      <c r="V492">
        <v>2628.1</v>
      </c>
      <c r="W492">
        <v>2478.13</v>
      </c>
      <c r="X492">
        <v>28463.02</v>
      </c>
      <c r="Y492">
        <v>26747.99</v>
      </c>
    </row>
    <row r="493" spans="1:25" x14ac:dyDescent="0.25">
      <c r="A493" t="s">
        <v>540</v>
      </c>
      <c r="B493" s="1">
        <v>45066</v>
      </c>
      <c r="C493">
        <v>2023</v>
      </c>
      <c r="D493">
        <v>5</v>
      </c>
      <c r="E493" t="s">
        <v>468</v>
      </c>
      <c r="F493" t="s">
        <v>358</v>
      </c>
      <c r="G493" t="s">
        <v>55</v>
      </c>
      <c r="H493" t="s">
        <v>32</v>
      </c>
      <c r="I493" t="s">
        <v>45</v>
      </c>
      <c r="J493">
        <v>40</v>
      </c>
      <c r="K493">
        <v>1128.22</v>
      </c>
      <c r="L493">
        <v>45128.61</v>
      </c>
      <c r="M493">
        <v>22853.91</v>
      </c>
      <c r="N493">
        <v>3627.58</v>
      </c>
      <c r="O493">
        <v>1459.45</v>
      </c>
      <c r="P493">
        <v>1969.88</v>
      </c>
      <c r="Q493">
        <v>569.04999999999995</v>
      </c>
      <c r="R493">
        <v>1680.86</v>
      </c>
      <c r="S493">
        <v>408.32</v>
      </c>
      <c r="T493">
        <v>32569.06</v>
      </c>
      <c r="U493">
        <v>22274.69</v>
      </c>
      <c r="V493">
        <v>12559.55</v>
      </c>
      <c r="W493">
        <v>12764.27</v>
      </c>
      <c r="X493">
        <v>44630.49</v>
      </c>
      <c r="Y493">
        <v>35233.97</v>
      </c>
    </row>
    <row r="494" spans="1:25" x14ac:dyDescent="0.25">
      <c r="A494" t="s">
        <v>541</v>
      </c>
      <c r="B494" s="1">
        <v>45066</v>
      </c>
      <c r="C494">
        <v>2023</v>
      </c>
      <c r="D494">
        <v>5</v>
      </c>
      <c r="E494" t="s">
        <v>468</v>
      </c>
      <c r="F494" t="s">
        <v>358</v>
      </c>
      <c r="G494" t="s">
        <v>35</v>
      </c>
      <c r="H494" t="s">
        <v>29</v>
      </c>
      <c r="I494" t="s">
        <v>50</v>
      </c>
      <c r="J494">
        <v>25</v>
      </c>
      <c r="K494">
        <v>1512.7</v>
      </c>
      <c r="L494">
        <v>37817.43</v>
      </c>
      <c r="M494">
        <v>22277.97</v>
      </c>
      <c r="N494">
        <v>3455.17</v>
      </c>
      <c r="O494">
        <v>1668.48</v>
      </c>
      <c r="P494">
        <v>942.12</v>
      </c>
      <c r="Q494">
        <v>452.01</v>
      </c>
      <c r="R494">
        <v>2443.4299999999998</v>
      </c>
      <c r="S494">
        <v>884.06</v>
      </c>
      <c r="T494">
        <v>32123.24</v>
      </c>
      <c r="U494">
        <v>15539.46</v>
      </c>
      <c r="V494">
        <v>5694.19</v>
      </c>
      <c r="W494">
        <v>5356.18</v>
      </c>
      <c r="X494">
        <v>35919.83</v>
      </c>
      <c r="Y494">
        <v>34551.54</v>
      </c>
    </row>
    <row r="495" spans="1:25" x14ac:dyDescent="0.25">
      <c r="A495" t="s">
        <v>542</v>
      </c>
      <c r="B495" s="1">
        <v>45067</v>
      </c>
      <c r="C495">
        <v>2023</v>
      </c>
      <c r="D495">
        <v>5</v>
      </c>
      <c r="E495" t="s">
        <v>468</v>
      </c>
      <c r="F495" t="s">
        <v>358</v>
      </c>
      <c r="G495" t="s">
        <v>28</v>
      </c>
      <c r="H495" t="s">
        <v>53</v>
      </c>
      <c r="I495" t="s">
        <v>50</v>
      </c>
      <c r="J495">
        <v>51</v>
      </c>
      <c r="K495">
        <v>922.35</v>
      </c>
      <c r="L495">
        <v>47039.69</v>
      </c>
      <c r="M495">
        <v>28662.94</v>
      </c>
      <c r="N495">
        <v>4489.62</v>
      </c>
      <c r="O495">
        <v>1510.75</v>
      </c>
      <c r="P495">
        <v>1797.19</v>
      </c>
      <c r="Q495">
        <v>236.18</v>
      </c>
      <c r="R495">
        <v>1549.54</v>
      </c>
      <c r="S495">
        <v>498.07</v>
      </c>
      <c r="T495">
        <v>38744.300000000003</v>
      </c>
      <c r="U495">
        <v>18376.740000000002</v>
      </c>
      <c r="V495">
        <v>8295.39</v>
      </c>
      <c r="W495">
        <v>8031.81</v>
      </c>
      <c r="X495">
        <v>51450.59</v>
      </c>
      <c r="Y495">
        <v>39766.18</v>
      </c>
    </row>
    <row r="496" spans="1:25" x14ac:dyDescent="0.25">
      <c r="A496" t="s">
        <v>543</v>
      </c>
      <c r="B496" s="1">
        <v>45067</v>
      </c>
      <c r="C496">
        <v>2023</v>
      </c>
      <c r="D496">
        <v>5</v>
      </c>
      <c r="E496" t="s">
        <v>468</v>
      </c>
      <c r="F496" t="s">
        <v>358</v>
      </c>
      <c r="G496" t="s">
        <v>44</v>
      </c>
      <c r="H496" t="s">
        <v>32</v>
      </c>
      <c r="I496" t="s">
        <v>65</v>
      </c>
      <c r="J496">
        <v>49</v>
      </c>
      <c r="K496">
        <v>1568.09</v>
      </c>
      <c r="L496">
        <v>76836.62</v>
      </c>
      <c r="M496">
        <v>51015.9</v>
      </c>
      <c r="N496">
        <v>7331.8</v>
      </c>
      <c r="O496">
        <v>2862.93</v>
      </c>
      <c r="P496">
        <v>2492.91</v>
      </c>
      <c r="Q496">
        <v>662.05</v>
      </c>
      <c r="R496">
        <v>3189.94</v>
      </c>
      <c r="S496">
        <v>1419.49</v>
      </c>
      <c r="T496">
        <v>68975.03</v>
      </c>
      <c r="U496">
        <v>25820.720000000001</v>
      </c>
      <c r="V496">
        <v>7861.58</v>
      </c>
      <c r="W496">
        <v>7412.31</v>
      </c>
      <c r="X496">
        <v>80767.8</v>
      </c>
      <c r="Y496">
        <v>70459.11</v>
      </c>
    </row>
    <row r="497" spans="1:25" x14ac:dyDescent="0.25">
      <c r="A497" t="s">
        <v>544</v>
      </c>
      <c r="B497" s="1">
        <v>45067</v>
      </c>
      <c r="C497">
        <v>2023</v>
      </c>
      <c r="D497">
        <v>5</v>
      </c>
      <c r="E497" t="s">
        <v>468</v>
      </c>
      <c r="F497" t="s">
        <v>358</v>
      </c>
      <c r="G497" t="s">
        <v>28</v>
      </c>
      <c r="H497" t="s">
        <v>29</v>
      </c>
      <c r="I497" t="s">
        <v>33</v>
      </c>
      <c r="J497">
        <v>65</v>
      </c>
      <c r="K497">
        <v>1219.46</v>
      </c>
      <c r="L497">
        <v>79265.05</v>
      </c>
      <c r="M497">
        <v>52256.959999999999</v>
      </c>
      <c r="N497">
        <v>5724.47</v>
      </c>
      <c r="O497">
        <v>2941.18</v>
      </c>
      <c r="P497">
        <v>3561.81</v>
      </c>
      <c r="Q497">
        <v>583.20000000000005</v>
      </c>
      <c r="R497">
        <v>2212.65</v>
      </c>
      <c r="S497">
        <v>1160.6600000000001</v>
      </c>
      <c r="T497">
        <v>68440.929999999993</v>
      </c>
      <c r="U497">
        <v>27008.09</v>
      </c>
      <c r="V497">
        <v>10824.11</v>
      </c>
      <c r="W497">
        <v>10157.950000000001</v>
      </c>
      <c r="X497">
        <v>86506.21</v>
      </c>
      <c r="Y497">
        <v>66416.19</v>
      </c>
    </row>
    <row r="498" spans="1:25" x14ac:dyDescent="0.25">
      <c r="A498" t="s">
        <v>545</v>
      </c>
      <c r="B498" s="1">
        <v>45067</v>
      </c>
      <c r="C498">
        <v>2023</v>
      </c>
      <c r="D498">
        <v>5</v>
      </c>
      <c r="E498" t="s">
        <v>468</v>
      </c>
      <c r="F498" t="s">
        <v>358</v>
      </c>
      <c r="G498" t="s">
        <v>55</v>
      </c>
      <c r="H498" t="s">
        <v>36</v>
      </c>
      <c r="I498" t="s">
        <v>56</v>
      </c>
      <c r="J498">
        <v>45</v>
      </c>
      <c r="K498">
        <v>951.73</v>
      </c>
      <c r="L498">
        <v>42827.65</v>
      </c>
      <c r="M498">
        <v>20787.72</v>
      </c>
      <c r="N498">
        <v>4315.76</v>
      </c>
      <c r="O498">
        <v>2279.89</v>
      </c>
      <c r="P498">
        <v>750.8</v>
      </c>
      <c r="Q498">
        <v>444.28</v>
      </c>
      <c r="R498">
        <v>1869.68</v>
      </c>
      <c r="S498">
        <v>373.36</v>
      </c>
      <c r="T498">
        <v>30821.49</v>
      </c>
      <c r="U498">
        <v>22039.93</v>
      </c>
      <c r="V498">
        <v>12006.17</v>
      </c>
      <c r="W498">
        <v>11900.18</v>
      </c>
      <c r="X498">
        <v>43882.23</v>
      </c>
      <c r="Y498">
        <v>33380.639999999999</v>
      </c>
    </row>
    <row r="499" spans="1:25" x14ac:dyDescent="0.25">
      <c r="A499" t="s">
        <v>546</v>
      </c>
      <c r="B499" s="1">
        <v>45067</v>
      </c>
      <c r="C499">
        <v>2023</v>
      </c>
      <c r="D499">
        <v>5</v>
      </c>
      <c r="E499" t="s">
        <v>468</v>
      </c>
      <c r="F499" t="s">
        <v>358</v>
      </c>
      <c r="G499" t="s">
        <v>55</v>
      </c>
      <c r="H499" t="s">
        <v>32</v>
      </c>
      <c r="I499" t="s">
        <v>45</v>
      </c>
      <c r="J499">
        <v>54</v>
      </c>
      <c r="K499">
        <v>1124.56</v>
      </c>
      <c r="L499">
        <v>60726.48</v>
      </c>
      <c r="M499">
        <v>34529.629999999997</v>
      </c>
      <c r="N499">
        <v>7191.88</v>
      </c>
      <c r="O499">
        <v>2410.77</v>
      </c>
      <c r="P499">
        <v>1851.86</v>
      </c>
      <c r="Q499">
        <v>323.5</v>
      </c>
      <c r="R499">
        <v>2772.12</v>
      </c>
      <c r="S499">
        <v>1387.14</v>
      </c>
      <c r="T499">
        <v>50466.9</v>
      </c>
      <c r="U499">
        <v>26196.85</v>
      </c>
      <c r="V499">
        <v>10259.58</v>
      </c>
      <c r="W499">
        <v>9964.52</v>
      </c>
      <c r="X499">
        <v>60285.54</v>
      </c>
      <c r="Y499">
        <v>47045.21</v>
      </c>
    </row>
    <row r="500" spans="1:25" x14ac:dyDescent="0.25">
      <c r="A500" t="s">
        <v>547</v>
      </c>
      <c r="B500" s="1">
        <v>45067</v>
      </c>
      <c r="C500">
        <v>2023</v>
      </c>
      <c r="D500">
        <v>5</v>
      </c>
      <c r="E500" t="s">
        <v>468</v>
      </c>
      <c r="F500" t="s">
        <v>358</v>
      </c>
      <c r="G500" t="s">
        <v>55</v>
      </c>
      <c r="H500" t="s">
        <v>53</v>
      </c>
      <c r="I500" t="s">
        <v>65</v>
      </c>
      <c r="J500">
        <v>33</v>
      </c>
      <c r="K500">
        <v>1783.13</v>
      </c>
      <c r="L500">
        <v>58843.37</v>
      </c>
      <c r="M500">
        <v>28521.86</v>
      </c>
      <c r="N500">
        <v>4138.32</v>
      </c>
      <c r="O500">
        <v>2933.34</v>
      </c>
      <c r="P500">
        <v>1765.69</v>
      </c>
      <c r="Q500">
        <v>610.49</v>
      </c>
      <c r="R500">
        <v>1875.28</v>
      </c>
      <c r="S500">
        <v>1291.31</v>
      </c>
      <c r="T500">
        <v>41136.28</v>
      </c>
      <c r="U500">
        <v>30321.51</v>
      </c>
      <c r="V500">
        <v>17707.09</v>
      </c>
      <c r="W500">
        <v>15799.44</v>
      </c>
      <c r="X500">
        <v>62077.52</v>
      </c>
      <c r="Y500">
        <v>42569.1</v>
      </c>
    </row>
    <row r="501" spans="1:25" x14ac:dyDescent="0.25">
      <c r="A501" t="s">
        <v>548</v>
      </c>
      <c r="B501" s="1">
        <v>45068</v>
      </c>
      <c r="C501">
        <v>2023</v>
      </c>
      <c r="D501">
        <v>5</v>
      </c>
      <c r="E501" t="s">
        <v>468</v>
      </c>
      <c r="F501" t="s">
        <v>358</v>
      </c>
      <c r="G501" t="s">
        <v>55</v>
      </c>
      <c r="H501" t="s">
        <v>53</v>
      </c>
      <c r="I501" t="s">
        <v>56</v>
      </c>
      <c r="J501">
        <v>47</v>
      </c>
      <c r="K501">
        <v>903.36</v>
      </c>
      <c r="L501">
        <v>42458.02</v>
      </c>
      <c r="M501">
        <v>22864.25</v>
      </c>
      <c r="N501">
        <v>4738.84</v>
      </c>
      <c r="O501">
        <v>1156.73</v>
      </c>
      <c r="P501">
        <v>888.97</v>
      </c>
      <c r="Q501">
        <v>406.91</v>
      </c>
      <c r="R501">
        <v>1382.14</v>
      </c>
      <c r="S501">
        <v>555.95000000000005</v>
      </c>
      <c r="T501">
        <v>31993.78</v>
      </c>
      <c r="U501">
        <v>19593.78</v>
      </c>
      <c r="V501">
        <v>10464.24</v>
      </c>
      <c r="W501">
        <v>9608.11</v>
      </c>
      <c r="X501">
        <v>42979.92</v>
      </c>
      <c r="Y501">
        <v>35054.959999999999</v>
      </c>
    </row>
    <row r="502" spans="1:25" x14ac:dyDescent="0.25">
      <c r="A502" t="s">
        <v>549</v>
      </c>
      <c r="B502" s="1">
        <v>45068</v>
      </c>
      <c r="C502">
        <v>2023</v>
      </c>
      <c r="D502">
        <v>5</v>
      </c>
      <c r="E502" t="s">
        <v>468</v>
      </c>
      <c r="F502" t="s">
        <v>358</v>
      </c>
      <c r="G502" t="s">
        <v>35</v>
      </c>
      <c r="H502" t="s">
        <v>29</v>
      </c>
      <c r="I502" t="s">
        <v>37</v>
      </c>
      <c r="J502">
        <v>64</v>
      </c>
      <c r="K502">
        <v>1224.0899999999999</v>
      </c>
      <c r="L502">
        <v>78341.81</v>
      </c>
      <c r="M502">
        <v>49499.61</v>
      </c>
      <c r="N502">
        <v>5489.8</v>
      </c>
      <c r="O502">
        <v>4310.2700000000004</v>
      </c>
      <c r="P502">
        <v>2783.97</v>
      </c>
      <c r="Q502">
        <v>1144.48</v>
      </c>
      <c r="R502">
        <v>3303.36</v>
      </c>
      <c r="S502">
        <v>1111.47</v>
      </c>
      <c r="T502">
        <v>67642.960000000006</v>
      </c>
      <c r="U502">
        <v>28842.2</v>
      </c>
      <c r="V502">
        <v>10698.85</v>
      </c>
      <c r="W502">
        <v>10692.16</v>
      </c>
      <c r="X502">
        <v>77794.73</v>
      </c>
      <c r="Y502">
        <v>70081.11</v>
      </c>
    </row>
    <row r="503" spans="1:25" x14ac:dyDescent="0.25">
      <c r="A503" t="s">
        <v>550</v>
      </c>
      <c r="B503" s="1">
        <v>45068</v>
      </c>
      <c r="C503">
        <v>2023</v>
      </c>
      <c r="D503">
        <v>5</v>
      </c>
      <c r="E503" t="s">
        <v>468</v>
      </c>
      <c r="F503" t="s">
        <v>358</v>
      </c>
      <c r="G503" t="s">
        <v>44</v>
      </c>
      <c r="H503" t="s">
        <v>29</v>
      </c>
      <c r="I503" t="s">
        <v>30</v>
      </c>
      <c r="J503">
        <v>55</v>
      </c>
      <c r="K503">
        <v>1775.56</v>
      </c>
      <c r="L503">
        <v>97655.67</v>
      </c>
      <c r="M503">
        <v>58455.89</v>
      </c>
      <c r="N503">
        <v>8084.65</v>
      </c>
      <c r="O503">
        <v>6149.37</v>
      </c>
      <c r="P503">
        <v>1523.41</v>
      </c>
      <c r="Q503">
        <v>899.42</v>
      </c>
      <c r="R503">
        <v>4945.91</v>
      </c>
      <c r="S503">
        <v>797.23</v>
      </c>
      <c r="T503">
        <v>80855.89</v>
      </c>
      <c r="U503">
        <v>39199.78</v>
      </c>
      <c r="V503">
        <v>16799.78</v>
      </c>
      <c r="W503">
        <v>15052.57</v>
      </c>
      <c r="X503">
        <v>94934.79</v>
      </c>
      <c r="Y503">
        <v>75243.7</v>
      </c>
    </row>
    <row r="504" spans="1:25" x14ac:dyDescent="0.25">
      <c r="A504" t="s">
        <v>551</v>
      </c>
      <c r="B504" s="1">
        <v>45069</v>
      </c>
      <c r="C504">
        <v>2023</v>
      </c>
      <c r="D504">
        <v>5</v>
      </c>
      <c r="E504" t="s">
        <v>468</v>
      </c>
      <c r="F504" t="s">
        <v>358</v>
      </c>
      <c r="G504" t="s">
        <v>44</v>
      </c>
      <c r="H504" t="s">
        <v>32</v>
      </c>
      <c r="I504" t="s">
        <v>65</v>
      </c>
      <c r="J504">
        <v>50</v>
      </c>
      <c r="K504">
        <v>1152.21</v>
      </c>
      <c r="L504">
        <v>57610.75</v>
      </c>
      <c r="M504">
        <v>36468.32</v>
      </c>
      <c r="N504">
        <v>4558.96</v>
      </c>
      <c r="O504">
        <v>2718.7</v>
      </c>
      <c r="P504">
        <v>879.54</v>
      </c>
      <c r="Q504">
        <v>788.52</v>
      </c>
      <c r="R504">
        <v>2043.47</v>
      </c>
      <c r="S504">
        <v>753.6</v>
      </c>
      <c r="T504">
        <v>48211.11</v>
      </c>
      <c r="U504">
        <v>21142.43</v>
      </c>
      <c r="V504">
        <v>9399.64</v>
      </c>
      <c r="W504">
        <v>9176.44</v>
      </c>
      <c r="X504">
        <v>56206.879999999997</v>
      </c>
      <c r="Y504">
        <v>48565.3</v>
      </c>
    </row>
    <row r="505" spans="1:25" x14ac:dyDescent="0.25">
      <c r="A505" t="s">
        <v>552</v>
      </c>
      <c r="B505" s="1">
        <v>45069</v>
      </c>
      <c r="C505">
        <v>2023</v>
      </c>
      <c r="D505">
        <v>5</v>
      </c>
      <c r="E505" t="s">
        <v>468</v>
      </c>
      <c r="F505" t="s">
        <v>358</v>
      </c>
      <c r="G505" t="s">
        <v>28</v>
      </c>
      <c r="H505" t="s">
        <v>32</v>
      </c>
      <c r="I505" t="s">
        <v>33</v>
      </c>
      <c r="J505">
        <v>47</v>
      </c>
      <c r="K505">
        <v>1628.09</v>
      </c>
      <c r="L505">
        <v>76520.41</v>
      </c>
      <c r="M505">
        <v>39078.01</v>
      </c>
      <c r="N505">
        <v>7380.69</v>
      </c>
      <c r="O505">
        <v>4978.0200000000004</v>
      </c>
      <c r="P505">
        <v>2654.97</v>
      </c>
      <c r="Q505">
        <v>1207.43</v>
      </c>
      <c r="R505">
        <v>2120.12</v>
      </c>
      <c r="S505">
        <v>661.38</v>
      </c>
      <c r="T505">
        <v>58080.61</v>
      </c>
      <c r="U505">
        <v>37442.400000000001</v>
      </c>
      <c r="V505">
        <v>18439.8</v>
      </c>
      <c r="W505">
        <v>18442.03</v>
      </c>
      <c r="X505">
        <v>83646.289999999994</v>
      </c>
      <c r="Y505">
        <v>60489.63</v>
      </c>
    </row>
    <row r="506" spans="1:25" x14ac:dyDescent="0.25">
      <c r="A506" t="s">
        <v>553</v>
      </c>
      <c r="B506" s="1">
        <v>45069</v>
      </c>
      <c r="C506">
        <v>2023</v>
      </c>
      <c r="D506">
        <v>5</v>
      </c>
      <c r="E506" t="s">
        <v>468</v>
      </c>
      <c r="F506" t="s">
        <v>358</v>
      </c>
      <c r="G506" t="s">
        <v>44</v>
      </c>
      <c r="H506" t="s">
        <v>36</v>
      </c>
      <c r="I506" t="s">
        <v>33</v>
      </c>
      <c r="J506">
        <v>44</v>
      </c>
      <c r="K506">
        <v>1811.93</v>
      </c>
      <c r="L506">
        <v>79725.100000000006</v>
      </c>
      <c r="M506">
        <v>40179.22</v>
      </c>
      <c r="N506">
        <v>10023.5</v>
      </c>
      <c r="O506">
        <v>2113.27</v>
      </c>
      <c r="P506">
        <v>1200.7</v>
      </c>
      <c r="Q506">
        <v>819.93</v>
      </c>
      <c r="R506">
        <v>3464.8</v>
      </c>
      <c r="S506">
        <v>1567.79</v>
      </c>
      <c r="T506">
        <v>59369.2</v>
      </c>
      <c r="U506">
        <v>39545.879999999997</v>
      </c>
      <c r="V506">
        <v>20355.900000000001</v>
      </c>
      <c r="W506">
        <v>18125.64</v>
      </c>
      <c r="X506">
        <v>80959.38</v>
      </c>
      <c r="Y506">
        <v>60203.37</v>
      </c>
    </row>
    <row r="507" spans="1:25" x14ac:dyDescent="0.25">
      <c r="A507" t="s">
        <v>554</v>
      </c>
      <c r="B507" s="1">
        <v>45069</v>
      </c>
      <c r="C507">
        <v>2023</v>
      </c>
      <c r="D507">
        <v>5</v>
      </c>
      <c r="E507" t="s">
        <v>468</v>
      </c>
      <c r="F507" t="s">
        <v>358</v>
      </c>
      <c r="G507" t="s">
        <v>44</v>
      </c>
      <c r="H507" t="s">
        <v>58</v>
      </c>
      <c r="I507" t="s">
        <v>65</v>
      </c>
      <c r="J507">
        <v>28</v>
      </c>
      <c r="K507">
        <v>1383.95</v>
      </c>
      <c r="L507">
        <v>38750.720000000001</v>
      </c>
      <c r="M507">
        <v>26345.919999999998</v>
      </c>
      <c r="N507">
        <v>4835.0600000000004</v>
      </c>
      <c r="O507">
        <v>2215.4499999999998</v>
      </c>
      <c r="P507">
        <v>1253.19</v>
      </c>
      <c r="Q507">
        <v>665.85</v>
      </c>
      <c r="R507">
        <v>1396.26</v>
      </c>
      <c r="S507">
        <v>340.35</v>
      </c>
      <c r="T507">
        <v>37052.080000000002</v>
      </c>
      <c r="U507">
        <v>12404.8</v>
      </c>
      <c r="V507">
        <v>1698.65</v>
      </c>
      <c r="W507">
        <v>1573.3</v>
      </c>
      <c r="X507">
        <v>37120.68</v>
      </c>
      <c r="Y507">
        <v>37214.15</v>
      </c>
    </row>
    <row r="508" spans="1:25" x14ac:dyDescent="0.25">
      <c r="A508" t="s">
        <v>555</v>
      </c>
      <c r="B508" s="1">
        <v>45069</v>
      </c>
      <c r="C508">
        <v>2023</v>
      </c>
      <c r="D508">
        <v>5</v>
      </c>
      <c r="E508" t="s">
        <v>468</v>
      </c>
      <c r="F508" t="s">
        <v>358</v>
      </c>
      <c r="G508" t="s">
        <v>55</v>
      </c>
      <c r="H508" t="s">
        <v>32</v>
      </c>
      <c r="I508" t="s">
        <v>39</v>
      </c>
      <c r="J508">
        <v>75</v>
      </c>
      <c r="K508">
        <v>870.64</v>
      </c>
      <c r="L508">
        <v>65298.17</v>
      </c>
      <c r="M508">
        <v>34148.199999999997</v>
      </c>
      <c r="N508">
        <v>5908.72</v>
      </c>
      <c r="O508">
        <v>3475.38</v>
      </c>
      <c r="P508">
        <v>1566.89</v>
      </c>
      <c r="Q508">
        <v>401.22</v>
      </c>
      <c r="R508">
        <v>4188.97</v>
      </c>
      <c r="S508">
        <v>995.31</v>
      </c>
      <c r="T508">
        <v>50684.68</v>
      </c>
      <c r="U508">
        <v>31149.97</v>
      </c>
      <c r="V508">
        <v>14613.49</v>
      </c>
      <c r="W508">
        <v>13946.48</v>
      </c>
      <c r="X508">
        <v>65965.53</v>
      </c>
      <c r="Y508">
        <v>49410.68</v>
      </c>
    </row>
    <row r="509" spans="1:25" x14ac:dyDescent="0.25">
      <c r="A509" t="s">
        <v>556</v>
      </c>
      <c r="B509" s="1">
        <v>45069</v>
      </c>
      <c r="C509">
        <v>2023</v>
      </c>
      <c r="D509">
        <v>5</v>
      </c>
      <c r="E509" t="s">
        <v>468</v>
      </c>
      <c r="F509" t="s">
        <v>358</v>
      </c>
      <c r="G509" t="s">
        <v>35</v>
      </c>
      <c r="H509" t="s">
        <v>36</v>
      </c>
      <c r="I509" t="s">
        <v>45</v>
      </c>
      <c r="J509">
        <v>27</v>
      </c>
      <c r="K509">
        <v>1664.82</v>
      </c>
      <c r="L509">
        <v>44950.06</v>
      </c>
      <c r="M509">
        <v>28860.09</v>
      </c>
      <c r="N509">
        <v>4288.25</v>
      </c>
      <c r="O509">
        <v>2624.61</v>
      </c>
      <c r="P509">
        <v>1156.52</v>
      </c>
      <c r="Q509">
        <v>269.01</v>
      </c>
      <c r="R509">
        <v>1456.33</v>
      </c>
      <c r="S509">
        <v>541.41</v>
      </c>
      <c r="T509">
        <v>39196.230000000003</v>
      </c>
      <c r="U509">
        <v>16089.97</v>
      </c>
      <c r="V509">
        <v>5753.83</v>
      </c>
      <c r="W509">
        <v>5311.24</v>
      </c>
      <c r="X509">
        <v>46907.27</v>
      </c>
      <c r="Y509">
        <v>36729.65</v>
      </c>
    </row>
    <row r="510" spans="1:25" x14ac:dyDescent="0.25">
      <c r="A510" t="s">
        <v>557</v>
      </c>
      <c r="B510" s="1">
        <v>45070</v>
      </c>
      <c r="C510">
        <v>2023</v>
      </c>
      <c r="D510">
        <v>5</v>
      </c>
      <c r="E510" t="s">
        <v>468</v>
      </c>
      <c r="F510" t="s">
        <v>358</v>
      </c>
      <c r="G510" t="s">
        <v>55</v>
      </c>
      <c r="H510" t="s">
        <v>36</v>
      </c>
      <c r="I510" t="s">
        <v>30</v>
      </c>
      <c r="J510">
        <v>67</v>
      </c>
      <c r="K510">
        <v>1626.81</v>
      </c>
      <c r="L510">
        <v>108996.34</v>
      </c>
      <c r="M510">
        <v>64902.28</v>
      </c>
      <c r="N510">
        <v>8789.32</v>
      </c>
      <c r="O510">
        <v>4435.5</v>
      </c>
      <c r="P510">
        <v>4727.53</v>
      </c>
      <c r="Q510">
        <v>1497.32</v>
      </c>
      <c r="R510">
        <v>4970.74</v>
      </c>
      <c r="S510">
        <v>1949.53</v>
      </c>
      <c r="T510">
        <v>91272.21</v>
      </c>
      <c r="U510">
        <v>44094.07</v>
      </c>
      <c r="V510">
        <v>17724.14</v>
      </c>
      <c r="W510">
        <v>17385.7</v>
      </c>
      <c r="X510">
        <v>107534.38</v>
      </c>
      <c r="Y510">
        <v>91801.38</v>
      </c>
    </row>
    <row r="511" spans="1:25" x14ac:dyDescent="0.25">
      <c r="A511" t="s">
        <v>558</v>
      </c>
      <c r="B511" s="1">
        <v>45070</v>
      </c>
      <c r="C511">
        <v>2023</v>
      </c>
      <c r="D511">
        <v>5</v>
      </c>
      <c r="E511" t="s">
        <v>468</v>
      </c>
      <c r="F511" t="s">
        <v>358</v>
      </c>
      <c r="G511" t="s">
        <v>55</v>
      </c>
      <c r="H511" t="s">
        <v>29</v>
      </c>
      <c r="I511" t="s">
        <v>50</v>
      </c>
      <c r="J511">
        <v>36</v>
      </c>
      <c r="K511">
        <v>1720.71</v>
      </c>
      <c r="L511">
        <v>61945.42</v>
      </c>
      <c r="M511">
        <v>33147.68</v>
      </c>
      <c r="N511">
        <v>4864.7299999999996</v>
      </c>
      <c r="O511">
        <v>1737.86</v>
      </c>
      <c r="P511">
        <v>2604.13</v>
      </c>
      <c r="Q511">
        <v>1049.93</v>
      </c>
      <c r="R511">
        <v>3715.85</v>
      </c>
      <c r="S511">
        <v>1024.8399999999999</v>
      </c>
      <c r="T511">
        <v>48145.02</v>
      </c>
      <c r="U511">
        <v>28797.73</v>
      </c>
      <c r="V511">
        <v>13800.4</v>
      </c>
      <c r="W511">
        <v>12890.05</v>
      </c>
      <c r="X511">
        <v>58219.59</v>
      </c>
      <c r="Y511">
        <v>52416.800000000003</v>
      </c>
    </row>
    <row r="512" spans="1:25" x14ac:dyDescent="0.25">
      <c r="A512" t="s">
        <v>559</v>
      </c>
      <c r="B512" s="1">
        <v>45070</v>
      </c>
      <c r="C512">
        <v>2023</v>
      </c>
      <c r="D512">
        <v>5</v>
      </c>
      <c r="E512" t="s">
        <v>468</v>
      </c>
      <c r="F512" t="s">
        <v>358</v>
      </c>
      <c r="G512" t="s">
        <v>28</v>
      </c>
      <c r="H512" t="s">
        <v>36</v>
      </c>
      <c r="I512" t="s">
        <v>65</v>
      </c>
      <c r="J512">
        <v>51</v>
      </c>
      <c r="K512">
        <v>1461.51</v>
      </c>
      <c r="L512">
        <v>74537.100000000006</v>
      </c>
      <c r="M512">
        <v>35841.54</v>
      </c>
      <c r="N512">
        <v>6236.19</v>
      </c>
      <c r="O512">
        <v>2276.46</v>
      </c>
      <c r="P512">
        <v>1743.3</v>
      </c>
      <c r="Q512">
        <v>708.54</v>
      </c>
      <c r="R512">
        <v>3471.41</v>
      </c>
      <c r="S512">
        <v>1742.12</v>
      </c>
      <c r="T512">
        <v>52019.56</v>
      </c>
      <c r="U512">
        <v>38695.56</v>
      </c>
      <c r="V512">
        <v>22517.55</v>
      </c>
      <c r="W512">
        <v>20273.900000000001</v>
      </c>
      <c r="X512">
        <v>72738.47</v>
      </c>
      <c r="Y512">
        <v>54821.78</v>
      </c>
    </row>
    <row r="513" spans="1:25" x14ac:dyDescent="0.25">
      <c r="A513" t="s">
        <v>560</v>
      </c>
      <c r="B513" s="1">
        <v>45071</v>
      </c>
      <c r="C513">
        <v>2023</v>
      </c>
      <c r="D513">
        <v>5</v>
      </c>
      <c r="E513" t="s">
        <v>468</v>
      </c>
      <c r="F513" t="s">
        <v>358</v>
      </c>
      <c r="G513" t="s">
        <v>28</v>
      </c>
      <c r="H513" t="s">
        <v>36</v>
      </c>
      <c r="I513" t="s">
        <v>56</v>
      </c>
      <c r="J513">
        <v>29</v>
      </c>
      <c r="K513">
        <v>1029.08</v>
      </c>
      <c r="L513">
        <v>29843.39</v>
      </c>
      <c r="M513">
        <v>17699.52</v>
      </c>
      <c r="N513">
        <v>2479.69</v>
      </c>
      <c r="O513">
        <v>2009.81</v>
      </c>
      <c r="P513">
        <v>484.49</v>
      </c>
      <c r="Q513">
        <v>188.19</v>
      </c>
      <c r="R513">
        <v>842.71</v>
      </c>
      <c r="S513">
        <v>375.91</v>
      </c>
      <c r="T513">
        <v>24080.32</v>
      </c>
      <c r="U513">
        <v>12143.88</v>
      </c>
      <c r="V513">
        <v>5763.07</v>
      </c>
      <c r="W513">
        <v>5746.32</v>
      </c>
      <c r="X513">
        <v>32887.24</v>
      </c>
      <c r="Y513">
        <v>25012.18</v>
      </c>
    </row>
    <row r="514" spans="1:25" x14ac:dyDescent="0.25">
      <c r="A514" t="s">
        <v>561</v>
      </c>
      <c r="B514" s="1">
        <v>45071</v>
      </c>
      <c r="C514">
        <v>2023</v>
      </c>
      <c r="D514">
        <v>5</v>
      </c>
      <c r="E514" t="s">
        <v>468</v>
      </c>
      <c r="F514" t="s">
        <v>358</v>
      </c>
      <c r="G514" t="s">
        <v>55</v>
      </c>
      <c r="H514" t="s">
        <v>53</v>
      </c>
      <c r="I514" t="s">
        <v>65</v>
      </c>
      <c r="J514">
        <v>88</v>
      </c>
      <c r="K514">
        <v>831.51</v>
      </c>
      <c r="L514">
        <v>73172.490000000005</v>
      </c>
      <c r="M514">
        <v>46543.9</v>
      </c>
      <c r="N514">
        <v>6508.53</v>
      </c>
      <c r="O514">
        <v>4632.71</v>
      </c>
      <c r="P514">
        <v>2612</v>
      </c>
      <c r="Q514">
        <v>1307.53</v>
      </c>
      <c r="R514">
        <v>3605.93</v>
      </c>
      <c r="S514">
        <v>1173.8900000000001</v>
      </c>
      <c r="T514">
        <v>66384.490000000005</v>
      </c>
      <c r="U514">
        <v>26628.59</v>
      </c>
      <c r="V514">
        <v>6787.99</v>
      </c>
      <c r="W514">
        <v>6691.47</v>
      </c>
      <c r="X514">
        <v>72968.42</v>
      </c>
      <c r="Y514">
        <v>69213.509999999995</v>
      </c>
    </row>
    <row r="515" spans="1:25" x14ac:dyDescent="0.25">
      <c r="A515" t="s">
        <v>562</v>
      </c>
      <c r="B515" s="1">
        <v>45072</v>
      </c>
      <c r="C515">
        <v>2023</v>
      </c>
      <c r="D515">
        <v>5</v>
      </c>
      <c r="E515" t="s">
        <v>468</v>
      </c>
      <c r="F515" t="s">
        <v>358</v>
      </c>
      <c r="G515" t="s">
        <v>55</v>
      </c>
      <c r="H515" t="s">
        <v>53</v>
      </c>
      <c r="I515" t="s">
        <v>33</v>
      </c>
      <c r="J515">
        <v>40</v>
      </c>
      <c r="K515">
        <v>1692.02</v>
      </c>
      <c r="L515">
        <v>67680.600000000006</v>
      </c>
      <c r="M515">
        <v>36851.800000000003</v>
      </c>
      <c r="N515">
        <v>7908.04</v>
      </c>
      <c r="O515">
        <v>4809.0200000000004</v>
      </c>
      <c r="P515">
        <v>1625.71</v>
      </c>
      <c r="Q515">
        <v>1177.42</v>
      </c>
      <c r="R515">
        <v>3511.32</v>
      </c>
      <c r="S515">
        <v>929.05</v>
      </c>
      <c r="T515">
        <v>56812.38</v>
      </c>
      <c r="U515">
        <v>30828.799999999999</v>
      </c>
      <c r="V515">
        <v>10868.23</v>
      </c>
      <c r="W515">
        <v>10625.05</v>
      </c>
      <c r="X515">
        <v>66904.23</v>
      </c>
      <c r="Y515">
        <v>55948.93</v>
      </c>
    </row>
    <row r="516" spans="1:25" x14ac:dyDescent="0.25">
      <c r="A516" t="s">
        <v>563</v>
      </c>
      <c r="B516" s="1">
        <v>45072</v>
      </c>
      <c r="C516">
        <v>2023</v>
      </c>
      <c r="D516">
        <v>5</v>
      </c>
      <c r="E516" t="s">
        <v>468</v>
      </c>
      <c r="F516" t="s">
        <v>358</v>
      </c>
      <c r="G516" t="s">
        <v>28</v>
      </c>
      <c r="H516" t="s">
        <v>36</v>
      </c>
      <c r="I516" t="s">
        <v>45</v>
      </c>
      <c r="J516">
        <v>41</v>
      </c>
      <c r="K516">
        <v>1141.3499999999999</v>
      </c>
      <c r="L516">
        <v>46795.29</v>
      </c>
      <c r="M516">
        <v>29925.93</v>
      </c>
      <c r="N516">
        <v>4932.24</v>
      </c>
      <c r="O516">
        <v>1416.15</v>
      </c>
      <c r="P516">
        <v>2059.1999999999998</v>
      </c>
      <c r="Q516">
        <v>546.73</v>
      </c>
      <c r="R516">
        <v>2163.4499999999998</v>
      </c>
      <c r="S516">
        <v>634.5</v>
      </c>
      <c r="T516">
        <v>41678.22</v>
      </c>
      <c r="U516">
        <v>16869.349999999999</v>
      </c>
      <c r="V516">
        <v>5117.07</v>
      </c>
      <c r="W516">
        <v>5192.0200000000004</v>
      </c>
      <c r="X516">
        <v>47758.73</v>
      </c>
      <c r="Y516">
        <v>43163.71</v>
      </c>
    </row>
    <row r="517" spans="1:25" x14ac:dyDescent="0.25">
      <c r="A517" t="s">
        <v>564</v>
      </c>
      <c r="B517" s="1">
        <v>45072</v>
      </c>
      <c r="C517">
        <v>2023</v>
      </c>
      <c r="D517">
        <v>5</v>
      </c>
      <c r="E517" t="s">
        <v>468</v>
      </c>
      <c r="F517" t="s">
        <v>358</v>
      </c>
      <c r="G517" t="s">
        <v>35</v>
      </c>
      <c r="H517" t="s">
        <v>36</v>
      </c>
      <c r="I517" t="s">
        <v>56</v>
      </c>
      <c r="J517">
        <v>26</v>
      </c>
      <c r="K517">
        <v>1394.88</v>
      </c>
      <c r="L517">
        <v>36266.76</v>
      </c>
      <c r="M517">
        <v>20704.22</v>
      </c>
      <c r="N517">
        <v>2815.36</v>
      </c>
      <c r="O517">
        <v>1192.8399999999999</v>
      </c>
      <c r="P517">
        <v>1115.8800000000001</v>
      </c>
      <c r="Q517">
        <v>449.31</v>
      </c>
      <c r="R517">
        <v>1740.45</v>
      </c>
      <c r="S517">
        <v>867.12</v>
      </c>
      <c r="T517">
        <v>28885.18</v>
      </c>
      <c r="U517">
        <v>15562.54</v>
      </c>
      <c r="V517">
        <v>7381.58</v>
      </c>
      <c r="W517">
        <v>7212.08</v>
      </c>
      <c r="X517">
        <v>36237.35</v>
      </c>
      <c r="Y517">
        <v>31579.95</v>
      </c>
    </row>
    <row r="518" spans="1:25" x14ac:dyDescent="0.25">
      <c r="A518" t="s">
        <v>565</v>
      </c>
      <c r="B518" s="1">
        <v>45073</v>
      </c>
      <c r="C518">
        <v>2023</v>
      </c>
      <c r="D518">
        <v>5</v>
      </c>
      <c r="E518" t="s">
        <v>468</v>
      </c>
      <c r="F518" t="s">
        <v>358</v>
      </c>
      <c r="G518" t="s">
        <v>55</v>
      </c>
      <c r="H518" t="s">
        <v>53</v>
      </c>
      <c r="I518" t="s">
        <v>65</v>
      </c>
      <c r="J518">
        <v>39</v>
      </c>
      <c r="K518">
        <v>1381.49</v>
      </c>
      <c r="L518">
        <v>53878.29</v>
      </c>
      <c r="M518">
        <v>33172.839999999997</v>
      </c>
      <c r="N518">
        <v>6185.45</v>
      </c>
      <c r="O518">
        <v>3198.14</v>
      </c>
      <c r="P518">
        <v>2362.0300000000002</v>
      </c>
      <c r="Q518">
        <v>473.7</v>
      </c>
      <c r="R518">
        <v>3048.66</v>
      </c>
      <c r="S518">
        <v>1271.93</v>
      </c>
      <c r="T518">
        <v>49712.74</v>
      </c>
      <c r="U518">
        <v>20705.46</v>
      </c>
      <c r="V518">
        <v>4165.5600000000004</v>
      </c>
      <c r="W518">
        <v>4174.6400000000003</v>
      </c>
      <c r="X518">
        <v>53914.94</v>
      </c>
      <c r="Y518">
        <v>49511.99</v>
      </c>
    </row>
    <row r="519" spans="1:25" x14ac:dyDescent="0.25">
      <c r="A519" t="s">
        <v>566</v>
      </c>
      <c r="B519" s="1">
        <v>45073</v>
      </c>
      <c r="C519">
        <v>2023</v>
      </c>
      <c r="D519">
        <v>5</v>
      </c>
      <c r="E519" t="s">
        <v>468</v>
      </c>
      <c r="F519" t="s">
        <v>358</v>
      </c>
      <c r="G519" t="s">
        <v>28</v>
      </c>
      <c r="H519" t="s">
        <v>36</v>
      </c>
      <c r="I519" t="s">
        <v>65</v>
      </c>
      <c r="J519">
        <v>35</v>
      </c>
      <c r="K519">
        <v>1768.7</v>
      </c>
      <c r="L519">
        <v>61904.62</v>
      </c>
      <c r="M519">
        <v>37855.69</v>
      </c>
      <c r="N519">
        <v>6101.87</v>
      </c>
      <c r="O519">
        <v>2023.15</v>
      </c>
      <c r="P519">
        <v>2388.02</v>
      </c>
      <c r="Q519">
        <v>328.05</v>
      </c>
      <c r="R519">
        <v>3093.52</v>
      </c>
      <c r="S519">
        <v>1452.59</v>
      </c>
      <c r="T519">
        <v>53242.879999999997</v>
      </c>
      <c r="U519">
        <v>24048.93</v>
      </c>
      <c r="V519">
        <v>8661.73</v>
      </c>
      <c r="W519">
        <v>8398.23</v>
      </c>
      <c r="X519">
        <v>65961.009999999995</v>
      </c>
      <c r="Y519">
        <v>50261.68</v>
      </c>
    </row>
    <row r="520" spans="1:25" x14ac:dyDescent="0.25">
      <c r="A520" t="s">
        <v>567</v>
      </c>
      <c r="B520" s="1">
        <v>45073</v>
      </c>
      <c r="C520">
        <v>2023</v>
      </c>
      <c r="D520">
        <v>5</v>
      </c>
      <c r="E520" t="s">
        <v>468</v>
      </c>
      <c r="F520" t="s">
        <v>358</v>
      </c>
      <c r="G520" t="s">
        <v>44</v>
      </c>
      <c r="H520" t="s">
        <v>36</v>
      </c>
      <c r="I520" t="s">
        <v>65</v>
      </c>
      <c r="J520">
        <v>24</v>
      </c>
      <c r="K520">
        <v>1734.73</v>
      </c>
      <c r="L520">
        <v>41633.599999999999</v>
      </c>
      <c r="M520">
        <v>27575.22</v>
      </c>
      <c r="N520">
        <v>4030.22</v>
      </c>
      <c r="O520">
        <v>3067.02</v>
      </c>
      <c r="P520">
        <v>1823.65</v>
      </c>
      <c r="Q520">
        <v>490.96</v>
      </c>
      <c r="R520">
        <v>1177.42</v>
      </c>
      <c r="S520">
        <v>632.91</v>
      </c>
      <c r="T520">
        <v>38797.410000000003</v>
      </c>
      <c r="U520">
        <v>14058.37</v>
      </c>
      <c r="V520">
        <v>2836.19</v>
      </c>
      <c r="W520">
        <v>2803.03</v>
      </c>
      <c r="X520">
        <v>44155.38</v>
      </c>
      <c r="Y520">
        <v>38555.46</v>
      </c>
    </row>
    <row r="521" spans="1:25" x14ac:dyDescent="0.25">
      <c r="A521" t="s">
        <v>568</v>
      </c>
      <c r="B521" s="1">
        <v>45073</v>
      </c>
      <c r="C521">
        <v>2023</v>
      </c>
      <c r="D521">
        <v>5</v>
      </c>
      <c r="E521" t="s">
        <v>468</v>
      </c>
      <c r="F521" t="s">
        <v>358</v>
      </c>
      <c r="G521" t="s">
        <v>28</v>
      </c>
      <c r="H521" t="s">
        <v>32</v>
      </c>
      <c r="I521" t="s">
        <v>37</v>
      </c>
      <c r="J521">
        <v>53</v>
      </c>
      <c r="K521">
        <v>1444.89</v>
      </c>
      <c r="L521">
        <v>76579</v>
      </c>
      <c r="M521">
        <v>42404.77</v>
      </c>
      <c r="N521">
        <v>7650.34</v>
      </c>
      <c r="O521">
        <v>5146.2299999999996</v>
      </c>
      <c r="P521">
        <v>2427.15</v>
      </c>
      <c r="Q521">
        <v>625.21</v>
      </c>
      <c r="R521">
        <v>4552.34</v>
      </c>
      <c r="S521">
        <v>1446.64</v>
      </c>
      <c r="T521">
        <v>64252.69</v>
      </c>
      <c r="U521">
        <v>34174.230000000003</v>
      </c>
      <c r="V521">
        <v>12326.31</v>
      </c>
      <c r="W521">
        <v>11280.47</v>
      </c>
      <c r="X521">
        <v>80837.679999999993</v>
      </c>
      <c r="Y521">
        <v>67657.440000000002</v>
      </c>
    </row>
    <row r="522" spans="1:25" x14ac:dyDescent="0.25">
      <c r="A522" t="s">
        <v>569</v>
      </c>
      <c r="B522" s="1">
        <v>45073</v>
      </c>
      <c r="C522">
        <v>2023</v>
      </c>
      <c r="D522">
        <v>5</v>
      </c>
      <c r="E522" t="s">
        <v>468</v>
      </c>
      <c r="F522" t="s">
        <v>358</v>
      </c>
      <c r="G522" t="s">
        <v>28</v>
      </c>
      <c r="H522" t="s">
        <v>29</v>
      </c>
      <c r="I522" t="s">
        <v>33</v>
      </c>
      <c r="J522">
        <v>75</v>
      </c>
      <c r="K522">
        <v>1000.03</v>
      </c>
      <c r="L522">
        <v>75002.149999999994</v>
      </c>
      <c r="M522">
        <v>50877.79</v>
      </c>
      <c r="N522">
        <v>7645.81</v>
      </c>
      <c r="O522">
        <v>5544.31</v>
      </c>
      <c r="P522">
        <v>3186.76</v>
      </c>
      <c r="Q522">
        <v>679.11</v>
      </c>
      <c r="R522">
        <v>4744.71</v>
      </c>
      <c r="S522">
        <v>1853.44</v>
      </c>
      <c r="T522">
        <v>74531.94</v>
      </c>
      <c r="U522">
        <v>24124.36</v>
      </c>
      <c r="V522">
        <v>470.21</v>
      </c>
      <c r="W522">
        <v>478.92</v>
      </c>
      <c r="X522">
        <v>72079.89</v>
      </c>
      <c r="Y522">
        <v>74593.56</v>
      </c>
    </row>
    <row r="523" spans="1:25" x14ac:dyDescent="0.25">
      <c r="A523" t="s">
        <v>570</v>
      </c>
      <c r="B523" s="1">
        <v>45074</v>
      </c>
      <c r="C523">
        <v>2023</v>
      </c>
      <c r="D523">
        <v>5</v>
      </c>
      <c r="E523" t="s">
        <v>468</v>
      </c>
      <c r="F523" t="s">
        <v>358</v>
      </c>
      <c r="G523" t="s">
        <v>35</v>
      </c>
      <c r="H523" t="s">
        <v>58</v>
      </c>
      <c r="I523" t="s">
        <v>33</v>
      </c>
      <c r="J523">
        <v>59</v>
      </c>
      <c r="K523">
        <v>1041.8</v>
      </c>
      <c r="L523">
        <v>61466.28</v>
      </c>
      <c r="M523">
        <v>37140.879999999997</v>
      </c>
      <c r="N523">
        <v>5536.95</v>
      </c>
      <c r="O523">
        <v>4448.33</v>
      </c>
      <c r="P523">
        <v>2369.9499999999998</v>
      </c>
      <c r="Q523">
        <v>774.17</v>
      </c>
      <c r="R523">
        <v>3711.68</v>
      </c>
      <c r="S523">
        <v>571.32000000000005</v>
      </c>
      <c r="T523">
        <v>54553.279999999999</v>
      </c>
      <c r="U523">
        <v>24325.41</v>
      </c>
      <c r="V523">
        <v>6913</v>
      </c>
      <c r="W523">
        <v>6412.17</v>
      </c>
      <c r="X523">
        <v>64481.86</v>
      </c>
      <c r="Y523">
        <v>56615.72</v>
      </c>
    </row>
    <row r="524" spans="1:25" x14ac:dyDescent="0.25">
      <c r="A524" t="s">
        <v>571</v>
      </c>
      <c r="B524" s="1">
        <v>45074</v>
      </c>
      <c r="C524">
        <v>2023</v>
      </c>
      <c r="D524">
        <v>5</v>
      </c>
      <c r="E524" t="s">
        <v>468</v>
      </c>
      <c r="F524" t="s">
        <v>358</v>
      </c>
      <c r="G524" t="s">
        <v>44</v>
      </c>
      <c r="H524" t="s">
        <v>32</v>
      </c>
      <c r="I524" t="s">
        <v>39</v>
      </c>
      <c r="J524">
        <v>33</v>
      </c>
      <c r="K524">
        <v>1267.1400000000001</v>
      </c>
      <c r="L524">
        <v>41815.550000000003</v>
      </c>
      <c r="M524">
        <v>21554.799999999999</v>
      </c>
      <c r="N524">
        <v>4871.46</v>
      </c>
      <c r="O524">
        <v>2464.9699999999998</v>
      </c>
      <c r="P524">
        <v>1268.99</v>
      </c>
      <c r="Q524">
        <v>724.23</v>
      </c>
      <c r="R524">
        <v>1196.43</v>
      </c>
      <c r="S524">
        <v>800.68</v>
      </c>
      <c r="T524">
        <v>32881.57</v>
      </c>
      <c r="U524">
        <v>20260.75</v>
      </c>
      <c r="V524">
        <v>8933.99</v>
      </c>
      <c r="W524">
        <v>8737.9599999999991</v>
      </c>
      <c r="X524">
        <v>42027.6</v>
      </c>
      <c r="Y524">
        <v>31176.43</v>
      </c>
    </row>
    <row r="525" spans="1:25" x14ac:dyDescent="0.25">
      <c r="A525" t="s">
        <v>572</v>
      </c>
      <c r="B525" s="1">
        <v>45074</v>
      </c>
      <c r="C525">
        <v>2023</v>
      </c>
      <c r="D525">
        <v>5</v>
      </c>
      <c r="E525" t="s">
        <v>468</v>
      </c>
      <c r="F525" t="s">
        <v>358</v>
      </c>
      <c r="G525" t="s">
        <v>55</v>
      </c>
      <c r="H525" t="s">
        <v>53</v>
      </c>
      <c r="I525" t="s">
        <v>33</v>
      </c>
      <c r="J525">
        <v>54</v>
      </c>
      <c r="K525">
        <v>1070.53</v>
      </c>
      <c r="L525">
        <v>57808.58</v>
      </c>
      <c r="M525">
        <v>29531.96</v>
      </c>
      <c r="N525">
        <v>6969.77</v>
      </c>
      <c r="O525">
        <v>2035.48</v>
      </c>
      <c r="P525">
        <v>2288.52</v>
      </c>
      <c r="Q525">
        <v>923.43</v>
      </c>
      <c r="R525">
        <v>1784.83</v>
      </c>
      <c r="S525">
        <v>616.71</v>
      </c>
      <c r="T525">
        <v>44150.7</v>
      </c>
      <c r="U525">
        <v>28276.62</v>
      </c>
      <c r="V525">
        <v>13657.88</v>
      </c>
      <c r="W525">
        <v>13296.05</v>
      </c>
      <c r="X525">
        <v>62529.43</v>
      </c>
      <c r="Y525">
        <v>41559.54</v>
      </c>
    </row>
    <row r="526" spans="1:25" x14ac:dyDescent="0.25">
      <c r="A526" t="s">
        <v>573</v>
      </c>
      <c r="B526" s="1">
        <v>45075</v>
      </c>
      <c r="C526">
        <v>2023</v>
      </c>
      <c r="D526">
        <v>5</v>
      </c>
      <c r="E526" t="s">
        <v>468</v>
      </c>
      <c r="F526" t="s">
        <v>358</v>
      </c>
      <c r="G526" t="s">
        <v>44</v>
      </c>
      <c r="H526" t="s">
        <v>53</v>
      </c>
      <c r="I526" t="s">
        <v>50</v>
      </c>
      <c r="J526">
        <v>34</v>
      </c>
      <c r="K526">
        <v>1441.45</v>
      </c>
      <c r="L526">
        <v>49009.14</v>
      </c>
      <c r="M526">
        <v>30680.5</v>
      </c>
      <c r="N526">
        <v>5918.33</v>
      </c>
      <c r="O526">
        <v>2485.9299999999998</v>
      </c>
      <c r="P526">
        <v>1179.32</v>
      </c>
      <c r="Q526">
        <v>353.21</v>
      </c>
      <c r="R526">
        <v>2046.18</v>
      </c>
      <c r="S526">
        <v>993.74</v>
      </c>
      <c r="T526">
        <v>43657.2</v>
      </c>
      <c r="U526">
        <v>18328.64</v>
      </c>
      <c r="V526">
        <v>5351.94</v>
      </c>
      <c r="W526">
        <v>5352.56</v>
      </c>
      <c r="X526">
        <v>53368.160000000003</v>
      </c>
      <c r="Y526">
        <v>45025.03</v>
      </c>
    </row>
    <row r="527" spans="1:25" x14ac:dyDescent="0.25">
      <c r="A527" t="s">
        <v>574</v>
      </c>
      <c r="B527" s="1">
        <v>45075</v>
      </c>
      <c r="C527">
        <v>2023</v>
      </c>
      <c r="D527">
        <v>5</v>
      </c>
      <c r="E527" t="s">
        <v>468</v>
      </c>
      <c r="F527" t="s">
        <v>358</v>
      </c>
      <c r="G527" t="s">
        <v>28</v>
      </c>
      <c r="H527" t="s">
        <v>58</v>
      </c>
      <c r="I527" t="s">
        <v>45</v>
      </c>
      <c r="J527">
        <v>37</v>
      </c>
      <c r="K527">
        <v>1443.82</v>
      </c>
      <c r="L527">
        <v>53421.46</v>
      </c>
      <c r="M527">
        <v>31607.34</v>
      </c>
      <c r="N527">
        <v>3796.1</v>
      </c>
      <c r="O527">
        <v>3935.15</v>
      </c>
      <c r="P527">
        <v>1209.1400000000001</v>
      </c>
      <c r="Q527">
        <v>299.2</v>
      </c>
      <c r="R527">
        <v>2903.39</v>
      </c>
      <c r="S527">
        <v>658.41</v>
      </c>
      <c r="T527">
        <v>44408.72</v>
      </c>
      <c r="U527">
        <v>21814.12</v>
      </c>
      <c r="V527">
        <v>9012.74</v>
      </c>
      <c r="W527">
        <v>8227.7800000000007</v>
      </c>
      <c r="X527">
        <v>50245.98</v>
      </c>
      <c r="Y527">
        <v>42890.32</v>
      </c>
    </row>
    <row r="528" spans="1:25" x14ac:dyDescent="0.25">
      <c r="A528" t="s">
        <v>575</v>
      </c>
      <c r="B528" s="1">
        <v>45075</v>
      </c>
      <c r="C528">
        <v>2023</v>
      </c>
      <c r="D528">
        <v>5</v>
      </c>
      <c r="E528" t="s">
        <v>468</v>
      </c>
      <c r="F528" t="s">
        <v>358</v>
      </c>
      <c r="G528" t="s">
        <v>55</v>
      </c>
      <c r="H528" t="s">
        <v>58</v>
      </c>
      <c r="I528" t="s">
        <v>37</v>
      </c>
      <c r="J528">
        <v>87</v>
      </c>
      <c r="K528">
        <v>850.24</v>
      </c>
      <c r="L528">
        <v>73971.100000000006</v>
      </c>
      <c r="M528">
        <v>40340.870000000003</v>
      </c>
      <c r="N528">
        <v>7953.89</v>
      </c>
      <c r="O528">
        <v>5326.97</v>
      </c>
      <c r="P528">
        <v>3026.42</v>
      </c>
      <c r="Q528">
        <v>388.73</v>
      </c>
      <c r="R528">
        <v>4005.07</v>
      </c>
      <c r="S528">
        <v>763.53</v>
      </c>
      <c r="T528">
        <v>61805.47</v>
      </c>
      <c r="U528">
        <v>33630.230000000003</v>
      </c>
      <c r="V528">
        <v>12165.63</v>
      </c>
      <c r="W528">
        <v>11601.83</v>
      </c>
      <c r="X528">
        <v>82787.839999999997</v>
      </c>
      <c r="Y528">
        <v>66447.740000000005</v>
      </c>
    </row>
    <row r="529" spans="1:25" x14ac:dyDescent="0.25">
      <c r="A529" t="s">
        <v>576</v>
      </c>
      <c r="B529" s="1">
        <v>45075</v>
      </c>
      <c r="C529">
        <v>2023</v>
      </c>
      <c r="D529">
        <v>5</v>
      </c>
      <c r="E529" t="s">
        <v>468</v>
      </c>
      <c r="F529" t="s">
        <v>358</v>
      </c>
      <c r="G529" t="s">
        <v>28</v>
      </c>
      <c r="H529" t="s">
        <v>53</v>
      </c>
      <c r="I529" t="s">
        <v>37</v>
      </c>
      <c r="J529">
        <v>44</v>
      </c>
      <c r="K529">
        <v>1693.39</v>
      </c>
      <c r="L529">
        <v>74509.279999999999</v>
      </c>
      <c r="M529">
        <v>47789.06</v>
      </c>
      <c r="N529">
        <v>8528.81</v>
      </c>
      <c r="O529">
        <v>2996.56</v>
      </c>
      <c r="P529">
        <v>2549.2800000000002</v>
      </c>
      <c r="Q529">
        <v>686.9</v>
      </c>
      <c r="R529">
        <v>3550.55</v>
      </c>
      <c r="S529">
        <v>979.17</v>
      </c>
      <c r="T529">
        <v>67080.34</v>
      </c>
      <c r="U529">
        <v>26720.22</v>
      </c>
      <c r="V529">
        <v>7428.94</v>
      </c>
      <c r="W529">
        <v>7289.51</v>
      </c>
      <c r="X529">
        <v>76332</v>
      </c>
      <c r="Y529">
        <v>63114.39</v>
      </c>
    </row>
    <row r="530" spans="1:25" x14ac:dyDescent="0.25">
      <c r="A530" t="s">
        <v>577</v>
      </c>
      <c r="B530" s="1">
        <v>45075</v>
      </c>
      <c r="C530">
        <v>2023</v>
      </c>
      <c r="D530">
        <v>5</v>
      </c>
      <c r="E530" t="s">
        <v>468</v>
      </c>
      <c r="F530" t="s">
        <v>358</v>
      </c>
      <c r="G530" t="s">
        <v>28</v>
      </c>
      <c r="H530" t="s">
        <v>36</v>
      </c>
      <c r="I530" t="s">
        <v>39</v>
      </c>
      <c r="J530">
        <v>46</v>
      </c>
      <c r="K530">
        <v>1059.26</v>
      </c>
      <c r="L530">
        <v>48725.87</v>
      </c>
      <c r="M530">
        <v>26050.47</v>
      </c>
      <c r="N530">
        <v>5401.96</v>
      </c>
      <c r="O530">
        <v>1568.22</v>
      </c>
      <c r="P530">
        <v>1766.08</v>
      </c>
      <c r="Q530">
        <v>424.87</v>
      </c>
      <c r="R530">
        <v>2810.91</v>
      </c>
      <c r="S530">
        <v>691.77</v>
      </c>
      <c r="T530">
        <v>38714.28</v>
      </c>
      <c r="U530">
        <v>22675.4</v>
      </c>
      <c r="V530">
        <v>10011.59</v>
      </c>
      <c r="W530">
        <v>10168.43</v>
      </c>
      <c r="X530">
        <v>45119.51</v>
      </c>
      <c r="Y530">
        <v>36199.300000000003</v>
      </c>
    </row>
    <row r="531" spans="1:25" x14ac:dyDescent="0.25">
      <c r="A531" t="s">
        <v>578</v>
      </c>
      <c r="B531" s="1">
        <v>45075</v>
      </c>
      <c r="C531">
        <v>2023</v>
      </c>
      <c r="D531">
        <v>5</v>
      </c>
      <c r="E531" t="s">
        <v>468</v>
      </c>
      <c r="F531" t="s">
        <v>358</v>
      </c>
      <c r="G531" t="s">
        <v>55</v>
      </c>
      <c r="H531" t="s">
        <v>53</v>
      </c>
      <c r="I531" t="s">
        <v>56</v>
      </c>
      <c r="J531">
        <v>32</v>
      </c>
      <c r="K531">
        <v>1116.97</v>
      </c>
      <c r="L531">
        <v>35743.089999999997</v>
      </c>
      <c r="M531">
        <v>20606.43</v>
      </c>
      <c r="N531">
        <v>3287.26</v>
      </c>
      <c r="O531">
        <v>1681.49</v>
      </c>
      <c r="P531">
        <v>1563.77</v>
      </c>
      <c r="Q531">
        <v>637.98</v>
      </c>
      <c r="R531">
        <v>1676.76</v>
      </c>
      <c r="S531">
        <v>449.59</v>
      </c>
      <c r="T531">
        <v>29903.29</v>
      </c>
      <c r="U531">
        <v>15136.65</v>
      </c>
      <c r="V531">
        <v>5839.8</v>
      </c>
      <c r="W531">
        <v>5507.11</v>
      </c>
      <c r="X531">
        <v>36675.019999999997</v>
      </c>
      <c r="Y531">
        <v>31192.84</v>
      </c>
    </row>
    <row r="532" spans="1:25" x14ac:dyDescent="0.25">
      <c r="A532" t="s">
        <v>579</v>
      </c>
      <c r="B532" s="1">
        <v>45076</v>
      </c>
      <c r="C532">
        <v>2023</v>
      </c>
      <c r="D532">
        <v>5</v>
      </c>
      <c r="E532" t="s">
        <v>468</v>
      </c>
      <c r="F532" t="s">
        <v>358</v>
      </c>
      <c r="G532" t="s">
        <v>35</v>
      </c>
      <c r="H532" t="s">
        <v>53</v>
      </c>
      <c r="I532" t="s">
        <v>50</v>
      </c>
      <c r="J532">
        <v>41</v>
      </c>
      <c r="K532">
        <v>994.19</v>
      </c>
      <c r="L532">
        <v>40761.870000000003</v>
      </c>
      <c r="M532">
        <v>21191.97</v>
      </c>
      <c r="N532">
        <v>3768.03</v>
      </c>
      <c r="O532">
        <v>1229.1199999999999</v>
      </c>
      <c r="P532">
        <v>893.41</v>
      </c>
      <c r="Q532">
        <v>321.08999999999997</v>
      </c>
      <c r="R532">
        <v>1865.37</v>
      </c>
      <c r="S532">
        <v>683.34</v>
      </c>
      <c r="T532">
        <v>29952.34</v>
      </c>
      <c r="U532">
        <v>19569.900000000001</v>
      </c>
      <c r="V532">
        <v>10809.54</v>
      </c>
      <c r="W532">
        <v>10064.15</v>
      </c>
      <c r="X532">
        <v>42336.44</v>
      </c>
      <c r="Y532">
        <v>31507.5</v>
      </c>
    </row>
    <row r="533" spans="1:25" x14ac:dyDescent="0.25">
      <c r="A533" t="s">
        <v>580</v>
      </c>
      <c r="B533" s="1">
        <v>45077</v>
      </c>
      <c r="C533">
        <v>2023</v>
      </c>
      <c r="D533">
        <v>5</v>
      </c>
      <c r="E533" t="s">
        <v>468</v>
      </c>
      <c r="F533" t="s">
        <v>358</v>
      </c>
      <c r="G533" t="s">
        <v>35</v>
      </c>
      <c r="H533" t="s">
        <v>32</v>
      </c>
      <c r="I533" t="s">
        <v>37</v>
      </c>
      <c r="J533">
        <v>70</v>
      </c>
      <c r="K533">
        <v>1259.46</v>
      </c>
      <c r="L533">
        <v>88162.01</v>
      </c>
      <c r="M533">
        <v>52754.95</v>
      </c>
      <c r="N533">
        <v>8333.19</v>
      </c>
      <c r="O533">
        <v>3013.3</v>
      </c>
      <c r="P533">
        <v>3143.07</v>
      </c>
      <c r="Q533">
        <v>1134.3399999999999</v>
      </c>
      <c r="R533">
        <v>5037.34</v>
      </c>
      <c r="S533">
        <v>1908.69</v>
      </c>
      <c r="T533">
        <v>75324.88</v>
      </c>
      <c r="U533">
        <v>35407.07</v>
      </c>
      <c r="V533">
        <v>12837.13</v>
      </c>
      <c r="W533">
        <v>12232.26</v>
      </c>
      <c r="X533">
        <v>91067.34</v>
      </c>
      <c r="Y533">
        <v>71462.52</v>
      </c>
    </row>
    <row r="534" spans="1:25" x14ac:dyDescent="0.25">
      <c r="A534" t="s">
        <v>581</v>
      </c>
      <c r="B534" s="1">
        <v>45077</v>
      </c>
      <c r="C534">
        <v>2023</v>
      </c>
      <c r="D534">
        <v>5</v>
      </c>
      <c r="E534" t="s">
        <v>468</v>
      </c>
      <c r="F534" t="s">
        <v>358</v>
      </c>
      <c r="G534" t="s">
        <v>28</v>
      </c>
      <c r="H534" t="s">
        <v>36</v>
      </c>
      <c r="I534" t="s">
        <v>50</v>
      </c>
      <c r="J534">
        <v>35</v>
      </c>
      <c r="K534">
        <v>1597.56</v>
      </c>
      <c r="L534">
        <v>55914.43</v>
      </c>
      <c r="M534">
        <v>30224.31</v>
      </c>
      <c r="N534">
        <v>4268.26</v>
      </c>
      <c r="O534">
        <v>3818.96</v>
      </c>
      <c r="P534">
        <v>902.57</v>
      </c>
      <c r="Q534">
        <v>929.45</v>
      </c>
      <c r="R534">
        <v>3096.43</v>
      </c>
      <c r="S534">
        <v>1369.71</v>
      </c>
      <c r="T534">
        <v>44609.69</v>
      </c>
      <c r="U534">
        <v>25690.12</v>
      </c>
      <c r="V534">
        <v>11304.74</v>
      </c>
      <c r="W534">
        <v>10532.38</v>
      </c>
      <c r="X534">
        <v>57827.73</v>
      </c>
      <c r="Y534">
        <v>44436.19</v>
      </c>
    </row>
    <row r="535" spans="1:25" x14ac:dyDescent="0.25">
      <c r="A535" t="s">
        <v>582</v>
      </c>
      <c r="B535" s="1">
        <v>45077</v>
      </c>
      <c r="C535">
        <v>2023</v>
      </c>
      <c r="D535">
        <v>5</v>
      </c>
      <c r="E535" t="s">
        <v>468</v>
      </c>
      <c r="F535" t="s">
        <v>358</v>
      </c>
      <c r="G535" t="s">
        <v>28</v>
      </c>
      <c r="H535" t="s">
        <v>29</v>
      </c>
      <c r="I535" t="s">
        <v>33</v>
      </c>
      <c r="J535">
        <v>70</v>
      </c>
      <c r="K535">
        <v>892.88</v>
      </c>
      <c r="L535">
        <v>62501.68</v>
      </c>
      <c r="M535">
        <v>31281.33</v>
      </c>
      <c r="N535">
        <v>7084.35</v>
      </c>
      <c r="O535">
        <v>3250.98</v>
      </c>
      <c r="P535">
        <v>960.64</v>
      </c>
      <c r="Q535">
        <v>530.29999999999995</v>
      </c>
      <c r="R535">
        <v>3590.7</v>
      </c>
      <c r="S535">
        <v>1127.6199999999999</v>
      </c>
      <c r="T535">
        <v>47825.93</v>
      </c>
      <c r="U535">
        <v>31220.36</v>
      </c>
      <c r="V535">
        <v>14675.76</v>
      </c>
      <c r="W535">
        <v>14702.09</v>
      </c>
      <c r="X535">
        <v>58884.85</v>
      </c>
      <c r="Y535">
        <v>47414.26</v>
      </c>
    </row>
    <row r="536" spans="1:25" x14ac:dyDescent="0.25">
      <c r="A536" t="s">
        <v>583</v>
      </c>
      <c r="B536" s="1">
        <v>45077</v>
      </c>
      <c r="C536">
        <v>2023</v>
      </c>
      <c r="D536">
        <v>5</v>
      </c>
      <c r="E536" t="s">
        <v>468</v>
      </c>
      <c r="F536" t="s">
        <v>358</v>
      </c>
      <c r="G536" t="s">
        <v>35</v>
      </c>
      <c r="H536" t="s">
        <v>36</v>
      </c>
      <c r="I536" t="s">
        <v>65</v>
      </c>
      <c r="J536">
        <v>32</v>
      </c>
      <c r="K536">
        <v>1474.23</v>
      </c>
      <c r="L536">
        <v>47175.25</v>
      </c>
      <c r="M536">
        <v>26696.15</v>
      </c>
      <c r="N536">
        <v>6121.75</v>
      </c>
      <c r="O536">
        <v>2176.37</v>
      </c>
      <c r="P536">
        <v>1651.19</v>
      </c>
      <c r="Q536">
        <v>316.32</v>
      </c>
      <c r="R536">
        <v>3010.35</v>
      </c>
      <c r="S536">
        <v>1068.05</v>
      </c>
      <c r="T536">
        <v>41040.19</v>
      </c>
      <c r="U536">
        <v>20479.099999999999</v>
      </c>
      <c r="V536">
        <v>6135.06</v>
      </c>
      <c r="W536">
        <v>6027.74</v>
      </c>
      <c r="X536">
        <v>49892.54</v>
      </c>
      <c r="Y536">
        <v>39042.99</v>
      </c>
    </row>
    <row r="537" spans="1:25" x14ac:dyDescent="0.25">
      <c r="A537" t="s">
        <v>584</v>
      </c>
      <c r="B537" s="1">
        <v>45078</v>
      </c>
      <c r="C537">
        <v>2023</v>
      </c>
      <c r="D537">
        <v>6</v>
      </c>
      <c r="E537" t="s">
        <v>585</v>
      </c>
      <c r="F537" t="s">
        <v>358</v>
      </c>
      <c r="G537" t="s">
        <v>28</v>
      </c>
      <c r="H537" t="s">
        <v>32</v>
      </c>
      <c r="I537" t="s">
        <v>56</v>
      </c>
      <c r="J537">
        <v>39</v>
      </c>
      <c r="K537">
        <v>1062.18</v>
      </c>
      <c r="L537">
        <v>41425.089999999997</v>
      </c>
      <c r="M537">
        <v>20575.21</v>
      </c>
      <c r="N537">
        <v>4875.33</v>
      </c>
      <c r="O537">
        <v>1392.33</v>
      </c>
      <c r="P537">
        <v>1234.74</v>
      </c>
      <c r="Q537">
        <v>216.25</v>
      </c>
      <c r="R537">
        <v>1192.9100000000001</v>
      </c>
      <c r="S537">
        <v>821.33</v>
      </c>
      <c r="T537">
        <v>30308.11</v>
      </c>
      <c r="U537">
        <v>20849.87</v>
      </c>
      <c r="V537">
        <v>11116.97</v>
      </c>
      <c r="W537">
        <v>10190.370000000001</v>
      </c>
      <c r="X537">
        <v>39330.620000000003</v>
      </c>
      <c r="Y537">
        <v>32162.91</v>
      </c>
    </row>
    <row r="538" spans="1:25" x14ac:dyDescent="0.25">
      <c r="A538" t="s">
        <v>586</v>
      </c>
      <c r="B538" s="1">
        <v>45078</v>
      </c>
      <c r="C538">
        <v>2023</v>
      </c>
      <c r="D538">
        <v>6</v>
      </c>
      <c r="E538" t="s">
        <v>585</v>
      </c>
      <c r="F538" t="s">
        <v>358</v>
      </c>
      <c r="G538" t="s">
        <v>44</v>
      </c>
      <c r="H538" t="s">
        <v>29</v>
      </c>
      <c r="I538" t="s">
        <v>50</v>
      </c>
      <c r="J538">
        <v>49</v>
      </c>
      <c r="K538">
        <v>804.15</v>
      </c>
      <c r="L538">
        <v>39403.42</v>
      </c>
      <c r="M538">
        <v>20870.05</v>
      </c>
      <c r="N538">
        <v>2908.49</v>
      </c>
      <c r="O538">
        <v>2844.91</v>
      </c>
      <c r="P538">
        <v>780.7</v>
      </c>
      <c r="Q538">
        <v>431.74</v>
      </c>
      <c r="R538">
        <v>1389.68</v>
      </c>
      <c r="S538">
        <v>607.92999999999995</v>
      </c>
      <c r="T538">
        <v>29833.5</v>
      </c>
      <c r="U538">
        <v>18533.37</v>
      </c>
      <c r="V538">
        <v>9569.92</v>
      </c>
      <c r="W538">
        <v>9607.52</v>
      </c>
      <c r="X538">
        <v>42526.45</v>
      </c>
      <c r="Y538">
        <v>32775.78</v>
      </c>
    </row>
    <row r="539" spans="1:25" x14ac:dyDescent="0.25">
      <c r="A539" t="s">
        <v>587</v>
      </c>
      <c r="B539" s="1">
        <v>45078</v>
      </c>
      <c r="C539">
        <v>2023</v>
      </c>
      <c r="D539">
        <v>6</v>
      </c>
      <c r="E539" t="s">
        <v>585</v>
      </c>
      <c r="F539" t="s">
        <v>358</v>
      </c>
      <c r="G539" t="s">
        <v>28</v>
      </c>
      <c r="H539" t="s">
        <v>29</v>
      </c>
      <c r="I539" t="s">
        <v>37</v>
      </c>
      <c r="J539">
        <v>48</v>
      </c>
      <c r="K539">
        <v>1757.94</v>
      </c>
      <c r="L539">
        <v>84380.99</v>
      </c>
      <c r="M539">
        <v>46339.83</v>
      </c>
      <c r="N539">
        <v>8635.9500000000007</v>
      </c>
      <c r="O539">
        <v>4047.16</v>
      </c>
      <c r="P539">
        <v>3676.41</v>
      </c>
      <c r="Q539">
        <v>602.84</v>
      </c>
      <c r="R539">
        <v>3307.75</v>
      </c>
      <c r="S539">
        <v>851.11</v>
      </c>
      <c r="T539">
        <v>67461.05</v>
      </c>
      <c r="U539">
        <v>38041.160000000003</v>
      </c>
      <c r="V539">
        <v>16919.939999999999</v>
      </c>
      <c r="W539">
        <v>15131.09</v>
      </c>
      <c r="X539">
        <v>92881.74</v>
      </c>
      <c r="Y539">
        <v>64221.5</v>
      </c>
    </row>
    <row r="540" spans="1:25" x14ac:dyDescent="0.25">
      <c r="A540" t="s">
        <v>588</v>
      </c>
      <c r="B540" s="1">
        <v>45078</v>
      </c>
      <c r="C540">
        <v>2023</v>
      </c>
      <c r="D540">
        <v>6</v>
      </c>
      <c r="E540" t="s">
        <v>585</v>
      </c>
      <c r="F540" t="s">
        <v>358</v>
      </c>
      <c r="G540" t="s">
        <v>55</v>
      </c>
      <c r="H540" t="s">
        <v>32</v>
      </c>
      <c r="I540" t="s">
        <v>50</v>
      </c>
      <c r="J540">
        <v>66</v>
      </c>
      <c r="K540">
        <v>1198.0899999999999</v>
      </c>
      <c r="L540">
        <v>79074.080000000002</v>
      </c>
      <c r="M540">
        <v>53029.33</v>
      </c>
      <c r="N540">
        <v>7799.69</v>
      </c>
      <c r="O540">
        <v>4024.16</v>
      </c>
      <c r="P540">
        <v>2966.15</v>
      </c>
      <c r="Q540">
        <v>1347.93</v>
      </c>
      <c r="R540">
        <v>2739.33</v>
      </c>
      <c r="S540">
        <v>1404.29</v>
      </c>
      <c r="T540">
        <v>73310.87</v>
      </c>
      <c r="U540">
        <v>26044.75</v>
      </c>
      <c r="V540">
        <v>5763.21</v>
      </c>
      <c r="W540">
        <v>5391.3</v>
      </c>
      <c r="X540">
        <v>76623.460000000006</v>
      </c>
      <c r="Y540">
        <v>76767.53</v>
      </c>
    </row>
    <row r="541" spans="1:25" x14ac:dyDescent="0.25">
      <c r="A541" t="s">
        <v>589</v>
      </c>
      <c r="B541" s="1">
        <v>45079</v>
      </c>
      <c r="C541">
        <v>2023</v>
      </c>
      <c r="D541">
        <v>6</v>
      </c>
      <c r="E541" t="s">
        <v>585</v>
      </c>
      <c r="F541" t="s">
        <v>358</v>
      </c>
      <c r="G541" t="s">
        <v>44</v>
      </c>
      <c r="H541" t="s">
        <v>36</v>
      </c>
      <c r="I541" t="s">
        <v>50</v>
      </c>
      <c r="J541">
        <v>40</v>
      </c>
      <c r="K541">
        <v>900.61</v>
      </c>
      <c r="L541">
        <v>36024.230000000003</v>
      </c>
      <c r="M541">
        <v>17808.22</v>
      </c>
      <c r="N541">
        <v>3110.41</v>
      </c>
      <c r="O541">
        <v>1932.31</v>
      </c>
      <c r="P541">
        <v>1000.1</v>
      </c>
      <c r="Q541">
        <v>379.51</v>
      </c>
      <c r="R541">
        <v>1247.23</v>
      </c>
      <c r="S541">
        <v>611.94000000000005</v>
      </c>
      <c r="T541">
        <v>26089.72</v>
      </c>
      <c r="U541">
        <v>18216.009999999998</v>
      </c>
      <c r="V541">
        <v>9934.51</v>
      </c>
      <c r="W541">
        <v>9036.7999999999993</v>
      </c>
      <c r="X541">
        <v>35085.25</v>
      </c>
      <c r="Y541">
        <v>25030.17</v>
      </c>
    </row>
    <row r="542" spans="1:25" x14ac:dyDescent="0.25">
      <c r="A542" t="s">
        <v>590</v>
      </c>
      <c r="B542" s="1">
        <v>45079</v>
      </c>
      <c r="C542">
        <v>2023</v>
      </c>
      <c r="D542">
        <v>6</v>
      </c>
      <c r="E542" t="s">
        <v>585</v>
      </c>
      <c r="F542" t="s">
        <v>358</v>
      </c>
      <c r="G542" t="s">
        <v>55</v>
      </c>
      <c r="H542" t="s">
        <v>32</v>
      </c>
      <c r="I542" t="s">
        <v>30</v>
      </c>
      <c r="J542">
        <v>118</v>
      </c>
      <c r="K542">
        <v>996.55</v>
      </c>
      <c r="L542">
        <v>117592.7</v>
      </c>
      <c r="M542">
        <v>71629</v>
      </c>
      <c r="N542">
        <v>13977.42</v>
      </c>
      <c r="O542">
        <v>8469.67</v>
      </c>
      <c r="P542">
        <v>3605.75</v>
      </c>
      <c r="Q542">
        <v>1841.82</v>
      </c>
      <c r="R542">
        <v>3657.55</v>
      </c>
      <c r="S542">
        <v>1511.52</v>
      </c>
      <c r="T542">
        <v>104692.72</v>
      </c>
      <c r="U542">
        <v>45963.7</v>
      </c>
      <c r="V542">
        <v>12899.98</v>
      </c>
      <c r="W542">
        <v>12824.06</v>
      </c>
      <c r="X542">
        <v>124638.02</v>
      </c>
      <c r="Y542">
        <v>114692.35</v>
      </c>
    </row>
    <row r="543" spans="1:25" x14ac:dyDescent="0.25">
      <c r="A543" t="s">
        <v>591</v>
      </c>
      <c r="B543" s="1">
        <v>45079</v>
      </c>
      <c r="C543">
        <v>2023</v>
      </c>
      <c r="D543">
        <v>6</v>
      </c>
      <c r="E543" t="s">
        <v>585</v>
      </c>
      <c r="F543" t="s">
        <v>358</v>
      </c>
      <c r="G543" t="s">
        <v>44</v>
      </c>
      <c r="H543" t="s">
        <v>32</v>
      </c>
      <c r="I543" t="s">
        <v>45</v>
      </c>
      <c r="J543">
        <v>68</v>
      </c>
      <c r="K543">
        <v>801.49</v>
      </c>
      <c r="L543">
        <v>54501.3</v>
      </c>
      <c r="M543">
        <v>34000.53</v>
      </c>
      <c r="N543">
        <v>5048.51</v>
      </c>
      <c r="O543">
        <v>1799.96</v>
      </c>
      <c r="P543">
        <v>858.6</v>
      </c>
      <c r="Q543">
        <v>698.5</v>
      </c>
      <c r="R543">
        <v>3466.95</v>
      </c>
      <c r="S543">
        <v>471.05</v>
      </c>
      <c r="T543">
        <v>46344.11</v>
      </c>
      <c r="U543">
        <v>20500.77</v>
      </c>
      <c r="V543">
        <v>8157.19</v>
      </c>
      <c r="W543">
        <v>7798.18</v>
      </c>
      <c r="X543">
        <v>51716.75</v>
      </c>
      <c r="Y543">
        <v>48399.41</v>
      </c>
    </row>
    <row r="544" spans="1:25" x14ac:dyDescent="0.25">
      <c r="A544" t="s">
        <v>592</v>
      </c>
      <c r="B544" s="1">
        <v>45080</v>
      </c>
      <c r="C544">
        <v>2023</v>
      </c>
      <c r="D544">
        <v>6</v>
      </c>
      <c r="E544" t="s">
        <v>585</v>
      </c>
      <c r="F544" t="s">
        <v>358</v>
      </c>
      <c r="G544" t="s">
        <v>35</v>
      </c>
      <c r="H544" t="s">
        <v>29</v>
      </c>
      <c r="I544" t="s">
        <v>37</v>
      </c>
      <c r="J544">
        <v>59</v>
      </c>
      <c r="K544">
        <v>902.81</v>
      </c>
      <c r="L544">
        <v>53265.98</v>
      </c>
      <c r="M544">
        <v>28980.43</v>
      </c>
      <c r="N544">
        <v>6738.77</v>
      </c>
      <c r="O544">
        <v>3540.93</v>
      </c>
      <c r="P544">
        <v>1037.6199999999999</v>
      </c>
      <c r="Q544">
        <v>345.74</v>
      </c>
      <c r="R544">
        <v>2412.35</v>
      </c>
      <c r="S544">
        <v>772.4</v>
      </c>
      <c r="T544">
        <v>43828.26</v>
      </c>
      <c r="U544">
        <v>24285.54</v>
      </c>
      <c r="V544">
        <v>9437.7199999999993</v>
      </c>
      <c r="W544">
        <v>8569.83</v>
      </c>
      <c r="X544">
        <v>53071.92</v>
      </c>
      <c r="Y544">
        <v>43968.74</v>
      </c>
    </row>
    <row r="545" spans="1:25" x14ac:dyDescent="0.25">
      <c r="A545" t="s">
        <v>593</v>
      </c>
      <c r="B545" s="1">
        <v>45080</v>
      </c>
      <c r="C545">
        <v>2023</v>
      </c>
      <c r="D545">
        <v>6</v>
      </c>
      <c r="E545" t="s">
        <v>585</v>
      </c>
      <c r="F545" t="s">
        <v>358</v>
      </c>
      <c r="G545" t="s">
        <v>55</v>
      </c>
      <c r="H545" t="s">
        <v>53</v>
      </c>
      <c r="I545" t="s">
        <v>37</v>
      </c>
      <c r="J545">
        <v>60</v>
      </c>
      <c r="K545">
        <v>1081.6500000000001</v>
      </c>
      <c r="L545">
        <v>64899.23</v>
      </c>
      <c r="M545">
        <v>40208</v>
      </c>
      <c r="N545">
        <v>4616.18</v>
      </c>
      <c r="O545">
        <v>4469.01</v>
      </c>
      <c r="P545">
        <v>1308.23</v>
      </c>
      <c r="Q545">
        <v>808.54</v>
      </c>
      <c r="R545">
        <v>2360.96</v>
      </c>
      <c r="S545">
        <v>1075.42</v>
      </c>
      <c r="T545">
        <v>54846.34</v>
      </c>
      <c r="U545">
        <v>24691.23</v>
      </c>
      <c r="V545">
        <v>10052.89</v>
      </c>
      <c r="W545">
        <v>9199.15</v>
      </c>
      <c r="X545">
        <v>60674.67</v>
      </c>
      <c r="Y545">
        <v>55997.39</v>
      </c>
    </row>
    <row r="546" spans="1:25" x14ac:dyDescent="0.25">
      <c r="A546" t="s">
        <v>594</v>
      </c>
      <c r="B546" s="1">
        <v>45080</v>
      </c>
      <c r="C546">
        <v>2023</v>
      </c>
      <c r="D546">
        <v>6</v>
      </c>
      <c r="E546" t="s">
        <v>585</v>
      </c>
      <c r="F546" t="s">
        <v>358</v>
      </c>
      <c r="G546" t="s">
        <v>28</v>
      </c>
      <c r="H546" t="s">
        <v>36</v>
      </c>
      <c r="I546" t="s">
        <v>37</v>
      </c>
      <c r="J546">
        <v>49</v>
      </c>
      <c r="K546">
        <v>1392.32</v>
      </c>
      <c r="L546">
        <v>68223.7</v>
      </c>
      <c r="M546">
        <v>35688.57</v>
      </c>
      <c r="N546">
        <v>5818.22</v>
      </c>
      <c r="O546">
        <v>3311.88</v>
      </c>
      <c r="P546">
        <v>2742.42</v>
      </c>
      <c r="Q546">
        <v>944.46</v>
      </c>
      <c r="R546">
        <v>2298.35</v>
      </c>
      <c r="S546">
        <v>889.09</v>
      </c>
      <c r="T546">
        <v>51693</v>
      </c>
      <c r="U546">
        <v>32535.13</v>
      </c>
      <c r="V546">
        <v>16530.7</v>
      </c>
      <c r="W546">
        <v>16820.310000000001</v>
      </c>
      <c r="X546">
        <v>76184.289999999994</v>
      </c>
      <c r="Y546">
        <v>56095.01</v>
      </c>
    </row>
    <row r="547" spans="1:25" x14ac:dyDescent="0.25">
      <c r="A547" t="s">
        <v>595</v>
      </c>
      <c r="B547" s="1">
        <v>45080</v>
      </c>
      <c r="C547">
        <v>2023</v>
      </c>
      <c r="D547">
        <v>6</v>
      </c>
      <c r="E547" t="s">
        <v>585</v>
      </c>
      <c r="F547" t="s">
        <v>358</v>
      </c>
      <c r="G547" t="s">
        <v>28</v>
      </c>
      <c r="H547" t="s">
        <v>29</v>
      </c>
      <c r="I547" t="s">
        <v>50</v>
      </c>
      <c r="J547">
        <v>82</v>
      </c>
      <c r="K547">
        <v>814.44</v>
      </c>
      <c r="L547">
        <v>66784.31</v>
      </c>
      <c r="M547">
        <v>40866.31</v>
      </c>
      <c r="N547">
        <v>6187</v>
      </c>
      <c r="O547">
        <v>3173.34</v>
      </c>
      <c r="P547">
        <v>1335.43</v>
      </c>
      <c r="Q547">
        <v>408.63</v>
      </c>
      <c r="R547">
        <v>4075.33</v>
      </c>
      <c r="S547">
        <v>703.53</v>
      </c>
      <c r="T547">
        <v>56749.56</v>
      </c>
      <c r="U547">
        <v>25918</v>
      </c>
      <c r="V547">
        <v>10034.75</v>
      </c>
      <c r="W547">
        <v>10062.43</v>
      </c>
      <c r="X547">
        <v>71846.17</v>
      </c>
      <c r="Y547">
        <v>54681.440000000002</v>
      </c>
    </row>
    <row r="548" spans="1:25" x14ac:dyDescent="0.25">
      <c r="A548" t="s">
        <v>596</v>
      </c>
      <c r="B548" s="1">
        <v>45080</v>
      </c>
      <c r="C548">
        <v>2023</v>
      </c>
      <c r="D548">
        <v>6</v>
      </c>
      <c r="E548" t="s">
        <v>585</v>
      </c>
      <c r="F548" t="s">
        <v>358</v>
      </c>
      <c r="G548" t="s">
        <v>35</v>
      </c>
      <c r="H548" t="s">
        <v>53</v>
      </c>
      <c r="I548" t="s">
        <v>30</v>
      </c>
      <c r="J548">
        <v>61</v>
      </c>
      <c r="K548">
        <v>1412.39</v>
      </c>
      <c r="L548">
        <v>86155.58</v>
      </c>
      <c r="M548">
        <v>57144.34</v>
      </c>
      <c r="N548">
        <v>6442.43</v>
      </c>
      <c r="O548">
        <v>4945</v>
      </c>
      <c r="P548">
        <v>1774.54</v>
      </c>
      <c r="Q548">
        <v>1113.5</v>
      </c>
      <c r="R548">
        <v>5231.21</v>
      </c>
      <c r="S548">
        <v>782.45</v>
      </c>
      <c r="T548">
        <v>77433.48</v>
      </c>
      <c r="U548">
        <v>29011.24</v>
      </c>
      <c r="V548">
        <v>8722.11</v>
      </c>
      <c r="W548">
        <v>7842.82</v>
      </c>
      <c r="X548">
        <v>91760.89</v>
      </c>
      <c r="Y548">
        <v>82281.78</v>
      </c>
    </row>
    <row r="549" spans="1:25" x14ac:dyDescent="0.25">
      <c r="A549" t="s">
        <v>597</v>
      </c>
      <c r="B549" s="1">
        <v>45080</v>
      </c>
      <c r="C549">
        <v>2023</v>
      </c>
      <c r="D549">
        <v>6</v>
      </c>
      <c r="E549" t="s">
        <v>585</v>
      </c>
      <c r="F549" t="s">
        <v>358</v>
      </c>
      <c r="G549" t="s">
        <v>44</v>
      </c>
      <c r="H549" t="s">
        <v>32</v>
      </c>
      <c r="I549" t="s">
        <v>65</v>
      </c>
      <c r="J549">
        <v>57</v>
      </c>
      <c r="K549">
        <v>1413.79</v>
      </c>
      <c r="L549">
        <v>80585.759999999995</v>
      </c>
      <c r="M549">
        <v>43612.3</v>
      </c>
      <c r="N549">
        <v>6805.75</v>
      </c>
      <c r="O549">
        <v>5226.03</v>
      </c>
      <c r="P549">
        <v>2485.23</v>
      </c>
      <c r="Q549">
        <v>926.59</v>
      </c>
      <c r="R549">
        <v>4131.96</v>
      </c>
      <c r="S549">
        <v>1133.99</v>
      </c>
      <c r="T549">
        <v>64321.86</v>
      </c>
      <c r="U549">
        <v>36973.449999999997</v>
      </c>
      <c r="V549">
        <v>16263.9</v>
      </c>
      <c r="W549">
        <v>14863.74</v>
      </c>
      <c r="X549">
        <v>89847.75</v>
      </c>
      <c r="Y549">
        <v>62464.1</v>
      </c>
    </row>
    <row r="550" spans="1:25" x14ac:dyDescent="0.25">
      <c r="A550" t="s">
        <v>598</v>
      </c>
      <c r="B550" s="1">
        <v>45080</v>
      </c>
      <c r="C550">
        <v>2023</v>
      </c>
      <c r="D550">
        <v>6</v>
      </c>
      <c r="E550" t="s">
        <v>585</v>
      </c>
      <c r="F550" t="s">
        <v>358</v>
      </c>
      <c r="G550" t="s">
        <v>28</v>
      </c>
      <c r="H550" t="s">
        <v>29</v>
      </c>
      <c r="I550" t="s">
        <v>56</v>
      </c>
      <c r="J550">
        <v>35</v>
      </c>
      <c r="K550">
        <v>1062.72</v>
      </c>
      <c r="L550">
        <v>37195.089999999997</v>
      </c>
      <c r="M550">
        <v>25094.799999999999</v>
      </c>
      <c r="N550">
        <v>2920.91</v>
      </c>
      <c r="O550">
        <v>1038.04</v>
      </c>
      <c r="P550">
        <v>1063.77</v>
      </c>
      <c r="Q550">
        <v>588.29</v>
      </c>
      <c r="R550">
        <v>1588.4</v>
      </c>
      <c r="S550">
        <v>447.3</v>
      </c>
      <c r="T550">
        <v>32741.5</v>
      </c>
      <c r="U550">
        <v>12100.29</v>
      </c>
      <c r="V550">
        <v>4453.59</v>
      </c>
      <c r="W550">
        <v>4218.8</v>
      </c>
      <c r="X550">
        <v>36754.980000000003</v>
      </c>
      <c r="Y550">
        <v>32773.800000000003</v>
      </c>
    </row>
    <row r="551" spans="1:25" x14ac:dyDescent="0.25">
      <c r="A551" t="s">
        <v>599</v>
      </c>
      <c r="B551" s="1">
        <v>45080</v>
      </c>
      <c r="C551">
        <v>2023</v>
      </c>
      <c r="D551">
        <v>6</v>
      </c>
      <c r="E551" t="s">
        <v>585</v>
      </c>
      <c r="F551" t="s">
        <v>358</v>
      </c>
      <c r="G551" t="s">
        <v>35</v>
      </c>
      <c r="H551" t="s">
        <v>58</v>
      </c>
      <c r="I551" t="s">
        <v>30</v>
      </c>
      <c r="J551">
        <v>63</v>
      </c>
      <c r="K551">
        <v>1409.29</v>
      </c>
      <c r="L551">
        <v>88785.05</v>
      </c>
      <c r="M551">
        <v>54180.26</v>
      </c>
      <c r="N551">
        <v>9746.48</v>
      </c>
      <c r="O551">
        <v>4741.63</v>
      </c>
      <c r="P551">
        <v>3545.25</v>
      </c>
      <c r="Q551">
        <v>1558.82</v>
      </c>
      <c r="R551">
        <v>4128.5200000000004</v>
      </c>
      <c r="S551">
        <v>967.28</v>
      </c>
      <c r="T551">
        <v>78868.23</v>
      </c>
      <c r="U551">
        <v>34604.79</v>
      </c>
      <c r="V551">
        <v>9916.82</v>
      </c>
      <c r="W551">
        <v>8771.98</v>
      </c>
      <c r="X551">
        <v>93796.43</v>
      </c>
      <c r="Y551">
        <v>78358.429999999993</v>
      </c>
    </row>
    <row r="552" spans="1:25" x14ac:dyDescent="0.25">
      <c r="A552" t="s">
        <v>600</v>
      </c>
      <c r="B552" s="1">
        <v>45081</v>
      </c>
      <c r="C552">
        <v>2023</v>
      </c>
      <c r="D552">
        <v>6</v>
      </c>
      <c r="E552" t="s">
        <v>585</v>
      </c>
      <c r="F552" t="s">
        <v>358</v>
      </c>
      <c r="G552" t="s">
        <v>28</v>
      </c>
      <c r="H552" t="s">
        <v>32</v>
      </c>
      <c r="I552" t="s">
        <v>65</v>
      </c>
      <c r="J552">
        <v>63</v>
      </c>
      <c r="K552">
        <v>1447.02</v>
      </c>
      <c r="L552">
        <v>91162.36</v>
      </c>
      <c r="M552">
        <v>60377.9</v>
      </c>
      <c r="N552">
        <v>11100.33</v>
      </c>
      <c r="O552">
        <v>2290.59</v>
      </c>
      <c r="P552">
        <v>3198.49</v>
      </c>
      <c r="Q552">
        <v>1005.72</v>
      </c>
      <c r="R552">
        <v>2842.2</v>
      </c>
      <c r="S552">
        <v>2044.05</v>
      </c>
      <c r="T552">
        <v>82859.28</v>
      </c>
      <c r="U552">
        <v>30784.46</v>
      </c>
      <c r="V552">
        <v>8303.07</v>
      </c>
      <c r="W552">
        <v>8202.51</v>
      </c>
      <c r="X552">
        <v>94979.75</v>
      </c>
      <c r="Y552">
        <v>88154.53</v>
      </c>
    </row>
    <row r="553" spans="1:25" x14ac:dyDescent="0.25">
      <c r="A553" t="s">
        <v>601</v>
      </c>
      <c r="B553" s="1">
        <v>45081</v>
      </c>
      <c r="C553">
        <v>2023</v>
      </c>
      <c r="D553">
        <v>6</v>
      </c>
      <c r="E553" t="s">
        <v>585</v>
      </c>
      <c r="F553" t="s">
        <v>358</v>
      </c>
      <c r="G553" t="s">
        <v>55</v>
      </c>
      <c r="H553" t="s">
        <v>29</v>
      </c>
      <c r="I553" t="s">
        <v>50</v>
      </c>
      <c r="J553">
        <v>41</v>
      </c>
      <c r="K553">
        <v>1352.46</v>
      </c>
      <c r="L553">
        <v>55451.05</v>
      </c>
      <c r="M553">
        <v>34699.599999999999</v>
      </c>
      <c r="N553">
        <v>7091.34</v>
      </c>
      <c r="O553">
        <v>2080.87</v>
      </c>
      <c r="P553">
        <v>2142.52</v>
      </c>
      <c r="Q553">
        <v>417.05</v>
      </c>
      <c r="R553">
        <v>1824.63</v>
      </c>
      <c r="S553">
        <v>798.41</v>
      </c>
      <c r="T553">
        <v>49054.42</v>
      </c>
      <c r="U553">
        <v>20751.46</v>
      </c>
      <c r="V553">
        <v>6396.64</v>
      </c>
      <c r="W553">
        <v>6393.97</v>
      </c>
      <c r="X553">
        <v>58890.96</v>
      </c>
      <c r="Y553">
        <v>50579.73</v>
      </c>
    </row>
    <row r="554" spans="1:25" x14ac:dyDescent="0.25">
      <c r="A554" t="s">
        <v>602</v>
      </c>
      <c r="B554" s="1">
        <v>45081</v>
      </c>
      <c r="C554">
        <v>2023</v>
      </c>
      <c r="D554">
        <v>6</v>
      </c>
      <c r="E554" t="s">
        <v>585</v>
      </c>
      <c r="F554" t="s">
        <v>358</v>
      </c>
      <c r="G554" t="s">
        <v>28</v>
      </c>
      <c r="H554" t="s">
        <v>32</v>
      </c>
      <c r="I554" t="s">
        <v>30</v>
      </c>
      <c r="J554">
        <v>78</v>
      </c>
      <c r="K554">
        <v>1338.13</v>
      </c>
      <c r="L554">
        <v>104373.84</v>
      </c>
      <c r="M554">
        <v>63786</v>
      </c>
      <c r="N554">
        <v>13432.68</v>
      </c>
      <c r="O554">
        <v>6490.6</v>
      </c>
      <c r="P554">
        <v>4079.89</v>
      </c>
      <c r="Q554">
        <v>1164.08</v>
      </c>
      <c r="R554">
        <v>5706.66</v>
      </c>
      <c r="S554">
        <v>1424.89</v>
      </c>
      <c r="T554">
        <v>96084.800000000003</v>
      </c>
      <c r="U554">
        <v>40587.83</v>
      </c>
      <c r="V554">
        <v>8289.0400000000009</v>
      </c>
      <c r="W554">
        <v>7978.75</v>
      </c>
      <c r="X554">
        <v>98096.11</v>
      </c>
      <c r="Y554">
        <v>102532.54</v>
      </c>
    </row>
    <row r="555" spans="1:25" x14ac:dyDescent="0.25">
      <c r="A555" t="s">
        <v>603</v>
      </c>
      <c r="B555" s="1">
        <v>45082</v>
      </c>
      <c r="C555">
        <v>2023</v>
      </c>
      <c r="D555">
        <v>6</v>
      </c>
      <c r="E555" t="s">
        <v>585</v>
      </c>
      <c r="F555" t="s">
        <v>358</v>
      </c>
      <c r="G555" t="s">
        <v>28</v>
      </c>
      <c r="H555" t="s">
        <v>32</v>
      </c>
      <c r="I555" t="s">
        <v>37</v>
      </c>
      <c r="J555">
        <v>60</v>
      </c>
      <c r="K555">
        <v>1202.2</v>
      </c>
      <c r="L555">
        <v>72132.13</v>
      </c>
      <c r="M555">
        <v>48761.04</v>
      </c>
      <c r="N555">
        <v>5049.67</v>
      </c>
      <c r="O555">
        <v>5136.3999999999996</v>
      </c>
      <c r="P555">
        <v>1641.93</v>
      </c>
      <c r="Q555">
        <v>1263.55</v>
      </c>
      <c r="R555">
        <v>1991.43</v>
      </c>
      <c r="S555">
        <v>1588.49</v>
      </c>
      <c r="T555">
        <v>65432.52</v>
      </c>
      <c r="U555">
        <v>23371.09</v>
      </c>
      <c r="V555">
        <v>6699.62</v>
      </c>
      <c r="W555">
        <v>6345.09</v>
      </c>
      <c r="X555">
        <v>76277.88</v>
      </c>
      <c r="Y555">
        <v>70746.559999999998</v>
      </c>
    </row>
    <row r="556" spans="1:25" x14ac:dyDescent="0.25">
      <c r="A556" t="s">
        <v>604</v>
      </c>
      <c r="B556" s="1">
        <v>45082</v>
      </c>
      <c r="C556">
        <v>2023</v>
      </c>
      <c r="D556">
        <v>6</v>
      </c>
      <c r="E556" t="s">
        <v>585</v>
      </c>
      <c r="F556" t="s">
        <v>358</v>
      </c>
      <c r="G556" t="s">
        <v>28</v>
      </c>
      <c r="H556" t="s">
        <v>36</v>
      </c>
      <c r="I556" t="s">
        <v>33</v>
      </c>
      <c r="J556">
        <v>72</v>
      </c>
      <c r="K556">
        <v>1245.43</v>
      </c>
      <c r="L556">
        <v>89670.97</v>
      </c>
      <c r="M556">
        <v>54815.839999999997</v>
      </c>
      <c r="N556">
        <v>6436.41</v>
      </c>
      <c r="O556">
        <v>3602.26</v>
      </c>
      <c r="P556">
        <v>3040.69</v>
      </c>
      <c r="Q556">
        <v>1224.76</v>
      </c>
      <c r="R556">
        <v>2470.5700000000002</v>
      </c>
      <c r="S556">
        <v>1925.44</v>
      </c>
      <c r="T556">
        <v>73515.960000000006</v>
      </c>
      <c r="U556">
        <v>34855.14</v>
      </c>
      <c r="V556">
        <v>16155.01</v>
      </c>
      <c r="W556">
        <v>16069.9</v>
      </c>
      <c r="X556">
        <v>98404.15</v>
      </c>
      <c r="Y556">
        <v>76201.11</v>
      </c>
    </row>
    <row r="557" spans="1:25" x14ac:dyDescent="0.25">
      <c r="A557" t="s">
        <v>605</v>
      </c>
      <c r="B557" s="1">
        <v>45082</v>
      </c>
      <c r="C557">
        <v>2023</v>
      </c>
      <c r="D557">
        <v>6</v>
      </c>
      <c r="E557" t="s">
        <v>585</v>
      </c>
      <c r="F557" t="s">
        <v>358</v>
      </c>
      <c r="G557" t="s">
        <v>35</v>
      </c>
      <c r="H557" t="s">
        <v>53</v>
      </c>
      <c r="I557" t="s">
        <v>37</v>
      </c>
      <c r="J557">
        <v>56</v>
      </c>
      <c r="K557">
        <v>1022.59</v>
      </c>
      <c r="L557">
        <v>57265.18</v>
      </c>
      <c r="M557">
        <v>28378.6</v>
      </c>
      <c r="N557">
        <v>6518.35</v>
      </c>
      <c r="O557">
        <v>2946.6</v>
      </c>
      <c r="P557">
        <v>1107.76</v>
      </c>
      <c r="Q557">
        <v>613.04</v>
      </c>
      <c r="R557">
        <v>3684.66</v>
      </c>
      <c r="S557">
        <v>1165.29</v>
      </c>
      <c r="T557">
        <v>44414.3</v>
      </c>
      <c r="U557">
        <v>28886.58</v>
      </c>
      <c r="V557">
        <v>12850.88</v>
      </c>
      <c r="W557">
        <v>12672.72</v>
      </c>
      <c r="X557">
        <v>60168.12</v>
      </c>
      <c r="Y557">
        <v>46627.86</v>
      </c>
    </row>
    <row r="558" spans="1:25" x14ac:dyDescent="0.25">
      <c r="A558" t="s">
        <v>606</v>
      </c>
      <c r="B558" s="1">
        <v>45082</v>
      </c>
      <c r="C558">
        <v>2023</v>
      </c>
      <c r="D558">
        <v>6</v>
      </c>
      <c r="E558" t="s">
        <v>585</v>
      </c>
      <c r="F558" t="s">
        <v>358</v>
      </c>
      <c r="G558" t="s">
        <v>35</v>
      </c>
      <c r="H558" t="s">
        <v>53</v>
      </c>
      <c r="I558" t="s">
        <v>65</v>
      </c>
      <c r="J558">
        <v>28</v>
      </c>
      <c r="K558">
        <v>1797.08</v>
      </c>
      <c r="L558">
        <v>50318.22</v>
      </c>
      <c r="M558">
        <v>24430.67</v>
      </c>
      <c r="N558">
        <v>4398.04</v>
      </c>
      <c r="O558">
        <v>2602.75</v>
      </c>
      <c r="P558">
        <v>1335.42</v>
      </c>
      <c r="Q558">
        <v>383.21</v>
      </c>
      <c r="R558">
        <v>1676.8</v>
      </c>
      <c r="S558">
        <v>439.88</v>
      </c>
      <c r="T558">
        <v>35266.769999999997</v>
      </c>
      <c r="U558">
        <v>25887.55</v>
      </c>
      <c r="V558">
        <v>15051.45</v>
      </c>
      <c r="W558">
        <v>14458.07</v>
      </c>
      <c r="X558">
        <v>54927.77</v>
      </c>
      <c r="Y558">
        <v>36238.22</v>
      </c>
    </row>
    <row r="559" spans="1:25" x14ac:dyDescent="0.25">
      <c r="A559" t="s">
        <v>607</v>
      </c>
      <c r="B559" s="1">
        <v>45082</v>
      </c>
      <c r="C559">
        <v>2023</v>
      </c>
      <c r="D559">
        <v>6</v>
      </c>
      <c r="E559" t="s">
        <v>585</v>
      </c>
      <c r="F559" t="s">
        <v>358</v>
      </c>
      <c r="G559" t="s">
        <v>44</v>
      </c>
      <c r="H559" t="s">
        <v>53</v>
      </c>
      <c r="I559" t="s">
        <v>65</v>
      </c>
      <c r="J559">
        <v>38</v>
      </c>
      <c r="K559">
        <v>1276.23</v>
      </c>
      <c r="L559">
        <v>48496.639999999999</v>
      </c>
      <c r="M559">
        <v>31055.82</v>
      </c>
      <c r="N559">
        <v>5580.45</v>
      </c>
      <c r="O559">
        <v>3571.69</v>
      </c>
      <c r="P559">
        <v>754.07</v>
      </c>
      <c r="Q559">
        <v>461.12</v>
      </c>
      <c r="R559">
        <v>1938.15</v>
      </c>
      <c r="S559">
        <v>926.68</v>
      </c>
      <c r="T559">
        <v>44287.97</v>
      </c>
      <c r="U559">
        <v>17440.82</v>
      </c>
      <c r="V559">
        <v>4208.67</v>
      </c>
      <c r="W559">
        <v>4213.1099999999997</v>
      </c>
      <c r="X559">
        <v>46400.63</v>
      </c>
      <c r="Y559">
        <v>48094.559999999998</v>
      </c>
    </row>
    <row r="560" spans="1:25" x14ac:dyDescent="0.25">
      <c r="A560" t="s">
        <v>608</v>
      </c>
      <c r="B560" s="1">
        <v>45082</v>
      </c>
      <c r="C560">
        <v>2023</v>
      </c>
      <c r="D560">
        <v>6</v>
      </c>
      <c r="E560" t="s">
        <v>585</v>
      </c>
      <c r="F560" t="s">
        <v>358</v>
      </c>
      <c r="G560" t="s">
        <v>28</v>
      </c>
      <c r="H560" t="s">
        <v>36</v>
      </c>
      <c r="I560" t="s">
        <v>30</v>
      </c>
      <c r="J560">
        <v>66</v>
      </c>
      <c r="K560">
        <v>1437.94</v>
      </c>
      <c r="L560">
        <v>94903.9</v>
      </c>
      <c r="M560">
        <v>47051.68</v>
      </c>
      <c r="N560">
        <v>8056.43</v>
      </c>
      <c r="O560">
        <v>3912.67</v>
      </c>
      <c r="P560">
        <v>3198.61</v>
      </c>
      <c r="Q560">
        <v>1523.54</v>
      </c>
      <c r="R560">
        <v>5083.38</v>
      </c>
      <c r="S560">
        <v>1691.72</v>
      </c>
      <c r="T560">
        <v>70518.039999999994</v>
      </c>
      <c r="U560">
        <v>47852.21</v>
      </c>
      <c r="V560">
        <v>24385.86</v>
      </c>
      <c r="W560">
        <v>21790.44</v>
      </c>
      <c r="X560">
        <v>102328.35</v>
      </c>
      <c r="Y560">
        <v>65805.47</v>
      </c>
    </row>
    <row r="561" spans="1:25" x14ac:dyDescent="0.25">
      <c r="A561" t="s">
        <v>609</v>
      </c>
      <c r="B561" s="1">
        <v>45083</v>
      </c>
      <c r="C561">
        <v>2023</v>
      </c>
      <c r="D561">
        <v>6</v>
      </c>
      <c r="E561" t="s">
        <v>585</v>
      </c>
      <c r="F561" t="s">
        <v>358</v>
      </c>
      <c r="G561" t="s">
        <v>28</v>
      </c>
      <c r="H561" t="s">
        <v>36</v>
      </c>
      <c r="I561" t="s">
        <v>37</v>
      </c>
      <c r="J561">
        <v>89</v>
      </c>
      <c r="K561">
        <v>810.69</v>
      </c>
      <c r="L561">
        <v>72151.5</v>
      </c>
      <c r="M561">
        <v>43788.74</v>
      </c>
      <c r="N561">
        <v>9284.58</v>
      </c>
      <c r="O561">
        <v>2050.4499999999998</v>
      </c>
      <c r="P561">
        <v>1229.03</v>
      </c>
      <c r="Q561">
        <v>772.33</v>
      </c>
      <c r="R561">
        <v>1927.99</v>
      </c>
      <c r="S561">
        <v>819.68</v>
      </c>
      <c r="T561">
        <v>59872.800000000003</v>
      </c>
      <c r="U561">
        <v>28362.77</v>
      </c>
      <c r="V561">
        <v>12278.71</v>
      </c>
      <c r="W561">
        <v>12175.1</v>
      </c>
      <c r="X561">
        <v>73744.039999999994</v>
      </c>
      <c r="Y561">
        <v>57122.09</v>
      </c>
    </row>
    <row r="562" spans="1:25" x14ac:dyDescent="0.25">
      <c r="A562" t="s">
        <v>610</v>
      </c>
      <c r="B562" s="1">
        <v>45083</v>
      </c>
      <c r="C562">
        <v>2023</v>
      </c>
      <c r="D562">
        <v>6</v>
      </c>
      <c r="E562" t="s">
        <v>585</v>
      </c>
      <c r="F562" t="s">
        <v>358</v>
      </c>
      <c r="G562" t="s">
        <v>28</v>
      </c>
      <c r="H562" t="s">
        <v>58</v>
      </c>
      <c r="I562" t="s">
        <v>50</v>
      </c>
      <c r="J562">
        <v>34</v>
      </c>
      <c r="K562">
        <v>1355.94</v>
      </c>
      <c r="L562">
        <v>46101.95</v>
      </c>
      <c r="M562">
        <v>22269.66</v>
      </c>
      <c r="N562">
        <v>4065.29</v>
      </c>
      <c r="O562">
        <v>3008</v>
      </c>
      <c r="P562">
        <v>1111.79</v>
      </c>
      <c r="Q562">
        <v>558.07000000000005</v>
      </c>
      <c r="R562">
        <v>2890.67</v>
      </c>
      <c r="S562">
        <v>932.84</v>
      </c>
      <c r="T562">
        <v>34836.33</v>
      </c>
      <c r="U562">
        <v>23832.29</v>
      </c>
      <c r="V562">
        <v>11265.63</v>
      </c>
      <c r="W562">
        <v>10540.83</v>
      </c>
      <c r="X562">
        <v>49860.480000000003</v>
      </c>
      <c r="Y562">
        <v>37956.26</v>
      </c>
    </row>
    <row r="563" spans="1:25" x14ac:dyDescent="0.25">
      <c r="A563" t="s">
        <v>611</v>
      </c>
      <c r="B563" s="1">
        <v>45083</v>
      </c>
      <c r="C563">
        <v>2023</v>
      </c>
      <c r="D563">
        <v>6</v>
      </c>
      <c r="E563" t="s">
        <v>585</v>
      </c>
      <c r="F563" t="s">
        <v>358</v>
      </c>
      <c r="G563" t="s">
        <v>44</v>
      </c>
      <c r="H563" t="s">
        <v>58</v>
      </c>
      <c r="I563" t="s">
        <v>37</v>
      </c>
      <c r="J563">
        <v>38</v>
      </c>
      <c r="K563">
        <v>1611.45</v>
      </c>
      <c r="L563">
        <v>61235.12</v>
      </c>
      <c r="M563">
        <v>38928.36</v>
      </c>
      <c r="N563">
        <v>6535.53</v>
      </c>
      <c r="O563">
        <v>1888.91</v>
      </c>
      <c r="P563">
        <v>2379.09</v>
      </c>
      <c r="Q563">
        <v>605.36</v>
      </c>
      <c r="R563">
        <v>3097.18</v>
      </c>
      <c r="S563">
        <v>1173.6300000000001</v>
      </c>
      <c r="T563">
        <v>54608.05</v>
      </c>
      <c r="U563">
        <v>22306.76</v>
      </c>
      <c r="V563">
        <v>6627.07</v>
      </c>
      <c r="W563">
        <v>5856.09</v>
      </c>
      <c r="X563">
        <v>65454.71</v>
      </c>
      <c r="Y563">
        <v>57557.599999999999</v>
      </c>
    </row>
    <row r="564" spans="1:25" x14ac:dyDescent="0.25">
      <c r="A564" t="s">
        <v>612</v>
      </c>
      <c r="B564" s="1">
        <v>45084</v>
      </c>
      <c r="C564">
        <v>2023</v>
      </c>
      <c r="D564">
        <v>6</v>
      </c>
      <c r="E564" t="s">
        <v>585</v>
      </c>
      <c r="F564" t="s">
        <v>358</v>
      </c>
      <c r="G564" t="s">
        <v>44</v>
      </c>
      <c r="H564" t="s">
        <v>53</v>
      </c>
      <c r="I564" t="s">
        <v>56</v>
      </c>
      <c r="J564">
        <v>34</v>
      </c>
      <c r="K564">
        <v>972.35</v>
      </c>
      <c r="L564">
        <v>33059.94</v>
      </c>
      <c r="M564">
        <v>18662.88</v>
      </c>
      <c r="N564">
        <v>2411.34</v>
      </c>
      <c r="O564">
        <v>1105.06</v>
      </c>
      <c r="P564">
        <v>1383.09</v>
      </c>
      <c r="Q564">
        <v>217.12</v>
      </c>
      <c r="R564">
        <v>1742.37</v>
      </c>
      <c r="S564">
        <v>425.37</v>
      </c>
      <c r="T564">
        <v>25947.22</v>
      </c>
      <c r="U564">
        <v>14397.06</v>
      </c>
      <c r="V564">
        <v>7112.72</v>
      </c>
      <c r="W564">
        <v>6951.54</v>
      </c>
      <c r="X564">
        <v>34245.14</v>
      </c>
      <c r="Y564">
        <v>24278.46</v>
      </c>
    </row>
    <row r="565" spans="1:25" x14ac:dyDescent="0.25">
      <c r="A565" t="s">
        <v>613</v>
      </c>
      <c r="B565" s="1">
        <v>45085</v>
      </c>
      <c r="C565">
        <v>2023</v>
      </c>
      <c r="D565">
        <v>6</v>
      </c>
      <c r="E565" t="s">
        <v>585</v>
      </c>
      <c r="F565" t="s">
        <v>358</v>
      </c>
      <c r="G565" t="s">
        <v>28</v>
      </c>
      <c r="H565" t="s">
        <v>32</v>
      </c>
      <c r="I565" t="s">
        <v>33</v>
      </c>
      <c r="J565">
        <v>64</v>
      </c>
      <c r="K565">
        <v>1492.6</v>
      </c>
      <c r="L565">
        <v>95526.37</v>
      </c>
      <c r="M565">
        <v>62671.839999999997</v>
      </c>
      <c r="N565">
        <v>10628.92</v>
      </c>
      <c r="O565">
        <v>6677.92</v>
      </c>
      <c r="P565">
        <v>3613.62</v>
      </c>
      <c r="Q565">
        <v>1559.73</v>
      </c>
      <c r="R565">
        <v>4388.2</v>
      </c>
      <c r="S565">
        <v>1577.07</v>
      </c>
      <c r="T565">
        <v>91117.31</v>
      </c>
      <c r="U565">
        <v>32854.519999999997</v>
      </c>
      <c r="V565">
        <v>4409.0600000000004</v>
      </c>
      <c r="W565">
        <v>4063.72</v>
      </c>
      <c r="X565">
        <v>92099.63</v>
      </c>
      <c r="Y565">
        <v>85689.27</v>
      </c>
    </row>
    <row r="566" spans="1:25" x14ac:dyDescent="0.25">
      <c r="A566" t="s">
        <v>614</v>
      </c>
      <c r="B566" s="1">
        <v>45085</v>
      </c>
      <c r="C566">
        <v>2023</v>
      </c>
      <c r="D566">
        <v>6</v>
      </c>
      <c r="E566" t="s">
        <v>585</v>
      </c>
      <c r="F566" t="s">
        <v>358</v>
      </c>
      <c r="G566" t="s">
        <v>28</v>
      </c>
      <c r="H566" t="s">
        <v>32</v>
      </c>
      <c r="I566" t="s">
        <v>39</v>
      </c>
      <c r="J566">
        <v>47</v>
      </c>
      <c r="K566">
        <v>1441.56</v>
      </c>
      <c r="L566">
        <v>67753.22</v>
      </c>
      <c r="M566">
        <v>35587.54</v>
      </c>
      <c r="N566">
        <v>6480.83</v>
      </c>
      <c r="O566">
        <v>1960.13</v>
      </c>
      <c r="P566">
        <v>1212.68</v>
      </c>
      <c r="Q566">
        <v>716.12</v>
      </c>
      <c r="R566">
        <v>3066.27</v>
      </c>
      <c r="S566">
        <v>1383.28</v>
      </c>
      <c r="T566">
        <v>50406.86</v>
      </c>
      <c r="U566">
        <v>32165.67</v>
      </c>
      <c r="V566">
        <v>17346.36</v>
      </c>
      <c r="W566">
        <v>16498.310000000001</v>
      </c>
      <c r="X566">
        <v>64704.44</v>
      </c>
      <c r="Y566">
        <v>51216.69</v>
      </c>
    </row>
    <row r="567" spans="1:25" x14ac:dyDescent="0.25">
      <c r="A567" t="s">
        <v>615</v>
      </c>
      <c r="B567" s="1">
        <v>45085</v>
      </c>
      <c r="C567">
        <v>2023</v>
      </c>
      <c r="D567">
        <v>6</v>
      </c>
      <c r="E567" t="s">
        <v>585</v>
      </c>
      <c r="F567" t="s">
        <v>358</v>
      </c>
      <c r="G567" t="s">
        <v>55</v>
      </c>
      <c r="H567" t="s">
        <v>32</v>
      </c>
      <c r="I567" t="s">
        <v>45</v>
      </c>
      <c r="J567">
        <v>63</v>
      </c>
      <c r="K567">
        <v>1047.52</v>
      </c>
      <c r="L567">
        <v>65993.75</v>
      </c>
      <c r="M567">
        <v>36298.120000000003</v>
      </c>
      <c r="N567">
        <v>5262.29</v>
      </c>
      <c r="O567">
        <v>3348.57</v>
      </c>
      <c r="P567">
        <v>1711.95</v>
      </c>
      <c r="Q567">
        <v>915.56</v>
      </c>
      <c r="R567">
        <v>1681.16</v>
      </c>
      <c r="S567">
        <v>584.44000000000005</v>
      </c>
      <c r="T567">
        <v>49802.1</v>
      </c>
      <c r="U567">
        <v>29695.63</v>
      </c>
      <c r="V567">
        <v>16191.65</v>
      </c>
      <c r="W567">
        <v>15964.23</v>
      </c>
      <c r="X567">
        <v>64510.76</v>
      </c>
      <c r="Y567">
        <v>49760.82</v>
      </c>
    </row>
    <row r="568" spans="1:25" x14ac:dyDescent="0.25">
      <c r="A568" t="s">
        <v>616</v>
      </c>
      <c r="B568" s="1">
        <v>45085</v>
      </c>
      <c r="C568">
        <v>2023</v>
      </c>
      <c r="D568">
        <v>6</v>
      </c>
      <c r="E568" t="s">
        <v>585</v>
      </c>
      <c r="F568" t="s">
        <v>358</v>
      </c>
      <c r="G568" t="s">
        <v>35</v>
      </c>
      <c r="H568" t="s">
        <v>29</v>
      </c>
      <c r="I568" t="s">
        <v>65</v>
      </c>
      <c r="J568">
        <v>42</v>
      </c>
      <c r="K568">
        <v>1096.17</v>
      </c>
      <c r="L568">
        <v>46039.07</v>
      </c>
      <c r="M568">
        <v>29223.65</v>
      </c>
      <c r="N568">
        <v>4700.57</v>
      </c>
      <c r="O568">
        <v>3117.44</v>
      </c>
      <c r="P568">
        <v>1529.98</v>
      </c>
      <c r="Q568">
        <v>371.7</v>
      </c>
      <c r="R568">
        <v>2009.73</v>
      </c>
      <c r="S568">
        <v>991.25</v>
      </c>
      <c r="T568">
        <v>41944.32</v>
      </c>
      <c r="U568">
        <v>16815.41</v>
      </c>
      <c r="V568">
        <v>4094.75</v>
      </c>
      <c r="W568">
        <v>3851.55</v>
      </c>
      <c r="X568">
        <v>49218.27</v>
      </c>
      <c r="Y568">
        <v>41485.589999999997</v>
      </c>
    </row>
    <row r="569" spans="1:25" x14ac:dyDescent="0.25">
      <c r="A569" t="s">
        <v>617</v>
      </c>
      <c r="B569" s="1">
        <v>45086</v>
      </c>
      <c r="C569">
        <v>2023</v>
      </c>
      <c r="D569">
        <v>6</v>
      </c>
      <c r="E569" t="s">
        <v>585</v>
      </c>
      <c r="F569" t="s">
        <v>358</v>
      </c>
      <c r="G569" t="s">
        <v>35</v>
      </c>
      <c r="H569" t="s">
        <v>32</v>
      </c>
      <c r="I569" t="s">
        <v>65</v>
      </c>
      <c r="J569">
        <v>48</v>
      </c>
      <c r="K569">
        <v>1347.34</v>
      </c>
      <c r="L569">
        <v>64672.47</v>
      </c>
      <c r="M569">
        <v>33963.67</v>
      </c>
      <c r="N569">
        <v>6686.39</v>
      </c>
      <c r="O569">
        <v>2517.5100000000002</v>
      </c>
      <c r="P569">
        <v>2014.98</v>
      </c>
      <c r="Q569">
        <v>896.17</v>
      </c>
      <c r="R569">
        <v>1767.77</v>
      </c>
      <c r="S569">
        <v>885.19</v>
      </c>
      <c r="T569">
        <v>48731.68</v>
      </c>
      <c r="U569">
        <v>30708.799999999999</v>
      </c>
      <c r="V569">
        <v>15940.79</v>
      </c>
      <c r="W569">
        <v>14075.17</v>
      </c>
      <c r="X569">
        <v>64751.29</v>
      </c>
      <c r="Y569">
        <v>46363.24</v>
      </c>
    </row>
    <row r="570" spans="1:25" x14ac:dyDescent="0.25">
      <c r="A570" t="s">
        <v>618</v>
      </c>
      <c r="B570" s="1">
        <v>45086</v>
      </c>
      <c r="C570">
        <v>2023</v>
      </c>
      <c r="D570">
        <v>6</v>
      </c>
      <c r="E570" t="s">
        <v>585</v>
      </c>
      <c r="F570" t="s">
        <v>358</v>
      </c>
      <c r="G570" t="s">
        <v>35</v>
      </c>
      <c r="H570" t="s">
        <v>53</v>
      </c>
      <c r="I570" t="s">
        <v>50</v>
      </c>
      <c r="J570">
        <v>37</v>
      </c>
      <c r="K570">
        <v>1193.56</v>
      </c>
      <c r="L570">
        <v>44161.81</v>
      </c>
      <c r="M570">
        <v>28366.32</v>
      </c>
      <c r="N570">
        <v>3856.75</v>
      </c>
      <c r="O570">
        <v>1693.58</v>
      </c>
      <c r="P570">
        <v>751.31</v>
      </c>
      <c r="Q570">
        <v>656.43</v>
      </c>
      <c r="R570">
        <v>2057.19</v>
      </c>
      <c r="S570">
        <v>552.95000000000005</v>
      </c>
      <c r="T570">
        <v>37934.519999999997</v>
      </c>
      <c r="U570">
        <v>15795.48</v>
      </c>
      <c r="V570">
        <v>6227.29</v>
      </c>
      <c r="W570">
        <v>6162.89</v>
      </c>
      <c r="X570">
        <v>45506.35</v>
      </c>
      <c r="Y570">
        <v>37181.35</v>
      </c>
    </row>
    <row r="571" spans="1:25" x14ac:dyDescent="0.25">
      <c r="A571" t="s">
        <v>619</v>
      </c>
      <c r="B571" s="1">
        <v>45086</v>
      </c>
      <c r="C571">
        <v>2023</v>
      </c>
      <c r="D571">
        <v>6</v>
      </c>
      <c r="E571" t="s">
        <v>585</v>
      </c>
      <c r="F571" t="s">
        <v>358</v>
      </c>
      <c r="G571" t="s">
        <v>55</v>
      </c>
      <c r="H571" t="s">
        <v>32</v>
      </c>
      <c r="I571" t="s">
        <v>37</v>
      </c>
      <c r="J571">
        <v>75</v>
      </c>
      <c r="K571">
        <v>1418.64</v>
      </c>
      <c r="L571">
        <v>106397.75</v>
      </c>
      <c r="M571">
        <v>68601.58</v>
      </c>
      <c r="N571">
        <v>10051.200000000001</v>
      </c>
      <c r="O571">
        <v>6504.75</v>
      </c>
      <c r="P571">
        <v>2851.44</v>
      </c>
      <c r="Q571">
        <v>1320.97</v>
      </c>
      <c r="R571">
        <v>5535.06</v>
      </c>
      <c r="S571">
        <v>1839.31</v>
      </c>
      <c r="T571">
        <v>96704.31</v>
      </c>
      <c r="U571">
        <v>37796.17</v>
      </c>
      <c r="V571">
        <v>9693.44</v>
      </c>
      <c r="W571">
        <v>9512.68</v>
      </c>
      <c r="X571">
        <v>108068.86</v>
      </c>
      <c r="Y571">
        <v>103214.81</v>
      </c>
    </row>
    <row r="572" spans="1:25" x14ac:dyDescent="0.25">
      <c r="A572" t="s">
        <v>620</v>
      </c>
      <c r="B572" s="1">
        <v>45086</v>
      </c>
      <c r="C572">
        <v>2023</v>
      </c>
      <c r="D572">
        <v>6</v>
      </c>
      <c r="E572" t="s">
        <v>585</v>
      </c>
      <c r="F572" t="s">
        <v>358</v>
      </c>
      <c r="G572" t="s">
        <v>55</v>
      </c>
      <c r="H572" t="s">
        <v>32</v>
      </c>
      <c r="I572" t="s">
        <v>37</v>
      </c>
      <c r="J572">
        <v>66</v>
      </c>
      <c r="K572">
        <v>1155</v>
      </c>
      <c r="L572">
        <v>76229.820000000007</v>
      </c>
      <c r="M572">
        <v>41975.3</v>
      </c>
      <c r="N572">
        <v>8444.59</v>
      </c>
      <c r="O572">
        <v>4358.08</v>
      </c>
      <c r="P572">
        <v>2855.22</v>
      </c>
      <c r="Q572">
        <v>1192</v>
      </c>
      <c r="R572">
        <v>3392.59</v>
      </c>
      <c r="S572">
        <v>1395.96</v>
      </c>
      <c r="T572">
        <v>63613.74</v>
      </c>
      <c r="U572">
        <v>34254.519999999997</v>
      </c>
      <c r="V572">
        <v>12616.09</v>
      </c>
      <c r="W572">
        <v>11424.51</v>
      </c>
      <c r="X572">
        <v>76865.23</v>
      </c>
      <c r="Y572">
        <v>61376.54</v>
      </c>
    </row>
    <row r="573" spans="1:25" x14ac:dyDescent="0.25">
      <c r="A573" t="s">
        <v>621</v>
      </c>
      <c r="B573" s="1">
        <v>45086</v>
      </c>
      <c r="C573">
        <v>2023</v>
      </c>
      <c r="D573">
        <v>6</v>
      </c>
      <c r="E573" t="s">
        <v>585</v>
      </c>
      <c r="F573" t="s">
        <v>358</v>
      </c>
      <c r="G573" t="s">
        <v>35</v>
      </c>
      <c r="H573" t="s">
        <v>32</v>
      </c>
      <c r="I573" t="s">
        <v>56</v>
      </c>
      <c r="J573">
        <v>21</v>
      </c>
      <c r="K573">
        <v>1667.67</v>
      </c>
      <c r="L573">
        <v>35020.97</v>
      </c>
      <c r="M573">
        <v>22074.53</v>
      </c>
      <c r="N573">
        <v>4416.37</v>
      </c>
      <c r="O573">
        <v>1396.4</v>
      </c>
      <c r="P573">
        <v>1259.5999999999999</v>
      </c>
      <c r="Q573">
        <v>421.1</v>
      </c>
      <c r="R573">
        <v>1991.73</v>
      </c>
      <c r="S573">
        <v>280.2</v>
      </c>
      <c r="T573">
        <v>31839.919999999998</v>
      </c>
      <c r="U573">
        <v>12946.44</v>
      </c>
      <c r="V573">
        <v>3181.04</v>
      </c>
      <c r="W573">
        <v>3035.44</v>
      </c>
      <c r="X573">
        <v>36604.67</v>
      </c>
      <c r="Y573">
        <v>32939.68</v>
      </c>
    </row>
    <row r="574" spans="1:25" x14ac:dyDescent="0.25">
      <c r="A574" t="s">
        <v>622</v>
      </c>
      <c r="B574" s="1">
        <v>45086</v>
      </c>
      <c r="C574">
        <v>2023</v>
      </c>
      <c r="D574">
        <v>6</v>
      </c>
      <c r="E574" t="s">
        <v>585</v>
      </c>
      <c r="F574" t="s">
        <v>358</v>
      </c>
      <c r="G574" t="s">
        <v>28</v>
      </c>
      <c r="H574" t="s">
        <v>32</v>
      </c>
      <c r="I574" t="s">
        <v>33</v>
      </c>
      <c r="J574">
        <v>53</v>
      </c>
      <c r="K574">
        <v>1381.8</v>
      </c>
      <c r="L574">
        <v>73235.53</v>
      </c>
      <c r="M574">
        <v>44565.62</v>
      </c>
      <c r="N574">
        <v>6549.51</v>
      </c>
      <c r="O574">
        <v>3947.66</v>
      </c>
      <c r="P574">
        <v>2816.41</v>
      </c>
      <c r="Q574">
        <v>399.64</v>
      </c>
      <c r="R574">
        <v>1916.66</v>
      </c>
      <c r="S574">
        <v>1194.4100000000001</v>
      </c>
      <c r="T574">
        <v>61389.919999999998</v>
      </c>
      <c r="U574">
        <v>28669.91</v>
      </c>
      <c r="V574">
        <v>11845.61</v>
      </c>
      <c r="W574">
        <v>10780.85</v>
      </c>
      <c r="X574">
        <v>79026.91</v>
      </c>
      <c r="Y574">
        <v>58740.59</v>
      </c>
    </row>
    <row r="575" spans="1:25" x14ac:dyDescent="0.25">
      <c r="A575" t="s">
        <v>623</v>
      </c>
      <c r="B575" s="1">
        <v>45087</v>
      </c>
      <c r="C575">
        <v>2023</v>
      </c>
      <c r="D575">
        <v>6</v>
      </c>
      <c r="E575" t="s">
        <v>585</v>
      </c>
      <c r="F575" t="s">
        <v>358</v>
      </c>
      <c r="G575" t="s">
        <v>28</v>
      </c>
      <c r="H575" t="s">
        <v>32</v>
      </c>
      <c r="I575" t="s">
        <v>65</v>
      </c>
      <c r="J575">
        <v>47</v>
      </c>
      <c r="K575">
        <v>1202.32</v>
      </c>
      <c r="L575">
        <v>56509.19</v>
      </c>
      <c r="M575">
        <v>37996.14</v>
      </c>
      <c r="N575">
        <v>5235.74</v>
      </c>
      <c r="O575">
        <v>3475.57</v>
      </c>
      <c r="P575">
        <v>1657.32</v>
      </c>
      <c r="Q575">
        <v>364.49</v>
      </c>
      <c r="R575">
        <v>2608.1</v>
      </c>
      <c r="S575">
        <v>1083.8699999999999</v>
      </c>
      <c r="T575">
        <v>52421.22</v>
      </c>
      <c r="U575">
        <v>18513.060000000001</v>
      </c>
      <c r="V575">
        <v>4087.97</v>
      </c>
      <c r="W575">
        <v>4139.37</v>
      </c>
      <c r="X575">
        <v>61571.51</v>
      </c>
      <c r="Y575">
        <v>49234</v>
      </c>
    </row>
    <row r="576" spans="1:25" x14ac:dyDescent="0.25">
      <c r="A576" t="s">
        <v>624</v>
      </c>
      <c r="B576" s="1">
        <v>45087</v>
      </c>
      <c r="C576">
        <v>2023</v>
      </c>
      <c r="D576">
        <v>6</v>
      </c>
      <c r="E576" t="s">
        <v>585</v>
      </c>
      <c r="F576" t="s">
        <v>358</v>
      </c>
      <c r="G576" t="s">
        <v>55</v>
      </c>
      <c r="H576" t="s">
        <v>32</v>
      </c>
      <c r="I576" t="s">
        <v>33</v>
      </c>
      <c r="J576">
        <v>111</v>
      </c>
      <c r="K576">
        <v>913.66</v>
      </c>
      <c r="L576">
        <v>101415.99</v>
      </c>
      <c r="M576">
        <v>49236.02</v>
      </c>
      <c r="N576">
        <v>7898.38</v>
      </c>
      <c r="O576">
        <v>4655.96</v>
      </c>
      <c r="P576">
        <v>1880.66</v>
      </c>
      <c r="Q576">
        <v>1740.75</v>
      </c>
      <c r="R576">
        <v>5379.33</v>
      </c>
      <c r="S576">
        <v>2097.42</v>
      </c>
      <c r="T576">
        <v>72888.52</v>
      </c>
      <c r="U576">
        <v>52179.97</v>
      </c>
      <c r="V576">
        <v>28527.47</v>
      </c>
      <c r="W576">
        <v>28648.91</v>
      </c>
      <c r="X576">
        <v>104356.41</v>
      </c>
      <c r="Y576">
        <v>79022.47</v>
      </c>
    </row>
    <row r="577" spans="1:25" x14ac:dyDescent="0.25">
      <c r="A577" t="s">
        <v>625</v>
      </c>
      <c r="B577" s="1">
        <v>45087</v>
      </c>
      <c r="C577">
        <v>2023</v>
      </c>
      <c r="D577">
        <v>6</v>
      </c>
      <c r="E577" t="s">
        <v>585</v>
      </c>
      <c r="F577" t="s">
        <v>358</v>
      </c>
      <c r="G577" t="s">
        <v>28</v>
      </c>
      <c r="H577" t="s">
        <v>29</v>
      </c>
      <c r="I577" t="s">
        <v>56</v>
      </c>
      <c r="J577">
        <v>30</v>
      </c>
      <c r="K577">
        <v>1391.32</v>
      </c>
      <c r="L577">
        <v>41739.58</v>
      </c>
      <c r="M577">
        <v>25253.85</v>
      </c>
      <c r="N577">
        <v>2935.75</v>
      </c>
      <c r="O577">
        <v>1682.94</v>
      </c>
      <c r="P577">
        <v>863.26</v>
      </c>
      <c r="Q577">
        <v>501.68</v>
      </c>
      <c r="R577">
        <v>1919.27</v>
      </c>
      <c r="S577">
        <v>569.5</v>
      </c>
      <c r="T577">
        <v>33726.269999999997</v>
      </c>
      <c r="U577">
        <v>16485.73</v>
      </c>
      <c r="V577">
        <v>8013.31</v>
      </c>
      <c r="W577">
        <v>7533.02</v>
      </c>
      <c r="X577">
        <v>38799.120000000003</v>
      </c>
      <c r="Y577">
        <v>35162.78</v>
      </c>
    </row>
    <row r="578" spans="1:25" x14ac:dyDescent="0.25">
      <c r="A578" t="s">
        <v>626</v>
      </c>
      <c r="B578" s="1">
        <v>45087</v>
      </c>
      <c r="C578">
        <v>2023</v>
      </c>
      <c r="D578">
        <v>6</v>
      </c>
      <c r="E578" t="s">
        <v>585</v>
      </c>
      <c r="F578" t="s">
        <v>358</v>
      </c>
      <c r="G578" t="s">
        <v>28</v>
      </c>
      <c r="H578" t="s">
        <v>32</v>
      </c>
      <c r="I578" t="s">
        <v>33</v>
      </c>
      <c r="J578">
        <v>55</v>
      </c>
      <c r="K578">
        <v>1376.2</v>
      </c>
      <c r="L578">
        <v>75690.8</v>
      </c>
      <c r="M578">
        <v>39423.51</v>
      </c>
      <c r="N578">
        <v>8497.67</v>
      </c>
      <c r="O578">
        <v>4107.3999999999996</v>
      </c>
      <c r="P578">
        <v>3131.09</v>
      </c>
      <c r="Q578">
        <v>760</v>
      </c>
      <c r="R578">
        <v>2684.56</v>
      </c>
      <c r="S578">
        <v>644.92999999999995</v>
      </c>
      <c r="T578">
        <v>59249.15</v>
      </c>
      <c r="U578">
        <v>36267.29</v>
      </c>
      <c r="V578">
        <v>16441.650000000001</v>
      </c>
      <c r="W578">
        <v>16202.71</v>
      </c>
      <c r="X578">
        <v>71939.199999999997</v>
      </c>
      <c r="Y578">
        <v>55716.71</v>
      </c>
    </row>
    <row r="579" spans="1:25" x14ac:dyDescent="0.25">
      <c r="A579" t="s">
        <v>627</v>
      </c>
      <c r="B579" s="1">
        <v>45088</v>
      </c>
      <c r="C579">
        <v>2023</v>
      </c>
      <c r="D579">
        <v>6</v>
      </c>
      <c r="E579" t="s">
        <v>585</v>
      </c>
      <c r="F579" t="s">
        <v>358</v>
      </c>
      <c r="G579" t="s">
        <v>28</v>
      </c>
      <c r="H579" t="s">
        <v>36</v>
      </c>
      <c r="I579" t="s">
        <v>65</v>
      </c>
      <c r="J579">
        <v>52</v>
      </c>
      <c r="K579">
        <v>985.34</v>
      </c>
      <c r="L579">
        <v>51237.78</v>
      </c>
      <c r="M579">
        <v>27885.66</v>
      </c>
      <c r="N579">
        <v>5996.12</v>
      </c>
      <c r="O579">
        <v>1574.75</v>
      </c>
      <c r="P579">
        <v>2085.31</v>
      </c>
      <c r="Q579">
        <v>540.20000000000005</v>
      </c>
      <c r="R579">
        <v>2200.5700000000002</v>
      </c>
      <c r="S579">
        <v>870.68</v>
      </c>
      <c r="T579">
        <v>41153.29</v>
      </c>
      <c r="U579">
        <v>23352.12</v>
      </c>
      <c r="V579">
        <v>10084.49</v>
      </c>
      <c r="W579">
        <v>10215.98</v>
      </c>
      <c r="X579">
        <v>49337.57</v>
      </c>
      <c r="Y579">
        <v>38550.730000000003</v>
      </c>
    </row>
    <row r="580" spans="1:25" x14ac:dyDescent="0.25">
      <c r="A580" t="s">
        <v>628</v>
      </c>
      <c r="B580" s="1">
        <v>45088</v>
      </c>
      <c r="C580">
        <v>2023</v>
      </c>
      <c r="D580">
        <v>6</v>
      </c>
      <c r="E580" t="s">
        <v>585</v>
      </c>
      <c r="F580" t="s">
        <v>358</v>
      </c>
      <c r="G580" t="s">
        <v>28</v>
      </c>
      <c r="H580" t="s">
        <v>32</v>
      </c>
      <c r="I580" t="s">
        <v>65</v>
      </c>
      <c r="J580">
        <v>78</v>
      </c>
      <c r="K580">
        <v>1215.2</v>
      </c>
      <c r="L580">
        <v>94785.91</v>
      </c>
      <c r="M580">
        <v>57996.29</v>
      </c>
      <c r="N580">
        <v>10388.23</v>
      </c>
      <c r="O580">
        <v>3728.91</v>
      </c>
      <c r="P580">
        <v>3128.94</v>
      </c>
      <c r="Q580">
        <v>883.86</v>
      </c>
      <c r="R580">
        <v>4232.75</v>
      </c>
      <c r="S580">
        <v>1007.64</v>
      </c>
      <c r="T580">
        <v>81366.63</v>
      </c>
      <c r="U580">
        <v>36789.620000000003</v>
      </c>
      <c r="V580">
        <v>13419.28</v>
      </c>
      <c r="W580">
        <v>11942.94</v>
      </c>
      <c r="X580">
        <v>93659.5</v>
      </c>
      <c r="Y580">
        <v>80478.27</v>
      </c>
    </row>
    <row r="581" spans="1:25" x14ac:dyDescent="0.25">
      <c r="A581" t="s">
        <v>629</v>
      </c>
      <c r="B581" s="1">
        <v>45088</v>
      </c>
      <c r="C581">
        <v>2023</v>
      </c>
      <c r="D581">
        <v>6</v>
      </c>
      <c r="E581" t="s">
        <v>585</v>
      </c>
      <c r="F581" t="s">
        <v>358</v>
      </c>
      <c r="G581" t="s">
        <v>28</v>
      </c>
      <c r="H581" t="s">
        <v>32</v>
      </c>
      <c r="I581" t="s">
        <v>65</v>
      </c>
      <c r="J581">
        <v>75</v>
      </c>
      <c r="K581">
        <v>1216.83</v>
      </c>
      <c r="L581">
        <v>91261.98</v>
      </c>
      <c r="M581">
        <v>57550.48</v>
      </c>
      <c r="N581">
        <v>10994.18</v>
      </c>
      <c r="O581">
        <v>3141.62</v>
      </c>
      <c r="P581">
        <v>1860.98</v>
      </c>
      <c r="Q581">
        <v>946.7</v>
      </c>
      <c r="R581">
        <v>5800.16</v>
      </c>
      <c r="S581">
        <v>1865.88</v>
      </c>
      <c r="T581">
        <v>82160</v>
      </c>
      <c r="U581">
        <v>33711.5</v>
      </c>
      <c r="V581">
        <v>9101.99</v>
      </c>
      <c r="W581">
        <v>8711.1299999999992</v>
      </c>
      <c r="X581">
        <v>86182.12</v>
      </c>
      <c r="Y581">
        <v>81660.33</v>
      </c>
    </row>
    <row r="582" spans="1:25" x14ac:dyDescent="0.25">
      <c r="A582" t="s">
        <v>630</v>
      </c>
      <c r="B582" s="1">
        <v>45088</v>
      </c>
      <c r="C582">
        <v>2023</v>
      </c>
      <c r="D582">
        <v>6</v>
      </c>
      <c r="E582" t="s">
        <v>585</v>
      </c>
      <c r="F582" t="s">
        <v>358</v>
      </c>
      <c r="G582" t="s">
        <v>28</v>
      </c>
      <c r="H582" t="s">
        <v>36</v>
      </c>
      <c r="I582" t="s">
        <v>30</v>
      </c>
      <c r="J582">
        <v>54</v>
      </c>
      <c r="K582">
        <v>1421.36</v>
      </c>
      <c r="L582">
        <v>76753.37</v>
      </c>
      <c r="M582">
        <v>46990.49</v>
      </c>
      <c r="N582">
        <v>9092.67</v>
      </c>
      <c r="O582">
        <v>3838.81</v>
      </c>
      <c r="P582">
        <v>2671.8</v>
      </c>
      <c r="Q582">
        <v>504.22</v>
      </c>
      <c r="R582">
        <v>2101.9299999999998</v>
      </c>
      <c r="S582">
        <v>1768.61</v>
      </c>
      <c r="T582">
        <v>66968.53</v>
      </c>
      <c r="U582">
        <v>29762.880000000001</v>
      </c>
      <c r="V582">
        <v>9784.84</v>
      </c>
      <c r="W582">
        <v>9753.34</v>
      </c>
      <c r="X582">
        <v>73623.850000000006</v>
      </c>
      <c r="Y582">
        <v>65509.27</v>
      </c>
    </row>
    <row r="583" spans="1:25" x14ac:dyDescent="0.25">
      <c r="A583" t="s">
        <v>631</v>
      </c>
      <c r="B583" s="1">
        <v>45088</v>
      </c>
      <c r="C583">
        <v>2023</v>
      </c>
      <c r="D583">
        <v>6</v>
      </c>
      <c r="E583" t="s">
        <v>585</v>
      </c>
      <c r="F583" t="s">
        <v>358</v>
      </c>
      <c r="G583" t="s">
        <v>55</v>
      </c>
      <c r="H583" t="s">
        <v>36</v>
      </c>
      <c r="I583" t="s">
        <v>65</v>
      </c>
      <c r="J583">
        <v>40</v>
      </c>
      <c r="K583">
        <v>1469.41</v>
      </c>
      <c r="L583">
        <v>58776.31</v>
      </c>
      <c r="M583">
        <v>31833.38</v>
      </c>
      <c r="N583">
        <v>7353.84</v>
      </c>
      <c r="O583">
        <v>3628.97</v>
      </c>
      <c r="P583">
        <v>2585.66</v>
      </c>
      <c r="Q583">
        <v>740.19</v>
      </c>
      <c r="R583">
        <v>1925.8</v>
      </c>
      <c r="S583">
        <v>584.54</v>
      </c>
      <c r="T583">
        <v>48652.38</v>
      </c>
      <c r="U583">
        <v>26942.93</v>
      </c>
      <c r="V583">
        <v>10123.93</v>
      </c>
      <c r="W583">
        <v>8948.18</v>
      </c>
      <c r="X583">
        <v>58996.32</v>
      </c>
      <c r="Y583">
        <v>47605.11</v>
      </c>
    </row>
    <row r="584" spans="1:25" x14ac:dyDescent="0.25">
      <c r="A584" t="s">
        <v>632</v>
      </c>
      <c r="B584" s="1">
        <v>45088</v>
      </c>
      <c r="C584">
        <v>2023</v>
      </c>
      <c r="D584">
        <v>6</v>
      </c>
      <c r="E584" t="s">
        <v>585</v>
      </c>
      <c r="F584" t="s">
        <v>358</v>
      </c>
      <c r="G584" t="s">
        <v>35</v>
      </c>
      <c r="H584" t="s">
        <v>58</v>
      </c>
      <c r="I584" t="s">
        <v>45</v>
      </c>
      <c r="J584">
        <v>29</v>
      </c>
      <c r="K584">
        <v>1237.56</v>
      </c>
      <c r="L584">
        <v>35889.14</v>
      </c>
      <c r="M584">
        <v>21681.37</v>
      </c>
      <c r="N584">
        <v>2770.28</v>
      </c>
      <c r="O584">
        <v>2283.1799999999998</v>
      </c>
      <c r="P584">
        <v>1187.25</v>
      </c>
      <c r="Q584">
        <v>524.26</v>
      </c>
      <c r="R584">
        <v>2086.86</v>
      </c>
      <c r="S584">
        <v>792.3</v>
      </c>
      <c r="T584">
        <v>31325.5</v>
      </c>
      <c r="U584">
        <v>14207.77</v>
      </c>
      <c r="V584">
        <v>4563.6400000000003</v>
      </c>
      <c r="W584">
        <v>4042.87</v>
      </c>
      <c r="X584">
        <v>36886.83</v>
      </c>
      <c r="Y584">
        <v>31948.560000000001</v>
      </c>
    </row>
    <row r="585" spans="1:25" x14ac:dyDescent="0.25">
      <c r="A585" t="s">
        <v>633</v>
      </c>
      <c r="B585" s="1">
        <v>45088</v>
      </c>
      <c r="C585">
        <v>2023</v>
      </c>
      <c r="D585">
        <v>6</v>
      </c>
      <c r="E585" t="s">
        <v>585</v>
      </c>
      <c r="F585" t="s">
        <v>358</v>
      </c>
      <c r="G585" t="s">
        <v>44</v>
      </c>
      <c r="H585" t="s">
        <v>53</v>
      </c>
      <c r="I585" t="s">
        <v>56</v>
      </c>
      <c r="J585">
        <v>24</v>
      </c>
      <c r="K585">
        <v>1470</v>
      </c>
      <c r="L585">
        <v>35279.89</v>
      </c>
      <c r="M585">
        <v>23008.28</v>
      </c>
      <c r="N585">
        <v>4278.45</v>
      </c>
      <c r="O585">
        <v>2336.5500000000002</v>
      </c>
      <c r="P585">
        <v>1492.24</v>
      </c>
      <c r="Q585">
        <v>392.13</v>
      </c>
      <c r="R585">
        <v>1845.69</v>
      </c>
      <c r="S585">
        <v>450.71</v>
      </c>
      <c r="T585">
        <v>33804.06</v>
      </c>
      <c r="U585">
        <v>12271.61</v>
      </c>
      <c r="V585">
        <v>1475.83</v>
      </c>
      <c r="W585">
        <v>1320.68</v>
      </c>
      <c r="X585">
        <v>36760.97</v>
      </c>
      <c r="Y585">
        <v>35788.300000000003</v>
      </c>
    </row>
    <row r="586" spans="1:25" x14ac:dyDescent="0.25">
      <c r="A586" t="s">
        <v>634</v>
      </c>
      <c r="B586" s="1">
        <v>45089</v>
      </c>
      <c r="C586">
        <v>2023</v>
      </c>
      <c r="D586">
        <v>6</v>
      </c>
      <c r="E586" t="s">
        <v>585</v>
      </c>
      <c r="F586" t="s">
        <v>358</v>
      </c>
      <c r="G586" t="s">
        <v>28</v>
      </c>
      <c r="H586" t="s">
        <v>36</v>
      </c>
      <c r="I586" t="s">
        <v>39</v>
      </c>
      <c r="J586">
        <v>44</v>
      </c>
      <c r="K586">
        <v>1106.8599999999999</v>
      </c>
      <c r="L586">
        <v>48701.81</v>
      </c>
      <c r="M586">
        <v>30745.27</v>
      </c>
      <c r="N586">
        <v>6293.18</v>
      </c>
      <c r="O586">
        <v>1494.74</v>
      </c>
      <c r="P586">
        <v>1505.97</v>
      </c>
      <c r="Q586">
        <v>482.85</v>
      </c>
      <c r="R586">
        <v>2368.9</v>
      </c>
      <c r="S586">
        <v>468.33</v>
      </c>
      <c r="T586">
        <v>43359.24</v>
      </c>
      <c r="U586">
        <v>17956.55</v>
      </c>
      <c r="V586">
        <v>5342.57</v>
      </c>
      <c r="W586">
        <v>4714.1899999999996</v>
      </c>
      <c r="X586">
        <v>54245.52</v>
      </c>
      <c r="Y586">
        <v>41506.43</v>
      </c>
    </row>
    <row r="587" spans="1:25" x14ac:dyDescent="0.25">
      <c r="A587" t="s">
        <v>635</v>
      </c>
      <c r="B587" s="1">
        <v>45089</v>
      </c>
      <c r="C587">
        <v>2023</v>
      </c>
      <c r="D587">
        <v>6</v>
      </c>
      <c r="E587" t="s">
        <v>585</v>
      </c>
      <c r="F587" t="s">
        <v>358</v>
      </c>
      <c r="G587" t="s">
        <v>35</v>
      </c>
      <c r="H587" t="s">
        <v>32</v>
      </c>
      <c r="I587" t="s">
        <v>65</v>
      </c>
      <c r="J587">
        <v>48</v>
      </c>
      <c r="K587">
        <v>1031.8499999999999</v>
      </c>
      <c r="L587">
        <v>49528.88</v>
      </c>
      <c r="M587">
        <v>25172.36</v>
      </c>
      <c r="N587">
        <v>3809.97</v>
      </c>
      <c r="O587">
        <v>3694.8</v>
      </c>
      <c r="P587">
        <v>1155.42</v>
      </c>
      <c r="Q587">
        <v>559.96</v>
      </c>
      <c r="R587">
        <v>2259.5500000000002</v>
      </c>
      <c r="S587">
        <v>1143.27</v>
      </c>
      <c r="T587">
        <v>37795.339999999997</v>
      </c>
      <c r="U587">
        <v>24356.51</v>
      </c>
      <c r="V587">
        <v>11733.54</v>
      </c>
      <c r="W587">
        <v>10653.89</v>
      </c>
      <c r="X587">
        <v>55425.46</v>
      </c>
      <c r="Y587">
        <v>41524.620000000003</v>
      </c>
    </row>
    <row r="588" spans="1:25" x14ac:dyDescent="0.25">
      <c r="A588" t="s">
        <v>636</v>
      </c>
      <c r="B588" s="1">
        <v>45090</v>
      </c>
      <c r="C588">
        <v>2023</v>
      </c>
      <c r="D588">
        <v>6</v>
      </c>
      <c r="E588" t="s">
        <v>585</v>
      </c>
      <c r="F588" t="s">
        <v>358</v>
      </c>
      <c r="G588" t="s">
        <v>44</v>
      </c>
      <c r="H588" t="s">
        <v>58</v>
      </c>
      <c r="I588" t="s">
        <v>65</v>
      </c>
      <c r="J588">
        <v>35</v>
      </c>
      <c r="K588">
        <v>1445.26</v>
      </c>
      <c r="L588">
        <v>50584.09</v>
      </c>
      <c r="M588">
        <v>30486.7</v>
      </c>
      <c r="N588">
        <v>6321.78</v>
      </c>
      <c r="O588">
        <v>2762.22</v>
      </c>
      <c r="P588">
        <v>2037.66</v>
      </c>
      <c r="Q588">
        <v>464.23</v>
      </c>
      <c r="R588">
        <v>1697.84</v>
      </c>
      <c r="S588">
        <v>1021.75</v>
      </c>
      <c r="T588">
        <v>44792.19</v>
      </c>
      <c r="U588">
        <v>20097.39</v>
      </c>
      <c r="V588">
        <v>5791.9</v>
      </c>
      <c r="W588">
        <v>5406.15</v>
      </c>
      <c r="X588">
        <v>46909.97</v>
      </c>
      <c r="Y588">
        <v>48649.24</v>
      </c>
    </row>
    <row r="589" spans="1:25" x14ac:dyDescent="0.25">
      <c r="A589" t="s">
        <v>637</v>
      </c>
      <c r="B589" s="1">
        <v>45090</v>
      </c>
      <c r="C589">
        <v>2023</v>
      </c>
      <c r="D589">
        <v>6</v>
      </c>
      <c r="E589" t="s">
        <v>585</v>
      </c>
      <c r="F589" t="s">
        <v>358</v>
      </c>
      <c r="G589" t="s">
        <v>35</v>
      </c>
      <c r="H589" t="s">
        <v>58</v>
      </c>
      <c r="I589" t="s">
        <v>50</v>
      </c>
      <c r="J589">
        <v>37</v>
      </c>
      <c r="K589">
        <v>1133.4000000000001</v>
      </c>
      <c r="L589">
        <v>41935.620000000003</v>
      </c>
      <c r="M589">
        <v>24549.91</v>
      </c>
      <c r="N589">
        <v>3741.73</v>
      </c>
      <c r="O589">
        <v>1782.34</v>
      </c>
      <c r="P589">
        <v>1767.12</v>
      </c>
      <c r="Q589">
        <v>297.7</v>
      </c>
      <c r="R589">
        <v>1561.21</v>
      </c>
      <c r="S589">
        <v>937.19</v>
      </c>
      <c r="T589">
        <v>34637.19</v>
      </c>
      <c r="U589">
        <v>17385.72</v>
      </c>
      <c r="V589">
        <v>7298.43</v>
      </c>
      <c r="W589">
        <v>6750.87</v>
      </c>
      <c r="X589">
        <v>44634.59</v>
      </c>
      <c r="Y589">
        <v>34357.589999999997</v>
      </c>
    </row>
    <row r="590" spans="1:25" x14ac:dyDescent="0.25">
      <c r="A590" t="s">
        <v>638</v>
      </c>
      <c r="B590" s="1">
        <v>45090</v>
      </c>
      <c r="C590">
        <v>2023</v>
      </c>
      <c r="D590">
        <v>6</v>
      </c>
      <c r="E590" t="s">
        <v>585</v>
      </c>
      <c r="F590" t="s">
        <v>358</v>
      </c>
      <c r="G590" t="s">
        <v>55</v>
      </c>
      <c r="H590" t="s">
        <v>29</v>
      </c>
      <c r="I590" t="s">
        <v>37</v>
      </c>
      <c r="J590">
        <v>89</v>
      </c>
      <c r="K590">
        <v>870.82</v>
      </c>
      <c r="L590">
        <v>77503.12</v>
      </c>
      <c r="M590">
        <v>43765.82</v>
      </c>
      <c r="N590">
        <v>8076.53</v>
      </c>
      <c r="O590">
        <v>3199.8</v>
      </c>
      <c r="P590">
        <v>2025.27</v>
      </c>
      <c r="Q590">
        <v>1033.1099999999999</v>
      </c>
      <c r="R590">
        <v>4496.91</v>
      </c>
      <c r="S590">
        <v>1346.7</v>
      </c>
      <c r="T590">
        <v>63944.15</v>
      </c>
      <c r="U590">
        <v>33737.300000000003</v>
      </c>
      <c r="V590">
        <v>13558.97</v>
      </c>
      <c r="W590">
        <v>12950.67</v>
      </c>
      <c r="X590">
        <v>74101.48</v>
      </c>
      <c r="Y590">
        <v>67647.95</v>
      </c>
    </row>
    <row r="591" spans="1:25" x14ac:dyDescent="0.25">
      <c r="A591" t="s">
        <v>639</v>
      </c>
      <c r="B591" s="1">
        <v>45090</v>
      </c>
      <c r="C591">
        <v>2023</v>
      </c>
      <c r="D591">
        <v>6</v>
      </c>
      <c r="E591" t="s">
        <v>585</v>
      </c>
      <c r="F591" t="s">
        <v>358</v>
      </c>
      <c r="G591" t="s">
        <v>28</v>
      </c>
      <c r="H591" t="s">
        <v>32</v>
      </c>
      <c r="I591" t="s">
        <v>56</v>
      </c>
      <c r="J591">
        <v>23</v>
      </c>
      <c r="K591">
        <v>1620.84</v>
      </c>
      <c r="L591">
        <v>37279.22</v>
      </c>
      <c r="M591">
        <v>20517.04</v>
      </c>
      <c r="N591">
        <v>4822.97</v>
      </c>
      <c r="O591">
        <v>1771.45</v>
      </c>
      <c r="P591">
        <v>1547.95</v>
      </c>
      <c r="Q591">
        <v>238.5</v>
      </c>
      <c r="R591">
        <v>1944.15</v>
      </c>
      <c r="S591">
        <v>550.41</v>
      </c>
      <c r="T591">
        <v>31392.47</v>
      </c>
      <c r="U591">
        <v>16762.169999999998</v>
      </c>
      <c r="V591">
        <v>5886.74</v>
      </c>
      <c r="W591">
        <v>5681.76</v>
      </c>
      <c r="X591">
        <v>34836.660000000003</v>
      </c>
      <c r="Y591">
        <v>32606.53</v>
      </c>
    </row>
    <row r="592" spans="1:25" x14ac:dyDescent="0.25">
      <c r="A592" t="s">
        <v>640</v>
      </c>
      <c r="B592" s="1">
        <v>45091</v>
      </c>
      <c r="C592">
        <v>2023</v>
      </c>
      <c r="D592">
        <v>6</v>
      </c>
      <c r="E592" t="s">
        <v>585</v>
      </c>
      <c r="F592" t="s">
        <v>358</v>
      </c>
      <c r="G592" t="s">
        <v>44</v>
      </c>
      <c r="H592" t="s">
        <v>53</v>
      </c>
      <c r="I592" t="s">
        <v>65</v>
      </c>
      <c r="J592">
        <v>54</v>
      </c>
      <c r="K592">
        <v>1028.94</v>
      </c>
      <c r="L592">
        <v>55562.75</v>
      </c>
      <c r="M592">
        <v>36841.629999999997</v>
      </c>
      <c r="N592">
        <v>4750.3599999999997</v>
      </c>
      <c r="O592">
        <v>4050.47</v>
      </c>
      <c r="P592">
        <v>1295.5899999999999</v>
      </c>
      <c r="Q592">
        <v>363.3</v>
      </c>
      <c r="R592">
        <v>2423.83</v>
      </c>
      <c r="S592">
        <v>1356.31</v>
      </c>
      <c r="T592">
        <v>51081.5</v>
      </c>
      <c r="U592">
        <v>18721.12</v>
      </c>
      <c r="V592">
        <v>4481.26</v>
      </c>
      <c r="W592">
        <v>4415.57</v>
      </c>
      <c r="X592">
        <v>59707.73</v>
      </c>
      <c r="Y592">
        <v>52462.59</v>
      </c>
    </row>
    <row r="593" spans="1:25" x14ac:dyDescent="0.25">
      <c r="A593" t="s">
        <v>641</v>
      </c>
      <c r="B593" s="1">
        <v>45091</v>
      </c>
      <c r="C593">
        <v>2023</v>
      </c>
      <c r="D593">
        <v>6</v>
      </c>
      <c r="E593" t="s">
        <v>585</v>
      </c>
      <c r="F593" t="s">
        <v>358</v>
      </c>
      <c r="G593" t="s">
        <v>44</v>
      </c>
      <c r="H593" t="s">
        <v>58</v>
      </c>
      <c r="I593" t="s">
        <v>50</v>
      </c>
      <c r="J593">
        <v>20</v>
      </c>
      <c r="K593">
        <v>1603.84</v>
      </c>
      <c r="L593">
        <v>32076.880000000001</v>
      </c>
      <c r="M593">
        <v>21209.91</v>
      </c>
      <c r="N593">
        <v>3934.23</v>
      </c>
      <c r="O593">
        <v>2403.52</v>
      </c>
      <c r="P593">
        <v>1033.01</v>
      </c>
      <c r="Q593">
        <v>289.20999999999998</v>
      </c>
      <c r="R593">
        <v>1594.06</v>
      </c>
      <c r="S593">
        <v>311.33999999999997</v>
      </c>
      <c r="T593">
        <v>30775.29</v>
      </c>
      <c r="U593">
        <v>10866.97</v>
      </c>
      <c r="V593">
        <v>1301.5899999999999</v>
      </c>
      <c r="W593">
        <v>1204.08</v>
      </c>
      <c r="X593">
        <v>31543.919999999998</v>
      </c>
      <c r="Y593">
        <v>29814.89</v>
      </c>
    </row>
    <row r="594" spans="1:25" x14ac:dyDescent="0.25">
      <c r="A594" t="s">
        <v>642</v>
      </c>
      <c r="B594" s="1">
        <v>45091</v>
      </c>
      <c r="C594">
        <v>2023</v>
      </c>
      <c r="D594">
        <v>6</v>
      </c>
      <c r="E594" t="s">
        <v>585</v>
      </c>
      <c r="F594" t="s">
        <v>358</v>
      </c>
      <c r="G594" t="s">
        <v>28</v>
      </c>
      <c r="H594" t="s">
        <v>36</v>
      </c>
      <c r="I594" t="s">
        <v>56</v>
      </c>
      <c r="J594">
        <v>32</v>
      </c>
      <c r="K594">
        <v>1175.43</v>
      </c>
      <c r="L594">
        <v>37613.81</v>
      </c>
      <c r="M594">
        <v>24267.52</v>
      </c>
      <c r="N594">
        <v>3948.77</v>
      </c>
      <c r="O594">
        <v>2449.37</v>
      </c>
      <c r="P594">
        <v>617.53</v>
      </c>
      <c r="Q594">
        <v>616.94000000000005</v>
      </c>
      <c r="R594">
        <v>1767.26</v>
      </c>
      <c r="S594">
        <v>762.02</v>
      </c>
      <c r="T594">
        <v>34429.410000000003</v>
      </c>
      <c r="U594">
        <v>13346.29</v>
      </c>
      <c r="V594">
        <v>3184.4</v>
      </c>
      <c r="W594">
        <v>2970.87</v>
      </c>
      <c r="X594">
        <v>38251.67</v>
      </c>
      <c r="Y594">
        <v>33683.85</v>
      </c>
    </row>
    <row r="595" spans="1:25" x14ac:dyDescent="0.25">
      <c r="A595" t="s">
        <v>643</v>
      </c>
      <c r="B595" s="1">
        <v>45091</v>
      </c>
      <c r="C595">
        <v>2023</v>
      </c>
      <c r="D595">
        <v>6</v>
      </c>
      <c r="E595" t="s">
        <v>585</v>
      </c>
      <c r="F595" t="s">
        <v>358</v>
      </c>
      <c r="G595" t="s">
        <v>35</v>
      </c>
      <c r="H595" t="s">
        <v>36</v>
      </c>
      <c r="I595" t="s">
        <v>30</v>
      </c>
      <c r="J595">
        <v>72</v>
      </c>
      <c r="K595">
        <v>967.26</v>
      </c>
      <c r="L595">
        <v>69642.95</v>
      </c>
      <c r="M595">
        <v>43216.639999999999</v>
      </c>
      <c r="N595">
        <v>6294.81</v>
      </c>
      <c r="O595">
        <v>4044.97</v>
      </c>
      <c r="P595">
        <v>1577.15</v>
      </c>
      <c r="Q595">
        <v>488.66</v>
      </c>
      <c r="R595">
        <v>2351.9899999999998</v>
      </c>
      <c r="S595">
        <v>1193.81</v>
      </c>
      <c r="T595">
        <v>59168.01</v>
      </c>
      <c r="U595">
        <v>26426.31</v>
      </c>
      <c r="V595">
        <v>10474.94</v>
      </c>
      <c r="W595">
        <v>9959.5400000000009</v>
      </c>
      <c r="X595">
        <v>75318.070000000007</v>
      </c>
      <c r="Y595">
        <v>55731.48</v>
      </c>
    </row>
    <row r="596" spans="1:25" x14ac:dyDescent="0.25">
      <c r="A596" t="s">
        <v>644</v>
      </c>
      <c r="B596" s="1">
        <v>45092</v>
      </c>
      <c r="C596">
        <v>2023</v>
      </c>
      <c r="D596">
        <v>6</v>
      </c>
      <c r="E596" t="s">
        <v>585</v>
      </c>
      <c r="F596" t="s">
        <v>358</v>
      </c>
      <c r="G596" t="s">
        <v>55</v>
      </c>
      <c r="H596" t="s">
        <v>32</v>
      </c>
      <c r="I596" t="s">
        <v>56</v>
      </c>
      <c r="J596">
        <v>46</v>
      </c>
      <c r="K596">
        <v>1156.7</v>
      </c>
      <c r="L596">
        <v>53207.98</v>
      </c>
      <c r="M596">
        <v>35032.910000000003</v>
      </c>
      <c r="N596">
        <v>5789.09</v>
      </c>
      <c r="O596">
        <v>2361.54</v>
      </c>
      <c r="P596">
        <v>1767.01</v>
      </c>
      <c r="Q596">
        <v>387.54</v>
      </c>
      <c r="R596">
        <v>2393.29</v>
      </c>
      <c r="S596">
        <v>680.08</v>
      </c>
      <c r="T596">
        <v>48411.45</v>
      </c>
      <c r="U596">
        <v>18175.060000000001</v>
      </c>
      <c r="V596">
        <v>4796.5200000000004</v>
      </c>
      <c r="W596">
        <v>4300.4799999999996</v>
      </c>
      <c r="X596">
        <v>52193.3</v>
      </c>
      <c r="Y596">
        <v>52491.48</v>
      </c>
    </row>
    <row r="597" spans="1:25" x14ac:dyDescent="0.25">
      <c r="A597" t="s">
        <v>645</v>
      </c>
      <c r="B597" s="1">
        <v>45092</v>
      </c>
      <c r="C597">
        <v>2023</v>
      </c>
      <c r="D597">
        <v>6</v>
      </c>
      <c r="E597" t="s">
        <v>585</v>
      </c>
      <c r="F597" t="s">
        <v>358</v>
      </c>
      <c r="G597" t="s">
        <v>44</v>
      </c>
      <c r="H597" t="s">
        <v>32</v>
      </c>
      <c r="I597" t="s">
        <v>45</v>
      </c>
      <c r="J597">
        <v>57</v>
      </c>
      <c r="K597">
        <v>1032.98</v>
      </c>
      <c r="L597">
        <v>58879.66</v>
      </c>
      <c r="M597">
        <v>32953.410000000003</v>
      </c>
      <c r="N597">
        <v>6733.15</v>
      </c>
      <c r="O597">
        <v>2762.26</v>
      </c>
      <c r="P597">
        <v>1587.07</v>
      </c>
      <c r="Q597">
        <v>907.72</v>
      </c>
      <c r="R597">
        <v>3737.05</v>
      </c>
      <c r="S597">
        <v>1134.07</v>
      </c>
      <c r="T597">
        <v>49814.73</v>
      </c>
      <c r="U597">
        <v>25926.240000000002</v>
      </c>
      <c r="V597">
        <v>9064.93</v>
      </c>
      <c r="W597">
        <v>8643.68</v>
      </c>
      <c r="X597">
        <v>60407.34</v>
      </c>
      <c r="Y597">
        <v>54723.07</v>
      </c>
    </row>
    <row r="598" spans="1:25" x14ac:dyDescent="0.25">
      <c r="A598" t="s">
        <v>646</v>
      </c>
      <c r="B598" s="1">
        <v>45092</v>
      </c>
      <c r="C598">
        <v>2023</v>
      </c>
      <c r="D598">
        <v>6</v>
      </c>
      <c r="E598" t="s">
        <v>585</v>
      </c>
      <c r="F598" t="s">
        <v>358</v>
      </c>
      <c r="G598" t="s">
        <v>28</v>
      </c>
      <c r="H598" t="s">
        <v>53</v>
      </c>
      <c r="I598" t="s">
        <v>39</v>
      </c>
      <c r="J598">
        <v>23</v>
      </c>
      <c r="K598">
        <v>1588.23</v>
      </c>
      <c r="L598">
        <v>36529.26</v>
      </c>
      <c r="M598">
        <v>17739.810000000001</v>
      </c>
      <c r="N598">
        <v>3501.51</v>
      </c>
      <c r="O598">
        <v>2588.92</v>
      </c>
      <c r="P598">
        <v>638.48</v>
      </c>
      <c r="Q598">
        <v>593.74</v>
      </c>
      <c r="R598">
        <v>2062.56</v>
      </c>
      <c r="S598">
        <v>737.18</v>
      </c>
      <c r="T598">
        <v>27862.2</v>
      </c>
      <c r="U598">
        <v>18789.439999999999</v>
      </c>
      <c r="V598">
        <v>8667.0499999999993</v>
      </c>
      <c r="W598">
        <v>8389.8799999999992</v>
      </c>
      <c r="X598">
        <v>33752.67</v>
      </c>
      <c r="Y598">
        <v>29245.78</v>
      </c>
    </row>
    <row r="599" spans="1:25" x14ac:dyDescent="0.25">
      <c r="A599" t="s">
        <v>647</v>
      </c>
      <c r="B599" s="1">
        <v>45092</v>
      </c>
      <c r="C599">
        <v>2023</v>
      </c>
      <c r="D599">
        <v>6</v>
      </c>
      <c r="E599" t="s">
        <v>585</v>
      </c>
      <c r="F599" t="s">
        <v>358</v>
      </c>
      <c r="G599" t="s">
        <v>28</v>
      </c>
      <c r="H599" t="s">
        <v>32</v>
      </c>
      <c r="I599" t="s">
        <v>65</v>
      </c>
      <c r="J599">
        <v>61</v>
      </c>
      <c r="K599">
        <v>1294.75</v>
      </c>
      <c r="L599">
        <v>78980</v>
      </c>
      <c r="M599">
        <v>43314.9</v>
      </c>
      <c r="N599">
        <v>6240.74</v>
      </c>
      <c r="O599">
        <v>3932.04</v>
      </c>
      <c r="P599">
        <v>2665.26</v>
      </c>
      <c r="Q599">
        <v>557.53</v>
      </c>
      <c r="R599">
        <v>2875.42</v>
      </c>
      <c r="S599">
        <v>1158.56</v>
      </c>
      <c r="T599">
        <v>60744.46</v>
      </c>
      <c r="U599">
        <v>35665.1</v>
      </c>
      <c r="V599">
        <v>18235.54</v>
      </c>
      <c r="W599">
        <v>16510.8</v>
      </c>
      <c r="X599">
        <v>78569.070000000007</v>
      </c>
      <c r="Y599">
        <v>64664.38</v>
      </c>
    </row>
    <row r="600" spans="1:25" x14ac:dyDescent="0.25">
      <c r="A600" t="s">
        <v>648</v>
      </c>
      <c r="B600" s="1">
        <v>45092</v>
      </c>
      <c r="C600">
        <v>2023</v>
      </c>
      <c r="D600">
        <v>6</v>
      </c>
      <c r="E600" t="s">
        <v>585</v>
      </c>
      <c r="F600" t="s">
        <v>358</v>
      </c>
      <c r="G600" t="s">
        <v>55</v>
      </c>
      <c r="H600" t="s">
        <v>32</v>
      </c>
      <c r="I600" t="s">
        <v>37</v>
      </c>
      <c r="J600">
        <v>51</v>
      </c>
      <c r="K600">
        <v>1557.62</v>
      </c>
      <c r="L600">
        <v>79438.84</v>
      </c>
      <c r="M600">
        <v>44814.720000000001</v>
      </c>
      <c r="N600">
        <v>6082.58</v>
      </c>
      <c r="O600">
        <v>5151.09</v>
      </c>
      <c r="P600">
        <v>2101.87</v>
      </c>
      <c r="Q600">
        <v>432.11</v>
      </c>
      <c r="R600">
        <v>3677.42</v>
      </c>
      <c r="S600">
        <v>1816.8</v>
      </c>
      <c r="T600">
        <v>64076.61</v>
      </c>
      <c r="U600">
        <v>34624.120000000003</v>
      </c>
      <c r="V600">
        <v>15362.23</v>
      </c>
      <c r="W600">
        <v>14519.12</v>
      </c>
      <c r="X600">
        <v>77731.45</v>
      </c>
      <c r="Y600">
        <v>67866.41</v>
      </c>
    </row>
    <row r="601" spans="1:25" x14ac:dyDescent="0.25">
      <c r="A601" t="s">
        <v>649</v>
      </c>
      <c r="B601" s="1">
        <v>45092</v>
      </c>
      <c r="C601">
        <v>2023</v>
      </c>
      <c r="D601">
        <v>6</v>
      </c>
      <c r="E601" t="s">
        <v>585</v>
      </c>
      <c r="F601" t="s">
        <v>358</v>
      </c>
      <c r="G601" t="s">
        <v>28</v>
      </c>
      <c r="H601" t="s">
        <v>32</v>
      </c>
      <c r="I601" t="s">
        <v>39</v>
      </c>
      <c r="J601">
        <v>48</v>
      </c>
      <c r="K601">
        <v>1189.71</v>
      </c>
      <c r="L601">
        <v>57106.12</v>
      </c>
      <c r="M601">
        <v>29070.41</v>
      </c>
      <c r="N601">
        <v>7042.84</v>
      </c>
      <c r="O601">
        <v>4073.7</v>
      </c>
      <c r="P601">
        <v>1482.45</v>
      </c>
      <c r="Q601">
        <v>836.86</v>
      </c>
      <c r="R601">
        <v>2430.54</v>
      </c>
      <c r="S601">
        <v>560.53</v>
      </c>
      <c r="T601">
        <v>45497.33</v>
      </c>
      <c r="U601">
        <v>28035.71</v>
      </c>
      <c r="V601">
        <v>11608.79</v>
      </c>
      <c r="W601">
        <v>11026.52</v>
      </c>
      <c r="X601">
        <v>62436.15</v>
      </c>
      <c r="Y601">
        <v>49364.58</v>
      </c>
    </row>
    <row r="602" spans="1:25" x14ac:dyDescent="0.25">
      <c r="A602" t="s">
        <v>650</v>
      </c>
      <c r="B602" s="1">
        <v>45093</v>
      </c>
      <c r="C602">
        <v>2023</v>
      </c>
      <c r="D602">
        <v>6</v>
      </c>
      <c r="E602" t="s">
        <v>585</v>
      </c>
      <c r="F602" t="s">
        <v>358</v>
      </c>
      <c r="G602" t="s">
        <v>55</v>
      </c>
      <c r="H602" t="s">
        <v>29</v>
      </c>
      <c r="I602" t="s">
        <v>56</v>
      </c>
      <c r="J602">
        <v>37</v>
      </c>
      <c r="K602">
        <v>1187.77</v>
      </c>
      <c r="L602">
        <v>43947.43</v>
      </c>
      <c r="M602">
        <v>29469.21</v>
      </c>
      <c r="N602">
        <v>5334.11</v>
      </c>
      <c r="O602">
        <v>2127.62</v>
      </c>
      <c r="P602">
        <v>900.51</v>
      </c>
      <c r="Q602">
        <v>543.52</v>
      </c>
      <c r="R602">
        <v>1305.78</v>
      </c>
      <c r="S602">
        <v>737.6</v>
      </c>
      <c r="T602">
        <v>40418.339999999997</v>
      </c>
      <c r="U602">
        <v>14478.22</v>
      </c>
      <c r="V602">
        <v>3529.09</v>
      </c>
      <c r="W602">
        <v>3346.09</v>
      </c>
      <c r="X602">
        <v>40657.040000000001</v>
      </c>
      <c r="Y602">
        <v>39705.550000000003</v>
      </c>
    </row>
    <row r="603" spans="1:25" x14ac:dyDescent="0.25">
      <c r="A603" t="s">
        <v>651</v>
      </c>
      <c r="B603" s="1">
        <v>45093</v>
      </c>
      <c r="C603">
        <v>2023</v>
      </c>
      <c r="D603">
        <v>6</v>
      </c>
      <c r="E603" t="s">
        <v>585</v>
      </c>
      <c r="F603" t="s">
        <v>358</v>
      </c>
      <c r="G603" t="s">
        <v>35</v>
      </c>
      <c r="H603" t="s">
        <v>36</v>
      </c>
      <c r="I603" t="s">
        <v>37</v>
      </c>
      <c r="J603">
        <v>53</v>
      </c>
      <c r="K603">
        <v>1218.6099999999999</v>
      </c>
      <c r="L603">
        <v>64586.29</v>
      </c>
      <c r="M603">
        <v>37069.629999999997</v>
      </c>
      <c r="N603">
        <v>5832.76</v>
      </c>
      <c r="O603">
        <v>2097.84</v>
      </c>
      <c r="P603">
        <v>1221.48</v>
      </c>
      <c r="Q603">
        <v>549.42999999999995</v>
      </c>
      <c r="R603">
        <v>3435.17</v>
      </c>
      <c r="S603">
        <v>1559.73</v>
      </c>
      <c r="T603">
        <v>51766.03</v>
      </c>
      <c r="U603">
        <v>27516.67</v>
      </c>
      <c r="V603">
        <v>12820.26</v>
      </c>
      <c r="W603">
        <v>13018.78</v>
      </c>
      <c r="X603">
        <v>62894.02</v>
      </c>
      <c r="Y603">
        <v>51719.4</v>
      </c>
    </row>
    <row r="604" spans="1:25" x14ac:dyDescent="0.25">
      <c r="A604" t="s">
        <v>652</v>
      </c>
      <c r="B604" s="1">
        <v>45093</v>
      </c>
      <c r="C604">
        <v>2023</v>
      </c>
      <c r="D604">
        <v>6</v>
      </c>
      <c r="E604" t="s">
        <v>585</v>
      </c>
      <c r="F604" t="s">
        <v>358</v>
      </c>
      <c r="G604" t="s">
        <v>35</v>
      </c>
      <c r="H604" t="s">
        <v>53</v>
      </c>
      <c r="I604" t="s">
        <v>37</v>
      </c>
      <c r="J604">
        <v>37</v>
      </c>
      <c r="K604">
        <v>1345.18</v>
      </c>
      <c r="L604">
        <v>49771.62</v>
      </c>
      <c r="M604">
        <v>24626.36</v>
      </c>
      <c r="N604">
        <v>5462.01</v>
      </c>
      <c r="O604">
        <v>2902.85</v>
      </c>
      <c r="P604">
        <v>2079.02</v>
      </c>
      <c r="Q604">
        <v>653.15</v>
      </c>
      <c r="R604">
        <v>1261.57</v>
      </c>
      <c r="S604">
        <v>1069.99</v>
      </c>
      <c r="T604">
        <v>38054.94</v>
      </c>
      <c r="U604">
        <v>25145.26</v>
      </c>
      <c r="V604">
        <v>11716.68</v>
      </c>
      <c r="W604">
        <v>10918.93</v>
      </c>
      <c r="X604">
        <v>50770.27</v>
      </c>
      <c r="Y604">
        <v>40874.800000000003</v>
      </c>
    </row>
    <row r="605" spans="1:25" x14ac:dyDescent="0.25">
      <c r="A605" t="s">
        <v>653</v>
      </c>
      <c r="B605" s="1">
        <v>45094</v>
      </c>
      <c r="C605">
        <v>2023</v>
      </c>
      <c r="D605">
        <v>6</v>
      </c>
      <c r="E605" t="s">
        <v>585</v>
      </c>
      <c r="F605" t="s">
        <v>358</v>
      </c>
      <c r="G605" t="s">
        <v>35</v>
      </c>
      <c r="H605" t="s">
        <v>53</v>
      </c>
      <c r="I605" t="s">
        <v>33</v>
      </c>
      <c r="J605">
        <v>40</v>
      </c>
      <c r="K605">
        <v>1386.8</v>
      </c>
      <c r="L605">
        <v>55471.91</v>
      </c>
      <c r="M605">
        <v>33327.39</v>
      </c>
      <c r="N605">
        <v>4181.74</v>
      </c>
      <c r="O605">
        <v>2348.4699999999998</v>
      </c>
      <c r="P605">
        <v>2477.7199999999998</v>
      </c>
      <c r="Q605">
        <v>928.9</v>
      </c>
      <c r="R605">
        <v>2727.01</v>
      </c>
      <c r="S605">
        <v>541.79999999999995</v>
      </c>
      <c r="T605">
        <v>46533.03</v>
      </c>
      <c r="U605">
        <v>22144.52</v>
      </c>
      <c r="V605">
        <v>8938.89</v>
      </c>
      <c r="W605">
        <v>8404.84</v>
      </c>
      <c r="X605">
        <v>53784.43</v>
      </c>
      <c r="Y605">
        <v>49267.77</v>
      </c>
    </row>
    <row r="606" spans="1:25" x14ac:dyDescent="0.25">
      <c r="A606" t="s">
        <v>654</v>
      </c>
      <c r="B606" s="1">
        <v>45095</v>
      </c>
      <c r="C606">
        <v>2023</v>
      </c>
      <c r="D606">
        <v>6</v>
      </c>
      <c r="E606" t="s">
        <v>585</v>
      </c>
      <c r="F606" t="s">
        <v>358</v>
      </c>
      <c r="G606" t="s">
        <v>44</v>
      </c>
      <c r="H606" t="s">
        <v>36</v>
      </c>
      <c r="I606" t="s">
        <v>33</v>
      </c>
      <c r="J606">
        <v>45</v>
      </c>
      <c r="K606">
        <v>1571.14</v>
      </c>
      <c r="L606">
        <v>70701.279999999999</v>
      </c>
      <c r="M606">
        <v>43913.79</v>
      </c>
      <c r="N606">
        <v>8267.17</v>
      </c>
      <c r="O606">
        <v>3580.93</v>
      </c>
      <c r="P606">
        <v>1248.33</v>
      </c>
      <c r="Q606">
        <v>1213.29</v>
      </c>
      <c r="R606">
        <v>1947.58</v>
      </c>
      <c r="S606">
        <v>1559.06</v>
      </c>
      <c r="T606">
        <v>61730.14</v>
      </c>
      <c r="U606">
        <v>26787.49</v>
      </c>
      <c r="V606">
        <v>8971.14</v>
      </c>
      <c r="W606">
        <v>8045.59</v>
      </c>
      <c r="X606">
        <v>75638.06</v>
      </c>
      <c r="Y606">
        <v>64576.82</v>
      </c>
    </row>
    <row r="607" spans="1:25" x14ac:dyDescent="0.25">
      <c r="A607" t="s">
        <v>655</v>
      </c>
      <c r="B607" s="1">
        <v>45096</v>
      </c>
      <c r="C607">
        <v>2023</v>
      </c>
      <c r="D607">
        <v>6</v>
      </c>
      <c r="E607" t="s">
        <v>585</v>
      </c>
      <c r="F607" t="s">
        <v>358</v>
      </c>
      <c r="G607" t="s">
        <v>28</v>
      </c>
      <c r="H607" t="s">
        <v>53</v>
      </c>
      <c r="I607" t="s">
        <v>50</v>
      </c>
      <c r="J607">
        <v>55</v>
      </c>
      <c r="K607">
        <v>1081.8900000000001</v>
      </c>
      <c r="L607">
        <v>59503.8</v>
      </c>
      <c r="M607">
        <v>35241.15</v>
      </c>
      <c r="N607">
        <v>4176.01</v>
      </c>
      <c r="O607">
        <v>2028.01</v>
      </c>
      <c r="P607">
        <v>976.83</v>
      </c>
      <c r="Q607">
        <v>298</v>
      </c>
      <c r="R607">
        <v>2081.61</v>
      </c>
      <c r="S607">
        <v>815.9</v>
      </c>
      <c r="T607">
        <v>45617.5</v>
      </c>
      <c r="U607">
        <v>24262.65</v>
      </c>
      <c r="V607">
        <v>13886.3</v>
      </c>
      <c r="W607">
        <v>13210.14</v>
      </c>
      <c r="X607">
        <v>64562.47</v>
      </c>
      <c r="Y607">
        <v>42603.96</v>
      </c>
    </row>
    <row r="608" spans="1:25" x14ac:dyDescent="0.25">
      <c r="A608" t="s">
        <v>656</v>
      </c>
      <c r="B608" s="1">
        <v>45096</v>
      </c>
      <c r="C608">
        <v>2023</v>
      </c>
      <c r="D608">
        <v>6</v>
      </c>
      <c r="E608" t="s">
        <v>585</v>
      </c>
      <c r="F608" t="s">
        <v>358</v>
      </c>
      <c r="G608" t="s">
        <v>55</v>
      </c>
      <c r="H608" t="s">
        <v>32</v>
      </c>
      <c r="I608" t="s">
        <v>39</v>
      </c>
      <c r="J608">
        <v>32</v>
      </c>
      <c r="K608">
        <v>1419.73</v>
      </c>
      <c r="L608">
        <v>45431.3</v>
      </c>
      <c r="M608">
        <v>26273.03</v>
      </c>
      <c r="N608">
        <v>5045.88</v>
      </c>
      <c r="O608">
        <v>2182.58</v>
      </c>
      <c r="P608">
        <v>984.95</v>
      </c>
      <c r="Q608">
        <v>298.89</v>
      </c>
      <c r="R608">
        <v>2775.12</v>
      </c>
      <c r="S608">
        <v>744.93</v>
      </c>
      <c r="T608">
        <v>38305.39</v>
      </c>
      <c r="U608">
        <v>19158.27</v>
      </c>
      <c r="V608">
        <v>7125.91</v>
      </c>
      <c r="W608">
        <v>7037.38</v>
      </c>
      <c r="X608">
        <v>46513.71</v>
      </c>
      <c r="Y608">
        <v>36356.730000000003</v>
      </c>
    </row>
    <row r="609" spans="1:25" x14ac:dyDescent="0.25">
      <c r="A609" t="s">
        <v>657</v>
      </c>
      <c r="B609" s="1">
        <v>45096</v>
      </c>
      <c r="C609">
        <v>2023</v>
      </c>
      <c r="D609">
        <v>6</v>
      </c>
      <c r="E609" t="s">
        <v>585</v>
      </c>
      <c r="F609" t="s">
        <v>358</v>
      </c>
      <c r="G609" t="s">
        <v>28</v>
      </c>
      <c r="H609" t="s">
        <v>32</v>
      </c>
      <c r="I609" t="s">
        <v>56</v>
      </c>
      <c r="J609">
        <v>22</v>
      </c>
      <c r="K609">
        <v>1676.22</v>
      </c>
      <c r="L609">
        <v>36876.769999999997</v>
      </c>
      <c r="M609">
        <v>24039.95</v>
      </c>
      <c r="N609">
        <v>3852.14</v>
      </c>
      <c r="O609">
        <v>2477.0300000000002</v>
      </c>
      <c r="P609">
        <v>1504.75</v>
      </c>
      <c r="Q609">
        <v>522.89</v>
      </c>
      <c r="R609">
        <v>2216.1799999999998</v>
      </c>
      <c r="S609">
        <v>905.29</v>
      </c>
      <c r="T609">
        <v>35518.239999999998</v>
      </c>
      <c r="U609">
        <v>12836.82</v>
      </c>
      <c r="V609">
        <v>1358.54</v>
      </c>
      <c r="W609">
        <v>1257.9000000000001</v>
      </c>
      <c r="X609">
        <v>38858.019999999997</v>
      </c>
      <c r="Y609">
        <v>38376.080000000002</v>
      </c>
    </row>
    <row r="610" spans="1:25" x14ac:dyDescent="0.25">
      <c r="A610" t="s">
        <v>658</v>
      </c>
      <c r="B610" s="1">
        <v>45096</v>
      </c>
      <c r="C610">
        <v>2023</v>
      </c>
      <c r="D610">
        <v>6</v>
      </c>
      <c r="E610" t="s">
        <v>585</v>
      </c>
      <c r="F610" t="s">
        <v>358</v>
      </c>
      <c r="G610" t="s">
        <v>55</v>
      </c>
      <c r="H610" t="s">
        <v>32</v>
      </c>
      <c r="I610" t="s">
        <v>33</v>
      </c>
      <c r="J610">
        <v>69</v>
      </c>
      <c r="K610">
        <v>1387.81</v>
      </c>
      <c r="L610">
        <v>95758.74</v>
      </c>
      <c r="M610">
        <v>56036.81</v>
      </c>
      <c r="N610">
        <v>8923.98</v>
      </c>
      <c r="O610">
        <v>3367.33</v>
      </c>
      <c r="P610">
        <v>1681.23</v>
      </c>
      <c r="Q610">
        <v>758</v>
      </c>
      <c r="R610">
        <v>4677.66</v>
      </c>
      <c r="S610">
        <v>1922.62</v>
      </c>
      <c r="T610">
        <v>77367.63</v>
      </c>
      <c r="U610">
        <v>39721.94</v>
      </c>
      <c r="V610">
        <v>18391.11</v>
      </c>
      <c r="W610">
        <v>18338.400000000001</v>
      </c>
      <c r="X610">
        <v>92892.03</v>
      </c>
      <c r="Y610">
        <v>72396.97</v>
      </c>
    </row>
    <row r="611" spans="1:25" x14ac:dyDescent="0.25">
      <c r="A611" t="s">
        <v>659</v>
      </c>
      <c r="B611" s="1">
        <v>45096</v>
      </c>
      <c r="C611">
        <v>2023</v>
      </c>
      <c r="D611">
        <v>6</v>
      </c>
      <c r="E611" t="s">
        <v>585</v>
      </c>
      <c r="F611" t="s">
        <v>358</v>
      </c>
      <c r="G611" t="s">
        <v>28</v>
      </c>
      <c r="H611" t="s">
        <v>32</v>
      </c>
      <c r="I611" t="s">
        <v>56</v>
      </c>
      <c r="J611">
        <v>50</v>
      </c>
      <c r="K611">
        <v>1015.14</v>
      </c>
      <c r="L611">
        <v>50756.79</v>
      </c>
      <c r="M611">
        <v>32251.58</v>
      </c>
      <c r="N611">
        <v>5891.44</v>
      </c>
      <c r="O611">
        <v>2692.4</v>
      </c>
      <c r="P611">
        <v>2271.37</v>
      </c>
      <c r="Q611">
        <v>517.27</v>
      </c>
      <c r="R611">
        <v>3206.78</v>
      </c>
      <c r="S611">
        <v>809.11</v>
      </c>
      <c r="T611">
        <v>47639.95</v>
      </c>
      <c r="U611">
        <v>18505.2</v>
      </c>
      <c r="V611">
        <v>3116.84</v>
      </c>
      <c r="W611">
        <v>3170.05</v>
      </c>
      <c r="X611">
        <v>51396.25</v>
      </c>
      <c r="Y611">
        <v>44814.69</v>
      </c>
    </row>
    <row r="612" spans="1:25" x14ac:dyDescent="0.25">
      <c r="A612" t="s">
        <v>660</v>
      </c>
      <c r="B612" s="1">
        <v>45096</v>
      </c>
      <c r="C612">
        <v>2023</v>
      </c>
      <c r="D612">
        <v>6</v>
      </c>
      <c r="E612" t="s">
        <v>585</v>
      </c>
      <c r="F612" t="s">
        <v>358</v>
      </c>
      <c r="G612" t="s">
        <v>55</v>
      </c>
      <c r="H612" t="s">
        <v>58</v>
      </c>
      <c r="I612" t="s">
        <v>65</v>
      </c>
      <c r="J612">
        <v>61</v>
      </c>
      <c r="K612">
        <v>1043.53</v>
      </c>
      <c r="L612">
        <v>63655.12</v>
      </c>
      <c r="M612">
        <v>32848.410000000003</v>
      </c>
      <c r="N612">
        <v>7078.03</v>
      </c>
      <c r="O612">
        <v>3912.99</v>
      </c>
      <c r="P612">
        <v>1670.52</v>
      </c>
      <c r="Q612">
        <v>623.16999999999996</v>
      </c>
      <c r="R612">
        <v>4035.13</v>
      </c>
      <c r="S612">
        <v>732.65</v>
      </c>
      <c r="T612">
        <v>50900.91</v>
      </c>
      <c r="U612">
        <v>30806.7</v>
      </c>
      <c r="V612">
        <v>12754.2</v>
      </c>
      <c r="W612">
        <v>12286.58</v>
      </c>
      <c r="X612">
        <v>60944.66</v>
      </c>
      <c r="Y612">
        <v>53796.46</v>
      </c>
    </row>
    <row r="613" spans="1:25" x14ac:dyDescent="0.25">
      <c r="A613" t="s">
        <v>661</v>
      </c>
      <c r="B613" s="1">
        <v>45097</v>
      </c>
      <c r="C613">
        <v>2023</v>
      </c>
      <c r="D613">
        <v>6</v>
      </c>
      <c r="E613" t="s">
        <v>585</v>
      </c>
      <c r="F613" t="s">
        <v>358</v>
      </c>
      <c r="G613" t="s">
        <v>35</v>
      </c>
      <c r="H613" t="s">
        <v>36</v>
      </c>
      <c r="I613" t="s">
        <v>37</v>
      </c>
      <c r="J613">
        <v>54</v>
      </c>
      <c r="K613">
        <v>1109.74</v>
      </c>
      <c r="L613">
        <v>59926.21</v>
      </c>
      <c r="M613">
        <v>31666.46</v>
      </c>
      <c r="N613">
        <v>5242.2700000000004</v>
      </c>
      <c r="O613">
        <v>2957.24</v>
      </c>
      <c r="P613">
        <v>2281.0300000000002</v>
      </c>
      <c r="Q613">
        <v>538.58000000000004</v>
      </c>
      <c r="R613">
        <v>2491.31</v>
      </c>
      <c r="S613">
        <v>518.97</v>
      </c>
      <c r="T613">
        <v>45695.87</v>
      </c>
      <c r="U613">
        <v>28259.75</v>
      </c>
      <c r="V613">
        <v>14230.34</v>
      </c>
      <c r="W613">
        <v>12775.25</v>
      </c>
      <c r="X613">
        <v>65076.63</v>
      </c>
      <c r="Y613">
        <v>44844.27</v>
      </c>
    </row>
    <row r="614" spans="1:25" x14ac:dyDescent="0.25">
      <c r="A614" t="s">
        <v>662</v>
      </c>
      <c r="B614" s="1">
        <v>45097</v>
      </c>
      <c r="C614">
        <v>2023</v>
      </c>
      <c r="D614">
        <v>6</v>
      </c>
      <c r="E614" t="s">
        <v>585</v>
      </c>
      <c r="F614" t="s">
        <v>358</v>
      </c>
      <c r="G614" t="s">
        <v>44</v>
      </c>
      <c r="H614" t="s">
        <v>58</v>
      </c>
      <c r="I614" t="s">
        <v>65</v>
      </c>
      <c r="J614">
        <v>41</v>
      </c>
      <c r="K614">
        <v>1333.82</v>
      </c>
      <c r="L614">
        <v>54686.73</v>
      </c>
      <c r="M614">
        <v>31358.79</v>
      </c>
      <c r="N614">
        <v>4470.74</v>
      </c>
      <c r="O614">
        <v>1808.5</v>
      </c>
      <c r="P614">
        <v>1513.16</v>
      </c>
      <c r="Q614">
        <v>652.39</v>
      </c>
      <c r="R614">
        <v>2335.52</v>
      </c>
      <c r="S614">
        <v>730.82</v>
      </c>
      <c r="T614">
        <v>42869.919999999998</v>
      </c>
      <c r="U614">
        <v>23327.93</v>
      </c>
      <c r="V614">
        <v>11816.81</v>
      </c>
      <c r="W614">
        <v>11158.88</v>
      </c>
      <c r="X614">
        <v>52229.68</v>
      </c>
      <c r="Y614">
        <v>42544.7</v>
      </c>
    </row>
    <row r="615" spans="1:25" x14ac:dyDescent="0.25">
      <c r="A615" t="s">
        <v>663</v>
      </c>
      <c r="B615" s="1">
        <v>45097</v>
      </c>
      <c r="C615">
        <v>2023</v>
      </c>
      <c r="D615">
        <v>6</v>
      </c>
      <c r="E615" t="s">
        <v>585</v>
      </c>
      <c r="F615" t="s">
        <v>358</v>
      </c>
      <c r="G615" t="s">
        <v>55</v>
      </c>
      <c r="H615" t="s">
        <v>36</v>
      </c>
      <c r="I615" t="s">
        <v>56</v>
      </c>
      <c r="J615">
        <v>32</v>
      </c>
      <c r="K615">
        <v>1202.68</v>
      </c>
      <c r="L615">
        <v>38485.9</v>
      </c>
      <c r="M615">
        <v>24536.21</v>
      </c>
      <c r="N615">
        <v>3588.13</v>
      </c>
      <c r="O615">
        <v>2391.9499999999998</v>
      </c>
      <c r="P615">
        <v>1359.09</v>
      </c>
      <c r="Q615">
        <v>538.29</v>
      </c>
      <c r="R615">
        <v>1185.08</v>
      </c>
      <c r="S615">
        <v>351.85</v>
      </c>
      <c r="T615">
        <v>33950.589999999997</v>
      </c>
      <c r="U615">
        <v>13949.69</v>
      </c>
      <c r="V615">
        <v>4535.3</v>
      </c>
      <c r="W615">
        <v>4163.2700000000004</v>
      </c>
      <c r="X615">
        <v>42764.07</v>
      </c>
      <c r="Y615">
        <v>32288.14</v>
      </c>
    </row>
    <row r="616" spans="1:25" x14ac:dyDescent="0.25">
      <c r="A616" t="s">
        <v>664</v>
      </c>
      <c r="B616" s="1">
        <v>45098</v>
      </c>
      <c r="C616">
        <v>2023</v>
      </c>
      <c r="D616">
        <v>6</v>
      </c>
      <c r="E616" t="s">
        <v>585</v>
      </c>
      <c r="F616" t="s">
        <v>358</v>
      </c>
      <c r="G616" t="s">
        <v>35</v>
      </c>
      <c r="H616" t="s">
        <v>58</v>
      </c>
      <c r="I616" t="s">
        <v>30</v>
      </c>
      <c r="J616">
        <v>67</v>
      </c>
      <c r="K616">
        <v>1032.92</v>
      </c>
      <c r="L616">
        <v>69205.850000000006</v>
      </c>
      <c r="M616">
        <v>45919.23</v>
      </c>
      <c r="N616">
        <v>8643.65</v>
      </c>
      <c r="O616">
        <v>4816.63</v>
      </c>
      <c r="P616">
        <v>2208.6</v>
      </c>
      <c r="Q616">
        <v>353.24</v>
      </c>
      <c r="R616">
        <v>4333.8100000000004</v>
      </c>
      <c r="S616">
        <v>954.33</v>
      </c>
      <c r="T616">
        <v>67229.5</v>
      </c>
      <c r="U616">
        <v>23286.62</v>
      </c>
      <c r="V616">
        <v>1976.36</v>
      </c>
      <c r="W616">
        <v>1957.45</v>
      </c>
      <c r="X616">
        <v>64322.33</v>
      </c>
      <c r="Y616">
        <v>64141.01</v>
      </c>
    </row>
    <row r="617" spans="1:25" x14ac:dyDescent="0.25">
      <c r="A617" t="s">
        <v>665</v>
      </c>
      <c r="B617" s="1">
        <v>45098</v>
      </c>
      <c r="C617">
        <v>2023</v>
      </c>
      <c r="D617">
        <v>6</v>
      </c>
      <c r="E617" t="s">
        <v>585</v>
      </c>
      <c r="F617" t="s">
        <v>358</v>
      </c>
      <c r="G617" t="s">
        <v>35</v>
      </c>
      <c r="H617" t="s">
        <v>29</v>
      </c>
      <c r="I617" t="s">
        <v>45</v>
      </c>
      <c r="J617">
        <v>43</v>
      </c>
      <c r="K617">
        <v>923.2</v>
      </c>
      <c r="L617">
        <v>39697.449999999997</v>
      </c>
      <c r="M617">
        <v>24653.01</v>
      </c>
      <c r="N617">
        <v>4895.79</v>
      </c>
      <c r="O617">
        <v>2739.04</v>
      </c>
      <c r="P617">
        <v>1086.19</v>
      </c>
      <c r="Q617">
        <v>205.86</v>
      </c>
      <c r="R617">
        <v>2132.08</v>
      </c>
      <c r="S617">
        <v>864.17</v>
      </c>
      <c r="T617">
        <v>36576.15</v>
      </c>
      <c r="U617">
        <v>15044.44</v>
      </c>
      <c r="V617">
        <v>3121.3</v>
      </c>
      <c r="W617">
        <v>2861.55</v>
      </c>
      <c r="X617">
        <v>37098.980000000003</v>
      </c>
      <c r="Y617">
        <v>36844.49</v>
      </c>
    </row>
    <row r="618" spans="1:25" x14ac:dyDescent="0.25">
      <c r="A618" t="s">
        <v>666</v>
      </c>
      <c r="B618" s="1">
        <v>45099</v>
      </c>
      <c r="C618">
        <v>2023</v>
      </c>
      <c r="D618">
        <v>6</v>
      </c>
      <c r="E618" t="s">
        <v>585</v>
      </c>
      <c r="F618" t="s">
        <v>358</v>
      </c>
      <c r="G618" t="s">
        <v>44</v>
      </c>
      <c r="H618" t="s">
        <v>32</v>
      </c>
      <c r="I618" t="s">
        <v>50</v>
      </c>
      <c r="J618">
        <v>38</v>
      </c>
      <c r="K618">
        <v>1571.5</v>
      </c>
      <c r="L618">
        <v>59716.9</v>
      </c>
      <c r="M618">
        <v>34403.61</v>
      </c>
      <c r="N618">
        <v>5168.1000000000004</v>
      </c>
      <c r="O618">
        <v>1536.66</v>
      </c>
      <c r="P618">
        <v>1339.43</v>
      </c>
      <c r="Q618">
        <v>659.52</v>
      </c>
      <c r="R618">
        <v>2423.89</v>
      </c>
      <c r="S618">
        <v>903.43</v>
      </c>
      <c r="T618">
        <v>46434.65</v>
      </c>
      <c r="U618">
        <v>25313.29</v>
      </c>
      <c r="V618">
        <v>13282.26</v>
      </c>
      <c r="W618">
        <v>12118.9</v>
      </c>
      <c r="X618">
        <v>57599.06</v>
      </c>
      <c r="Y618">
        <v>43321.79</v>
      </c>
    </row>
    <row r="619" spans="1:25" x14ac:dyDescent="0.25">
      <c r="A619" t="s">
        <v>667</v>
      </c>
      <c r="B619" s="1">
        <v>45099</v>
      </c>
      <c r="C619">
        <v>2023</v>
      </c>
      <c r="D619">
        <v>6</v>
      </c>
      <c r="E619" t="s">
        <v>585</v>
      </c>
      <c r="F619" t="s">
        <v>358</v>
      </c>
      <c r="G619" t="s">
        <v>35</v>
      </c>
      <c r="H619" t="s">
        <v>32</v>
      </c>
      <c r="I619" t="s">
        <v>39</v>
      </c>
      <c r="J619">
        <v>32</v>
      </c>
      <c r="K619">
        <v>1546.48</v>
      </c>
      <c r="L619">
        <v>49487.360000000001</v>
      </c>
      <c r="M619">
        <v>25830.68</v>
      </c>
      <c r="N619">
        <v>6214.73</v>
      </c>
      <c r="O619">
        <v>1692.18</v>
      </c>
      <c r="P619">
        <v>2146.84</v>
      </c>
      <c r="Q619">
        <v>529.52</v>
      </c>
      <c r="R619">
        <v>2631.66</v>
      </c>
      <c r="S619">
        <v>1087.6400000000001</v>
      </c>
      <c r="T619">
        <v>40133.25</v>
      </c>
      <c r="U619">
        <v>23656.68</v>
      </c>
      <c r="V619">
        <v>9354.1</v>
      </c>
      <c r="W619">
        <v>8433.06</v>
      </c>
      <c r="X619">
        <v>48960.66</v>
      </c>
      <c r="Y619">
        <v>38880.160000000003</v>
      </c>
    </row>
    <row r="620" spans="1:25" x14ac:dyDescent="0.25">
      <c r="A620" t="s">
        <v>668</v>
      </c>
      <c r="B620" s="1">
        <v>45099</v>
      </c>
      <c r="C620">
        <v>2023</v>
      </c>
      <c r="D620">
        <v>6</v>
      </c>
      <c r="E620" t="s">
        <v>585</v>
      </c>
      <c r="F620" t="s">
        <v>358</v>
      </c>
      <c r="G620" t="s">
        <v>55</v>
      </c>
      <c r="H620" t="s">
        <v>36</v>
      </c>
      <c r="I620" t="s">
        <v>65</v>
      </c>
      <c r="J620">
        <v>40</v>
      </c>
      <c r="K620">
        <v>1576.75</v>
      </c>
      <c r="L620">
        <v>63069.98</v>
      </c>
      <c r="M620">
        <v>37871.839999999997</v>
      </c>
      <c r="N620">
        <v>4820.76</v>
      </c>
      <c r="O620">
        <v>2298.13</v>
      </c>
      <c r="P620">
        <v>1869.25</v>
      </c>
      <c r="Q620">
        <v>875.01</v>
      </c>
      <c r="R620">
        <v>2796.11</v>
      </c>
      <c r="S620">
        <v>1103.1099999999999</v>
      </c>
      <c r="T620">
        <v>51634.22</v>
      </c>
      <c r="U620">
        <v>25198.13</v>
      </c>
      <c r="V620">
        <v>11435.76</v>
      </c>
      <c r="W620">
        <v>11190.74</v>
      </c>
      <c r="X620">
        <v>60622.35</v>
      </c>
      <c r="Y620">
        <v>50110.17</v>
      </c>
    </row>
    <row r="621" spans="1:25" x14ac:dyDescent="0.25">
      <c r="A621" t="s">
        <v>669</v>
      </c>
      <c r="B621" s="1">
        <v>45099</v>
      </c>
      <c r="C621">
        <v>2023</v>
      </c>
      <c r="D621">
        <v>6</v>
      </c>
      <c r="E621" t="s">
        <v>585</v>
      </c>
      <c r="F621" t="s">
        <v>358</v>
      </c>
      <c r="G621" t="s">
        <v>28</v>
      </c>
      <c r="H621" t="s">
        <v>36</v>
      </c>
      <c r="I621" t="s">
        <v>56</v>
      </c>
      <c r="J621">
        <v>27</v>
      </c>
      <c r="K621">
        <v>1710.93</v>
      </c>
      <c r="L621">
        <v>46195.15</v>
      </c>
      <c r="M621">
        <v>31398.080000000002</v>
      </c>
      <c r="N621">
        <v>4963.25</v>
      </c>
      <c r="O621">
        <v>1274.69</v>
      </c>
      <c r="P621">
        <v>1645.02</v>
      </c>
      <c r="Q621">
        <v>722.77</v>
      </c>
      <c r="R621">
        <v>2714.77</v>
      </c>
      <c r="S621">
        <v>793.61</v>
      </c>
      <c r="T621">
        <v>43512.19</v>
      </c>
      <c r="U621">
        <v>14797.07</v>
      </c>
      <c r="V621">
        <v>2682.97</v>
      </c>
      <c r="W621">
        <v>2428.81</v>
      </c>
      <c r="X621">
        <v>47136.66</v>
      </c>
      <c r="Y621">
        <v>43184.52</v>
      </c>
    </row>
    <row r="622" spans="1:25" x14ac:dyDescent="0.25">
      <c r="A622" t="s">
        <v>670</v>
      </c>
      <c r="B622" s="1">
        <v>45099</v>
      </c>
      <c r="C622">
        <v>2023</v>
      </c>
      <c r="D622">
        <v>6</v>
      </c>
      <c r="E622" t="s">
        <v>585</v>
      </c>
      <c r="F622" t="s">
        <v>358</v>
      </c>
      <c r="G622" t="s">
        <v>44</v>
      </c>
      <c r="H622" t="s">
        <v>36</v>
      </c>
      <c r="I622" t="s">
        <v>50</v>
      </c>
      <c r="J622">
        <v>39</v>
      </c>
      <c r="K622">
        <v>972.51</v>
      </c>
      <c r="L622">
        <v>37927.99</v>
      </c>
      <c r="M622">
        <v>20869.689999999999</v>
      </c>
      <c r="N622">
        <v>3687.58</v>
      </c>
      <c r="O622">
        <v>1365.3</v>
      </c>
      <c r="P622">
        <v>1650.15</v>
      </c>
      <c r="Q622">
        <v>580.48</v>
      </c>
      <c r="R622">
        <v>1059.3900000000001</v>
      </c>
      <c r="S622">
        <v>647.58000000000004</v>
      </c>
      <c r="T622">
        <v>29860.17</v>
      </c>
      <c r="U622">
        <v>17058.3</v>
      </c>
      <c r="V622">
        <v>8067.82</v>
      </c>
      <c r="W622">
        <v>7294.87</v>
      </c>
      <c r="X622">
        <v>39589.72</v>
      </c>
      <c r="Y622">
        <v>30531.64</v>
      </c>
    </row>
    <row r="623" spans="1:25" x14ac:dyDescent="0.25">
      <c r="A623" t="s">
        <v>671</v>
      </c>
      <c r="B623" s="1">
        <v>45100</v>
      </c>
      <c r="C623">
        <v>2023</v>
      </c>
      <c r="D623">
        <v>6</v>
      </c>
      <c r="E623" t="s">
        <v>585</v>
      </c>
      <c r="F623" t="s">
        <v>358</v>
      </c>
      <c r="G623" t="s">
        <v>55</v>
      </c>
      <c r="H623" t="s">
        <v>58</v>
      </c>
      <c r="I623" t="s">
        <v>45</v>
      </c>
      <c r="J623">
        <v>30</v>
      </c>
      <c r="K623">
        <v>1722.49</v>
      </c>
      <c r="L623">
        <v>51674.559999999998</v>
      </c>
      <c r="M623">
        <v>28798.9</v>
      </c>
      <c r="N623">
        <v>3682.97</v>
      </c>
      <c r="O623">
        <v>2278.5300000000002</v>
      </c>
      <c r="P623">
        <v>1812.08</v>
      </c>
      <c r="Q623">
        <v>619.94000000000005</v>
      </c>
      <c r="R623">
        <v>2382.19</v>
      </c>
      <c r="S623">
        <v>536.23</v>
      </c>
      <c r="T623">
        <v>40110.85</v>
      </c>
      <c r="U623">
        <v>22875.66</v>
      </c>
      <c r="V623">
        <v>11563.71</v>
      </c>
      <c r="W623">
        <v>10919.71</v>
      </c>
      <c r="X623">
        <v>56542.5</v>
      </c>
      <c r="Y623">
        <v>40825.75</v>
      </c>
    </row>
    <row r="624" spans="1:25" x14ac:dyDescent="0.25">
      <c r="A624" t="s">
        <v>672</v>
      </c>
      <c r="B624" s="1">
        <v>45100</v>
      </c>
      <c r="C624">
        <v>2023</v>
      </c>
      <c r="D624">
        <v>6</v>
      </c>
      <c r="E624" t="s">
        <v>585</v>
      </c>
      <c r="F624" t="s">
        <v>358</v>
      </c>
      <c r="G624" t="s">
        <v>55</v>
      </c>
      <c r="H624" t="s">
        <v>53</v>
      </c>
      <c r="I624" t="s">
        <v>30</v>
      </c>
      <c r="J624">
        <v>83</v>
      </c>
      <c r="K624">
        <v>1211.4100000000001</v>
      </c>
      <c r="L624">
        <v>100547.33</v>
      </c>
      <c r="M624">
        <v>60532.93</v>
      </c>
      <c r="N624">
        <v>8605.65</v>
      </c>
      <c r="O624">
        <v>2767.88</v>
      </c>
      <c r="P624">
        <v>3019.68</v>
      </c>
      <c r="Q624">
        <v>1413.1</v>
      </c>
      <c r="R624">
        <v>3552.54</v>
      </c>
      <c r="S624">
        <v>1517.59</v>
      </c>
      <c r="T624">
        <v>81409.38</v>
      </c>
      <c r="U624">
        <v>40014.400000000001</v>
      </c>
      <c r="V624">
        <v>19137.96</v>
      </c>
      <c r="W624">
        <v>18779.11</v>
      </c>
      <c r="X624">
        <v>108163.01</v>
      </c>
      <c r="Y624">
        <v>86473.45</v>
      </c>
    </row>
    <row r="625" spans="1:25" x14ac:dyDescent="0.25">
      <c r="A625" t="s">
        <v>673</v>
      </c>
      <c r="B625" s="1">
        <v>45101</v>
      </c>
      <c r="C625">
        <v>2023</v>
      </c>
      <c r="D625">
        <v>6</v>
      </c>
      <c r="E625" t="s">
        <v>585</v>
      </c>
      <c r="F625" t="s">
        <v>358</v>
      </c>
      <c r="G625" t="s">
        <v>44</v>
      </c>
      <c r="H625" t="s">
        <v>32</v>
      </c>
      <c r="I625" t="s">
        <v>45</v>
      </c>
      <c r="J625">
        <v>44</v>
      </c>
      <c r="K625">
        <v>1434.7</v>
      </c>
      <c r="L625">
        <v>63126.9</v>
      </c>
      <c r="M625">
        <v>40626.71</v>
      </c>
      <c r="N625">
        <v>7860.93</v>
      </c>
      <c r="O625">
        <v>2729.51</v>
      </c>
      <c r="P625">
        <v>1703.5</v>
      </c>
      <c r="Q625">
        <v>413.63</v>
      </c>
      <c r="R625">
        <v>2412.48</v>
      </c>
      <c r="S625">
        <v>939.97</v>
      </c>
      <c r="T625">
        <v>56686.720000000001</v>
      </c>
      <c r="U625">
        <v>22500.19</v>
      </c>
      <c r="V625">
        <v>6440.18</v>
      </c>
      <c r="W625">
        <v>6100.32</v>
      </c>
      <c r="X625">
        <v>62239.33</v>
      </c>
      <c r="Y625">
        <v>60713.75</v>
      </c>
    </row>
    <row r="626" spans="1:25" x14ac:dyDescent="0.25">
      <c r="A626" t="s">
        <v>674</v>
      </c>
      <c r="B626" s="1">
        <v>45101</v>
      </c>
      <c r="C626">
        <v>2023</v>
      </c>
      <c r="D626">
        <v>6</v>
      </c>
      <c r="E626" t="s">
        <v>585</v>
      </c>
      <c r="F626" t="s">
        <v>358</v>
      </c>
      <c r="G626" t="s">
        <v>28</v>
      </c>
      <c r="H626" t="s">
        <v>58</v>
      </c>
      <c r="I626" t="s">
        <v>45</v>
      </c>
      <c r="J626">
        <v>23</v>
      </c>
      <c r="K626">
        <v>1532.37</v>
      </c>
      <c r="L626">
        <v>35244.58</v>
      </c>
      <c r="M626">
        <v>18031.47</v>
      </c>
      <c r="N626">
        <v>3717.61</v>
      </c>
      <c r="O626">
        <v>2524.5700000000002</v>
      </c>
      <c r="P626">
        <v>769.89</v>
      </c>
      <c r="Q626">
        <v>513.88</v>
      </c>
      <c r="R626">
        <v>1584.86</v>
      </c>
      <c r="S626">
        <v>417.86</v>
      </c>
      <c r="T626">
        <v>27560.14</v>
      </c>
      <c r="U626">
        <v>17213.11</v>
      </c>
      <c r="V626">
        <v>7684.43</v>
      </c>
      <c r="W626">
        <v>7351.35</v>
      </c>
      <c r="X626">
        <v>37729.879999999997</v>
      </c>
      <c r="Y626">
        <v>25729.48</v>
      </c>
    </row>
    <row r="627" spans="1:25" x14ac:dyDescent="0.25">
      <c r="A627" t="s">
        <v>675</v>
      </c>
      <c r="B627" s="1">
        <v>45101</v>
      </c>
      <c r="C627">
        <v>2023</v>
      </c>
      <c r="D627">
        <v>6</v>
      </c>
      <c r="E627" t="s">
        <v>585</v>
      </c>
      <c r="F627" t="s">
        <v>358</v>
      </c>
      <c r="G627" t="s">
        <v>28</v>
      </c>
      <c r="H627" t="s">
        <v>32</v>
      </c>
      <c r="I627" t="s">
        <v>45</v>
      </c>
      <c r="J627">
        <v>50</v>
      </c>
      <c r="K627">
        <v>937.01</v>
      </c>
      <c r="L627">
        <v>46850.47</v>
      </c>
      <c r="M627">
        <v>24748.27</v>
      </c>
      <c r="N627">
        <v>4310.78</v>
      </c>
      <c r="O627">
        <v>1774.82</v>
      </c>
      <c r="P627">
        <v>792.77</v>
      </c>
      <c r="Q627">
        <v>537.07000000000005</v>
      </c>
      <c r="R627">
        <v>2148.5</v>
      </c>
      <c r="S627">
        <v>633.38</v>
      </c>
      <c r="T627">
        <v>34945.58</v>
      </c>
      <c r="U627">
        <v>22102.19</v>
      </c>
      <c r="V627">
        <v>11904.89</v>
      </c>
      <c r="W627">
        <v>11406.15</v>
      </c>
      <c r="X627">
        <v>47374.51</v>
      </c>
      <c r="Y627">
        <v>36130.04</v>
      </c>
    </row>
    <row r="628" spans="1:25" x14ac:dyDescent="0.25">
      <c r="A628" t="s">
        <v>676</v>
      </c>
      <c r="B628" s="1">
        <v>45101</v>
      </c>
      <c r="C628">
        <v>2023</v>
      </c>
      <c r="D628">
        <v>6</v>
      </c>
      <c r="E628" t="s">
        <v>585</v>
      </c>
      <c r="F628" t="s">
        <v>358</v>
      </c>
      <c r="G628" t="s">
        <v>44</v>
      </c>
      <c r="H628" t="s">
        <v>29</v>
      </c>
      <c r="I628" t="s">
        <v>50</v>
      </c>
      <c r="J628">
        <v>35</v>
      </c>
      <c r="K628">
        <v>1253.57</v>
      </c>
      <c r="L628">
        <v>43875.08</v>
      </c>
      <c r="M628">
        <v>25996.84</v>
      </c>
      <c r="N628">
        <v>3707.08</v>
      </c>
      <c r="O628">
        <v>1648.56</v>
      </c>
      <c r="P628">
        <v>1563.55</v>
      </c>
      <c r="Q628">
        <v>725.23</v>
      </c>
      <c r="R628">
        <v>1288.5</v>
      </c>
      <c r="S628">
        <v>644.47</v>
      </c>
      <c r="T628">
        <v>35574.22</v>
      </c>
      <c r="U628">
        <v>17878.25</v>
      </c>
      <c r="V628">
        <v>8300.86</v>
      </c>
      <c r="W628">
        <v>8257.83</v>
      </c>
      <c r="X628">
        <v>48289.3</v>
      </c>
      <c r="Y628">
        <v>35738.54</v>
      </c>
    </row>
    <row r="629" spans="1:25" x14ac:dyDescent="0.25">
      <c r="A629" t="s">
        <v>677</v>
      </c>
      <c r="B629" s="1">
        <v>45102</v>
      </c>
      <c r="C629">
        <v>2023</v>
      </c>
      <c r="D629">
        <v>6</v>
      </c>
      <c r="E629" t="s">
        <v>585</v>
      </c>
      <c r="F629" t="s">
        <v>358</v>
      </c>
      <c r="G629" t="s">
        <v>28</v>
      </c>
      <c r="H629" t="s">
        <v>36</v>
      </c>
      <c r="I629" t="s">
        <v>56</v>
      </c>
      <c r="J629">
        <v>24</v>
      </c>
      <c r="K629">
        <v>1617.44</v>
      </c>
      <c r="L629">
        <v>38818.54</v>
      </c>
      <c r="M629">
        <v>23885.759999999998</v>
      </c>
      <c r="N629">
        <v>4546.5600000000004</v>
      </c>
      <c r="O629">
        <v>2396.92</v>
      </c>
      <c r="P629">
        <v>1607.55</v>
      </c>
      <c r="Q629">
        <v>684.63</v>
      </c>
      <c r="R629">
        <v>1707.08</v>
      </c>
      <c r="S629">
        <v>870.51</v>
      </c>
      <c r="T629">
        <v>35699.01</v>
      </c>
      <c r="U629">
        <v>14932.78</v>
      </c>
      <c r="V629">
        <v>3119.53</v>
      </c>
      <c r="W629">
        <v>2879.44</v>
      </c>
      <c r="X629">
        <v>40702.18</v>
      </c>
      <c r="Y629">
        <v>37951.07</v>
      </c>
    </row>
    <row r="630" spans="1:25" x14ac:dyDescent="0.25">
      <c r="A630" t="s">
        <v>678</v>
      </c>
      <c r="B630" s="1">
        <v>45103</v>
      </c>
      <c r="C630">
        <v>2023</v>
      </c>
      <c r="D630">
        <v>6</v>
      </c>
      <c r="E630" t="s">
        <v>585</v>
      </c>
      <c r="F630" t="s">
        <v>358</v>
      </c>
      <c r="G630" t="s">
        <v>55</v>
      </c>
      <c r="H630" t="s">
        <v>32</v>
      </c>
      <c r="I630" t="s">
        <v>45</v>
      </c>
      <c r="J630">
        <v>52</v>
      </c>
      <c r="K630">
        <v>1254.23</v>
      </c>
      <c r="L630">
        <v>65219.95</v>
      </c>
      <c r="M630">
        <v>39922.53</v>
      </c>
      <c r="N630">
        <v>5481.58</v>
      </c>
      <c r="O630">
        <v>4444.8599999999997</v>
      </c>
      <c r="P630">
        <v>2263.87</v>
      </c>
      <c r="Q630">
        <v>472.9</v>
      </c>
      <c r="R630">
        <v>2680.33</v>
      </c>
      <c r="S630">
        <v>1614.65</v>
      </c>
      <c r="T630">
        <v>56880.71</v>
      </c>
      <c r="U630">
        <v>25297.42</v>
      </c>
      <c r="V630">
        <v>8339.24</v>
      </c>
      <c r="W630">
        <v>7695.61</v>
      </c>
      <c r="X630">
        <v>63689.15</v>
      </c>
      <c r="Y630">
        <v>60364.47</v>
      </c>
    </row>
    <row r="631" spans="1:25" x14ac:dyDescent="0.25">
      <c r="A631" t="s">
        <v>679</v>
      </c>
      <c r="B631" s="1">
        <v>45103</v>
      </c>
      <c r="C631">
        <v>2023</v>
      </c>
      <c r="D631">
        <v>6</v>
      </c>
      <c r="E631" t="s">
        <v>585</v>
      </c>
      <c r="F631" t="s">
        <v>358</v>
      </c>
      <c r="G631" t="s">
        <v>28</v>
      </c>
      <c r="H631" t="s">
        <v>32</v>
      </c>
      <c r="I631" t="s">
        <v>30</v>
      </c>
      <c r="J631">
        <v>62</v>
      </c>
      <c r="K631">
        <v>1650.62</v>
      </c>
      <c r="L631">
        <v>102338.67</v>
      </c>
      <c r="M631">
        <v>61550.83</v>
      </c>
      <c r="N631">
        <v>11935.72</v>
      </c>
      <c r="O631">
        <v>5776.34</v>
      </c>
      <c r="P631">
        <v>3594.18</v>
      </c>
      <c r="Q631">
        <v>1437.75</v>
      </c>
      <c r="R631">
        <v>5019.24</v>
      </c>
      <c r="S631">
        <v>1160.1099999999999</v>
      </c>
      <c r="T631">
        <v>90474.17</v>
      </c>
      <c r="U631">
        <v>40787.839999999997</v>
      </c>
      <c r="V631">
        <v>11864.5</v>
      </c>
      <c r="W631">
        <v>11245.17</v>
      </c>
      <c r="X631">
        <v>112284.31</v>
      </c>
      <c r="Y631">
        <v>86259.46</v>
      </c>
    </row>
    <row r="632" spans="1:25" x14ac:dyDescent="0.25">
      <c r="A632" t="s">
        <v>680</v>
      </c>
      <c r="B632" s="1">
        <v>45103</v>
      </c>
      <c r="C632">
        <v>2023</v>
      </c>
      <c r="D632">
        <v>6</v>
      </c>
      <c r="E632" t="s">
        <v>585</v>
      </c>
      <c r="F632" t="s">
        <v>358</v>
      </c>
      <c r="G632" t="s">
        <v>44</v>
      </c>
      <c r="H632" t="s">
        <v>53</v>
      </c>
      <c r="I632" t="s">
        <v>30</v>
      </c>
      <c r="J632">
        <v>52</v>
      </c>
      <c r="K632">
        <v>1717.18</v>
      </c>
      <c r="L632">
        <v>89293.38</v>
      </c>
      <c r="M632">
        <v>53988.75</v>
      </c>
      <c r="N632">
        <v>9291.44</v>
      </c>
      <c r="O632">
        <v>4010.3</v>
      </c>
      <c r="P632">
        <v>3212.09</v>
      </c>
      <c r="Q632">
        <v>1324.59</v>
      </c>
      <c r="R632">
        <v>3443.98</v>
      </c>
      <c r="S632">
        <v>1357.54</v>
      </c>
      <c r="T632">
        <v>76628.69</v>
      </c>
      <c r="U632">
        <v>35304.629999999997</v>
      </c>
      <c r="V632">
        <v>12664.69</v>
      </c>
      <c r="W632">
        <v>12583.89</v>
      </c>
      <c r="X632">
        <v>84306.87</v>
      </c>
      <c r="Y632">
        <v>78100.53</v>
      </c>
    </row>
    <row r="633" spans="1:25" x14ac:dyDescent="0.25">
      <c r="A633" t="s">
        <v>681</v>
      </c>
      <c r="B633" s="1">
        <v>45103</v>
      </c>
      <c r="C633">
        <v>2023</v>
      </c>
      <c r="D633">
        <v>6</v>
      </c>
      <c r="E633" t="s">
        <v>585</v>
      </c>
      <c r="F633" t="s">
        <v>358</v>
      </c>
      <c r="G633" t="s">
        <v>55</v>
      </c>
      <c r="H633" t="s">
        <v>53</v>
      </c>
      <c r="I633" t="s">
        <v>39</v>
      </c>
      <c r="J633">
        <v>34</v>
      </c>
      <c r="K633">
        <v>1329.52</v>
      </c>
      <c r="L633">
        <v>45203.76</v>
      </c>
      <c r="M633">
        <v>25923.56</v>
      </c>
      <c r="N633">
        <v>3526.11</v>
      </c>
      <c r="O633">
        <v>2477.23</v>
      </c>
      <c r="P633">
        <v>776.01</v>
      </c>
      <c r="Q633">
        <v>418.55</v>
      </c>
      <c r="R633">
        <v>1355.68</v>
      </c>
      <c r="S633">
        <v>542.25</v>
      </c>
      <c r="T633">
        <v>35019.39</v>
      </c>
      <c r="U633">
        <v>19280.2</v>
      </c>
      <c r="V633">
        <v>10184.379999999999</v>
      </c>
      <c r="W633">
        <v>9590.41</v>
      </c>
      <c r="X633">
        <v>44784.56</v>
      </c>
      <c r="Y633">
        <v>36727.269999999997</v>
      </c>
    </row>
    <row r="634" spans="1:25" x14ac:dyDescent="0.25">
      <c r="A634" t="s">
        <v>682</v>
      </c>
      <c r="B634" s="1">
        <v>45103</v>
      </c>
      <c r="C634">
        <v>2023</v>
      </c>
      <c r="D634">
        <v>6</v>
      </c>
      <c r="E634" t="s">
        <v>585</v>
      </c>
      <c r="F634" t="s">
        <v>358</v>
      </c>
      <c r="G634" t="s">
        <v>35</v>
      </c>
      <c r="H634" t="s">
        <v>32</v>
      </c>
      <c r="I634" t="s">
        <v>39</v>
      </c>
      <c r="J634">
        <v>32</v>
      </c>
      <c r="K634">
        <v>1627.88</v>
      </c>
      <c r="L634">
        <v>52092.31</v>
      </c>
      <c r="M634">
        <v>27261.24</v>
      </c>
      <c r="N634">
        <v>4541.17</v>
      </c>
      <c r="O634">
        <v>3439.26</v>
      </c>
      <c r="P634">
        <v>788.84</v>
      </c>
      <c r="Q634">
        <v>411.6</v>
      </c>
      <c r="R634">
        <v>1482.7</v>
      </c>
      <c r="S634">
        <v>1301.92</v>
      </c>
      <c r="T634">
        <v>39226.74</v>
      </c>
      <c r="U634">
        <v>24831.07</v>
      </c>
      <c r="V634">
        <v>12865.57</v>
      </c>
      <c r="W634">
        <v>12777.16</v>
      </c>
      <c r="X634">
        <v>57979.91</v>
      </c>
      <c r="Y634">
        <v>39378.720000000001</v>
      </c>
    </row>
    <row r="635" spans="1:25" x14ac:dyDescent="0.25">
      <c r="A635" t="s">
        <v>683</v>
      </c>
      <c r="B635" s="1">
        <v>45103</v>
      </c>
      <c r="C635">
        <v>2023</v>
      </c>
      <c r="D635">
        <v>6</v>
      </c>
      <c r="E635" t="s">
        <v>585</v>
      </c>
      <c r="F635" t="s">
        <v>358</v>
      </c>
      <c r="G635" t="s">
        <v>44</v>
      </c>
      <c r="H635" t="s">
        <v>32</v>
      </c>
      <c r="I635" t="s">
        <v>65</v>
      </c>
      <c r="J635">
        <v>38</v>
      </c>
      <c r="K635">
        <v>1766.65</v>
      </c>
      <c r="L635">
        <v>67132.570000000007</v>
      </c>
      <c r="M635">
        <v>32765.919999999998</v>
      </c>
      <c r="N635">
        <v>5412.07</v>
      </c>
      <c r="O635">
        <v>2221.19</v>
      </c>
      <c r="P635">
        <v>1314.33</v>
      </c>
      <c r="Q635">
        <v>924.49</v>
      </c>
      <c r="R635">
        <v>3814.35</v>
      </c>
      <c r="S635">
        <v>1671.05</v>
      </c>
      <c r="T635">
        <v>48123.4</v>
      </c>
      <c r="U635">
        <v>34366.660000000003</v>
      </c>
      <c r="V635">
        <v>19009.169999999998</v>
      </c>
      <c r="W635">
        <v>18458.439999999999</v>
      </c>
      <c r="X635">
        <v>68022.5</v>
      </c>
      <c r="Y635">
        <v>51137.84</v>
      </c>
    </row>
    <row r="636" spans="1:25" x14ac:dyDescent="0.25">
      <c r="A636" t="s">
        <v>684</v>
      </c>
      <c r="B636" s="1">
        <v>45105</v>
      </c>
      <c r="C636">
        <v>2023</v>
      </c>
      <c r="D636">
        <v>6</v>
      </c>
      <c r="E636" t="s">
        <v>585</v>
      </c>
      <c r="F636" t="s">
        <v>358</v>
      </c>
      <c r="G636" t="s">
        <v>55</v>
      </c>
      <c r="H636" t="s">
        <v>32</v>
      </c>
      <c r="I636" t="s">
        <v>50</v>
      </c>
      <c r="J636">
        <v>87</v>
      </c>
      <c r="K636">
        <v>959.34</v>
      </c>
      <c r="L636">
        <v>83462.759999999995</v>
      </c>
      <c r="M636">
        <v>51118.41</v>
      </c>
      <c r="N636">
        <v>6827.25</v>
      </c>
      <c r="O636">
        <v>5994.43</v>
      </c>
      <c r="P636">
        <v>1263.21</v>
      </c>
      <c r="Q636">
        <v>1049.29</v>
      </c>
      <c r="R636">
        <v>3020.09</v>
      </c>
      <c r="S636">
        <v>792.24</v>
      </c>
      <c r="T636">
        <v>70064.92</v>
      </c>
      <c r="U636">
        <v>32344.34</v>
      </c>
      <c r="V636">
        <v>13397.84</v>
      </c>
      <c r="W636">
        <v>13105.86</v>
      </c>
      <c r="X636">
        <v>89520.66</v>
      </c>
      <c r="Y636">
        <v>69965.41</v>
      </c>
    </row>
    <row r="637" spans="1:25" x14ac:dyDescent="0.25">
      <c r="A637" t="s">
        <v>685</v>
      </c>
      <c r="B637" s="1">
        <v>45105</v>
      </c>
      <c r="C637">
        <v>2023</v>
      </c>
      <c r="D637">
        <v>6</v>
      </c>
      <c r="E637" t="s">
        <v>585</v>
      </c>
      <c r="F637" t="s">
        <v>358</v>
      </c>
      <c r="G637" t="s">
        <v>55</v>
      </c>
      <c r="H637" t="s">
        <v>32</v>
      </c>
      <c r="I637" t="s">
        <v>30</v>
      </c>
      <c r="J637">
        <v>88</v>
      </c>
      <c r="K637">
        <v>1348.56</v>
      </c>
      <c r="L637">
        <v>118673.11</v>
      </c>
      <c r="M637">
        <v>66802.27</v>
      </c>
      <c r="N637">
        <v>11933.03</v>
      </c>
      <c r="O637">
        <v>5866.51</v>
      </c>
      <c r="P637">
        <v>3536.04</v>
      </c>
      <c r="Q637">
        <v>975.43</v>
      </c>
      <c r="R637">
        <v>6920.76</v>
      </c>
      <c r="S637">
        <v>2001.35</v>
      </c>
      <c r="T637">
        <v>98035.39</v>
      </c>
      <c r="U637">
        <v>51870.84</v>
      </c>
      <c r="V637">
        <v>20637.72</v>
      </c>
      <c r="W637">
        <v>19390.03</v>
      </c>
      <c r="X637">
        <v>125132.36</v>
      </c>
      <c r="Y637">
        <v>91296.86</v>
      </c>
    </row>
    <row r="638" spans="1:25" x14ac:dyDescent="0.25">
      <c r="A638" t="s">
        <v>686</v>
      </c>
      <c r="B638" s="1">
        <v>45107</v>
      </c>
      <c r="C638">
        <v>2023</v>
      </c>
      <c r="D638">
        <v>6</v>
      </c>
      <c r="E638" t="s">
        <v>585</v>
      </c>
      <c r="F638" t="s">
        <v>358</v>
      </c>
      <c r="G638" t="s">
        <v>28</v>
      </c>
      <c r="H638" t="s">
        <v>53</v>
      </c>
      <c r="I638" t="s">
        <v>39</v>
      </c>
      <c r="J638">
        <v>37</v>
      </c>
      <c r="K638">
        <v>967.59</v>
      </c>
      <c r="L638">
        <v>35800.769999999997</v>
      </c>
      <c r="M638">
        <v>17407.400000000001</v>
      </c>
      <c r="N638">
        <v>4343.09</v>
      </c>
      <c r="O638">
        <v>1730.16</v>
      </c>
      <c r="P638">
        <v>1192.01</v>
      </c>
      <c r="Q638">
        <v>509.35</v>
      </c>
      <c r="R638">
        <v>1544.34</v>
      </c>
      <c r="S638">
        <v>789.87</v>
      </c>
      <c r="T638">
        <v>27516.22</v>
      </c>
      <c r="U638">
        <v>18393.37</v>
      </c>
      <c r="V638">
        <v>8284.5400000000009</v>
      </c>
      <c r="W638">
        <v>7901.15</v>
      </c>
      <c r="X638">
        <v>36932.730000000003</v>
      </c>
      <c r="Y638">
        <v>27221.74</v>
      </c>
    </row>
    <row r="639" spans="1:25" x14ac:dyDescent="0.25">
      <c r="A639" t="s">
        <v>687</v>
      </c>
      <c r="B639" s="1">
        <v>45107</v>
      </c>
      <c r="C639">
        <v>2023</v>
      </c>
      <c r="D639">
        <v>6</v>
      </c>
      <c r="E639" t="s">
        <v>585</v>
      </c>
      <c r="F639" t="s">
        <v>358</v>
      </c>
      <c r="G639" t="s">
        <v>44</v>
      </c>
      <c r="H639" t="s">
        <v>32</v>
      </c>
      <c r="I639" t="s">
        <v>56</v>
      </c>
      <c r="J639">
        <v>25</v>
      </c>
      <c r="K639">
        <v>1175.81</v>
      </c>
      <c r="L639">
        <v>29395.22</v>
      </c>
      <c r="M639">
        <v>19822.72</v>
      </c>
      <c r="N639">
        <v>3649.56</v>
      </c>
      <c r="O639">
        <v>2066.75</v>
      </c>
      <c r="P639">
        <v>1271.6099999999999</v>
      </c>
      <c r="Q639">
        <v>339.05</v>
      </c>
      <c r="R639">
        <v>1639.84</v>
      </c>
      <c r="S639">
        <v>556.70000000000005</v>
      </c>
      <c r="T639">
        <v>29346.23</v>
      </c>
      <c r="U639">
        <v>9572.5</v>
      </c>
      <c r="V639">
        <v>48.99</v>
      </c>
      <c r="W639">
        <v>46.14</v>
      </c>
      <c r="X639">
        <v>28924.81</v>
      </c>
      <c r="Y639">
        <v>29690.45</v>
      </c>
    </row>
    <row r="640" spans="1:25" x14ac:dyDescent="0.25">
      <c r="A640" t="s">
        <v>688</v>
      </c>
      <c r="B640" s="1">
        <v>45107</v>
      </c>
      <c r="C640">
        <v>2023</v>
      </c>
      <c r="D640">
        <v>6</v>
      </c>
      <c r="E640" t="s">
        <v>585</v>
      </c>
      <c r="F640" t="s">
        <v>358</v>
      </c>
      <c r="G640" t="s">
        <v>44</v>
      </c>
      <c r="H640" t="s">
        <v>32</v>
      </c>
      <c r="I640" t="s">
        <v>45</v>
      </c>
      <c r="J640">
        <v>43</v>
      </c>
      <c r="K640">
        <v>1254.71</v>
      </c>
      <c r="L640">
        <v>53952.37</v>
      </c>
      <c r="M640">
        <v>35871.57</v>
      </c>
      <c r="N640">
        <v>6111.21</v>
      </c>
      <c r="O640">
        <v>1512.05</v>
      </c>
      <c r="P640">
        <v>1095.5</v>
      </c>
      <c r="Q640">
        <v>383.12</v>
      </c>
      <c r="R640">
        <v>2866.51</v>
      </c>
      <c r="S640">
        <v>465.63</v>
      </c>
      <c r="T640">
        <v>48305.59</v>
      </c>
      <c r="U640">
        <v>18080.810000000001</v>
      </c>
      <c r="V640">
        <v>5646.78</v>
      </c>
      <c r="W640">
        <v>4999.82</v>
      </c>
      <c r="X640">
        <v>55125.39</v>
      </c>
      <c r="Y640">
        <v>52745.25</v>
      </c>
    </row>
    <row r="641" spans="1:25" x14ac:dyDescent="0.25">
      <c r="A641" t="s">
        <v>689</v>
      </c>
      <c r="B641" s="1">
        <v>45108</v>
      </c>
      <c r="C641">
        <v>2023</v>
      </c>
      <c r="D641">
        <v>7</v>
      </c>
      <c r="E641" t="s">
        <v>690</v>
      </c>
      <c r="F641" t="s">
        <v>691</v>
      </c>
      <c r="G641" t="s">
        <v>35</v>
      </c>
      <c r="H641" t="s">
        <v>32</v>
      </c>
      <c r="I641" t="s">
        <v>56</v>
      </c>
      <c r="J641">
        <v>18</v>
      </c>
      <c r="K641">
        <v>1618.81</v>
      </c>
      <c r="L641">
        <v>29138.63</v>
      </c>
      <c r="M641">
        <v>17783.48</v>
      </c>
      <c r="N641">
        <v>2490.3000000000002</v>
      </c>
      <c r="O641">
        <v>2017.09</v>
      </c>
      <c r="P641">
        <v>647.85</v>
      </c>
      <c r="Q641">
        <v>172.31</v>
      </c>
      <c r="R641">
        <v>1410.22</v>
      </c>
      <c r="S641">
        <v>456.82</v>
      </c>
      <c r="T641">
        <v>24978.07</v>
      </c>
      <c r="U641">
        <v>11355.15</v>
      </c>
      <c r="V641">
        <v>4160.57</v>
      </c>
      <c r="W641">
        <v>4085.25</v>
      </c>
      <c r="X641">
        <v>29769.43</v>
      </c>
      <c r="Y641">
        <v>26000.09</v>
      </c>
    </row>
    <row r="642" spans="1:25" x14ac:dyDescent="0.25">
      <c r="A642" t="s">
        <v>692</v>
      </c>
      <c r="B642" s="1">
        <v>45109</v>
      </c>
      <c r="C642">
        <v>2023</v>
      </c>
      <c r="D642">
        <v>7</v>
      </c>
      <c r="E642" t="s">
        <v>690</v>
      </c>
      <c r="F642" t="s">
        <v>691</v>
      </c>
      <c r="G642" t="s">
        <v>44</v>
      </c>
      <c r="H642" t="s">
        <v>36</v>
      </c>
      <c r="I642" t="s">
        <v>45</v>
      </c>
      <c r="J642">
        <v>43</v>
      </c>
      <c r="K642">
        <v>1225.1400000000001</v>
      </c>
      <c r="L642">
        <v>52681.21</v>
      </c>
      <c r="M642">
        <v>33083.879999999997</v>
      </c>
      <c r="N642">
        <v>4462.6899999999996</v>
      </c>
      <c r="O642">
        <v>1773.94</v>
      </c>
      <c r="P642">
        <v>1793.13</v>
      </c>
      <c r="Q642">
        <v>695.36</v>
      </c>
      <c r="R642">
        <v>1908.55</v>
      </c>
      <c r="S642">
        <v>1052.06</v>
      </c>
      <c r="T642">
        <v>44769.61</v>
      </c>
      <c r="U642">
        <v>19597.330000000002</v>
      </c>
      <c r="V642">
        <v>7911.6</v>
      </c>
      <c r="W642">
        <v>7043.11</v>
      </c>
      <c r="X642">
        <v>50318.64</v>
      </c>
      <c r="Y642">
        <v>41980.62</v>
      </c>
    </row>
    <row r="643" spans="1:25" x14ac:dyDescent="0.25">
      <c r="A643" t="s">
        <v>693</v>
      </c>
      <c r="B643" s="1">
        <v>45109</v>
      </c>
      <c r="C643">
        <v>2023</v>
      </c>
      <c r="D643">
        <v>7</v>
      </c>
      <c r="E643" t="s">
        <v>690</v>
      </c>
      <c r="F643" t="s">
        <v>691</v>
      </c>
      <c r="G643" t="s">
        <v>28</v>
      </c>
      <c r="H643" t="s">
        <v>32</v>
      </c>
      <c r="I643" t="s">
        <v>50</v>
      </c>
      <c r="J643">
        <v>29</v>
      </c>
      <c r="K643">
        <v>1755.82</v>
      </c>
      <c r="L643">
        <v>50918.74</v>
      </c>
      <c r="M643">
        <v>31304.83</v>
      </c>
      <c r="N643">
        <v>5334.29</v>
      </c>
      <c r="O643">
        <v>2255.4899999999998</v>
      </c>
      <c r="P643">
        <v>1717.4</v>
      </c>
      <c r="Q643">
        <v>548.53</v>
      </c>
      <c r="R643">
        <v>2148.6799999999998</v>
      </c>
      <c r="S643">
        <v>622.33000000000004</v>
      </c>
      <c r="T643">
        <v>43931.56</v>
      </c>
      <c r="U643">
        <v>19613.900000000001</v>
      </c>
      <c r="V643">
        <v>6987.18</v>
      </c>
      <c r="W643">
        <v>6516.58</v>
      </c>
      <c r="X643">
        <v>49301.440000000002</v>
      </c>
      <c r="Y643">
        <v>45695.1</v>
      </c>
    </row>
    <row r="644" spans="1:25" x14ac:dyDescent="0.25">
      <c r="A644" t="s">
        <v>694</v>
      </c>
      <c r="B644" s="1">
        <v>45109</v>
      </c>
      <c r="C644">
        <v>2023</v>
      </c>
      <c r="D644">
        <v>7</v>
      </c>
      <c r="E644" t="s">
        <v>690</v>
      </c>
      <c r="F644" t="s">
        <v>691</v>
      </c>
      <c r="G644" t="s">
        <v>55</v>
      </c>
      <c r="H644" t="s">
        <v>29</v>
      </c>
      <c r="I644" t="s">
        <v>65</v>
      </c>
      <c r="J644">
        <v>52</v>
      </c>
      <c r="K644">
        <v>1631.34</v>
      </c>
      <c r="L644">
        <v>84829.69</v>
      </c>
      <c r="M644">
        <v>42344.36</v>
      </c>
      <c r="N644">
        <v>9155.0499999999993</v>
      </c>
      <c r="O644">
        <v>3409.47</v>
      </c>
      <c r="P644">
        <v>2346.56</v>
      </c>
      <c r="Q644">
        <v>1110.75</v>
      </c>
      <c r="R644">
        <v>4895.63</v>
      </c>
      <c r="S644">
        <v>1886.74</v>
      </c>
      <c r="T644">
        <v>65148.56</v>
      </c>
      <c r="U644">
        <v>42485.33</v>
      </c>
      <c r="V644">
        <v>19681.13</v>
      </c>
      <c r="W644">
        <v>19297.5</v>
      </c>
      <c r="X644">
        <v>92921.19</v>
      </c>
      <c r="Y644">
        <v>67806.8</v>
      </c>
    </row>
    <row r="645" spans="1:25" x14ac:dyDescent="0.25">
      <c r="A645" t="s">
        <v>695</v>
      </c>
      <c r="B645" s="1">
        <v>45109</v>
      </c>
      <c r="C645">
        <v>2023</v>
      </c>
      <c r="D645">
        <v>7</v>
      </c>
      <c r="E645" t="s">
        <v>690</v>
      </c>
      <c r="F645" t="s">
        <v>691</v>
      </c>
      <c r="G645" t="s">
        <v>35</v>
      </c>
      <c r="H645" t="s">
        <v>32</v>
      </c>
      <c r="I645" t="s">
        <v>37</v>
      </c>
      <c r="J645">
        <v>54</v>
      </c>
      <c r="K645">
        <v>1463.11</v>
      </c>
      <c r="L645">
        <v>79007.820000000007</v>
      </c>
      <c r="M645">
        <v>47418</v>
      </c>
      <c r="N645">
        <v>8002.07</v>
      </c>
      <c r="O645">
        <v>4769.13</v>
      </c>
      <c r="P645">
        <v>1383.56</v>
      </c>
      <c r="Q645">
        <v>767.13</v>
      </c>
      <c r="R645">
        <v>2761.21</v>
      </c>
      <c r="S645">
        <v>1470.96</v>
      </c>
      <c r="T645">
        <v>66572.05</v>
      </c>
      <c r="U645">
        <v>31589.82</v>
      </c>
      <c r="V645">
        <v>12435.77</v>
      </c>
      <c r="W645">
        <v>11403.32</v>
      </c>
      <c r="X645">
        <v>82532.27</v>
      </c>
      <c r="Y645">
        <v>68703.94</v>
      </c>
    </row>
    <row r="646" spans="1:25" x14ac:dyDescent="0.25">
      <c r="A646" t="s">
        <v>696</v>
      </c>
      <c r="B646" s="1">
        <v>45109</v>
      </c>
      <c r="C646">
        <v>2023</v>
      </c>
      <c r="D646">
        <v>7</v>
      </c>
      <c r="E646" t="s">
        <v>690</v>
      </c>
      <c r="F646" t="s">
        <v>691</v>
      </c>
      <c r="G646" t="s">
        <v>28</v>
      </c>
      <c r="H646" t="s">
        <v>32</v>
      </c>
      <c r="I646" t="s">
        <v>45</v>
      </c>
      <c r="J646">
        <v>70</v>
      </c>
      <c r="K646">
        <v>966.25</v>
      </c>
      <c r="L646">
        <v>67637.77</v>
      </c>
      <c r="M646">
        <v>43099.13</v>
      </c>
      <c r="N646">
        <v>7043.66</v>
      </c>
      <c r="O646">
        <v>1764.83</v>
      </c>
      <c r="P646">
        <v>1385.24</v>
      </c>
      <c r="Q646">
        <v>805.32</v>
      </c>
      <c r="R646">
        <v>1790.56</v>
      </c>
      <c r="S646">
        <v>618.63</v>
      </c>
      <c r="T646">
        <v>56507.37</v>
      </c>
      <c r="U646">
        <v>24538.639999999999</v>
      </c>
      <c r="V646">
        <v>11130.4</v>
      </c>
      <c r="W646">
        <v>10603.16</v>
      </c>
      <c r="X646">
        <v>74640.539999999994</v>
      </c>
      <c r="Y646">
        <v>57656.03</v>
      </c>
    </row>
    <row r="647" spans="1:25" x14ac:dyDescent="0.25">
      <c r="A647" t="s">
        <v>697</v>
      </c>
      <c r="B647" s="1">
        <v>45109</v>
      </c>
      <c r="C647">
        <v>2023</v>
      </c>
      <c r="D647">
        <v>7</v>
      </c>
      <c r="E647" t="s">
        <v>690</v>
      </c>
      <c r="F647" t="s">
        <v>691</v>
      </c>
      <c r="G647" t="s">
        <v>55</v>
      </c>
      <c r="H647" t="s">
        <v>32</v>
      </c>
      <c r="I647" t="s">
        <v>65</v>
      </c>
      <c r="J647">
        <v>46</v>
      </c>
      <c r="K647">
        <v>1618.45</v>
      </c>
      <c r="L647">
        <v>74448.789999999994</v>
      </c>
      <c r="M647">
        <v>44118.06</v>
      </c>
      <c r="N647">
        <v>9179.43</v>
      </c>
      <c r="O647">
        <v>3739.34</v>
      </c>
      <c r="P647">
        <v>1126.1300000000001</v>
      </c>
      <c r="Q647">
        <v>1113.3499999999999</v>
      </c>
      <c r="R647">
        <v>3545.9</v>
      </c>
      <c r="S647">
        <v>1319.85</v>
      </c>
      <c r="T647">
        <v>64142.06</v>
      </c>
      <c r="U647">
        <v>30330.73</v>
      </c>
      <c r="V647">
        <v>10306.73</v>
      </c>
      <c r="W647">
        <v>9484.98</v>
      </c>
      <c r="X647">
        <v>82579.69</v>
      </c>
      <c r="Y647">
        <v>63940.58</v>
      </c>
    </row>
    <row r="648" spans="1:25" x14ac:dyDescent="0.25">
      <c r="A648" t="s">
        <v>698</v>
      </c>
      <c r="B648" s="1">
        <v>45109</v>
      </c>
      <c r="C648">
        <v>2023</v>
      </c>
      <c r="D648">
        <v>7</v>
      </c>
      <c r="E648" t="s">
        <v>690</v>
      </c>
      <c r="F648" t="s">
        <v>691</v>
      </c>
      <c r="G648" t="s">
        <v>55</v>
      </c>
      <c r="H648" t="s">
        <v>29</v>
      </c>
      <c r="I648" t="s">
        <v>50</v>
      </c>
      <c r="J648">
        <v>52</v>
      </c>
      <c r="K648">
        <v>1105.6400000000001</v>
      </c>
      <c r="L648">
        <v>57493.31</v>
      </c>
      <c r="M648">
        <v>28482.22</v>
      </c>
      <c r="N648">
        <v>4971.3999999999996</v>
      </c>
      <c r="O648">
        <v>2845.39</v>
      </c>
      <c r="P648">
        <v>1653.44</v>
      </c>
      <c r="Q648">
        <v>876.68</v>
      </c>
      <c r="R648">
        <v>1904.28</v>
      </c>
      <c r="S648">
        <v>611</v>
      </c>
      <c r="T648">
        <v>41344.410000000003</v>
      </c>
      <c r="U648">
        <v>29011.08</v>
      </c>
      <c r="V648">
        <v>16148.89</v>
      </c>
      <c r="W648">
        <v>16372.87</v>
      </c>
      <c r="X648">
        <v>55781.01</v>
      </c>
      <c r="Y648">
        <v>42063.85</v>
      </c>
    </row>
    <row r="649" spans="1:25" x14ac:dyDescent="0.25">
      <c r="A649" t="s">
        <v>699</v>
      </c>
      <c r="B649" s="1">
        <v>45109</v>
      </c>
      <c r="C649">
        <v>2023</v>
      </c>
      <c r="D649">
        <v>7</v>
      </c>
      <c r="E649" t="s">
        <v>690</v>
      </c>
      <c r="F649" t="s">
        <v>691</v>
      </c>
      <c r="G649" t="s">
        <v>55</v>
      </c>
      <c r="H649" t="s">
        <v>32</v>
      </c>
      <c r="I649" t="s">
        <v>37</v>
      </c>
      <c r="J649">
        <v>84</v>
      </c>
      <c r="K649">
        <v>956.25</v>
      </c>
      <c r="L649">
        <v>80325.37</v>
      </c>
      <c r="M649">
        <v>45516.480000000003</v>
      </c>
      <c r="N649">
        <v>6485.06</v>
      </c>
      <c r="O649">
        <v>5801.29</v>
      </c>
      <c r="P649">
        <v>3548.03</v>
      </c>
      <c r="Q649">
        <v>1062.8</v>
      </c>
      <c r="R649">
        <v>4790.8500000000004</v>
      </c>
      <c r="S649">
        <v>1587.2</v>
      </c>
      <c r="T649">
        <v>68791.7</v>
      </c>
      <c r="U649">
        <v>34808.89</v>
      </c>
      <c r="V649">
        <v>11533.67</v>
      </c>
      <c r="W649">
        <v>10173.1</v>
      </c>
      <c r="X649">
        <v>78596.639999999999</v>
      </c>
      <c r="Y649">
        <v>73321.77</v>
      </c>
    </row>
    <row r="650" spans="1:25" x14ac:dyDescent="0.25">
      <c r="A650" t="s">
        <v>700</v>
      </c>
      <c r="B650" s="1">
        <v>45110</v>
      </c>
      <c r="C650">
        <v>2023</v>
      </c>
      <c r="D650">
        <v>7</v>
      </c>
      <c r="E650" t="s">
        <v>690</v>
      </c>
      <c r="F650" t="s">
        <v>691</v>
      </c>
      <c r="G650" t="s">
        <v>35</v>
      </c>
      <c r="H650" t="s">
        <v>36</v>
      </c>
      <c r="I650" t="s">
        <v>65</v>
      </c>
      <c r="J650">
        <v>28</v>
      </c>
      <c r="K650">
        <v>1377.5</v>
      </c>
      <c r="L650">
        <v>38569.870000000003</v>
      </c>
      <c r="M650">
        <v>24860.07</v>
      </c>
      <c r="N650">
        <v>3549.51</v>
      </c>
      <c r="O650">
        <v>2238.3200000000002</v>
      </c>
      <c r="P650">
        <v>1420.11</v>
      </c>
      <c r="Q650">
        <v>626.92999999999995</v>
      </c>
      <c r="R650">
        <v>1557.17</v>
      </c>
      <c r="S650">
        <v>945.53</v>
      </c>
      <c r="T650">
        <v>35197.65</v>
      </c>
      <c r="U650">
        <v>13709.8</v>
      </c>
      <c r="V650">
        <v>3372.22</v>
      </c>
      <c r="W650">
        <v>2994.29</v>
      </c>
      <c r="X650">
        <v>42858</v>
      </c>
      <c r="Y650">
        <v>32918.67</v>
      </c>
    </row>
    <row r="651" spans="1:25" x14ac:dyDescent="0.25">
      <c r="A651" t="s">
        <v>701</v>
      </c>
      <c r="B651" s="1">
        <v>45110</v>
      </c>
      <c r="C651">
        <v>2023</v>
      </c>
      <c r="D651">
        <v>7</v>
      </c>
      <c r="E651" t="s">
        <v>690</v>
      </c>
      <c r="F651" t="s">
        <v>691</v>
      </c>
      <c r="G651" t="s">
        <v>44</v>
      </c>
      <c r="H651" t="s">
        <v>58</v>
      </c>
      <c r="I651" t="s">
        <v>30</v>
      </c>
      <c r="J651">
        <v>39</v>
      </c>
      <c r="K651">
        <v>1549.09</v>
      </c>
      <c r="L651">
        <v>60414.43</v>
      </c>
      <c r="M651">
        <v>29248.1</v>
      </c>
      <c r="N651">
        <v>6128.89</v>
      </c>
      <c r="O651">
        <v>3052.27</v>
      </c>
      <c r="P651">
        <v>1770.53</v>
      </c>
      <c r="Q651">
        <v>711.53</v>
      </c>
      <c r="R651">
        <v>2266.9899999999998</v>
      </c>
      <c r="S651">
        <v>1291.02</v>
      </c>
      <c r="T651">
        <v>44469.32</v>
      </c>
      <c r="U651">
        <v>31166.33</v>
      </c>
      <c r="V651">
        <v>15945.1</v>
      </c>
      <c r="W651">
        <v>15931.96</v>
      </c>
      <c r="X651">
        <v>59654.27</v>
      </c>
      <c r="Y651">
        <v>48589.27</v>
      </c>
    </row>
    <row r="652" spans="1:25" x14ac:dyDescent="0.25">
      <c r="A652" t="s">
        <v>702</v>
      </c>
      <c r="B652" s="1">
        <v>45110</v>
      </c>
      <c r="C652">
        <v>2023</v>
      </c>
      <c r="D652">
        <v>7</v>
      </c>
      <c r="E652" t="s">
        <v>690</v>
      </c>
      <c r="F652" t="s">
        <v>691</v>
      </c>
      <c r="G652" t="s">
        <v>28</v>
      </c>
      <c r="H652" t="s">
        <v>36</v>
      </c>
      <c r="I652" t="s">
        <v>56</v>
      </c>
      <c r="J652">
        <v>23</v>
      </c>
      <c r="K652">
        <v>1461.98</v>
      </c>
      <c r="L652">
        <v>33625.589999999997</v>
      </c>
      <c r="M652">
        <v>18759.39</v>
      </c>
      <c r="N652">
        <v>3618.55</v>
      </c>
      <c r="O652">
        <v>2295.4</v>
      </c>
      <c r="P652">
        <v>921.35</v>
      </c>
      <c r="Q652">
        <v>221.5</v>
      </c>
      <c r="R652">
        <v>1126.1099999999999</v>
      </c>
      <c r="S652">
        <v>341.04</v>
      </c>
      <c r="T652">
        <v>27283.33</v>
      </c>
      <c r="U652">
        <v>14866.2</v>
      </c>
      <c r="V652">
        <v>6342.25</v>
      </c>
      <c r="W652">
        <v>6431.71</v>
      </c>
      <c r="X652">
        <v>32430.73</v>
      </c>
      <c r="Y652">
        <v>26288.6</v>
      </c>
    </row>
    <row r="653" spans="1:25" x14ac:dyDescent="0.25">
      <c r="A653" t="s">
        <v>703</v>
      </c>
      <c r="B653" s="1">
        <v>45110</v>
      </c>
      <c r="C653">
        <v>2023</v>
      </c>
      <c r="D653">
        <v>7</v>
      </c>
      <c r="E653" t="s">
        <v>690</v>
      </c>
      <c r="F653" t="s">
        <v>691</v>
      </c>
      <c r="G653" t="s">
        <v>28</v>
      </c>
      <c r="H653" t="s">
        <v>32</v>
      </c>
      <c r="I653" t="s">
        <v>37</v>
      </c>
      <c r="J653">
        <v>81</v>
      </c>
      <c r="K653">
        <v>1219.3900000000001</v>
      </c>
      <c r="L653">
        <v>98770.34</v>
      </c>
      <c r="M653">
        <v>63413.58</v>
      </c>
      <c r="N653">
        <v>12795.22</v>
      </c>
      <c r="O653">
        <v>7262.24</v>
      </c>
      <c r="P653">
        <v>3310.17</v>
      </c>
      <c r="Q653">
        <v>758.56</v>
      </c>
      <c r="R653">
        <v>5563.14</v>
      </c>
      <c r="S653">
        <v>1989.53</v>
      </c>
      <c r="T653">
        <v>95092.44</v>
      </c>
      <c r="U653">
        <v>35356.75</v>
      </c>
      <c r="V653">
        <v>3677.9</v>
      </c>
      <c r="W653">
        <v>3731.58</v>
      </c>
      <c r="X653">
        <v>106322.64</v>
      </c>
      <c r="Y653">
        <v>101981.25</v>
      </c>
    </row>
    <row r="654" spans="1:25" x14ac:dyDescent="0.25">
      <c r="A654" t="s">
        <v>704</v>
      </c>
      <c r="B654" s="1">
        <v>45110</v>
      </c>
      <c r="C654">
        <v>2023</v>
      </c>
      <c r="D654">
        <v>7</v>
      </c>
      <c r="E654" t="s">
        <v>690</v>
      </c>
      <c r="F654" t="s">
        <v>691</v>
      </c>
      <c r="G654" t="s">
        <v>35</v>
      </c>
      <c r="H654" t="s">
        <v>58</v>
      </c>
      <c r="I654" t="s">
        <v>33</v>
      </c>
      <c r="J654">
        <v>69</v>
      </c>
      <c r="K654">
        <v>1136.9000000000001</v>
      </c>
      <c r="L654">
        <v>78446.3</v>
      </c>
      <c r="M654">
        <v>42670.720000000001</v>
      </c>
      <c r="N654">
        <v>6408.17</v>
      </c>
      <c r="O654">
        <v>2981.97</v>
      </c>
      <c r="P654">
        <v>1811.06</v>
      </c>
      <c r="Q654">
        <v>791.23</v>
      </c>
      <c r="R654">
        <v>4211.46</v>
      </c>
      <c r="S654">
        <v>1839.06</v>
      </c>
      <c r="T654">
        <v>60713.67</v>
      </c>
      <c r="U654">
        <v>35775.58</v>
      </c>
      <c r="V654">
        <v>17732.63</v>
      </c>
      <c r="W654">
        <v>17596.95</v>
      </c>
      <c r="X654">
        <v>83768.37</v>
      </c>
      <c r="Y654">
        <v>64260.2</v>
      </c>
    </row>
    <row r="655" spans="1:25" x14ac:dyDescent="0.25">
      <c r="A655" t="s">
        <v>705</v>
      </c>
      <c r="B655" s="1">
        <v>45111</v>
      </c>
      <c r="C655">
        <v>2023</v>
      </c>
      <c r="D655">
        <v>7</v>
      </c>
      <c r="E655" t="s">
        <v>690</v>
      </c>
      <c r="F655" t="s">
        <v>691</v>
      </c>
      <c r="G655" t="s">
        <v>55</v>
      </c>
      <c r="H655" t="s">
        <v>29</v>
      </c>
      <c r="I655" t="s">
        <v>37</v>
      </c>
      <c r="J655">
        <v>61</v>
      </c>
      <c r="K655">
        <v>1588.17</v>
      </c>
      <c r="L655">
        <v>96878.12</v>
      </c>
      <c r="M655">
        <v>63426.77</v>
      </c>
      <c r="N655">
        <v>11372.01</v>
      </c>
      <c r="O655">
        <v>6571.59</v>
      </c>
      <c r="P655">
        <v>2189.4</v>
      </c>
      <c r="Q655">
        <v>1647.55</v>
      </c>
      <c r="R655">
        <v>2702.07</v>
      </c>
      <c r="S655">
        <v>1235.24</v>
      </c>
      <c r="T655">
        <v>89144.63</v>
      </c>
      <c r="U655">
        <v>33451.35</v>
      </c>
      <c r="V655">
        <v>7733.5</v>
      </c>
      <c r="W655">
        <v>7375.95</v>
      </c>
      <c r="X655">
        <v>94605.25</v>
      </c>
      <c r="Y655">
        <v>86969.61</v>
      </c>
    </row>
    <row r="656" spans="1:25" x14ac:dyDescent="0.25">
      <c r="A656" t="s">
        <v>706</v>
      </c>
      <c r="B656" s="1">
        <v>45111</v>
      </c>
      <c r="C656">
        <v>2023</v>
      </c>
      <c r="D656">
        <v>7</v>
      </c>
      <c r="E656" t="s">
        <v>690</v>
      </c>
      <c r="F656" t="s">
        <v>691</v>
      </c>
      <c r="G656" t="s">
        <v>55</v>
      </c>
      <c r="H656" t="s">
        <v>32</v>
      </c>
      <c r="I656" t="s">
        <v>56</v>
      </c>
      <c r="J656">
        <v>31</v>
      </c>
      <c r="K656">
        <v>1767.47</v>
      </c>
      <c r="L656">
        <v>54791.48</v>
      </c>
      <c r="M656">
        <v>28837.41</v>
      </c>
      <c r="N656">
        <v>5622.7</v>
      </c>
      <c r="O656">
        <v>3880.44</v>
      </c>
      <c r="P656">
        <v>1745.44</v>
      </c>
      <c r="Q656">
        <v>980.34</v>
      </c>
      <c r="R656">
        <v>2506.69</v>
      </c>
      <c r="S656">
        <v>604.6</v>
      </c>
      <c r="T656">
        <v>44177.63</v>
      </c>
      <c r="U656">
        <v>25954.06</v>
      </c>
      <c r="V656">
        <v>10613.85</v>
      </c>
      <c r="W656">
        <v>9843.4699999999993</v>
      </c>
      <c r="X656">
        <v>56012.38</v>
      </c>
      <c r="Y656">
        <v>41640.480000000003</v>
      </c>
    </row>
    <row r="657" spans="1:25" x14ac:dyDescent="0.25">
      <c r="A657" t="s">
        <v>707</v>
      </c>
      <c r="B657" s="1">
        <v>45112</v>
      </c>
      <c r="C657">
        <v>2023</v>
      </c>
      <c r="D657">
        <v>7</v>
      </c>
      <c r="E657" t="s">
        <v>690</v>
      </c>
      <c r="F657" t="s">
        <v>691</v>
      </c>
      <c r="G657" t="s">
        <v>28</v>
      </c>
      <c r="H657" t="s">
        <v>36</v>
      </c>
      <c r="I657" t="s">
        <v>39</v>
      </c>
      <c r="J657">
        <v>38</v>
      </c>
      <c r="K657">
        <v>1365.33</v>
      </c>
      <c r="L657">
        <v>51882.35</v>
      </c>
      <c r="M657">
        <v>27086.75</v>
      </c>
      <c r="N657">
        <v>3793.07</v>
      </c>
      <c r="O657">
        <v>3783.5</v>
      </c>
      <c r="P657">
        <v>2222.9699999999998</v>
      </c>
      <c r="Q657">
        <v>482.78</v>
      </c>
      <c r="R657">
        <v>2541.92</v>
      </c>
      <c r="S657">
        <v>1247.5</v>
      </c>
      <c r="T657">
        <v>41158.5</v>
      </c>
      <c r="U657">
        <v>24795.599999999999</v>
      </c>
      <c r="V657">
        <v>10723.85</v>
      </c>
      <c r="W657">
        <v>9598.75</v>
      </c>
      <c r="X657">
        <v>57221.32</v>
      </c>
      <c r="Y657">
        <v>42854.06</v>
      </c>
    </row>
    <row r="658" spans="1:25" x14ac:dyDescent="0.25">
      <c r="A658" t="s">
        <v>708</v>
      </c>
      <c r="B658" s="1">
        <v>45113</v>
      </c>
      <c r="C658">
        <v>2023</v>
      </c>
      <c r="D658">
        <v>7</v>
      </c>
      <c r="E658" t="s">
        <v>690</v>
      </c>
      <c r="F658" t="s">
        <v>691</v>
      </c>
      <c r="G658" t="s">
        <v>55</v>
      </c>
      <c r="H658" t="s">
        <v>29</v>
      </c>
      <c r="I658" t="s">
        <v>56</v>
      </c>
      <c r="J658">
        <v>18</v>
      </c>
      <c r="K658">
        <v>1715.33</v>
      </c>
      <c r="L658">
        <v>30875.85</v>
      </c>
      <c r="M658">
        <v>16194.03</v>
      </c>
      <c r="N658">
        <v>3190.75</v>
      </c>
      <c r="O658">
        <v>1178.6500000000001</v>
      </c>
      <c r="P658">
        <v>1264.76</v>
      </c>
      <c r="Q658">
        <v>430.1</v>
      </c>
      <c r="R658">
        <v>1732.4</v>
      </c>
      <c r="S658">
        <v>672.77</v>
      </c>
      <c r="T658">
        <v>24663.439999999999</v>
      </c>
      <c r="U658">
        <v>14681.82</v>
      </c>
      <c r="V658">
        <v>6212.41</v>
      </c>
      <c r="W658">
        <v>5626.05</v>
      </c>
      <c r="X658">
        <v>30021.45</v>
      </c>
      <c r="Y658">
        <v>26530.14</v>
      </c>
    </row>
    <row r="659" spans="1:25" x14ac:dyDescent="0.25">
      <c r="A659" t="s">
        <v>709</v>
      </c>
      <c r="B659" s="1">
        <v>45113</v>
      </c>
      <c r="C659">
        <v>2023</v>
      </c>
      <c r="D659">
        <v>7</v>
      </c>
      <c r="E659" t="s">
        <v>690</v>
      </c>
      <c r="F659" t="s">
        <v>691</v>
      </c>
      <c r="G659" t="s">
        <v>55</v>
      </c>
      <c r="H659" t="s">
        <v>32</v>
      </c>
      <c r="I659" t="s">
        <v>37</v>
      </c>
      <c r="J659">
        <v>55</v>
      </c>
      <c r="K659">
        <v>1559.85</v>
      </c>
      <c r="L659">
        <v>85791.84</v>
      </c>
      <c r="M659">
        <v>53536.01</v>
      </c>
      <c r="N659">
        <v>6782</v>
      </c>
      <c r="O659">
        <v>5296.24</v>
      </c>
      <c r="P659">
        <v>2961.41</v>
      </c>
      <c r="Q659">
        <v>1511.16</v>
      </c>
      <c r="R659">
        <v>2895.67</v>
      </c>
      <c r="S659">
        <v>1611.62</v>
      </c>
      <c r="T659">
        <v>74594.12</v>
      </c>
      <c r="U659">
        <v>32255.83</v>
      </c>
      <c r="V659">
        <v>11197.72</v>
      </c>
      <c r="W659">
        <v>10842.54</v>
      </c>
      <c r="X659">
        <v>95123.53</v>
      </c>
      <c r="Y659">
        <v>71187.19</v>
      </c>
    </row>
    <row r="660" spans="1:25" x14ac:dyDescent="0.25">
      <c r="A660" t="s">
        <v>710</v>
      </c>
      <c r="B660" s="1">
        <v>45113</v>
      </c>
      <c r="C660">
        <v>2023</v>
      </c>
      <c r="D660">
        <v>7</v>
      </c>
      <c r="E660" t="s">
        <v>690</v>
      </c>
      <c r="F660" t="s">
        <v>691</v>
      </c>
      <c r="G660" t="s">
        <v>44</v>
      </c>
      <c r="H660" t="s">
        <v>36</v>
      </c>
      <c r="I660" t="s">
        <v>33</v>
      </c>
      <c r="J660">
        <v>60</v>
      </c>
      <c r="K660">
        <v>1301.48</v>
      </c>
      <c r="L660">
        <v>78088.7</v>
      </c>
      <c r="M660">
        <v>37788.74</v>
      </c>
      <c r="N660">
        <v>7052.75</v>
      </c>
      <c r="O660">
        <v>4932.6099999999997</v>
      </c>
      <c r="P660">
        <v>1536.38</v>
      </c>
      <c r="Q660">
        <v>629.25</v>
      </c>
      <c r="R660">
        <v>2505.9499999999998</v>
      </c>
      <c r="S660">
        <v>1399.92</v>
      </c>
      <c r="T660">
        <v>55845.599999999999</v>
      </c>
      <c r="U660">
        <v>40299.96</v>
      </c>
      <c r="V660">
        <v>22243.1</v>
      </c>
      <c r="W660">
        <v>22261.54</v>
      </c>
      <c r="X660">
        <v>77433.100000000006</v>
      </c>
      <c r="Y660">
        <v>55968.3</v>
      </c>
    </row>
    <row r="661" spans="1:25" x14ac:dyDescent="0.25">
      <c r="A661" t="s">
        <v>711</v>
      </c>
      <c r="B661" s="1">
        <v>45113</v>
      </c>
      <c r="C661">
        <v>2023</v>
      </c>
      <c r="D661">
        <v>7</v>
      </c>
      <c r="E661" t="s">
        <v>690</v>
      </c>
      <c r="F661" t="s">
        <v>691</v>
      </c>
      <c r="G661" t="s">
        <v>28</v>
      </c>
      <c r="H661" t="s">
        <v>58</v>
      </c>
      <c r="I661" t="s">
        <v>50</v>
      </c>
      <c r="J661">
        <v>44</v>
      </c>
      <c r="K661">
        <v>1369.06</v>
      </c>
      <c r="L661">
        <v>60238.63</v>
      </c>
      <c r="M661">
        <v>31603.09</v>
      </c>
      <c r="N661">
        <v>5054.82</v>
      </c>
      <c r="O661">
        <v>3220.61</v>
      </c>
      <c r="P661">
        <v>2290.14</v>
      </c>
      <c r="Q661">
        <v>468.56</v>
      </c>
      <c r="R661">
        <v>2700.77</v>
      </c>
      <c r="S661">
        <v>1291.99</v>
      </c>
      <c r="T661">
        <v>46629.97</v>
      </c>
      <c r="U661">
        <v>28635.55</v>
      </c>
      <c r="V661">
        <v>13608.66</v>
      </c>
      <c r="W661">
        <v>13390.32</v>
      </c>
      <c r="X661">
        <v>55876</v>
      </c>
      <c r="Y661">
        <v>45387.63</v>
      </c>
    </row>
    <row r="662" spans="1:25" x14ac:dyDescent="0.25">
      <c r="A662" t="s">
        <v>712</v>
      </c>
      <c r="B662" s="1">
        <v>45113</v>
      </c>
      <c r="C662">
        <v>2023</v>
      </c>
      <c r="D662">
        <v>7</v>
      </c>
      <c r="E662" t="s">
        <v>690</v>
      </c>
      <c r="F662" t="s">
        <v>691</v>
      </c>
      <c r="G662" t="s">
        <v>44</v>
      </c>
      <c r="H662" t="s">
        <v>53</v>
      </c>
      <c r="I662" t="s">
        <v>56</v>
      </c>
      <c r="J662">
        <v>36</v>
      </c>
      <c r="K662">
        <v>942.11</v>
      </c>
      <c r="L662">
        <v>33915.870000000003</v>
      </c>
      <c r="M662">
        <v>22351.86</v>
      </c>
      <c r="N662">
        <v>3225.97</v>
      </c>
      <c r="O662">
        <v>1368.65</v>
      </c>
      <c r="P662">
        <v>589.42999999999995</v>
      </c>
      <c r="Q662">
        <v>325.60000000000002</v>
      </c>
      <c r="R662">
        <v>1939.39</v>
      </c>
      <c r="S662">
        <v>668.4</v>
      </c>
      <c r="T662">
        <v>30469.31</v>
      </c>
      <c r="U662">
        <v>11564.01</v>
      </c>
      <c r="V662">
        <v>3446.57</v>
      </c>
      <c r="W662">
        <v>3218.53</v>
      </c>
      <c r="X662">
        <v>31217.23</v>
      </c>
      <c r="Y662">
        <v>31275.89</v>
      </c>
    </row>
    <row r="663" spans="1:25" x14ac:dyDescent="0.25">
      <c r="A663" t="s">
        <v>713</v>
      </c>
      <c r="B663" s="1">
        <v>45114</v>
      </c>
      <c r="C663">
        <v>2023</v>
      </c>
      <c r="D663">
        <v>7</v>
      </c>
      <c r="E663" t="s">
        <v>690</v>
      </c>
      <c r="F663" t="s">
        <v>691</v>
      </c>
      <c r="G663" t="s">
        <v>28</v>
      </c>
      <c r="H663" t="s">
        <v>53</v>
      </c>
      <c r="I663" t="s">
        <v>39</v>
      </c>
      <c r="J663">
        <v>41</v>
      </c>
      <c r="K663">
        <v>1106.5999999999999</v>
      </c>
      <c r="L663">
        <v>45370.52</v>
      </c>
      <c r="M663">
        <v>30086.31</v>
      </c>
      <c r="N663">
        <v>3608.05</v>
      </c>
      <c r="O663">
        <v>1934.17</v>
      </c>
      <c r="P663">
        <v>1730.88</v>
      </c>
      <c r="Q663">
        <v>267.89999999999998</v>
      </c>
      <c r="R663">
        <v>1817.64</v>
      </c>
      <c r="S663">
        <v>1041.19</v>
      </c>
      <c r="T663">
        <v>40486.15</v>
      </c>
      <c r="U663">
        <v>15284.2</v>
      </c>
      <c r="V663">
        <v>4884.37</v>
      </c>
      <c r="W663">
        <v>4513.28</v>
      </c>
      <c r="X663">
        <v>46703.19</v>
      </c>
      <c r="Y663">
        <v>43351.18</v>
      </c>
    </row>
    <row r="664" spans="1:25" x14ac:dyDescent="0.25">
      <c r="A664" t="s">
        <v>714</v>
      </c>
      <c r="B664" s="1">
        <v>45114</v>
      </c>
      <c r="C664">
        <v>2023</v>
      </c>
      <c r="D664">
        <v>7</v>
      </c>
      <c r="E664" t="s">
        <v>690</v>
      </c>
      <c r="F664" t="s">
        <v>691</v>
      </c>
      <c r="G664" t="s">
        <v>55</v>
      </c>
      <c r="H664" t="s">
        <v>32</v>
      </c>
      <c r="I664" t="s">
        <v>37</v>
      </c>
      <c r="J664">
        <v>74</v>
      </c>
      <c r="K664">
        <v>1154.96</v>
      </c>
      <c r="L664">
        <v>85467.29</v>
      </c>
      <c r="M664">
        <v>53152.19</v>
      </c>
      <c r="N664">
        <v>8658.26</v>
      </c>
      <c r="O664">
        <v>2653.54</v>
      </c>
      <c r="P664">
        <v>2072.09</v>
      </c>
      <c r="Q664">
        <v>563.08000000000004</v>
      </c>
      <c r="R664">
        <v>2843.54</v>
      </c>
      <c r="S664">
        <v>782.97</v>
      </c>
      <c r="T664">
        <v>70725.679999999993</v>
      </c>
      <c r="U664">
        <v>32315.1</v>
      </c>
      <c r="V664">
        <v>14741.61</v>
      </c>
      <c r="W664">
        <v>14610.05</v>
      </c>
      <c r="X664">
        <v>81130.28</v>
      </c>
      <c r="Y664">
        <v>72313.8</v>
      </c>
    </row>
    <row r="665" spans="1:25" x14ac:dyDescent="0.25">
      <c r="A665" t="s">
        <v>715</v>
      </c>
      <c r="B665" s="1">
        <v>45114</v>
      </c>
      <c r="C665">
        <v>2023</v>
      </c>
      <c r="D665">
        <v>7</v>
      </c>
      <c r="E665" t="s">
        <v>690</v>
      </c>
      <c r="F665" t="s">
        <v>691</v>
      </c>
      <c r="G665" t="s">
        <v>28</v>
      </c>
      <c r="H665" t="s">
        <v>32</v>
      </c>
      <c r="I665" t="s">
        <v>37</v>
      </c>
      <c r="J665">
        <v>45</v>
      </c>
      <c r="K665">
        <v>1604.81</v>
      </c>
      <c r="L665">
        <v>72216.539999999994</v>
      </c>
      <c r="M665">
        <v>40840.6</v>
      </c>
      <c r="N665">
        <v>8038.55</v>
      </c>
      <c r="O665">
        <v>4526.24</v>
      </c>
      <c r="P665">
        <v>2038.26</v>
      </c>
      <c r="Q665">
        <v>908.39</v>
      </c>
      <c r="R665">
        <v>3536.19</v>
      </c>
      <c r="S665">
        <v>1386.13</v>
      </c>
      <c r="T665">
        <v>61274.36</v>
      </c>
      <c r="U665">
        <v>31375.94</v>
      </c>
      <c r="V665">
        <v>10942.18</v>
      </c>
      <c r="W665">
        <v>10136.08</v>
      </c>
      <c r="X665">
        <v>68073.919999999998</v>
      </c>
      <c r="Y665">
        <v>59498.11</v>
      </c>
    </row>
    <row r="666" spans="1:25" x14ac:dyDescent="0.25">
      <c r="A666" t="s">
        <v>716</v>
      </c>
      <c r="B666" s="1">
        <v>45114</v>
      </c>
      <c r="C666">
        <v>2023</v>
      </c>
      <c r="D666">
        <v>7</v>
      </c>
      <c r="E666" t="s">
        <v>690</v>
      </c>
      <c r="F666" t="s">
        <v>691</v>
      </c>
      <c r="G666" t="s">
        <v>35</v>
      </c>
      <c r="H666" t="s">
        <v>32</v>
      </c>
      <c r="I666" t="s">
        <v>33</v>
      </c>
      <c r="J666">
        <v>82</v>
      </c>
      <c r="K666">
        <v>1184.3900000000001</v>
      </c>
      <c r="L666">
        <v>97120</v>
      </c>
      <c r="M666">
        <v>61629.59</v>
      </c>
      <c r="N666">
        <v>12583.28</v>
      </c>
      <c r="O666">
        <v>6932.17</v>
      </c>
      <c r="P666">
        <v>4013.22</v>
      </c>
      <c r="Q666">
        <v>812.47</v>
      </c>
      <c r="R666">
        <v>2475.35</v>
      </c>
      <c r="S666">
        <v>1786.7</v>
      </c>
      <c r="T666">
        <v>90232.77</v>
      </c>
      <c r="U666">
        <v>35490.410000000003</v>
      </c>
      <c r="V666">
        <v>6887.22</v>
      </c>
      <c r="W666">
        <v>6108.39</v>
      </c>
      <c r="X666">
        <v>100934</v>
      </c>
      <c r="Y666">
        <v>94491.83</v>
      </c>
    </row>
    <row r="667" spans="1:25" x14ac:dyDescent="0.25">
      <c r="A667" t="s">
        <v>717</v>
      </c>
      <c r="B667" s="1">
        <v>45114</v>
      </c>
      <c r="C667">
        <v>2023</v>
      </c>
      <c r="D667">
        <v>7</v>
      </c>
      <c r="E667" t="s">
        <v>690</v>
      </c>
      <c r="F667" t="s">
        <v>691</v>
      </c>
      <c r="G667" t="s">
        <v>28</v>
      </c>
      <c r="H667" t="s">
        <v>32</v>
      </c>
      <c r="I667" t="s">
        <v>65</v>
      </c>
      <c r="J667">
        <v>56</v>
      </c>
      <c r="K667">
        <v>1425.48</v>
      </c>
      <c r="L667">
        <v>79826.61</v>
      </c>
      <c r="M667">
        <v>46144.79</v>
      </c>
      <c r="N667">
        <v>9788.09</v>
      </c>
      <c r="O667">
        <v>4373.62</v>
      </c>
      <c r="P667">
        <v>2606.64</v>
      </c>
      <c r="Q667">
        <v>584.66999999999996</v>
      </c>
      <c r="R667">
        <v>2579.8200000000002</v>
      </c>
      <c r="S667">
        <v>1431.58</v>
      </c>
      <c r="T667">
        <v>67509.2</v>
      </c>
      <c r="U667">
        <v>33681.82</v>
      </c>
      <c r="V667">
        <v>12317.41</v>
      </c>
      <c r="W667">
        <v>11738.97</v>
      </c>
      <c r="X667">
        <v>86931.68</v>
      </c>
      <c r="Y667">
        <v>73037.03</v>
      </c>
    </row>
    <row r="668" spans="1:25" x14ac:dyDescent="0.25">
      <c r="A668" t="s">
        <v>718</v>
      </c>
      <c r="B668" s="1">
        <v>45114</v>
      </c>
      <c r="C668">
        <v>2023</v>
      </c>
      <c r="D668">
        <v>7</v>
      </c>
      <c r="E668" t="s">
        <v>690</v>
      </c>
      <c r="F668" t="s">
        <v>691</v>
      </c>
      <c r="G668" t="s">
        <v>35</v>
      </c>
      <c r="H668" t="s">
        <v>53</v>
      </c>
      <c r="I668" t="s">
        <v>39</v>
      </c>
      <c r="J668">
        <v>30</v>
      </c>
      <c r="K668">
        <v>1006.45</v>
      </c>
      <c r="L668">
        <v>30193.5</v>
      </c>
      <c r="M668">
        <v>19063.55</v>
      </c>
      <c r="N668">
        <v>3256.04</v>
      </c>
      <c r="O668">
        <v>1507.98</v>
      </c>
      <c r="P668">
        <v>1209.45</v>
      </c>
      <c r="Q668">
        <v>240.51</v>
      </c>
      <c r="R668">
        <v>1463.01</v>
      </c>
      <c r="S668">
        <v>499.68</v>
      </c>
      <c r="T668">
        <v>27240.22</v>
      </c>
      <c r="U668">
        <v>11129.95</v>
      </c>
      <c r="V668">
        <v>2953.27</v>
      </c>
      <c r="W668">
        <v>2711.42</v>
      </c>
      <c r="X668">
        <v>29168.5</v>
      </c>
      <c r="Y668">
        <v>28164.93</v>
      </c>
    </row>
    <row r="669" spans="1:25" x14ac:dyDescent="0.25">
      <c r="A669" t="s">
        <v>719</v>
      </c>
      <c r="B669" s="1">
        <v>45114</v>
      </c>
      <c r="C669">
        <v>2023</v>
      </c>
      <c r="D669">
        <v>7</v>
      </c>
      <c r="E669" t="s">
        <v>690</v>
      </c>
      <c r="F669" t="s">
        <v>691</v>
      </c>
      <c r="G669" t="s">
        <v>44</v>
      </c>
      <c r="H669" t="s">
        <v>53</v>
      </c>
      <c r="I669" t="s">
        <v>30</v>
      </c>
      <c r="J669">
        <v>58</v>
      </c>
      <c r="K669">
        <v>1444.07</v>
      </c>
      <c r="L669">
        <v>83756.09</v>
      </c>
      <c r="M669">
        <v>55817.35</v>
      </c>
      <c r="N669">
        <v>6132.55</v>
      </c>
      <c r="O669">
        <v>3778.45</v>
      </c>
      <c r="P669">
        <v>3003.9</v>
      </c>
      <c r="Q669">
        <v>991.35</v>
      </c>
      <c r="R669">
        <v>4037.1</v>
      </c>
      <c r="S669">
        <v>895.39</v>
      </c>
      <c r="T669">
        <v>74656.100000000006</v>
      </c>
      <c r="U669">
        <v>27938.74</v>
      </c>
      <c r="V669">
        <v>9099.99</v>
      </c>
      <c r="W669">
        <v>8195.64</v>
      </c>
      <c r="X669">
        <v>88339.82</v>
      </c>
      <c r="Y669">
        <v>75223.179999999993</v>
      </c>
    </row>
    <row r="670" spans="1:25" x14ac:dyDescent="0.25">
      <c r="A670" t="s">
        <v>720</v>
      </c>
      <c r="B670" s="1">
        <v>45115</v>
      </c>
      <c r="C670">
        <v>2023</v>
      </c>
      <c r="D670">
        <v>7</v>
      </c>
      <c r="E670" t="s">
        <v>690</v>
      </c>
      <c r="F670" t="s">
        <v>691</v>
      </c>
      <c r="G670" t="s">
        <v>55</v>
      </c>
      <c r="H670" t="s">
        <v>36</v>
      </c>
      <c r="I670" t="s">
        <v>30</v>
      </c>
      <c r="J670">
        <v>72</v>
      </c>
      <c r="K670">
        <v>1721.96</v>
      </c>
      <c r="L670">
        <v>123981.05</v>
      </c>
      <c r="M670">
        <v>83262.02</v>
      </c>
      <c r="N670">
        <v>14701.51</v>
      </c>
      <c r="O670">
        <v>9248.7999999999993</v>
      </c>
      <c r="P670">
        <v>4532.34</v>
      </c>
      <c r="Q670">
        <v>1188.2</v>
      </c>
      <c r="R670">
        <v>6872.09</v>
      </c>
      <c r="S670">
        <v>3033.55</v>
      </c>
      <c r="T670">
        <v>122838.5</v>
      </c>
      <c r="U670">
        <v>40719.019999999997</v>
      </c>
      <c r="V670">
        <v>1142.54</v>
      </c>
      <c r="W670">
        <v>1089.24</v>
      </c>
      <c r="X670">
        <v>119256.84</v>
      </c>
      <c r="Y670">
        <v>131675.18</v>
      </c>
    </row>
    <row r="671" spans="1:25" x14ac:dyDescent="0.25">
      <c r="A671" t="s">
        <v>721</v>
      </c>
      <c r="B671" s="1">
        <v>45115</v>
      </c>
      <c r="C671">
        <v>2023</v>
      </c>
      <c r="D671">
        <v>7</v>
      </c>
      <c r="E671" t="s">
        <v>690</v>
      </c>
      <c r="F671" t="s">
        <v>691</v>
      </c>
      <c r="G671" t="s">
        <v>55</v>
      </c>
      <c r="H671" t="s">
        <v>36</v>
      </c>
      <c r="I671" t="s">
        <v>30</v>
      </c>
      <c r="J671">
        <v>98</v>
      </c>
      <c r="K671">
        <v>1155.43</v>
      </c>
      <c r="L671">
        <v>113232.53</v>
      </c>
      <c r="M671">
        <v>63436.480000000003</v>
      </c>
      <c r="N671">
        <v>10849.35</v>
      </c>
      <c r="O671">
        <v>3351.78</v>
      </c>
      <c r="P671">
        <v>3332.19</v>
      </c>
      <c r="Q671">
        <v>1969.72</v>
      </c>
      <c r="R671">
        <v>2890.75</v>
      </c>
      <c r="S671">
        <v>1454.55</v>
      </c>
      <c r="T671">
        <v>87284.82</v>
      </c>
      <c r="U671">
        <v>49796.04</v>
      </c>
      <c r="V671">
        <v>25947.71</v>
      </c>
      <c r="W671">
        <v>24186.93</v>
      </c>
      <c r="X671">
        <v>126755.77</v>
      </c>
      <c r="Y671">
        <v>82377.710000000006</v>
      </c>
    </row>
    <row r="672" spans="1:25" x14ac:dyDescent="0.25">
      <c r="A672" t="s">
        <v>722</v>
      </c>
      <c r="B672" s="1">
        <v>45116</v>
      </c>
      <c r="C672">
        <v>2023</v>
      </c>
      <c r="D672">
        <v>7</v>
      </c>
      <c r="E672" t="s">
        <v>690</v>
      </c>
      <c r="F672" t="s">
        <v>691</v>
      </c>
      <c r="G672" t="s">
        <v>55</v>
      </c>
      <c r="H672" t="s">
        <v>36</v>
      </c>
      <c r="I672" t="s">
        <v>30</v>
      </c>
      <c r="J672">
        <v>141</v>
      </c>
      <c r="K672">
        <v>841.86</v>
      </c>
      <c r="L672">
        <v>118702.76</v>
      </c>
      <c r="M672">
        <v>78982.929999999993</v>
      </c>
      <c r="N672">
        <v>14169.65</v>
      </c>
      <c r="O672">
        <v>6631.33</v>
      </c>
      <c r="P672">
        <v>4407.33</v>
      </c>
      <c r="Q672">
        <v>1555.03</v>
      </c>
      <c r="R672">
        <v>6122.91</v>
      </c>
      <c r="S672">
        <v>1014.53</v>
      </c>
      <c r="T672">
        <v>112883.71</v>
      </c>
      <c r="U672">
        <v>39719.82</v>
      </c>
      <c r="V672">
        <v>5819.04</v>
      </c>
      <c r="W672">
        <v>5266.21</v>
      </c>
      <c r="X672">
        <v>124027.86</v>
      </c>
      <c r="Y672">
        <v>105462.3</v>
      </c>
    </row>
    <row r="673" spans="1:25" x14ac:dyDescent="0.25">
      <c r="A673" t="s">
        <v>723</v>
      </c>
      <c r="B673" s="1">
        <v>45116</v>
      </c>
      <c r="C673">
        <v>2023</v>
      </c>
      <c r="D673">
        <v>7</v>
      </c>
      <c r="E673" t="s">
        <v>690</v>
      </c>
      <c r="F673" t="s">
        <v>691</v>
      </c>
      <c r="G673" t="s">
        <v>28</v>
      </c>
      <c r="H673" t="s">
        <v>58</v>
      </c>
      <c r="I673" t="s">
        <v>45</v>
      </c>
      <c r="J673">
        <v>31</v>
      </c>
      <c r="K673">
        <v>1302.52</v>
      </c>
      <c r="L673">
        <v>40378.160000000003</v>
      </c>
      <c r="M673">
        <v>22391.56</v>
      </c>
      <c r="N673">
        <v>4073.22</v>
      </c>
      <c r="O673">
        <v>2172.21</v>
      </c>
      <c r="P673">
        <v>1096.2</v>
      </c>
      <c r="Q673">
        <v>258.42</v>
      </c>
      <c r="R673">
        <v>1481.8</v>
      </c>
      <c r="S673">
        <v>503.04</v>
      </c>
      <c r="T673">
        <v>31976.45</v>
      </c>
      <c r="U673">
        <v>17986.599999999999</v>
      </c>
      <c r="V673">
        <v>8401.7099999999991</v>
      </c>
      <c r="W673">
        <v>7427.47</v>
      </c>
      <c r="X673">
        <v>42571</v>
      </c>
      <c r="Y673">
        <v>33067.800000000003</v>
      </c>
    </row>
    <row r="674" spans="1:25" x14ac:dyDescent="0.25">
      <c r="A674" t="s">
        <v>724</v>
      </c>
      <c r="B674" s="1">
        <v>45116</v>
      </c>
      <c r="C674">
        <v>2023</v>
      </c>
      <c r="D674">
        <v>7</v>
      </c>
      <c r="E674" t="s">
        <v>690</v>
      </c>
      <c r="F674" t="s">
        <v>691</v>
      </c>
      <c r="G674" t="s">
        <v>55</v>
      </c>
      <c r="H674" t="s">
        <v>32</v>
      </c>
      <c r="I674" t="s">
        <v>50</v>
      </c>
      <c r="J674">
        <v>56</v>
      </c>
      <c r="K674">
        <v>1448.23</v>
      </c>
      <c r="L674">
        <v>81101.09</v>
      </c>
      <c r="M674">
        <v>40933.94</v>
      </c>
      <c r="N674">
        <v>6445.14</v>
      </c>
      <c r="O674">
        <v>4943.96</v>
      </c>
      <c r="P674">
        <v>2379.65</v>
      </c>
      <c r="Q674">
        <v>454.6</v>
      </c>
      <c r="R674">
        <v>2066.17</v>
      </c>
      <c r="S674">
        <v>1153.47</v>
      </c>
      <c r="T674">
        <v>58376.93</v>
      </c>
      <c r="U674">
        <v>40167.15</v>
      </c>
      <c r="V674">
        <v>22724.17</v>
      </c>
      <c r="W674">
        <v>20302.75</v>
      </c>
      <c r="X674">
        <v>76306.47</v>
      </c>
      <c r="Y674">
        <v>56851.43</v>
      </c>
    </row>
    <row r="675" spans="1:25" x14ac:dyDescent="0.25">
      <c r="A675" t="s">
        <v>725</v>
      </c>
      <c r="B675" s="1">
        <v>45116</v>
      </c>
      <c r="C675">
        <v>2023</v>
      </c>
      <c r="D675">
        <v>7</v>
      </c>
      <c r="E675" t="s">
        <v>690</v>
      </c>
      <c r="F675" t="s">
        <v>691</v>
      </c>
      <c r="G675" t="s">
        <v>44</v>
      </c>
      <c r="H675" t="s">
        <v>32</v>
      </c>
      <c r="I675" t="s">
        <v>33</v>
      </c>
      <c r="J675">
        <v>70</v>
      </c>
      <c r="K675">
        <v>900.93</v>
      </c>
      <c r="L675">
        <v>63065.33</v>
      </c>
      <c r="M675">
        <v>33298.92</v>
      </c>
      <c r="N675">
        <v>6007.5</v>
      </c>
      <c r="O675">
        <v>2686.78</v>
      </c>
      <c r="P675">
        <v>2515.56</v>
      </c>
      <c r="Q675">
        <v>650.80999999999995</v>
      </c>
      <c r="R675">
        <v>3178.47</v>
      </c>
      <c r="S675">
        <v>952.63</v>
      </c>
      <c r="T675">
        <v>49290.66</v>
      </c>
      <c r="U675">
        <v>29766.41</v>
      </c>
      <c r="V675">
        <v>13774.67</v>
      </c>
      <c r="W675">
        <v>12653.5</v>
      </c>
      <c r="X675">
        <v>66712.87</v>
      </c>
      <c r="Y675">
        <v>47192.3</v>
      </c>
    </row>
    <row r="676" spans="1:25" x14ac:dyDescent="0.25">
      <c r="A676" t="s">
        <v>726</v>
      </c>
      <c r="B676" s="1">
        <v>45116</v>
      </c>
      <c r="C676">
        <v>2023</v>
      </c>
      <c r="D676">
        <v>7</v>
      </c>
      <c r="E676" t="s">
        <v>690</v>
      </c>
      <c r="F676" t="s">
        <v>691</v>
      </c>
      <c r="G676" t="s">
        <v>28</v>
      </c>
      <c r="H676" t="s">
        <v>36</v>
      </c>
      <c r="I676" t="s">
        <v>45</v>
      </c>
      <c r="J676">
        <v>39</v>
      </c>
      <c r="K676">
        <v>1149.93</v>
      </c>
      <c r="L676">
        <v>44847.25</v>
      </c>
      <c r="M676">
        <v>22469.51</v>
      </c>
      <c r="N676">
        <v>4496.8</v>
      </c>
      <c r="O676">
        <v>1903.03</v>
      </c>
      <c r="P676">
        <v>1475.65</v>
      </c>
      <c r="Q676">
        <v>658.4</v>
      </c>
      <c r="R676">
        <v>2629.22</v>
      </c>
      <c r="S676">
        <v>1120.31</v>
      </c>
      <c r="T676">
        <v>34752.910000000003</v>
      </c>
      <c r="U676">
        <v>22377.74</v>
      </c>
      <c r="V676">
        <v>10094.34</v>
      </c>
      <c r="W676">
        <v>9554.0499999999993</v>
      </c>
      <c r="X676">
        <v>48171.12</v>
      </c>
      <c r="Y676">
        <v>35313.760000000002</v>
      </c>
    </row>
    <row r="677" spans="1:25" x14ac:dyDescent="0.25">
      <c r="A677" t="s">
        <v>727</v>
      </c>
      <c r="B677" s="1">
        <v>45116</v>
      </c>
      <c r="C677">
        <v>2023</v>
      </c>
      <c r="D677">
        <v>7</v>
      </c>
      <c r="E677" t="s">
        <v>690</v>
      </c>
      <c r="F677" t="s">
        <v>691</v>
      </c>
      <c r="G677" t="s">
        <v>44</v>
      </c>
      <c r="H677" t="s">
        <v>36</v>
      </c>
      <c r="I677" t="s">
        <v>30</v>
      </c>
      <c r="J677">
        <v>74</v>
      </c>
      <c r="K677">
        <v>1314.13</v>
      </c>
      <c r="L677">
        <v>97245.26</v>
      </c>
      <c r="M677">
        <v>60245.47</v>
      </c>
      <c r="N677">
        <v>9628.7900000000009</v>
      </c>
      <c r="O677">
        <v>6199.29</v>
      </c>
      <c r="P677">
        <v>3391.9</v>
      </c>
      <c r="Q677">
        <v>1498.55</v>
      </c>
      <c r="R677">
        <v>2968.55</v>
      </c>
      <c r="S677">
        <v>2090.69</v>
      </c>
      <c r="T677">
        <v>86023.24</v>
      </c>
      <c r="U677">
        <v>36999.79</v>
      </c>
      <c r="V677">
        <v>11222.02</v>
      </c>
      <c r="W677">
        <v>10341.99</v>
      </c>
      <c r="X677">
        <v>91680.56</v>
      </c>
      <c r="Y677">
        <v>93361.61</v>
      </c>
    </row>
    <row r="678" spans="1:25" x14ac:dyDescent="0.25">
      <c r="A678" t="s">
        <v>728</v>
      </c>
      <c r="B678" s="1">
        <v>45117</v>
      </c>
      <c r="C678">
        <v>2023</v>
      </c>
      <c r="D678">
        <v>7</v>
      </c>
      <c r="E678" t="s">
        <v>690</v>
      </c>
      <c r="F678" t="s">
        <v>691</v>
      </c>
      <c r="G678" t="s">
        <v>55</v>
      </c>
      <c r="H678" t="s">
        <v>36</v>
      </c>
      <c r="I678" t="s">
        <v>33</v>
      </c>
      <c r="J678">
        <v>80</v>
      </c>
      <c r="K678">
        <v>1243.71</v>
      </c>
      <c r="L678">
        <v>99496.76</v>
      </c>
      <c r="M678">
        <v>58390.96</v>
      </c>
      <c r="N678">
        <v>11463.01</v>
      </c>
      <c r="O678">
        <v>6654.93</v>
      </c>
      <c r="P678">
        <v>4133.04</v>
      </c>
      <c r="Q678">
        <v>750.97</v>
      </c>
      <c r="R678">
        <v>2878.46</v>
      </c>
      <c r="S678">
        <v>1082.17</v>
      </c>
      <c r="T678">
        <v>85353.55</v>
      </c>
      <c r="U678">
        <v>41105.81</v>
      </c>
      <c r="V678">
        <v>14143.21</v>
      </c>
      <c r="W678">
        <v>14418.08</v>
      </c>
      <c r="X678">
        <v>110938.23</v>
      </c>
      <c r="Y678">
        <v>82824.47</v>
      </c>
    </row>
    <row r="679" spans="1:25" x14ac:dyDescent="0.25">
      <c r="A679" t="s">
        <v>729</v>
      </c>
      <c r="B679" s="1">
        <v>45117</v>
      </c>
      <c r="C679">
        <v>2023</v>
      </c>
      <c r="D679">
        <v>7</v>
      </c>
      <c r="E679" t="s">
        <v>690</v>
      </c>
      <c r="F679" t="s">
        <v>691</v>
      </c>
      <c r="G679" t="s">
        <v>28</v>
      </c>
      <c r="H679" t="s">
        <v>32</v>
      </c>
      <c r="I679" t="s">
        <v>50</v>
      </c>
      <c r="J679">
        <v>65</v>
      </c>
      <c r="K679">
        <v>1088.04</v>
      </c>
      <c r="L679">
        <v>70722.48</v>
      </c>
      <c r="M679">
        <v>36340.879999999997</v>
      </c>
      <c r="N679">
        <v>8327.81</v>
      </c>
      <c r="O679">
        <v>3230.43</v>
      </c>
      <c r="P679">
        <v>2156.58</v>
      </c>
      <c r="Q679">
        <v>891.8</v>
      </c>
      <c r="R679">
        <v>3863.98</v>
      </c>
      <c r="S679">
        <v>1099.18</v>
      </c>
      <c r="T679">
        <v>55910.66</v>
      </c>
      <c r="U679">
        <v>34381.599999999999</v>
      </c>
      <c r="V679">
        <v>14811.82</v>
      </c>
      <c r="W679">
        <v>14734.42</v>
      </c>
      <c r="X679">
        <v>70502.38</v>
      </c>
      <c r="Y679">
        <v>55234.12</v>
      </c>
    </row>
    <row r="680" spans="1:25" x14ac:dyDescent="0.25">
      <c r="A680" t="s">
        <v>730</v>
      </c>
      <c r="B680" s="1">
        <v>45117</v>
      </c>
      <c r="C680">
        <v>2023</v>
      </c>
      <c r="D680">
        <v>7</v>
      </c>
      <c r="E680" t="s">
        <v>690</v>
      </c>
      <c r="F680" t="s">
        <v>691</v>
      </c>
      <c r="G680" t="s">
        <v>28</v>
      </c>
      <c r="H680" t="s">
        <v>58</v>
      </c>
      <c r="I680" t="s">
        <v>50</v>
      </c>
      <c r="J680">
        <v>44</v>
      </c>
      <c r="K680">
        <v>1272.47</v>
      </c>
      <c r="L680">
        <v>55988.61</v>
      </c>
      <c r="M680">
        <v>37110.22</v>
      </c>
      <c r="N680">
        <v>7120.42</v>
      </c>
      <c r="O680">
        <v>2282.27</v>
      </c>
      <c r="P680">
        <v>1952.18</v>
      </c>
      <c r="Q680">
        <v>967.48</v>
      </c>
      <c r="R680">
        <v>2036.08</v>
      </c>
      <c r="S680">
        <v>1311.78</v>
      </c>
      <c r="T680">
        <v>52780.43</v>
      </c>
      <c r="U680">
        <v>18878.39</v>
      </c>
      <c r="V680">
        <v>3208.18</v>
      </c>
      <c r="W680">
        <v>3084.14</v>
      </c>
      <c r="X680">
        <v>59609.22</v>
      </c>
      <c r="Y680">
        <v>50469.45</v>
      </c>
    </row>
    <row r="681" spans="1:25" x14ac:dyDescent="0.25">
      <c r="A681" t="s">
        <v>731</v>
      </c>
      <c r="B681" s="1">
        <v>45118</v>
      </c>
      <c r="C681">
        <v>2023</v>
      </c>
      <c r="D681">
        <v>7</v>
      </c>
      <c r="E681" t="s">
        <v>690</v>
      </c>
      <c r="F681" t="s">
        <v>691</v>
      </c>
      <c r="G681" t="s">
        <v>35</v>
      </c>
      <c r="H681" t="s">
        <v>29</v>
      </c>
      <c r="I681" t="s">
        <v>30</v>
      </c>
      <c r="J681">
        <v>58</v>
      </c>
      <c r="K681">
        <v>1738.68</v>
      </c>
      <c r="L681">
        <v>100843.51</v>
      </c>
      <c r="M681">
        <v>64232.21</v>
      </c>
      <c r="N681">
        <v>7301.53</v>
      </c>
      <c r="O681">
        <v>3935.46</v>
      </c>
      <c r="P681">
        <v>3461.4</v>
      </c>
      <c r="Q681">
        <v>1415.2</v>
      </c>
      <c r="R681">
        <v>4196.1899999999996</v>
      </c>
      <c r="S681">
        <v>1574.28</v>
      </c>
      <c r="T681">
        <v>86116.26</v>
      </c>
      <c r="U681">
        <v>36611.300000000003</v>
      </c>
      <c r="V681">
        <v>14727.25</v>
      </c>
      <c r="W681">
        <v>13072.07</v>
      </c>
      <c r="X681">
        <v>101251.69</v>
      </c>
      <c r="Y681">
        <v>91238.26</v>
      </c>
    </row>
    <row r="682" spans="1:25" x14ac:dyDescent="0.25">
      <c r="A682" t="s">
        <v>732</v>
      </c>
      <c r="B682" s="1">
        <v>45118</v>
      </c>
      <c r="C682">
        <v>2023</v>
      </c>
      <c r="D682">
        <v>7</v>
      </c>
      <c r="E682" t="s">
        <v>690</v>
      </c>
      <c r="F682" t="s">
        <v>691</v>
      </c>
      <c r="G682" t="s">
        <v>35</v>
      </c>
      <c r="H682" t="s">
        <v>29</v>
      </c>
      <c r="I682" t="s">
        <v>33</v>
      </c>
      <c r="J682">
        <v>60</v>
      </c>
      <c r="K682">
        <v>1257.99</v>
      </c>
      <c r="L682">
        <v>75479.48</v>
      </c>
      <c r="M682">
        <v>48259.97</v>
      </c>
      <c r="N682">
        <v>6275.19</v>
      </c>
      <c r="O682">
        <v>4102.75</v>
      </c>
      <c r="P682">
        <v>3297.66</v>
      </c>
      <c r="Q682">
        <v>923.51</v>
      </c>
      <c r="R682">
        <v>2234.15</v>
      </c>
      <c r="S682">
        <v>1593.01</v>
      </c>
      <c r="T682">
        <v>66686.240000000005</v>
      </c>
      <c r="U682">
        <v>27219.52</v>
      </c>
      <c r="V682">
        <v>8793.24</v>
      </c>
      <c r="W682">
        <v>7756.67</v>
      </c>
      <c r="X682">
        <v>70271.929999999993</v>
      </c>
      <c r="Y682">
        <v>71360.639999999999</v>
      </c>
    </row>
    <row r="683" spans="1:25" x14ac:dyDescent="0.25">
      <c r="A683" t="s">
        <v>733</v>
      </c>
      <c r="B683" s="1">
        <v>45118</v>
      </c>
      <c r="C683">
        <v>2023</v>
      </c>
      <c r="D683">
        <v>7</v>
      </c>
      <c r="E683" t="s">
        <v>690</v>
      </c>
      <c r="F683" t="s">
        <v>691</v>
      </c>
      <c r="G683" t="s">
        <v>55</v>
      </c>
      <c r="H683" t="s">
        <v>32</v>
      </c>
      <c r="I683" t="s">
        <v>30</v>
      </c>
      <c r="J683">
        <v>119</v>
      </c>
      <c r="K683">
        <v>948.51</v>
      </c>
      <c r="L683">
        <v>112872.27</v>
      </c>
      <c r="M683">
        <v>67139.94</v>
      </c>
      <c r="N683">
        <v>9438.8799999999992</v>
      </c>
      <c r="O683">
        <v>8143.63</v>
      </c>
      <c r="P683">
        <v>2710.28</v>
      </c>
      <c r="Q683">
        <v>815.97</v>
      </c>
      <c r="R683">
        <v>5226.71</v>
      </c>
      <c r="S683">
        <v>1893.66</v>
      </c>
      <c r="T683">
        <v>95369.05</v>
      </c>
      <c r="U683">
        <v>45732.33</v>
      </c>
      <c r="V683">
        <v>17503.21</v>
      </c>
      <c r="W683">
        <v>16073.2</v>
      </c>
      <c r="X683">
        <v>117425.81</v>
      </c>
      <c r="Y683">
        <v>90437.04</v>
      </c>
    </row>
    <row r="684" spans="1:25" x14ac:dyDescent="0.25">
      <c r="A684" t="s">
        <v>734</v>
      </c>
      <c r="B684" s="1">
        <v>45118</v>
      </c>
      <c r="C684">
        <v>2023</v>
      </c>
      <c r="D684">
        <v>7</v>
      </c>
      <c r="E684" t="s">
        <v>690</v>
      </c>
      <c r="F684" t="s">
        <v>691</v>
      </c>
      <c r="G684" t="s">
        <v>35</v>
      </c>
      <c r="H684" t="s">
        <v>53</v>
      </c>
      <c r="I684" t="s">
        <v>45</v>
      </c>
      <c r="J684">
        <v>42</v>
      </c>
      <c r="K684">
        <v>973.07</v>
      </c>
      <c r="L684">
        <v>40869.07</v>
      </c>
      <c r="M684">
        <v>24170.18</v>
      </c>
      <c r="N684">
        <v>5266.27</v>
      </c>
      <c r="O684">
        <v>2416.7800000000002</v>
      </c>
      <c r="P684">
        <v>1445.01</v>
      </c>
      <c r="Q684">
        <v>418.85</v>
      </c>
      <c r="R684">
        <v>2371.98</v>
      </c>
      <c r="S684">
        <v>498.38</v>
      </c>
      <c r="T684">
        <v>36587.449999999997</v>
      </c>
      <c r="U684">
        <v>16698.89</v>
      </c>
      <c r="V684">
        <v>4281.62</v>
      </c>
      <c r="W684">
        <v>4174.8500000000004</v>
      </c>
      <c r="X684">
        <v>42923.65</v>
      </c>
      <c r="Y684">
        <v>36606.22</v>
      </c>
    </row>
    <row r="685" spans="1:25" x14ac:dyDescent="0.25">
      <c r="A685" t="s">
        <v>735</v>
      </c>
      <c r="B685" s="1">
        <v>45118</v>
      </c>
      <c r="C685">
        <v>2023</v>
      </c>
      <c r="D685">
        <v>7</v>
      </c>
      <c r="E685" t="s">
        <v>690</v>
      </c>
      <c r="F685" t="s">
        <v>691</v>
      </c>
      <c r="G685" t="s">
        <v>35</v>
      </c>
      <c r="H685" t="s">
        <v>53</v>
      </c>
      <c r="I685" t="s">
        <v>45</v>
      </c>
      <c r="J685">
        <v>30</v>
      </c>
      <c r="K685">
        <v>1065.53</v>
      </c>
      <c r="L685">
        <v>31965.95</v>
      </c>
      <c r="M685">
        <v>19579.2</v>
      </c>
      <c r="N685">
        <v>3327.19</v>
      </c>
      <c r="O685">
        <v>954.31</v>
      </c>
      <c r="P685">
        <v>891.23</v>
      </c>
      <c r="Q685">
        <v>554.85</v>
      </c>
      <c r="R685">
        <v>983.69</v>
      </c>
      <c r="S685">
        <v>593.19000000000005</v>
      </c>
      <c r="T685">
        <v>26883.66</v>
      </c>
      <c r="U685">
        <v>12386.75</v>
      </c>
      <c r="V685">
        <v>5082.29</v>
      </c>
      <c r="W685">
        <v>4537.75</v>
      </c>
      <c r="X685">
        <v>35801.06</v>
      </c>
      <c r="Y685">
        <v>25440.28</v>
      </c>
    </row>
    <row r="686" spans="1:25" x14ac:dyDescent="0.25">
      <c r="A686" t="s">
        <v>736</v>
      </c>
      <c r="B686" s="1">
        <v>45118</v>
      </c>
      <c r="C686">
        <v>2023</v>
      </c>
      <c r="D686">
        <v>7</v>
      </c>
      <c r="E686" t="s">
        <v>690</v>
      </c>
      <c r="F686" t="s">
        <v>691</v>
      </c>
      <c r="G686" t="s">
        <v>44</v>
      </c>
      <c r="H686" t="s">
        <v>29</v>
      </c>
      <c r="I686" t="s">
        <v>33</v>
      </c>
      <c r="J686">
        <v>49</v>
      </c>
      <c r="K686">
        <v>1482.6</v>
      </c>
      <c r="L686">
        <v>72647.27</v>
      </c>
      <c r="M686">
        <v>41081.57</v>
      </c>
      <c r="N686">
        <v>7473.5</v>
      </c>
      <c r="O686">
        <v>4573.6499999999996</v>
      </c>
      <c r="P686">
        <v>2086.64</v>
      </c>
      <c r="Q686">
        <v>708.75</v>
      </c>
      <c r="R686">
        <v>3267.9</v>
      </c>
      <c r="S686">
        <v>626.05999999999995</v>
      </c>
      <c r="T686">
        <v>59818.06</v>
      </c>
      <c r="U686">
        <v>31565.7</v>
      </c>
      <c r="V686">
        <v>12829.21</v>
      </c>
      <c r="W686">
        <v>11855.23</v>
      </c>
      <c r="X686">
        <v>77452.149999999994</v>
      </c>
      <c r="Y686">
        <v>61415.87</v>
      </c>
    </row>
    <row r="687" spans="1:25" x14ac:dyDescent="0.25">
      <c r="A687" t="s">
        <v>737</v>
      </c>
      <c r="B687" s="1">
        <v>45118</v>
      </c>
      <c r="C687">
        <v>2023</v>
      </c>
      <c r="D687">
        <v>7</v>
      </c>
      <c r="E687" t="s">
        <v>690</v>
      </c>
      <c r="F687" t="s">
        <v>691</v>
      </c>
      <c r="G687" t="s">
        <v>28</v>
      </c>
      <c r="H687" t="s">
        <v>29</v>
      </c>
      <c r="I687" t="s">
        <v>45</v>
      </c>
      <c r="J687">
        <v>31</v>
      </c>
      <c r="K687">
        <v>1328.53</v>
      </c>
      <c r="L687">
        <v>41184.33</v>
      </c>
      <c r="M687">
        <v>26941.18</v>
      </c>
      <c r="N687">
        <v>3556.39</v>
      </c>
      <c r="O687">
        <v>1395.34</v>
      </c>
      <c r="P687">
        <v>1654.93</v>
      </c>
      <c r="Q687">
        <v>293.2</v>
      </c>
      <c r="R687">
        <v>2475.4699999999998</v>
      </c>
      <c r="S687">
        <v>768.91</v>
      </c>
      <c r="T687">
        <v>37085.440000000002</v>
      </c>
      <c r="U687">
        <v>14243.14</v>
      </c>
      <c r="V687">
        <v>4098.8900000000003</v>
      </c>
      <c r="W687">
        <v>4012.28</v>
      </c>
      <c r="X687">
        <v>40854.01</v>
      </c>
      <c r="Y687">
        <v>37987.25</v>
      </c>
    </row>
    <row r="688" spans="1:25" x14ac:dyDescent="0.25">
      <c r="A688" t="s">
        <v>738</v>
      </c>
      <c r="B688" s="1">
        <v>45119</v>
      </c>
      <c r="C688">
        <v>2023</v>
      </c>
      <c r="D688">
        <v>7</v>
      </c>
      <c r="E688" t="s">
        <v>690</v>
      </c>
      <c r="F688" t="s">
        <v>691</v>
      </c>
      <c r="G688" t="s">
        <v>44</v>
      </c>
      <c r="H688" t="s">
        <v>53</v>
      </c>
      <c r="I688" t="s">
        <v>33</v>
      </c>
      <c r="J688">
        <v>68</v>
      </c>
      <c r="K688">
        <v>807.16</v>
      </c>
      <c r="L688">
        <v>54886.720000000001</v>
      </c>
      <c r="M688">
        <v>26777.88</v>
      </c>
      <c r="N688">
        <v>4237.72</v>
      </c>
      <c r="O688">
        <v>1568.18</v>
      </c>
      <c r="P688">
        <v>2227.5300000000002</v>
      </c>
      <c r="Q688">
        <v>365.81</v>
      </c>
      <c r="R688">
        <v>3256.67</v>
      </c>
      <c r="S688">
        <v>978.54</v>
      </c>
      <c r="T688">
        <v>39412.33</v>
      </c>
      <c r="U688">
        <v>28108.85</v>
      </c>
      <c r="V688">
        <v>15474.39</v>
      </c>
      <c r="W688">
        <v>14814.07</v>
      </c>
      <c r="X688">
        <v>54148.01</v>
      </c>
      <c r="Y688">
        <v>40427.86</v>
      </c>
    </row>
    <row r="689" spans="1:25" x14ac:dyDescent="0.25">
      <c r="A689" t="s">
        <v>739</v>
      </c>
      <c r="B689" s="1">
        <v>45119</v>
      </c>
      <c r="C689">
        <v>2023</v>
      </c>
      <c r="D689">
        <v>7</v>
      </c>
      <c r="E689" t="s">
        <v>690</v>
      </c>
      <c r="F689" t="s">
        <v>691</v>
      </c>
      <c r="G689" t="s">
        <v>55</v>
      </c>
      <c r="H689" t="s">
        <v>53</v>
      </c>
      <c r="I689" t="s">
        <v>45</v>
      </c>
      <c r="J689">
        <v>25</v>
      </c>
      <c r="K689">
        <v>1323.68</v>
      </c>
      <c r="L689">
        <v>33092.120000000003</v>
      </c>
      <c r="M689">
        <v>21765.72</v>
      </c>
      <c r="N689">
        <v>4166.6000000000004</v>
      </c>
      <c r="O689">
        <v>1666.63</v>
      </c>
      <c r="P689">
        <v>871.01</v>
      </c>
      <c r="Q689">
        <v>428.98</v>
      </c>
      <c r="R689">
        <v>837</v>
      </c>
      <c r="S689">
        <v>698.15</v>
      </c>
      <c r="T689">
        <v>30434.09</v>
      </c>
      <c r="U689">
        <v>11326.4</v>
      </c>
      <c r="V689">
        <v>2658.03</v>
      </c>
      <c r="W689">
        <v>2409.4899999999998</v>
      </c>
      <c r="X689">
        <v>31236.17</v>
      </c>
      <c r="Y689">
        <v>30853.360000000001</v>
      </c>
    </row>
    <row r="690" spans="1:25" x14ac:dyDescent="0.25">
      <c r="A690" t="s">
        <v>740</v>
      </c>
      <c r="B690" s="1">
        <v>45119</v>
      </c>
      <c r="C690">
        <v>2023</v>
      </c>
      <c r="D690">
        <v>7</v>
      </c>
      <c r="E690" t="s">
        <v>690</v>
      </c>
      <c r="F690" t="s">
        <v>691</v>
      </c>
      <c r="G690" t="s">
        <v>55</v>
      </c>
      <c r="H690" t="s">
        <v>53</v>
      </c>
      <c r="I690" t="s">
        <v>50</v>
      </c>
      <c r="J690">
        <v>41</v>
      </c>
      <c r="K690">
        <v>1109.8399999999999</v>
      </c>
      <c r="L690">
        <v>45503.54</v>
      </c>
      <c r="M690">
        <v>27931.82</v>
      </c>
      <c r="N690">
        <v>4439.6099999999997</v>
      </c>
      <c r="O690">
        <v>1680.5</v>
      </c>
      <c r="P690">
        <v>2007.96</v>
      </c>
      <c r="Q690">
        <v>762.48</v>
      </c>
      <c r="R690">
        <v>1367.1</v>
      </c>
      <c r="S690">
        <v>412.84</v>
      </c>
      <c r="T690">
        <v>38602.31</v>
      </c>
      <c r="U690">
        <v>17571.73</v>
      </c>
      <c r="V690">
        <v>6901.23</v>
      </c>
      <c r="W690">
        <v>6080.45</v>
      </c>
      <c r="X690">
        <v>43911.92</v>
      </c>
      <c r="Y690">
        <v>39199.86</v>
      </c>
    </row>
    <row r="691" spans="1:25" x14ac:dyDescent="0.25">
      <c r="A691" t="s">
        <v>741</v>
      </c>
      <c r="B691" s="1">
        <v>45120</v>
      </c>
      <c r="C691">
        <v>2023</v>
      </c>
      <c r="D691">
        <v>7</v>
      </c>
      <c r="E691" t="s">
        <v>690</v>
      </c>
      <c r="F691" t="s">
        <v>691</v>
      </c>
      <c r="G691" t="s">
        <v>44</v>
      </c>
      <c r="H691" t="s">
        <v>53</v>
      </c>
      <c r="I691" t="s">
        <v>56</v>
      </c>
      <c r="J691">
        <v>24</v>
      </c>
      <c r="K691">
        <v>1158.81</v>
      </c>
      <c r="L691">
        <v>27811.54</v>
      </c>
      <c r="M691">
        <v>18633.310000000001</v>
      </c>
      <c r="N691">
        <v>3401.04</v>
      </c>
      <c r="O691">
        <v>1644.82</v>
      </c>
      <c r="P691">
        <v>458.77</v>
      </c>
      <c r="Q691">
        <v>248.55</v>
      </c>
      <c r="R691">
        <v>1098.74</v>
      </c>
      <c r="S691">
        <v>402.86</v>
      </c>
      <c r="T691">
        <v>25888.09</v>
      </c>
      <c r="U691">
        <v>9178.23</v>
      </c>
      <c r="V691">
        <v>1923.45</v>
      </c>
      <c r="W691">
        <v>1844.37</v>
      </c>
      <c r="X691">
        <v>26529.11</v>
      </c>
      <c r="Y691">
        <v>27832.22</v>
      </c>
    </row>
    <row r="692" spans="1:25" x14ac:dyDescent="0.25">
      <c r="A692" t="s">
        <v>742</v>
      </c>
      <c r="B692" s="1">
        <v>45120</v>
      </c>
      <c r="C692">
        <v>2023</v>
      </c>
      <c r="D692">
        <v>7</v>
      </c>
      <c r="E692" t="s">
        <v>690</v>
      </c>
      <c r="F692" t="s">
        <v>691</v>
      </c>
      <c r="G692" t="s">
        <v>35</v>
      </c>
      <c r="H692" t="s">
        <v>36</v>
      </c>
      <c r="I692" t="s">
        <v>65</v>
      </c>
      <c r="J692">
        <v>49</v>
      </c>
      <c r="K692">
        <v>1184.6300000000001</v>
      </c>
      <c r="L692">
        <v>58047.1</v>
      </c>
      <c r="M692">
        <v>30046.86</v>
      </c>
      <c r="N692">
        <v>4073.63</v>
      </c>
      <c r="O692">
        <v>1581.51</v>
      </c>
      <c r="P692">
        <v>2395.9899999999998</v>
      </c>
      <c r="Q692">
        <v>805.24</v>
      </c>
      <c r="R692">
        <v>1465.28</v>
      </c>
      <c r="S692">
        <v>663.54</v>
      </c>
      <c r="T692">
        <v>41032.04</v>
      </c>
      <c r="U692">
        <v>28000.240000000002</v>
      </c>
      <c r="V692">
        <v>17015.05</v>
      </c>
      <c r="W692">
        <v>16261.67</v>
      </c>
      <c r="X692">
        <v>62294.81</v>
      </c>
      <c r="Y692">
        <v>40915.94</v>
      </c>
    </row>
    <row r="693" spans="1:25" x14ac:dyDescent="0.25">
      <c r="A693" t="s">
        <v>743</v>
      </c>
      <c r="B693" s="1">
        <v>45120</v>
      </c>
      <c r="C693">
        <v>2023</v>
      </c>
      <c r="D693">
        <v>7</v>
      </c>
      <c r="E693" t="s">
        <v>690</v>
      </c>
      <c r="F693" t="s">
        <v>691</v>
      </c>
      <c r="G693" t="s">
        <v>55</v>
      </c>
      <c r="H693" t="s">
        <v>32</v>
      </c>
      <c r="I693" t="s">
        <v>50</v>
      </c>
      <c r="J693">
        <v>54</v>
      </c>
      <c r="K693">
        <v>1465.7</v>
      </c>
      <c r="L693">
        <v>79148.009999999995</v>
      </c>
      <c r="M693">
        <v>47098.89</v>
      </c>
      <c r="N693">
        <v>9288.85</v>
      </c>
      <c r="O693">
        <v>2443.4899999999998</v>
      </c>
      <c r="P693">
        <v>2712.81</v>
      </c>
      <c r="Q693">
        <v>1086.95</v>
      </c>
      <c r="R693">
        <v>2194.08</v>
      </c>
      <c r="S693">
        <v>774.48</v>
      </c>
      <c r="T693">
        <v>65599.55</v>
      </c>
      <c r="U693">
        <v>32049.119999999999</v>
      </c>
      <c r="V693">
        <v>13548.46</v>
      </c>
      <c r="W693">
        <v>11994.86</v>
      </c>
      <c r="X693">
        <v>77945.86</v>
      </c>
      <c r="Y693">
        <v>67121.62</v>
      </c>
    </row>
    <row r="694" spans="1:25" x14ac:dyDescent="0.25">
      <c r="A694" t="s">
        <v>744</v>
      </c>
      <c r="B694" s="1">
        <v>45120</v>
      </c>
      <c r="C694">
        <v>2023</v>
      </c>
      <c r="D694">
        <v>7</v>
      </c>
      <c r="E694" t="s">
        <v>690</v>
      </c>
      <c r="F694" t="s">
        <v>691</v>
      </c>
      <c r="G694" t="s">
        <v>28</v>
      </c>
      <c r="H694" t="s">
        <v>53</v>
      </c>
      <c r="I694" t="s">
        <v>65</v>
      </c>
      <c r="J694">
        <v>48</v>
      </c>
      <c r="K694">
        <v>1324.79</v>
      </c>
      <c r="L694">
        <v>63589.94</v>
      </c>
      <c r="M694">
        <v>35091.589999999997</v>
      </c>
      <c r="N694">
        <v>7599.09</v>
      </c>
      <c r="O694">
        <v>3249.77</v>
      </c>
      <c r="P694">
        <v>1615.56</v>
      </c>
      <c r="Q694">
        <v>875.14</v>
      </c>
      <c r="R694">
        <v>2449.1999999999998</v>
      </c>
      <c r="S694">
        <v>1254.92</v>
      </c>
      <c r="T694">
        <v>52135.27</v>
      </c>
      <c r="U694">
        <v>28498.35</v>
      </c>
      <c r="V694">
        <v>11454.67</v>
      </c>
      <c r="W694">
        <v>10673.66</v>
      </c>
      <c r="X694">
        <v>68305.25</v>
      </c>
      <c r="Y694">
        <v>48921.95</v>
      </c>
    </row>
    <row r="695" spans="1:25" x14ac:dyDescent="0.25">
      <c r="A695" t="s">
        <v>745</v>
      </c>
      <c r="B695" s="1">
        <v>45120</v>
      </c>
      <c r="C695">
        <v>2023</v>
      </c>
      <c r="D695">
        <v>7</v>
      </c>
      <c r="E695" t="s">
        <v>690</v>
      </c>
      <c r="F695" t="s">
        <v>691</v>
      </c>
      <c r="G695" t="s">
        <v>35</v>
      </c>
      <c r="H695" t="s">
        <v>32</v>
      </c>
      <c r="I695" t="s">
        <v>30</v>
      </c>
      <c r="J695">
        <v>55</v>
      </c>
      <c r="K695">
        <v>1647.97</v>
      </c>
      <c r="L695">
        <v>90638.57</v>
      </c>
      <c r="M695">
        <v>48717.97</v>
      </c>
      <c r="N695">
        <v>6674.28</v>
      </c>
      <c r="O695">
        <v>4224.1099999999997</v>
      </c>
      <c r="P695">
        <v>3795.78</v>
      </c>
      <c r="Q695">
        <v>577.57000000000005</v>
      </c>
      <c r="R695">
        <v>5237.97</v>
      </c>
      <c r="S695">
        <v>1992.99</v>
      </c>
      <c r="T695">
        <v>71220.67</v>
      </c>
      <c r="U695">
        <v>41920.6</v>
      </c>
      <c r="V695">
        <v>19417.900000000001</v>
      </c>
      <c r="W695">
        <v>18574.509999999998</v>
      </c>
      <c r="X695">
        <v>93347.8</v>
      </c>
      <c r="Y695">
        <v>70594.789999999994</v>
      </c>
    </row>
    <row r="696" spans="1:25" x14ac:dyDescent="0.25">
      <c r="A696" t="s">
        <v>746</v>
      </c>
      <c r="B696" s="1">
        <v>45120</v>
      </c>
      <c r="C696">
        <v>2023</v>
      </c>
      <c r="D696">
        <v>7</v>
      </c>
      <c r="E696" t="s">
        <v>690</v>
      </c>
      <c r="F696" t="s">
        <v>691</v>
      </c>
      <c r="G696" t="s">
        <v>44</v>
      </c>
      <c r="H696" t="s">
        <v>29</v>
      </c>
      <c r="I696" t="s">
        <v>45</v>
      </c>
      <c r="J696">
        <v>27</v>
      </c>
      <c r="K696">
        <v>1387.84</v>
      </c>
      <c r="L696">
        <v>37471.65</v>
      </c>
      <c r="M696">
        <v>21909.03</v>
      </c>
      <c r="N696">
        <v>4557.32</v>
      </c>
      <c r="O696">
        <v>2791.39</v>
      </c>
      <c r="P696">
        <v>1388.38</v>
      </c>
      <c r="Q696">
        <v>241.09</v>
      </c>
      <c r="R696">
        <v>1987.9</v>
      </c>
      <c r="S696">
        <v>423.48</v>
      </c>
      <c r="T696">
        <v>33298.589999999997</v>
      </c>
      <c r="U696">
        <v>15562.62</v>
      </c>
      <c r="V696">
        <v>4173.07</v>
      </c>
      <c r="W696">
        <v>4181.8900000000003</v>
      </c>
      <c r="X696">
        <v>38996.400000000001</v>
      </c>
      <c r="Y696">
        <v>35248.370000000003</v>
      </c>
    </row>
    <row r="697" spans="1:25" x14ac:dyDescent="0.25">
      <c r="A697" t="s">
        <v>747</v>
      </c>
      <c r="B697" s="1">
        <v>45120</v>
      </c>
      <c r="C697">
        <v>2023</v>
      </c>
      <c r="D697">
        <v>7</v>
      </c>
      <c r="E697" t="s">
        <v>690</v>
      </c>
      <c r="F697" t="s">
        <v>691</v>
      </c>
      <c r="G697" t="s">
        <v>55</v>
      </c>
      <c r="H697" t="s">
        <v>29</v>
      </c>
      <c r="I697" t="s">
        <v>50</v>
      </c>
      <c r="J697">
        <v>41</v>
      </c>
      <c r="K697">
        <v>1083.28</v>
      </c>
      <c r="L697">
        <v>44414.36</v>
      </c>
      <c r="M697">
        <v>25852.14</v>
      </c>
      <c r="N697">
        <v>3935.15</v>
      </c>
      <c r="O697">
        <v>2719.55</v>
      </c>
      <c r="P697">
        <v>1717.94</v>
      </c>
      <c r="Q697">
        <v>777.87</v>
      </c>
      <c r="R697">
        <v>1882.82</v>
      </c>
      <c r="S697">
        <v>662.78</v>
      </c>
      <c r="T697">
        <v>37548.26</v>
      </c>
      <c r="U697">
        <v>18562.22</v>
      </c>
      <c r="V697">
        <v>6866.1</v>
      </c>
      <c r="W697">
        <v>6597.94</v>
      </c>
      <c r="X697">
        <v>43879.06</v>
      </c>
      <c r="Y697">
        <v>38030.959999999999</v>
      </c>
    </row>
    <row r="698" spans="1:25" x14ac:dyDescent="0.25">
      <c r="A698" t="s">
        <v>748</v>
      </c>
      <c r="B698" s="1">
        <v>45121</v>
      </c>
      <c r="C698">
        <v>2023</v>
      </c>
      <c r="D698">
        <v>7</v>
      </c>
      <c r="E698" t="s">
        <v>690</v>
      </c>
      <c r="F698" t="s">
        <v>691</v>
      </c>
      <c r="G698" t="s">
        <v>28</v>
      </c>
      <c r="H698" t="s">
        <v>36</v>
      </c>
      <c r="I698" t="s">
        <v>30</v>
      </c>
      <c r="J698">
        <v>52</v>
      </c>
      <c r="K698">
        <v>1369.2</v>
      </c>
      <c r="L698">
        <v>71198.320000000007</v>
      </c>
      <c r="M698">
        <v>45859.45</v>
      </c>
      <c r="N698">
        <v>6382.68</v>
      </c>
      <c r="O698">
        <v>5249.24</v>
      </c>
      <c r="P698">
        <v>2302.11</v>
      </c>
      <c r="Q698">
        <v>788.54</v>
      </c>
      <c r="R698">
        <v>4227.4399999999996</v>
      </c>
      <c r="S698">
        <v>1741.06</v>
      </c>
      <c r="T698">
        <v>66550.509999999995</v>
      </c>
      <c r="U698">
        <v>25338.87</v>
      </c>
      <c r="V698">
        <v>4647.8100000000004</v>
      </c>
      <c r="W698">
        <v>4302.1499999999996</v>
      </c>
      <c r="X698">
        <v>78846.37</v>
      </c>
      <c r="Y698">
        <v>63231.07</v>
      </c>
    </row>
    <row r="699" spans="1:25" x14ac:dyDescent="0.25">
      <c r="A699" t="s">
        <v>749</v>
      </c>
      <c r="B699" s="1">
        <v>45121</v>
      </c>
      <c r="C699">
        <v>2023</v>
      </c>
      <c r="D699">
        <v>7</v>
      </c>
      <c r="E699" t="s">
        <v>690</v>
      </c>
      <c r="F699" t="s">
        <v>691</v>
      </c>
      <c r="G699" t="s">
        <v>28</v>
      </c>
      <c r="H699" t="s">
        <v>29</v>
      </c>
      <c r="I699" t="s">
        <v>33</v>
      </c>
      <c r="J699">
        <v>92</v>
      </c>
      <c r="K699">
        <v>1034.8800000000001</v>
      </c>
      <c r="L699">
        <v>95208.59</v>
      </c>
      <c r="M699">
        <v>64460.1</v>
      </c>
      <c r="N699">
        <v>9834.4699999999993</v>
      </c>
      <c r="O699">
        <v>6799.22</v>
      </c>
      <c r="P699">
        <v>3255.49</v>
      </c>
      <c r="Q699">
        <v>1031.49</v>
      </c>
      <c r="R699">
        <v>2415.86</v>
      </c>
      <c r="S699">
        <v>844.5</v>
      </c>
      <c r="T699">
        <v>88641.14</v>
      </c>
      <c r="U699">
        <v>30748.49</v>
      </c>
      <c r="V699">
        <v>6567.44</v>
      </c>
      <c r="W699">
        <v>5896.4</v>
      </c>
      <c r="X699">
        <v>89315.09</v>
      </c>
      <c r="Y699">
        <v>95195.97</v>
      </c>
    </row>
    <row r="700" spans="1:25" x14ac:dyDescent="0.25">
      <c r="A700" t="s">
        <v>750</v>
      </c>
      <c r="B700" s="1">
        <v>45121</v>
      </c>
      <c r="C700">
        <v>2023</v>
      </c>
      <c r="D700">
        <v>7</v>
      </c>
      <c r="E700" t="s">
        <v>690</v>
      </c>
      <c r="F700" t="s">
        <v>691</v>
      </c>
      <c r="G700" t="s">
        <v>44</v>
      </c>
      <c r="H700" t="s">
        <v>32</v>
      </c>
      <c r="I700" t="s">
        <v>65</v>
      </c>
      <c r="J700">
        <v>49</v>
      </c>
      <c r="K700">
        <v>1330.04</v>
      </c>
      <c r="L700">
        <v>65172.14</v>
      </c>
      <c r="M700">
        <v>43470.22</v>
      </c>
      <c r="N700">
        <v>6541.02</v>
      </c>
      <c r="O700">
        <v>2570.5100000000002</v>
      </c>
      <c r="P700">
        <v>2704.14</v>
      </c>
      <c r="Q700">
        <v>858.78</v>
      </c>
      <c r="R700">
        <v>3964.35</v>
      </c>
      <c r="S700">
        <v>1185.47</v>
      </c>
      <c r="T700">
        <v>61294.49</v>
      </c>
      <c r="U700">
        <v>21701.919999999998</v>
      </c>
      <c r="V700">
        <v>3877.65</v>
      </c>
      <c r="W700">
        <v>3816.95</v>
      </c>
      <c r="X700">
        <v>61556.17</v>
      </c>
      <c r="Y700">
        <v>63855.02</v>
      </c>
    </row>
    <row r="701" spans="1:25" x14ac:dyDescent="0.25">
      <c r="A701" t="s">
        <v>751</v>
      </c>
      <c r="B701" s="1">
        <v>45121</v>
      </c>
      <c r="C701">
        <v>2023</v>
      </c>
      <c r="D701">
        <v>7</v>
      </c>
      <c r="E701" t="s">
        <v>690</v>
      </c>
      <c r="F701" t="s">
        <v>691</v>
      </c>
      <c r="G701" t="s">
        <v>28</v>
      </c>
      <c r="H701" t="s">
        <v>32</v>
      </c>
      <c r="I701" t="s">
        <v>37</v>
      </c>
      <c r="J701">
        <v>66</v>
      </c>
      <c r="K701">
        <v>1243.98</v>
      </c>
      <c r="L701">
        <v>82102.710000000006</v>
      </c>
      <c r="M701">
        <v>51518.69</v>
      </c>
      <c r="N701">
        <v>8193.16</v>
      </c>
      <c r="O701">
        <v>2524.37</v>
      </c>
      <c r="P701">
        <v>3247.3</v>
      </c>
      <c r="Q701">
        <v>1229.24</v>
      </c>
      <c r="R701">
        <v>4083.16</v>
      </c>
      <c r="S701">
        <v>1174.32</v>
      </c>
      <c r="T701">
        <v>71970.240000000005</v>
      </c>
      <c r="U701">
        <v>30584.03</v>
      </c>
      <c r="V701">
        <v>10132.469999999999</v>
      </c>
      <c r="W701">
        <v>9709.57</v>
      </c>
      <c r="X701">
        <v>80134.990000000005</v>
      </c>
      <c r="Y701">
        <v>71944.28</v>
      </c>
    </row>
    <row r="702" spans="1:25" x14ac:dyDescent="0.25">
      <c r="A702" t="s">
        <v>752</v>
      </c>
      <c r="B702" s="1">
        <v>45122</v>
      </c>
      <c r="C702">
        <v>2023</v>
      </c>
      <c r="D702">
        <v>7</v>
      </c>
      <c r="E702" t="s">
        <v>690</v>
      </c>
      <c r="F702" t="s">
        <v>691</v>
      </c>
      <c r="G702" t="s">
        <v>55</v>
      </c>
      <c r="H702" t="s">
        <v>36</v>
      </c>
      <c r="I702" t="s">
        <v>56</v>
      </c>
      <c r="J702">
        <v>26</v>
      </c>
      <c r="K702">
        <v>1396.17</v>
      </c>
      <c r="L702">
        <v>36300.5</v>
      </c>
      <c r="M702">
        <v>17874.52</v>
      </c>
      <c r="N702">
        <v>2665.66</v>
      </c>
      <c r="O702">
        <v>1539.13</v>
      </c>
      <c r="P702">
        <v>689.38</v>
      </c>
      <c r="Q702">
        <v>613.11</v>
      </c>
      <c r="R702">
        <v>1669.11</v>
      </c>
      <c r="S702">
        <v>362.52</v>
      </c>
      <c r="T702">
        <v>25413.42</v>
      </c>
      <c r="U702">
        <v>18425.98</v>
      </c>
      <c r="V702">
        <v>10887.08</v>
      </c>
      <c r="W702">
        <v>10130.66</v>
      </c>
      <c r="X702">
        <v>35083.730000000003</v>
      </c>
      <c r="Y702">
        <v>23864.03</v>
      </c>
    </row>
    <row r="703" spans="1:25" x14ac:dyDescent="0.25">
      <c r="A703" t="s">
        <v>753</v>
      </c>
      <c r="B703" s="1">
        <v>45122</v>
      </c>
      <c r="C703">
        <v>2023</v>
      </c>
      <c r="D703">
        <v>7</v>
      </c>
      <c r="E703" t="s">
        <v>690</v>
      </c>
      <c r="F703" t="s">
        <v>691</v>
      </c>
      <c r="G703" t="s">
        <v>35</v>
      </c>
      <c r="H703" t="s">
        <v>32</v>
      </c>
      <c r="I703" t="s">
        <v>30</v>
      </c>
      <c r="J703">
        <v>69</v>
      </c>
      <c r="K703">
        <v>1028.8499999999999</v>
      </c>
      <c r="L703">
        <v>70990.44</v>
      </c>
      <c r="M703">
        <v>42871.06</v>
      </c>
      <c r="N703">
        <v>5613.09</v>
      </c>
      <c r="O703">
        <v>3904.89</v>
      </c>
      <c r="P703">
        <v>2548.73</v>
      </c>
      <c r="Q703">
        <v>1096.19</v>
      </c>
      <c r="R703">
        <v>3671.43</v>
      </c>
      <c r="S703">
        <v>1682.9</v>
      </c>
      <c r="T703">
        <v>61388.3</v>
      </c>
      <c r="U703">
        <v>28119.38</v>
      </c>
      <c r="V703">
        <v>9602.14</v>
      </c>
      <c r="W703">
        <v>9743.27</v>
      </c>
      <c r="X703">
        <v>75365.8</v>
      </c>
      <c r="Y703">
        <v>61391.07</v>
      </c>
    </row>
    <row r="704" spans="1:25" x14ac:dyDescent="0.25">
      <c r="A704" t="s">
        <v>754</v>
      </c>
      <c r="B704" s="1">
        <v>45122</v>
      </c>
      <c r="C704">
        <v>2023</v>
      </c>
      <c r="D704">
        <v>7</v>
      </c>
      <c r="E704" t="s">
        <v>690</v>
      </c>
      <c r="F704" t="s">
        <v>691</v>
      </c>
      <c r="G704" t="s">
        <v>55</v>
      </c>
      <c r="H704" t="s">
        <v>58</v>
      </c>
      <c r="I704" t="s">
        <v>39</v>
      </c>
      <c r="J704">
        <v>43</v>
      </c>
      <c r="K704">
        <v>1241.6099999999999</v>
      </c>
      <c r="L704">
        <v>53389.38</v>
      </c>
      <c r="M704">
        <v>28554.91</v>
      </c>
      <c r="N704">
        <v>6860.42</v>
      </c>
      <c r="O704">
        <v>1635.19</v>
      </c>
      <c r="P704">
        <v>2306.0500000000002</v>
      </c>
      <c r="Q704">
        <v>371.38</v>
      </c>
      <c r="R704">
        <v>2715.56</v>
      </c>
      <c r="S704">
        <v>976.5</v>
      </c>
      <c r="T704">
        <v>43420</v>
      </c>
      <c r="U704">
        <v>24834.47</v>
      </c>
      <c r="V704">
        <v>9969.3700000000008</v>
      </c>
      <c r="W704">
        <v>8958.77</v>
      </c>
      <c r="X704">
        <v>57204.53</v>
      </c>
      <c r="Y704">
        <v>47022.81</v>
      </c>
    </row>
    <row r="705" spans="1:25" x14ac:dyDescent="0.25">
      <c r="A705" t="s">
        <v>755</v>
      </c>
      <c r="B705" s="1">
        <v>45122</v>
      </c>
      <c r="C705">
        <v>2023</v>
      </c>
      <c r="D705">
        <v>7</v>
      </c>
      <c r="E705" t="s">
        <v>690</v>
      </c>
      <c r="F705" t="s">
        <v>691</v>
      </c>
      <c r="G705" t="s">
        <v>44</v>
      </c>
      <c r="H705" t="s">
        <v>58</v>
      </c>
      <c r="I705" t="s">
        <v>37</v>
      </c>
      <c r="J705">
        <v>30</v>
      </c>
      <c r="K705">
        <v>1666.91</v>
      </c>
      <c r="L705">
        <v>50007.31</v>
      </c>
      <c r="M705">
        <v>27240.36</v>
      </c>
      <c r="N705">
        <v>3826.11</v>
      </c>
      <c r="O705">
        <v>3277.26</v>
      </c>
      <c r="P705">
        <v>845.24</v>
      </c>
      <c r="Q705">
        <v>586.83000000000004</v>
      </c>
      <c r="R705">
        <v>1543.7</v>
      </c>
      <c r="S705">
        <v>422.47</v>
      </c>
      <c r="T705">
        <v>37741.97</v>
      </c>
      <c r="U705">
        <v>22766.95</v>
      </c>
      <c r="V705">
        <v>12265.34</v>
      </c>
      <c r="W705">
        <v>11321.23</v>
      </c>
      <c r="X705">
        <v>53112.49</v>
      </c>
      <c r="Y705">
        <v>37525.839999999997</v>
      </c>
    </row>
    <row r="706" spans="1:25" x14ac:dyDescent="0.25">
      <c r="A706" t="s">
        <v>756</v>
      </c>
      <c r="B706" s="1">
        <v>45123</v>
      </c>
      <c r="C706">
        <v>2023</v>
      </c>
      <c r="D706">
        <v>7</v>
      </c>
      <c r="E706" t="s">
        <v>690</v>
      </c>
      <c r="F706" t="s">
        <v>691</v>
      </c>
      <c r="G706" t="s">
        <v>55</v>
      </c>
      <c r="H706" t="s">
        <v>58</v>
      </c>
      <c r="I706" t="s">
        <v>45</v>
      </c>
      <c r="J706">
        <v>29</v>
      </c>
      <c r="K706">
        <v>1702.59</v>
      </c>
      <c r="L706">
        <v>49375.21</v>
      </c>
      <c r="M706">
        <v>29715.81</v>
      </c>
      <c r="N706">
        <v>5406.06</v>
      </c>
      <c r="O706">
        <v>1521.09</v>
      </c>
      <c r="P706">
        <v>1602.13</v>
      </c>
      <c r="Q706">
        <v>670.77</v>
      </c>
      <c r="R706">
        <v>2621.0500000000002</v>
      </c>
      <c r="S706">
        <v>445.68</v>
      </c>
      <c r="T706">
        <v>41982.6</v>
      </c>
      <c r="U706">
        <v>19659.39</v>
      </c>
      <c r="V706">
        <v>7392.61</v>
      </c>
      <c r="W706">
        <v>6572.8</v>
      </c>
      <c r="X706">
        <v>48251.44</v>
      </c>
      <c r="Y706">
        <v>39684.839999999997</v>
      </c>
    </row>
    <row r="707" spans="1:25" x14ac:dyDescent="0.25">
      <c r="A707" t="s">
        <v>757</v>
      </c>
      <c r="B707" s="1">
        <v>45124</v>
      </c>
      <c r="C707">
        <v>2023</v>
      </c>
      <c r="D707">
        <v>7</v>
      </c>
      <c r="E707" t="s">
        <v>690</v>
      </c>
      <c r="F707" t="s">
        <v>691</v>
      </c>
      <c r="G707" t="s">
        <v>35</v>
      </c>
      <c r="H707" t="s">
        <v>32</v>
      </c>
      <c r="I707" t="s">
        <v>39</v>
      </c>
      <c r="J707">
        <v>28</v>
      </c>
      <c r="K707">
        <v>1771.66</v>
      </c>
      <c r="L707">
        <v>49606.400000000001</v>
      </c>
      <c r="M707">
        <v>30429.31</v>
      </c>
      <c r="N707">
        <v>5194.7700000000004</v>
      </c>
      <c r="O707">
        <v>2577.21</v>
      </c>
      <c r="P707">
        <v>990.31</v>
      </c>
      <c r="Q707">
        <v>743.63</v>
      </c>
      <c r="R707">
        <v>1715.69</v>
      </c>
      <c r="S707">
        <v>1048.96</v>
      </c>
      <c r="T707">
        <v>42699.88</v>
      </c>
      <c r="U707">
        <v>19177.09</v>
      </c>
      <c r="V707">
        <v>6906.52</v>
      </c>
      <c r="W707">
        <v>6690.74</v>
      </c>
      <c r="X707">
        <v>47883.99</v>
      </c>
      <c r="Y707">
        <v>43540.02</v>
      </c>
    </row>
    <row r="708" spans="1:25" x14ac:dyDescent="0.25">
      <c r="A708" t="s">
        <v>758</v>
      </c>
      <c r="B708" s="1">
        <v>45124</v>
      </c>
      <c r="C708">
        <v>2023</v>
      </c>
      <c r="D708">
        <v>7</v>
      </c>
      <c r="E708" t="s">
        <v>690</v>
      </c>
      <c r="F708" t="s">
        <v>691</v>
      </c>
      <c r="G708" t="s">
        <v>35</v>
      </c>
      <c r="H708" t="s">
        <v>32</v>
      </c>
      <c r="I708" t="s">
        <v>37</v>
      </c>
      <c r="J708">
        <v>45</v>
      </c>
      <c r="K708">
        <v>1479.43</v>
      </c>
      <c r="L708">
        <v>66574.19</v>
      </c>
      <c r="M708">
        <v>31997.03</v>
      </c>
      <c r="N708">
        <v>4833.01</v>
      </c>
      <c r="O708">
        <v>3905.72</v>
      </c>
      <c r="P708">
        <v>1445.03</v>
      </c>
      <c r="Q708">
        <v>465.08</v>
      </c>
      <c r="R708">
        <v>3827.03</v>
      </c>
      <c r="S708">
        <v>904.65</v>
      </c>
      <c r="T708">
        <v>47377.54</v>
      </c>
      <c r="U708">
        <v>34577.160000000003</v>
      </c>
      <c r="V708">
        <v>19196.650000000001</v>
      </c>
      <c r="W708">
        <v>17554.64</v>
      </c>
      <c r="X708">
        <v>73495.929999999993</v>
      </c>
      <c r="Y708">
        <v>49007.01</v>
      </c>
    </row>
    <row r="709" spans="1:25" x14ac:dyDescent="0.25">
      <c r="A709" t="s">
        <v>759</v>
      </c>
      <c r="B709" s="1">
        <v>45124</v>
      </c>
      <c r="C709">
        <v>2023</v>
      </c>
      <c r="D709">
        <v>7</v>
      </c>
      <c r="E709" t="s">
        <v>690</v>
      </c>
      <c r="F709" t="s">
        <v>691</v>
      </c>
      <c r="G709" t="s">
        <v>44</v>
      </c>
      <c r="H709" t="s">
        <v>32</v>
      </c>
      <c r="I709" t="s">
        <v>30</v>
      </c>
      <c r="J709">
        <v>91</v>
      </c>
      <c r="K709">
        <v>1259.25</v>
      </c>
      <c r="L709">
        <v>114591.7</v>
      </c>
      <c r="M709">
        <v>77327.95</v>
      </c>
      <c r="N709">
        <v>8661.18</v>
      </c>
      <c r="O709">
        <v>5302.57</v>
      </c>
      <c r="P709">
        <v>3040.45</v>
      </c>
      <c r="Q709">
        <v>1749.02</v>
      </c>
      <c r="R709">
        <v>5978.99</v>
      </c>
      <c r="S709">
        <v>2800.99</v>
      </c>
      <c r="T709">
        <v>104861.14</v>
      </c>
      <c r="U709">
        <v>37263.75</v>
      </c>
      <c r="V709">
        <v>9730.56</v>
      </c>
      <c r="W709">
        <v>9648.2199999999993</v>
      </c>
      <c r="X709">
        <v>121930.64</v>
      </c>
      <c r="Y709">
        <v>104922.12</v>
      </c>
    </row>
    <row r="710" spans="1:25" x14ac:dyDescent="0.25">
      <c r="A710" t="s">
        <v>760</v>
      </c>
      <c r="B710" s="1">
        <v>45124</v>
      </c>
      <c r="C710">
        <v>2023</v>
      </c>
      <c r="D710">
        <v>7</v>
      </c>
      <c r="E710" t="s">
        <v>690</v>
      </c>
      <c r="F710" t="s">
        <v>691</v>
      </c>
      <c r="G710" t="s">
        <v>44</v>
      </c>
      <c r="H710" t="s">
        <v>32</v>
      </c>
      <c r="I710" t="s">
        <v>37</v>
      </c>
      <c r="J710">
        <v>36</v>
      </c>
      <c r="K710">
        <v>1573.87</v>
      </c>
      <c r="L710">
        <v>56659.43</v>
      </c>
      <c r="M710">
        <v>29241.439999999999</v>
      </c>
      <c r="N710">
        <v>6477.46</v>
      </c>
      <c r="O710">
        <v>1608</v>
      </c>
      <c r="P710">
        <v>1976</v>
      </c>
      <c r="Q710">
        <v>688.22</v>
      </c>
      <c r="R710">
        <v>2983.28</v>
      </c>
      <c r="S710">
        <v>703.9</v>
      </c>
      <c r="T710">
        <v>43678.29</v>
      </c>
      <c r="U710">
        <v>27417.99</v>
      </c>
      <c r="V710">
        <v>12981.14</v>
      </c>
      <c r="W710">
        <v>12987.52</v>
      </c>
      <c r="X710">
        <v>52214.16</v>
      </c>
      <c r="Y710">
        <v>42013.57</v>
      </c>
    </row>
    <row r="711" spans="1:25" x14ac:dyDescent="0.25">
      <c r="A711" t="s">
        <v>761</v>
      </c>
      <c r="B711" s="1">
        <v>45124</v>
      </c>
      <c r="C711">
        <v>2023</v>
      </c>
      <c r="D711">
        <v>7</v>
      </c>
      <c r="E711" t="s">
        <v>690</v>
      </c>
      <c r="F711" t="s">
        <v>691</v>
      </c>
      <c r="G711" t="s">
        <v>55</v>
      </c>
      <c r="H711" t="s">
        <v>53</v>
      </c>
      <c r="I711" t="s">
        <v>65</v>
      </c>
      <c r="J711">
        <v>43</v>
      </c>
      <c r="K711">
        <v>1589.39</v>
      </c>
      <c r="L711">
        <v>68343.850000000006</v>
      </c>
      <c r="M711">
        <v>36615.660000000003</v>
      </c>
      <c r="N711">
        <v>6971.3</v>
      </c>
      <c r="O711">
        <v>4367.04</v>
      </c>
      <c r="P711">
        <v>1412.61</v>
      </c>
      <c r="Q711">
        <v>562.62</v>
      </c>
      <c r="R711">
        <v>4171.95</v>
      </c>
      <c r="S711">
        <v>983.05</v>
      </c>
      <c r="T711">
        <v>55084.24</v>
      </c>
      <c r="U711">
        <v>31728.18</v>
      </c>
      <c r="V711">
        <v>13259.61</v>
      </c>
      <c r="W711">
        <v>11991.33</v>
      </c>
      <c r="X711">
        <v>71742.52</v>
      </c>
      <c r="Y711">
        <v>52095.6</v>
      </c>
    </row>
    <row r="712" spans="1:25" x14ac:dyDescent="0.25">
      <c r="A712" t="s">
        <v>762</v>
      </c>
      <c r="B712" s="1">
        <v>45124</v>
      </c>
      <c r="C712">
        <v>2023</v>
      </c>
      <c r="D712">
        <v>7</v>
      </c>
      <c r="E712" t="s">
        <v>690</v>
      </c>
      <c r="F712" t="s">
        <v>691</v>
      </c>
      <c r="G712" t="s">
        <v>44</v>
      </c>
      <c r="H712" t="s">
        <v>29</v>
      </c>
      <c r="I712" t="s">
        <v>45</v>
      </c>
      <c r="J712">
        <v>26</v>
      </c>
      <c r="K712">
        <v>1455.46</v>
      </c>
      <c r="L712">
        <v>37841.96</v>
      </c>
      <c r="M712">
        <v>19298.88</v>
      </c>
      <c r="N712">
        <v>4268.96</v>
      </c>
      <c r="O712">
        <v>1897.22</v>
      </c>
      <c r="P712">
        <v>1535.63</v>
      </c>
      <c r="Q712">
        <v>631.23</v>
      </c>
      <c r="R712">
        <v>2096.25</v>
      </c>
      <c r="S712">
        <v>801.97</v>
      </c>
      <c r="T712">
        <v>30530.15</v>
      </c>
      <c r="U712">
        <v>18543.09</v>
      </c>
      <c r="V712">
        <v>7311.82</v>
      </c>
      <c r="W712">
        <v>6806.73</v>
      </c>
      <c r="X712">
        <v>39855.660000000003</v>
      </c>
      <c r="Y712">
        <v>28679.16</v>
      </c>
    </row>
    <row r="713" spans="1:25" x14ac:dyDescent="0.25">
      <c r="A713" t="s">
        <v>763</v>
      </c>
      <c r="B713" s="1">
        <v>45125</v>
      </c>
      <c r="C713">
        <v>2023</v>
      </c>
      <c r="D713">
        <v>7</v>
      </c>
      <c r="E713" t="s">
        <v>690</v>
      </c>
      <c r="F713" t="s">
        <v>691</v>
      </c>
      <c r="G713" t="s">
        <v>35</v>
      </c>
      <c r="H713" t="s">
        <v>32</v>
      </c>
      <c r="I713" t="s">
        <v>65</v>
      </c>
      <c r="J713">
        <v>49</v>
      </c>
      <c r="K713">
        <v>1476.73</v>
      </c>
      <c r="L713">
        <v>72359.53</v>
      </c>
      <c r="M713">
        <v>41545.81</v>
      </c>
      <c r="N713">
        <v>7831.25</v>
      </c>
      <c r="O713">
        <v>2441.19</v>
      </c>
      <c r="P713">
        <v>2717.37</v>
      </c>
      <c r="Q713">
        <v>419.92</v>
      </c>
      <c r="R713">
        <v>3787.92</v>
      </c>
      <c r="S713">
        <v>630.88</v>
      </c>
      <c r="T713">
        <v>59374.33</v>
      </c>
      <c r="U713">
        <v>30813.71</v>
      </c>
      <c r="V713">
        <v>12985.2</v>
      </c>
      <c r="W713">
        <v>11826.98</v>
      </c>
      <c r="X713">
        <v>68224.52</v>
      </c>
      <c r="Y713">
        <v>55399.48</v>
      </c>
    </row>
    <row r="714" spans="1:25" x14ac:dyDescent="0.25">
      <c r="A714" t="s">
        <v>764</v>
      </c>
      <c r="B714" s="1">
        <v>45125</v>
      </c>
      <c r="C714">
        <v>2023</v>
      </c>
      <c r="D714">
        <v>7</v>
      </c>
      <c r="E714" t="s">
        <v>690</v>
      </c>
      <c r="F714" t="s">
        <v>691</v>
      </c>
      <c r="G714" t="s">
        <v>55</v>
      </c>
      <c r="H714" t="s">
        <v>36</v>
      </c>
      <c r="I714" t="s">
        <v>37</v>
      </c>
      <c r="J714">
        <v>42</v>
      </c>
      <c r="K714">
        <v>1333.26</v>
      </c>
      <c r="L714">
        <v>55996.88</v>
      </c>
      <c r="M714">
        <v>30964.49</v>
      </c>
      <c r="N714">
        <v>7091.06</v>
      </c>
      <c r="O714">
        <v>3179.04</v>
      </c>
      <c r="P714">
        <v>1108.17</v>
      </c>
      <c r="Q714">
        <v>561.78</v>
      </c>
      <c r="R714">
        <v>3553.08</v>
      </c>
      <c r="S714">
        <v>668.27</v>
      </c>
      <c r="T714">
        <v>47125.89</v>
      </c>
      <c r="U714">
        <v>25032.39</v>
      </c>
      <c r="V714">
        <v>8870.98</v>
      </c>
      <c r="W714">
        <v>8381.0300000000007</v>
      </c>
      <c r="X714">
        <v>54117.57</v>
      </c>
      <c r="Y714">
        <v>51583.42</v>
      </c>
    </row>
    <row r="715" spans="1:25" x14ac:dyDescent="0.25">
      <c r="A715" t="s">
        <v>765</v>
      </c>
      <c r="B715" s="1">
        <v>45125</v>
      </c>
      <c r="C715">
        <v>2023</v>
      </c>
      <c r="D715">
        <v>7</v>
      </c>
      <c r="E715" t="s">
        <v>690</v>
      </c>
      <c r="F715" t="s">
        <v>691</v>
      </c>
      <c r="G715" t="s">
        <v>35</v>
      </c>
      <c r="H715" t="s">
        <v>29</v>
      </c>
      <c r="I715" t="s">
        <v>30</v>
      </c>
      <c r="J715">
        <v>71</v>
      </c>
      <c r="K715">
        <v>1080.25</v>
      </c>
      <c r="L715">
        <v>76697.47</v>
      </c>
      <c r="M715">
        <v>37254.81</v>
      </c>
      <c r="N715">
        <v>9284.35</v>
      </c>
      <c r="O715">
        <v>4786.09</v>
      </c>
      <c r="P715">
        <v>2807.68</v>
      </c>
      <c r="Q715">
        <v>435.52</v>
      </c>
      <c r="R715">
        <v>4688.74</v>
      </c>
      <c r="S715">
        <v>1220.71</v>
      </c>
      <c r="T715">
        <v>60477.89</v>
      </c>
      <c r="U715">
        <v>39442.660000000003</v>
      </c>
      <c r="V715">
        <v>16219.57</v>
      </c>
      <c r="W715">
        <v>14318.44</v>
      </c>
      <c r="X715">
        <v>71587.16</v>
      </c>
      <c r="Y715">
        <v>64289.13</v>
      </c>
    </row>
    <row r="716" spans="1:25" x14ac:dyDescent="0.25">
      <c r="A716" t="s">
        <v>766</v>
      </c>
      <c r="B716" s="1">
        <v>45126</v>
      </c>
      <c r="C716">
        <v>2023</v>
      </c>
      <c r="D716">
        <v>7</v>
      </c>
      <c r="E716" t="s">
        <v>690</v>
      </c>
      <c r="F716" t="s">
        <v>691</v>
      </c>
      <c r="G716" t="s">
        <v>28</v>
      </c>
      <c r="H716" t="s">
        <v>36</v>
      </c>
      <c r="I716" t="s">
        <v>65</v>
      </c>
      <c r="J716">
        <v>39</v>
      </c>
      <c r="K716">
        <v>1652.74</v>
      </c>
      <c r="L716">
        <v>64456.959999999999</v>
      </c>
      <c r="M716">
        <v>34921.46</v>
      </c>
      <c r="N716">
        <v>5906.13</v>
      </c>
      <c r="O716">
        <v>3812.88</v>
      </c>
      <c r="P716">
        <v>1540.98</v>
      </c>
      <c r="Q716">
        <v>483.64</v>
      </c>
      <c r="R716">
        <v>1789.06</v>
      </c>
      <c r="S716">
        <v>1117.1099999999999</v>
      </c>
      <c r="T716">
        <v>49571.26</v>
      </c>
      <c r="U716">
        <v>29535.5</v>
      </c>
      <c r="V716">
        <v>14885.7</v>
      </c>
      <c r="W716">
        <v>13504.1</v>
      </c>
      <c r="X716">
        <v>66976.73</v>
      </c>
      <c r="Y716">
        <v>47317.62</v>
      </c>
    </row>
    <row r="717" spans="1:25" x14ac:dyDescent="0.25">
      <c r="A717" t="s">
        <v>767</v>
      </c>
      <c r="B717" s="1">
        <v>45127</v>
      </c>
      <c r="C717">
        <v>2023</v>
      </c>
      <c r="D717">
        <v>7</v>
      </c>
      <c r="E717" t="s">
        <v>690</v>
      </c>
      <c r="F717" t="s">
        <v>691</v>
      </c>
      <c r="G717" t="s">
        <v>44</v>
      </c>
      <c r="H717" t="s">
        <v>32</v>
      </c>
      <c r="I717" t="s">
        <v>65</v>
      </c>
      <c r="J717">
        <v>40</v>
      </c>
      <c r="K717">
        <v>1244.23</v>
      </c>
      <c r="L717">
        <v>49769.38</v>
      </c>
      <c r="M717">
        <v>27180.19</v>
      </c>
      <c r="N717">
        <v>4416.5</v>
      </c>
      <c r="O717">
        <v>2052.67</v>
      </c>
      <c r="P717">
        <v>815.32</v>
      </c>
      <c r="Q717">
        <v>655.25</v>
      </c>
      <c r="R717">
        <v>1375.63</v>
      </c>
      <c r="S717">
        <v>423.86</v>
      </c>
      <c r="T717">
        <v>36919.410000000003</v>
      </c>
      <c r="U717">
        <v>22589.200000000001</v>
      </c>
      <c r="V717">
        <v>12849.98</v>
      </c>
      <c r="W717">
        <v>12260.77</v>
      </c>
      <c r="X717">
        <v>48306.87</v>
      </c>
      <c r="Y717">
        <v>38986.81</v>
      </c>
    </row>
    <row r="718" spans="1:25" x14ac:dyDescent="0.25">
      <c r="A718" t="s">
        <v>768</v>
      </c>
      <c r="B718" s="1">
        <v>45127</v>
      </c>
      <c r="C718">
        <v>2023</v>
      </c>
      <c r="D718">
        <v>7</v>
      </c>
      <c r="E718" t="s">
        <v>690</v>
      </c>
      <c r="F718" t="s">
        <v>691</v>
      </c>
      <c r="G718" t="s">
        <v>44</v>
      </c>
      <c r="H718" t="s">
        <v>32</v>
      </c>
      <c r="I718" t="s">
        <v>50</v>
      </c>
      <c r="J718">
        <v>53</v>
      </c>
      <c r="K718">
        <v>951.43</v>
      </c>
      <c r="L718">
        <v>50426.04</v>
      </c>
      <c r="M718">
        <v>27429.31</v>
      </c>
      <c r="N718">
        <v>3852.04</v>
      </c>
      <c r="O718">
        <v>3440.88</v>
      </c>
      <c r="P718">
        <v>1020.36</v>
      </c>
      <c r="Q718">
        <v>718.69</v>
      </c>
      <c r="R718">
        <v>2441.19</v>
      </c>
      <c r="S718">
        <v>1066.4000000000001</v>
      </c>
      <c r="T718">
        <v>39968.879999999997</v>
      </c>
      <c r="U718">
        <v>22996.720000000001</v>
      </c>
      <c r="V718">
        <v>10457.16</v>
      </c>
      <c r="W718">
        <v>9746.4</v>
      </c>
      <c r="X718">
        <v>48735.82</v>
      </c>
      <c r="Y718">
        <v>39448.31</v>
      </c>
    </row>
    <row r="719" spans="1:25" x14ac:dyDescent="0.25">
      <c r="A719" t="s">
        <v>769</v>
      </c>
      <c r="B719" s="1">
        <v>45127</v>
      </c>
      <c r="C719">
        <v>2023</v>
      </c>
      <c r="D719">
        <v>7</v>
      </c>
      <c r="E719" t="s">
        <v>690</v>
      </c>
      <c r="F719" t="s">
        <v>691</v>
      </c>
      <c r="G719" t="s">
        <v>28</v>
      </c>
      <c r="H719" t="s">
        <v>32</v>
      </c>
      <c r="I719" t="s">
        <v>37</v>
      </c>
      <c r="J719">
        <v>75</v>
      </c>
      <c r="K719">
        <v>1096.6199999999999</v>
      </c>
      <c r="L719">
        <v>82246.179999999993</v>
      </c>
      <c r="M719">
        <v>48118.28</v>
      </c>
      <c r="N719">
        <v>9129.02</v>
      </c>
      <c r="O719">
        <v>3559.06</v>
      </c>
      <c r="P719">
        <v>1824.78</v>
      </c>
      <c r="Q719">
        <v>846.41</v>
      </c>
      <c r="R719">
        <v>4461.7299999999996</v>
      </c>
      <c r="S719">
        <v>989.72</v>
      </c>
      <c r="T719">
        <v>68929</v>
      </c>
      <c r="U719">
        <v>34127.9</v>
      </c>
      <c r="V719">
        <v>13317.18</v>
      </c>
      <c r="W719">
        <v>12639.77</v>
      </c>
      <c r="X719">
        <v>82349.95</v>
      </c>
      <c r="Y719">
        <v>69636.490000000005</v>
      </c>
    </row>
    <row r="720" spans="1:25" x14ac:dyDescent="0.25">
      <c r="A720" t="s">
        <v>770</v>
      </c>
      <c r="B720" s="1">
        <v>45127</v>
      </c>
      <c r="C720">
        <v>2023</v>
      </c>
      <c r="D720">
        <v>7</v>
      </c>
      <c r="E720" t="s">
        <v>690</v>
      </c>
      <c r="F720" t="s">
        <v>691</v>
      </c>
      <c r="G720" t="s">
        <v>28</v>
      </c>
      <c r="H720" t="s">
        <v>32</v>
      </c>
      <c r="I720" t="s">
        <v>30</v>
      </c>
      <c r="J720">
        <v>65</v>
      </c>
      <c r="K720">
        <v>1475.54</v>
      </c>
      <c r="L720">
        <v>95910.34</v>
      </c>
      <c r="M720">
        <v>52425.45</v>
      </c>
      <c r="N720">
        <v>11915.86</v>
      </c>
      <c r="O720">
        <v>4016.54</v>
      </c>
      <c r="P720">
        <v>3409.39</v>
      </c>
      <c r="Q720">
        <v>1638.95</v>
      </c>
      <c r="R720">
        <v>4431.01</v>
      </c>
      <c r="S720">
        <v>809.95</v>
      </c>
      <c r="T720">
        <v>78647.14</v>
      </c>
      <c r="U720">
        <v>43484.89</v>
      </c>
      <c r="V720">
        <v>17263.2</v>
      </c>
      <c r="W720">
        <v>16511.849999999999</v>
      </c>
      <c r="X720">
        <v>89884.45</v>
      </c>
      <c r="Y720">
        <v>81537.69</v>
      </c>
    </row>
    <row r="721" spans="1:25" x14ac:dyDescent="0.25">
      <c r="A721" t="s">
        <v>771</v>
      </c>
      <c r="B721" s="1">
        <v>45127</v>
      </c>
      <c r="C721">
        <v>2023</v>
      </c>
      <c r="D721">
        <v>7</v>
      </c>
      <c r="E721" t="s">
        <v>690</v>
      </c>
      <c r="F721" t="s">
        <v>691</v>
      </c>
      <c r="G721" t="s">
        <v>35</v>
      </c>
      <c r="H721" t="s">
        <v>32</v>
      </c>
      <c r="I721" t="s">
        <v>37</v>
      </c>
      <c r="J721">
        <v>52</v>
      </c>
      <c r="K721">
        <v>1403.86</v>
      </c>
      <c r="L721">
        <v>73000.509999999995</v>
      </c>
      <c r="M721">
        <v>36939.449999999997</v>
      </c>
      <c r="N721">
        <v>8147.21</v>
      </c>
      <c r="O721">
        <v>4547.3599999999997</v>
      </c>
      <c r="P721">
        <v>3050.85</v>
      </c>
      <c r="Q721">
        <v>940.98</v>
      </c>
      <c r="R721">
        <v>2544.81</v>
      </c>
      <c r="S721">
        <v>1531.21</v>
      </c>
      <c r="T721">
        <v>57701.85</v>
      </c>
      <c r="U721">
        <v>36061.06</v>
      </c>
      <c r="V721">
        <v>15298.66</v>
      </c>
      <c r="W721">
        <v>15401.77</v>
      </c>
      <c r="X721">
        <v>75064.33</v>
      </c>
      <c r="Y721">
        <v>53945.58</v>
      </c>
    </row>
    <row r="722" spans="1:25" x14ac:dyDescent="0.25">
      <c r="A722" t="s">
        <v>772</v>
      </c>
      <c r="B722" s="1">
        <v>45127</v>
      </c>
      <c r="C722">
        <v>2023</v>
      </c>
      <c r="D722">
        <v>7</v>
      </c>
      <c r="E722" t="s">
        <v>690</v>
      </c>
      <c r="F722" t="s">
        <v>691</v>
      </c>
      <c r="G722" t="s">
        <v>44</v>
      </c>
      <c r="H722" t="s">
        <v>32</v>
      </c>
      <c r="I722" t="s">
        <v>50</v>
      </c>
      <c r="J722">
        <v>30</v>
      </c>
      <c r="K722">
        <v>1474.67</v>
      </c>
      <c r="L722">
        <v>44239.96</v>
      </c>
      <c r="M722">
        <v>25222.5</v>
      </c>
      <c r="N722">
        <v>4094.5</v>
      </c>
      <c r="O722">
        <v>1710.33</v>
      </c>
      <c r="P722">
        <v>1596.3</v>
      </c>
      <c r="Q722">
        <v>417.56</v>
      </c>
      <c r="R722">
        <v>1576.26</v>
      </c>
      <c r="S722">
        <v>448.76</v>
      </c>
      <c r="T722">
        <v>35066.21</v>
      </c>
      <c r="U722">
        <v>19017.46</v>
      </c>
      <c r="V722">
        <v>9173.76</v>
      </c>
      <c r="W722">
        <v>9107.89</v>
      </c>
      <c r="X722">
        <v>42200.9</v>
      </c>
      <c r="Y722">
        <v>35581.550000000003</v>
      </c>
    </row>
    <row r="723" spans="1:25" x14ac:dyDescent="0.25">
      <c r="A723" t="s">
        <v>773</v>
      </c>
      <c r="B723" s="1">
        <v>45128</v>
      </c>
      <c r="C723">
        <v>2023</v>
      </c>
      <c r="D723">
        <v>7</v>
      </c>
      <c r="E723" t="s">
        <v>690</v>
      </c>
      <c r="F723" t="s">
        <v>691</v>
      </c>
      <c r="G723" t="s">
        <v>55</v>
      </c>
      <c r="H723" t="s">
        <v>53</v>
      </c>
      <c r="I723" t="s">
        <v>56</v>
      </c>
      <c r="J723">
        <v>22</v>
      </c>
      <c r="K723">
        <v>1605.44</v>
      </c>
      <c r="L723">
        <v>35319.78</v>
      </c>
      <c r="M723">
        <v>22798.15</v>
      </c>
      <c r="N723">
        <v>4285.04</v>
      </c>
      <c r="O723">
        <v>1402.21</v>
      </c>
      <c r="P723">
        <v>1122.19</v>
      </c>
      <c r="Q723">
        <v>361.87</v>
      </c>
      <c r="R723">
        <v>1197.72</v>
      </c>
      <c r="S723">
        <v>646.86</v>
      </c>
      <c r="T723">
        <v>31814.03</v>
      </c>
      <c r="U723">
        <v>12521.63</v>
      </c>
      <c r="V723">
        <v>3505.75</v>
      </c>
      <c r="W723">
        <v>3205.93</v>
      </c>
      <c r="X723">
        <v>38065.879999999997</v>
      </c>
      <c r="Y723">
        <v>30999.59</v>
      </c>
    </row>
    <row r="724" spans="1:25" x14ac:dyDescent="0.25">
      <c r="A724" t="s">
        <v>774</v>
      </c>
      <c r="B724" s="1">
        <v>45128</v>
      </c>
      <c r="C724">
        <v>2023</v>
      </c>
      <c r="D724">
        <v>7</v>
      </c>
      <c r="E724" t="s">
        <v>690</v>
      </c>
      <c r="F724" t="s">
        <v>691</v>
      </c>
      <c r="G724" t="s">
        <v>55</v>
      </c>
      <c r="H724" t="s">
        <v>32</v>
      </c>
      <c r="I724" t="s">
        <v>45</v>
      </c>
      <c r="J724">
        <v>78</v>
      </c>
      <c r="K724">
        <v>800.7</v>
      </c>
      <c r="L724">
        <v>62454.97</v>
      </c>
      <c r="M724">
        <v>35669.89</v>
      </c>
      <c r="N724">
        <v>7074.46</v>
      </c>
      <c r="O724">
        <v>2473</v>
      </c>
      <c r="P724">
        <v>2176.42</v>
      </c>
      <c r="Q724">
        <v>832.79</v>
      </c>
      <c r="R724">
        <v>1727.83</v>
      </c>
      <c r="S724">
        <v>1521.22</v>
      </c>
      <c r="T724">
        <v>51475.61</v>
      </c>
      <c r="U724">
        <v>26785.07</v>
      </c>
      <c r="V724">
        <v>10979.36</v>
      </c>
      <c r="W724">
        <v>9793.32</v>
      </c>
      <c r="X724">
        <v>65947.83</v>
      </c>
      <c r="Y724">
        <v>52981.21</v>
      </c>
    </row>
    <row r="725" spans="1:25" x14ac:dyDescent="0.25">
      <c r="A725" t="s">
        <v>775</v>
      </c>
      <c r="B725" s="1">
        <v>45128</v>
      </c>
      <c r="C725">
        <v>2023</v>
      </c>
      <c r="D725">
        <v>7</v>
      </c>
      <c r="E725" t="s">
        <v>690</v>
      </c>
      <c r="F725" t="s">
        <v>691</v>
      </c>
      <c r="G725" t="s">
        <v>44</v>
      </c>
      <c r="H725" t="s">
        <v>32</v>
      </c>
      <c r="I725" t="s">
        <v>45</v>
      </c>
      <c r="J725">
        <v>32</v>
      </c>
      <c r="K725">
        <v>1350.42</v>
      </c>
      <c r="L725">
        <v>43213.440000000002</v>
      </c>
      <c r="M725">
        <v>24386.68</v>
      </c>
      <c r="N725">
        <v>4523.83</v>
      </c>
      <c r="O725">
        <v>1920.79</v>
      </c>
      <c r="P725">
        <v>1902.29</v>
      </c>
      <c r="Q725">
        <v>534.19000000000005</v>
      </c>
      <c r="R725">
        <v>1378.09</v>
      </c>
      <c r="S725">
        <v>697.6</v>
      </c>
      <c r="T725">
        <v>35343.47</v>
      </c>
      <c r="U725">
        <v>18826.77</v>
      </c>
      <c r="V725">
        <v>7869.98</v>
      </c>
      <c r="W725">
        <v>7992.69</v>
      </c>
      <c r="X725">
        <v>42829.67</v>
      </c>
      <c r="Y725">
        <v>33223.71</v>
      </c>
    </row>
    <row r="726" spans="1:25" x14ac:dyDescent="0.25">
      <c r="A726" t="s">
        <v>776</v>
      </c>
      <c r="B726" s="1">
        <v>45128</v>
      </c>
      <c r="C726">
        <v>2023</v>
      </c>
      <c r="D726">
        <v>7</v>
      </c>
      <c r="E726" t="s">
        <v>690</v>
      </c>
      <c r="F726" t="s">
        <v>691</v>
      </c>
      <c r="G726" t="s">
        <v>28</v>
      </c>
      <c r="H726" t="s">
        <v>36</v>
      </c>
      <c r="I726" t="s">
        <v>30</v>
      </c>
      <c r="J726">
        <v>86</v>
      </c>
      <c r="K726">
        <v>1269.98</v>
      </c>
      <c r="L726">
        <v>109218.23</v>
      </c>
      <c r="M726">
        <v>61341.279999999999</v>
      </c>
      <c r="N726">
        <v>8105.31</v>
      </c>
      <c r="O726">
        <v>6433.64</v>
      </c>
      <c r="P726">
        <v>3874.84</v>
      </c>
      <c r="Q726">
        <v>1913.04</v>
      </c>
      <c r="R726">
        <v>6057.05</v>
      </c>
      <c r="S726">
        <v>1541.01</v>
      </c>
      <c r="T726">
        <v>89266.18</v>
      </c>
      <c r="U726">
        <v>47876.95</v>
      </c>
      <c r="V726">
        <v>19952.060000000001</v>
      </c>
      <c r="W726">
        <v>19478.669999999998</v>
      </c>
      <c r="X726">
        <v>121792.99</v>
      </c>
      <c r="Y726">
        <v>84062.54</v>
      </c>
    </row>
    <row r="727" spans="1:25" x14ac:dyDescent="0.25">
      <c r="A727" t="s">
        <v>777</v>
      </c>
      <c r="B727" s="1">
        <v>45128</v>
      </c>
      <c r="C727">
        <v>2023</v>
      </c>
      <c r="D727">
        <v>7</v>
      </c>
      <c r="E727" t="s">
        <v>690</v>
      </c>
      <c r="F727" t="s">
        <v>691</v>
      </c>
      <c r="G727" t="s">
        <v>55</v>
      </c>
      <c r="H727" t="s">
        <v>29</v>
      </c>
      <c r="I727" t="s">
        <v>30</v>
      </c>
      <c r="J727">
        <v>131</v>
      </c>
      <c r="K727">
        <v>907.64</v>
      </c>
      <c r="L727">
        <v>118901.03</v>
      </c>
      <c r="M727">
        <v>63736.19</v>
      </c>
      <c r="N727">
        <v>11944.67</v>
      </c>
      <c r="O727">
        <v>5134.76</v>
      </c>
      <c r="P727">
        <v>2499.21</v>
      </c>
      <c r="Q727">
        <v>808.7</v>
      </c>
      <c r="R727">
        <v>6434.51</v>
      </c>
      <c r="S727">
        <v>2794.82</v>
      </c>
      <c r="T727">
        <v>93352.86</v>
      </c>
      <c r="U727">
        <v>55164.84</v>
      </c>
      <c r="V727">
        <v>25548.17</v>
      </c>
      <c r="W727">
        <v>24899.8</v>
      </c>
      <c r="X727">
        <v>121020.45</v>
      </c>
      <c r="Y727">
        <v>95830.25</v>
      </c>
    </row>
    <row r="728" spans="1:25" x14ac:dyDescent="0.25">
      <c r="A728" t="s">
        <v>778</v>
      </c>
      <c r="B728" s="1">
        <v>45129</v>
      </c>
      <c r="C728">
        <v>2023</v>
      </c>
      <c r="D728">
        <v>7</v>
      </c>
      <c r="E728" t="s">
        <v>690</v>
      </c>
      <c r="F728" t="s">
        <v>691</v>
      </c>
      <c r="G728" t="s">
        <v>28</v>
      </c>
      <c r="H728" t="s">
        <v>53</v>
      </c>
      <c r="I728" t="s">
        <v>65</v>
      </c>
      <c r="J728">
        <v>46</v>
      </c>
      <c r="K728">
        <v>1503.93</v>
      </c>
      <c r="L728">
        <v>69180.960000000006</v>
      </c>
      <c r="M728">
        <v>36101.49</v>
      </c>
      <c r="N728">
        <v>7413.29</v>
      </c>
      <c r="O728">
        <v>3849.29</v>
      </c>
      <c r="P728">
        <v>1940.11</v>
      </c>
      <c r="Q728">
        <v>431.6</v>
      </c>
      <c r="R728">
        <v>3726.3</v>
      </c>
      <c r="S728">
        <v>1100.68</v>
      </c>
      <c r="T728">
        <v>54562.76</v>
      </c>
      <c r="U728">
        <v>33079.46</v>
      </c>
      <c r="V728">
        <v>14618.19</v>
      </c>
      <c r="W728">
        <v>13440.94</v>
      </c>
      <c r="X728">
        <v>74450.59</v>
      </c>
      <c r="Y728">
        <v>51611.29</v>
      </c>
    </row>
    <row r="729" spans="1:25" x14ac:dyDescent="0.25">
      <c r="A729" t="s">
        <v>779</v>
      </c>
      <c r="B729" s="1">
        <v>45129</v>
      </c>
      <c r="C729">
        <v>2023</v>
      </c>
      <c r="D729">
        <v>7</v>
      </c>
      <c r="E729" t="s">
        <v>690</v>
      </c>
      <c r="F729" t="s">
        <v>691</v>
      </c>
      <c r="G729" t="s">
        <v>35</v>
      </c>
      <c r="H729" t="s">
        <v>36</v>
      </c>
      <c r="I729" t="s">
        <v>45</v>
      </c>
      <c r="J729">
        <v>29</v>
      </c>
      <c r="K729">
        <v>1426.29</v>
      </c>
      <c r="L729">
        <v>41362.550000000003</v>
      </c>
      <c r="M729">
        <v>20000.39</v>
      </c>
      <c r="N729">
        <v>5288.62</v>
      </c>
      <c r="O729">
        <v>2198.58</v>
      </c>
      <c r="P729">
        <v>1711.09</v>
      </c>
      <c r="Q729">
        <v>631.89</v>
      </c>
      <c r="R729">
        <v>1760.39</v>
      </c>
      <c r="S729">
        <v>925.34</v>
      </c>
      <c r="T729">
        <v>32516.3</v>
      </c>
      <c r="U729">
        <v>21362.16</v>
      </c>
      <c r="V729">
        <v>8846.24</v>
      </c>
      <c r="W729">
        <v>7828.3</v>
      </c>
      <c r="X729">
        <v>41816.449999999997</v>
      </c>
      <c r="Y729">
        <v>33037.49</v>
      </c>
    </row>
    <row r="730" spans="1:25" x14ac:dyDescent="0.25">
      <c r="A730" t="s">
        <v>780</v>
      </c>
      <c r="B730" s="1">
        <v>45129</v>
      </c>
      <c r="C730">
        <v>2023</v>
      </c>
      <c r="D730">
        <v>7</v>
      </c>
      <c r="E730" t="s">
        <v>690</v>
      </c>
      <c r="F730" t="s">
        <v>691</v>
      </c>
      <c r="G730" t="s">
        <v>44</v>
      </c>
      <c r="H730" t="s">
        <v>32</v>
      </c>
      <c r="I730" t="s">
        <v>65</v>
      </c>
      <c r="J730">
        <v>47</v>
      </c>
      <c r="K730">
        <v>1695.49</v>
      </c>
      <c r="L730">
        <v>79688.179999999993</v>
      </c>
      <c r="M730">
        <v>45166.11</v>
      </c>
      <c r="N730">
        <v>6023.09</v>
      </c>
      <c r="O730">
        <v>4547.12</v>
      </c>
      <c r="P730">
        <v>1822.99</v>
      </c>
      <c r="Q730">
        <v>690.71</v>
      </c>
      <c r="R730">
        <v>3978.17</v>
      </c>
      <c r="S730">
        <v>1509.57</v>
      </c>
      <c r="T730">
        <v>63737.760000000002</v>
      </c>
      <c r="U730">
        <v>34522.07</v>
      </c>
      <c r="V730">
        <v>15950.42</v>
      </c>
      <c r="W730">
        <v>15416.35</v>
      </c>
      <c r="X730">
        <v>79445.87</v>
      </c>
      <c r="Y730">
        <v>65492.53</v>
      </c>
    </row>
    <row r="731" spans="1:25" x14ac:dyDescent="0.25">
      <c r="A731" t="s">
        <v>781</v>
      </c>
      <c r="B731" s="1">
        <v>45129</v>
      </c>
      <c r="C731">
        <v>2023</v>
      </c>
      <c r="D731">
        <v>7</v>
      </c>
      <c r="E731" t="s">
        <v>690</v>
      </c>
      <c r="F731" t="s">
        <v>691</v>
      </c>
      <c r="G731" t="s">
        <v>55</v>
      </c>
      <c r="H731" t="s">
        <v>29</v>
      </c>
      <c r="I731" t="s">
        <v>45</v>
      </c>
      <c r="J731">
        <v>33</v>
      </c>
      <c r="K731">
        <v>1671.2</v>
      </c>
      <c r="L731">
        <v>55149.68</v>
      </c>
      <c r="M731">
        <v>29555.1</v>
      </c>
      <c r="N731">
        <v>5006.2</v>
      </c>
      <c r="O731">
        <v>2621.76</v>
      </c>
      <c r="P731">
        <v>1045.9100000000001</v>
      </c>
      <c r="Q731">
        <v>571.98</v>
      </c>
      <c r="R731">
        <v>2338.94</v>
      </c>
      <c r="S731">
        <v>1111.83</v>
      </c>
      <c r="T731">
        <v>42251.7</v>
      </c>
      <c r="U731">
        <v>25594.58</v>
      </c>
      <c r="V731">
        <v>12897.97</v>
      </c>
      <c r="W731">
        <v>11500.42</v>
      </c>
      <c r="X731">
        <v>59212.98</v>
      </c>
      <c r="Y731">
        <v>44491.33</v>
      </c>
    </row>
    <row r="732" spans="1:25" x14ac:dyDescent="0.25">
      <c r="A732" t="s">
        <v>782</v>
      </c>
      <c r="B732" s="1">
        <v>45130</v>
      </c>
      <c r="C732">
        <v>2023</v>
      </c>
      <c r="D732">
        <v>7</v>
      </c>
      <c r="E732" t="s">
        <v>690</v>
      </c>
      <c r="F732" t="s">
        <v>691</v>
      </c>
      <c r="G732" t="s">
        <v>28</v>
      </c>
      <c r="H732" t="s">
        <v>29</v>
      </c>
      <c r="I732" t="s">
        <v>39</v>
      </c>
      <c r="J732">
        <v>50</v>
      </c>
      <c r="K732">
        <v>1157.82</v>
      </c>
      <c r="L732">
        <v>57890.9</v>
      </c>
      <c r="M732">
        <v>30415.759999999998</v>
      </c>
      <c r="N732">
        <v>5994.55</v>
      </c>
      <c r="O732">
        <v>2217.9</v>
      </c>
      <c r="P732">
        <v>2447.44</v>
      </c>
      <c r="Q732">
        <v>839.29</v>
      </c>
      <c r="R732">
        <v>2167.4299999999998</v>
      </c>
      <c r="S732">
        <v>781.14</v>
      </c>
      <c r="T732">
        <v>44863.519999999997</v>
      </c>
      <c r="U732">
        <v>27475.14</v>
      </c>
      <c r="V732">
        <v>13027.38</v>
      </c>
      <c r="W732">
        <v>12028.75</v>
      </c>
      <c r="X732">
        <v>63033.98</v>
      </c>
      <c r="Y732">
        <v>42569.79</v>
      </c>
    </row>
    <row r="733" spans="1:25" x14ac:dyDescent="0.25">
      <c r="A733" t="s">
        <v>783</v>
      </c>
      <c r="B733" s="1">
        <v>45131</v>
      </c>
      <c r="C733">
        <v>2023</v>
      </c>
      <c r="D733">
        <v>7</v>
      </c>
      <c r="E733" t="s">
        <v>690</v>
      </c>
      <c r="F733" t="s">
        <v>691</v>
      </c>
      <c r="G733" t="s">
        <v>28</v>
      </c>
      <c r="H733" t="s">
        <v>36</v>
      </c>
      <c r="I733" t="s">
        <v>39</v>
      </c>
      <c r="J733">
        <v>32</v>
      </c>
      <c r="K733">
        <v>1261.52</v>
      </c>
      <c r="L733">
        <v>40368.800000000003</v>
      </c>
      <c r="M733">
        <v>19633.03</v>
      </c>
      <c r="N733">
        <v>5106.1000000000004</v>
      </c>
      <c r="O733">
        <v>1173.22</v>
      </c>
      <c r="P733">
        <v>680.81</v>
      </c>
      <c r="Q733">
        <v>679.18</v>
      </c>
      <c r="R733">
        <v>2594.17</v>
      </c>
      <c r="S733">
        <v>364.54</v>
      </c>
      <c r="T733">
        <v>30231.06</v>
      </c>
      <c r="U733">
        <v>20735.77</v>
      </c>
      <c r="V733">
        <v>10137.73</v>
      </c>
      <c r="W733">
        <v>10123.93</v>
      </c>
      <c r="X733">
        <v>41885.39</v>
      </c>
      <c r="Y733">
        <v>30057.53</v>
      </c>
    </row>
    <row r="734" spans="1:25" x14ac:dyDescent="0.25">
      <c r="A734" t="s">
        <v>784</v>
      </c>
      <c r="B734" s="1">
        <v>45131</v>
      </c>
      <c r="C734">
        <v>2023</v>
      </c>
      <c r="D734">
        <v>7</v>
      </c>
      <c r="E734" t="s">
        <v>690</v>
      </c>
      <c r="F734" t="s">
        <v>691</v>
      </c>
      <c r="G734" t="s">
        <v>44</v>
      </c>
      <c r="H734" t="s">
        <v>36</v>
      </c>
      <c r="I734" t="s">
        <v>56</v>
      </c>
      <c r="J734">
        <v>24</v>
      </c>
      <c r="K734">
        <v>1412.58</v>
      </c>
      <c r="L734">
        <v>33902</v>
      </c>
      <c r="M734">
        <v>22830.41</v>
      </c>
      <c r="N734">
        <v>2649.61</v>
      </c>
      <c r="O734">
        <v>2422.56</v>
      </c>
      <c r="P734">
        <v>660.78</v>
      </c>
      <c r="Q734">
        <v>330.85</v>
      </c>
      <c r="R734">
        <v>1842.09</v>
      </c>
      <c r="S734">
        <v>719.56</v>
      </c>
      <c r="T734">
        <v>31455.85</v>
      </c>
      <c r="U734">
        <v>11071.59</v>
      </c>
      <c r="V734">
        <v>2446.15</v>
      </c>
      <c r="W734">
        <v>2446.9299999999998</v>
      </c>
      <c r="X734">
        <v>37786.550000000003</v>
      </c>
      <c r="Y734">
        <v>34367.99</v>
      </c>
    </row>
    <row r="735" spans="1:25" x14ac:dyDescent="0.25">
      <c r="A735" t="s">
        <v>785</v>
      </c>
      <c r="B735" s="1">
        <v>45131</v>
      </c>
      <c r="C735">
        <v>2023</v>
      </c>
      <c r="D735">
        <v>7</v>
      </c>
      <c r="E735" t="s">
        <v>690</v>
      </c>
      <c r="F735" t="s">
        <v>691</v>
      </c>
      <c r="G735" t="s">
        <v>28</v>
      </c>
      <c r="H735" t="s">
        <v>53</v>
      </c>
      <c r="I735" t="s">
        <v>37</v>
      </c>
      <c r="J735">
        <v>61</v>
      </c>
      <c r="K735">
        <v>1246.45</v>
      </c>
      <c r="L735">
        <v>76033.179999999993</v>
      </c>
      <c r="M735">
        <v>37834.730000000003</v>
      </c>
      <c r="N735">
        <v>6314.12</v>
      </c>
      <c r="O735">
        <v>5127.18</v>
      </c>
      <c r="P735">
        <v>3406.98</v>
      </c>
      <c r="Q735">
        <v>1131.8599999999999</v>
      </c>
      <c r="R735">
        <v>3097.58</v>
      </c>
      <c r="S735">
        <v>1575.64</v>
      </c>
      <c r="T735">
        <v>58488.1</v>
      </c>
      <c r="U735">
        <v>38198.449999999997</v>
      </c>
      <c r="V735">
        <v>17545.080000000002</v>
      </c>
      <c r="W735">
        <v>17787</v>
      </c>
      <c r="X735">
        <v>73349.48</v>
      </c>
      <c r="Y735">
        <v>54703.56</v>
      </c>
    </row>
    <row r="736" spans="1:25" x14ac:dyDescent="0.25">
      <c r="A736" t="s">
        <v>786</v>
      </c>
      <c r="B736" s="1">
        <v>45132</v>
      </c>
      <c r="C736">
        <v>2023</v>
      </c>
      <c r="D736">
        <v>7</v>
      </c>
      <c r="E736" t="s">
        <v>690</v>
      </c>
      <c r="F736" t="s">
        <v>691</v>
      </c>
      <c r="G736" t="s">
        <v>44</v>
      </c>
      <c r="H736" t="s">
        <v>58</v>
      </c>
      <c r="I736" t="s">
        <v>45</v>
      </c>
      <c r="J736">
        <v>27</v>
      </c>
      <c r="K736">
        <v>1360.15</v>
      </c>
      <c r="L736">
        <v>36724.019999999997</v>
      </c>
      <c r="M736">
        <v>22042.66</v>
      </c>
      <c r="N736">
        <v>3913.61</v>
      </c>
      <c r="O736">
        <v>1982.28</v>
      </c>
      <c r="P736">
        <v>981.88</v>
      </c>
      <c r="Q736">
        <v>201.2</v>
      </c>
      <c r="R736">
        <v>1117.82</v>
      </c>
      <c r="S736">
        <v>331.19</v>
      </c>
      <c r="T736">
        <v>30570.62</v>
      </c>
      <c r="U736">
        <v>14681.37</v>
      </c>
      <c r="V736">
        <v>6153.4</v>
      </c>
      <c r="W736">
        <v>6080.64</v>
      </c>
      <c r="X736">
        <v>40729.300000000003</v>
      </c>
      <c r="Y736">
        <v>32596.959999999999</v>
      </c>
    </row>
    <row r="737" spans="1:25" x14ac:dyDescent="0.25">
      <c r="A737" t="s">
        <v>787</v>
      </c>
      <c r="B737" s="1">
        <v>45132</v>
      </c>
      <c r="C737">
        <v>2023</v>
      </c>
      <c r="D737">
        <v>7</v>
      </c>
      <c r="E737" t="s">
        <v>690</v>
      </c>
      <c r="F737" t="s">
        <v>691</v>
      </c>
      <c r="G737" t="s">
        <v>35</v>
      </c>
      <c r="H737" t="s">
        <v>58</v>
      </c>
      <c r="I737" t="s">
        <v>37</v>
      </c>
      <c r="J737">
        <v>30</v>
      </c>
      <c r="K737">
        <v>1399.84</v>
      </c>
      <c r="L737">
        <v>41995.3</v>
      </c>
      <c r="M737">
        <v>22923.7</v>
      </c>
      <c r="N737">
        <v>4877.2299999999996</v>
      </c>
      <c r="O737">
        <v>2800.13</v>
      </c>
      <c r="P737">
        <v>1817.22</v>
      </c>
      <c r="Q737">
        <v>724.01</v>
      </c>
      <c r="R737">
        <v>1247.06</v>
      </c>
      <c r="S737">
        <v>856.09</v>
      </c>
      <c r="T737">
        <v>35245.440000000002</v>
      </c>
      <c r="U737">
        <v>19071.59</v>
      </c>
      <c r="V737">
        <v>6749.86</v>
      </c>
      <c r="W737">
        <v>6242.23</v>
      </c>
      <c r="X737">
        <v>46269.14</v>
      </c>
      <c r="Y737">
        <v>38407.269999999997</v>
      </c>
    </row>
    <row r="738" spans="1:25" x14ac:dyDescent="0.25">
      <c r="A738" t="s">
        <v>788</v>
      </c>
      <c r="B738" s="1">
        <v>45132</v>
      </c>
      <c r="C738">
        <v>2023</v>
      </c>
      <c r="D738">
        <v>7</v>
      </c>
      <c r="E738" t="s">
        <v>690</v>
      </c>
      <c r="F738" t="s">
        <v>691</v>
      </c>
      <c r="G738" t="s">
        <v>35</v>
      </c>
      <c r="H738" t="s">
        <v>29</v>
      </c>
      <c r="I738" t="s">
        <v>39</v>
      </c>
      <c r="J738">
        <v>25</v>
      </c>
      <c r="K738">
        <v>1551.71</v>
      </c>
      <c r="L738">
        <v>38792.699999999997</v>
      </c>
      <c r="M738">
        <v>26360.19</v>
      </c>
      <c r="N738">
        <v>4426.34</v>
      </c>
      <c r="O738">
        <v>1590.2</v>
      </c>
      <c r="P738">
        <v>1317.63</v>
      </c>
      <c r="Q738">
        <v>289.26</v>
      </c>
      <c r="R738">
        <v>1456.7</v>
      </c>
      <c r="S738">
        <v>819.79</v>
      </c>
      <c r="T738">
        <v>36260.11</v>
      </c>
      <c r="U738">
        <v>12432.51</v>
      </c>
      <c r="V738">
        <v>2532.6</v>
      </c>
      <c r="W738">
        <v>2292.0100000000002</v>
      </c>
      <c r="X738">
        <v>39177.620000000003</v>
      </c>
      <c r="Y738">
        <v>37693.339999999997</v>
      </c>
    </row>
    <row r="739" spans="1:25" x14ac:dyDescent="0.25">
      <c r="A739" t="s">
        <v>789</v>
      </c>
      <c r="B739" s="1">
        <v>45132</v>
      </c>
      <c r="C739">
        <v>2023</v>
      </c>
      <c r="D739">
        <v>7</v>
      </c>
      <c r="E739" t="s">
        <v>690</v>
      </c>
      <c r="F739" t="s">
        <v>691</v>
      </c>
      <c r="G739" t="s">
        <v>55</v>
      </c>
      <c r="H739" t="s">
        <v>32</v>
      </c>
      <c r="I739" t="s">
        <v>56</v>
      </c>
      <c r="J739">
        <v>27</v>
      </c>
      <c r="K739">
        <v>1323.96</v>
      </c>
      <c r="L739">
        <v>35746.94</v>
      </c>
      <c r="M739">
        <v>17879.37</v>
      </c>
      <c r="N739">
        <v>3530.35</v>
      </c>
      <c r="O739">
        <v>910.34</v>
      </c>
      <c r="P739">
        <v>1432.51</v>
      </c>
      <c r="Q739">
        <v>253.52</v>
      </c>
      <c r="R739">
        <v>1412.53</v>
      </c>
      <c r="S739">
        <v>868.4</v>
      </c>
      <c r="T739">
        <v>26287.02</v>
      </c>
      <c r="U739">
        <v>17867.57</v>
      </c>
      <c r="V739">
        <v>9459.92</v>
      </c>
      <c r="W739">
        <v>9228.08</v>
      </c>
      <c r="X739">
        <v>35222.019999999997</v>
      </c>
      <c r="Y739">
        <v>27451.919999999998</v>
      </c>
    </row>
    <row r="740" spans="1:25" x14ac:dyDescent="0.25">
      <c r="A740" t="s">
        <v>790</v>
      </c>
      <c r="B740" s="1">
        <v>45132</v>
      </c>
      <c r="C740">
        <v>2023</v>
      </c>
      <c r="D740">
        <v>7</v>
      </c>
      <c r="E740" t="s">
        <v>690</v>
      </c>
      <c r="F740" t="s">
        <v>691</v>
      </c>
      <c r="G740" t="s">
        <v>28</v>
      </c>
      <c r="H740" t="s">
        <v>53</v>
      </c>
      <c r="I740" t="s">
        <v>39</v>
      </c>
      <c r="J740">
        <v>17</v>
      </c>
      <c r="K740">
        <v>1780.09</v>
      </c>
      <c r="L740">
        <v>30261.49</v>
      </c>
      <c r="M740">
        <v>15897.68</v>
      </c>
      <c r="N740">
        <v>2812.55</v>
      </c>
      <c r="O740">
        <v>951.78</v>
      </c>
      <c r="P740">
        <v>965.99</v>
      </c>
      <c r="Q740">
        <v>490.13</v>
      </c>
      <c r="R740">
        <v>1696.17</v>
      </c>
      <c r="S740">
        <v>383.64</v>
      </c>
      <c r="T740">
        <v>23197.93</v>
      </c>
      <c r="U740">
        <v>14363.81</v>
      </c>
      <c r="V740">
        <v>7063.56</v>
      </c>
      <c r="W740">
        <v>6717.95</v>
      </c>
      <c r="X740">
        <v>32798.44</v>
      </c>
      <c r="Y740">
        <v>23325.91</v>
      </c>
    </row>
    <row r="741" spans="1:25" x14ac:dyDescent="0.25">
      <c r="A741" t="s">
        <v>791</v>
      </c>
      <c r="B741" s="1">
        <v>45133</v>
      </c>
      <c r="C741">
        <v>2023</v>
      </c>
      <c r="D741">
        <v>7</v>
      </c>
      <c r="E741" t="s">
        <v>690</v>
      </c>
      <c r="F741" t="s">
        <v>691</v>
      </c>
      <c r="G741" t="s">
        <v>55</v>
      </c>
      <c r="H741" t="s">
        <v>29</v>
      </c>
      <c r="I741" t="s">
        <v>33</v>
      </c>
      <c r="J741">
        <v>70</v>
      </c>
      <c r="K741">
        <v>959.12</v>
      </c>
      <c r="L741">
        <v>67138.429999999993</v>
      </c>
      <c r="M741">
        <v>35186.9</v>
      </c>
      <c r="N741">
        <v>5603.47</v>
      </c>
      <c r="O741">
        <v>4841.91</v>
      </c>
      <c r="P741">
        <v>2800.51</v>
      </c>
      <c r="Q741">
        <v>490.66</v>
      </c>
      <c r="R741">
        <v>3935.86</v>
      </c>
      <c r="S741">
        <v>1274.3499999999999</v>
      </c>
      <c r="T741">
        <v>54133.66</v>
      </c>
      <c r="U741">
        <v>31951.52</v>
      </c>
      <c r="V741">
        <v>13004.77</v>
      </c>
      <c r="W741">
        <v>12296.88</v>
      </c>
      <c r="X741">
        <v>71652.350000000006</v>
      </c>
      <c r="Y741">
        <v>58335.519999999997</v>
      </c>
    </row>
    <row r="742" spans="1:25" x14ac:dyDescent="0.25">
      <c r="A742" t="s">
        <v>792</v>
      </c>
      <c r="B742" s="1">
        <v>45133</v>
      </c>
      <c r="C742">
        <v>2023</v>
      </c>
      <c r="D742">
        <v>7</v>
      </c>
      <c r="E742" t="s">
        <v>690</v>
      </c>
      <c r="F742" t="s">
        <v>691</v>
      </c>
      <c r="G742" t="s">
        <v>55</v>
      </c>
      <c r="H742" t="s">
        <v>36</v>
      </c>
      <c r="I742" t="s">
        <v>30</v>
      </c>
      <c r="J742">
        <v>62</v>
      </c>
      <c r="K742">
        <v>1604.54</v>
      </c>
      <c r="L742">
        <v>99481.55</v>
      </c>
      <c r="M742">
        <v>61955.68</v>
      </c>
      <c r="N742">
        <v>10548.07</v>
      </c>
      <c r="O742">
        <v>4257.6000000000004</v>
      </c>
      <c r="P742">
        <v>3389.87</v>
      </c>
      <c r="Q742">
        <v>1266.55</v>
      </c>
      <c r="R742">
        <v>2973.39</v>
      </c>
      <c r="S742">
        <v>1097.8800000000001</v>
      </c>
      <c r="T742">
        <v>85489.05</v>
      </c>
      <c r="U742">
        <v>37525.879999999997</v>
      </c>
      <c r="V742">
        <v>13992.51</v>
      </c>
      <c r="W742">
        <v>14208.73</v>
      </c>
      <c r="X742">
        <v>92721.05</v>
      </c>
      <c r="Y742">
        <v>82619.98</v>
      </c>
    </row>
    <row r="743" spans="1:25" x14ac:dyDescent="0.25">
      <c r="A743" t="s">
        <v>793</v>
      </c>
      <c r="B743" s="1">
        <v>45133</v>
      </c>
      <c r="C743">
        <v>2023</v>
      </c>
      <c r="D743">
        <v>7</v>
      </c>
      <c r="E743" t="s">
        <v>690</v>
      </c>
      <c r="F743" t="s">
        <v>691</v>
      </c>
      <c r="G743" t="s">
        <v>55</v>
      </c>
      <c r="H743" t="s">
        <v>29</v>
      </c>
      <c r="I743" t="s">
        <v>30</v>
      </c>
      <c r="J743">
        <v>47</v>
      </c>
      <c r="K743">
        <v>1656.61</v>
      </c>
      <c r="L743">
        <v>77860.47</v>
      </c>
      <c r="M743">
        <v>44057.95</v>
      </c>
      <c r="N743">
        <v>10069.950000000001</v>
      </c>
      <c r="O743">
        <v>4095.14</v>
      </c>
      <c r="P743">
        <v>1194.92</v>
      </c>
      <c r="Q743">
        <v>733.22</v>
      </c>
      <c r="R743">
        <v>4604.58</v>
      </c>
      <c r="S743">
        <v>1309.3</v>
      </c>
      <c r="T743">
        <v>66065.06</v>
      </c>
      <c r="U743">
        <v>33802.519999999997</v>
      </c>
      <c r="V743">
        <v>11795.41</v>
      </c>
      <c r="W743">
        <v>10792.11</v>
      </c>
      <c r="X743">
        <v>78117.919999999998</v>
      </c>
      <c r="Y743">
        <v>63238.17</v>
      </c>
    </row>
    <row r="744" spans="1:25" x14ac:dyDescent="0.25">
      <c r="A744" t="s">
        <v>794</v>
      </c>
      <c r="B744" s="1">
        <v>45134</v>
      </c>
      <c r="C744">
        <v>2023</v>
      </c>
      <c r="D744">
        <v>7</v>
      </c>
      <c r="E744" t="s">
        <v>690</v>
      </c>
      <c r="F744" t="s">
        <v>691</v>
      </c>
      <c r="G744" t="s">
        <v>35</v>
      </c>
      <c r="H744" t="s">
        <v>36</v>
      </c>
      <c r="I744" t="s">
        <v>65</v>
      </c>
      <c r="J744">
        <v>51</v>
      </c>
      <c r="K744">
        <v>1216.1400000000001</v>
      </c>
      <c r="L744">
        <v>62023.12</v>
      </c>
      <c r="M744">
        <v>40037.97</v>
      </c>
      <c r="N744">
        <v>6619.39</v>
      </c>
      <c r="O744">
        <v>4483.1000000000004</v>
      </c>
      <c r="P744">
        <v>2536.27</v>
      </c>
      <c r="Q744">
        <v>459.9</v>
      </c>
      <c r="R744">
        <v>1948.82</v>
      </c>
      <c r="S744">
        <v>1034.19</v>
      </c>
      <c r="T744">
        <v>57119.64</v>
      </c>
      <c r="U744">
        <v>21985.15</v>
      </c>
      <c r="V744">
        <v>4903.4799999999996</v>
      </c>
      <c r="W744">
        <v>4523.92</v>
      </c>
      <c r="X744">
        <v>61584.77</v>
      </c>
      <c r="Y744">
        <v>56516.83</v>
      </c>
    </row>
    <row r="745" spans="1:25" x14ac:dyDescent="0.25">
      <c r="A745" t="s">
        <v>795</v>
      </c>
      <c r="B745" s="1">
        <v>45134</v>
      </c>
      <c r="C745">
        <v>2023</v>
      </c>
      <c r="D745">
        <v>7</v>
      </c>
      <c r="E745" t="s">
        <v>690</v>
      </c>
      <c r="F745" t="s">
        <v>691</v>
      </c>
      <c r="G745" t="s">
        <v>55</v>
      </c>
      <c r="H745" t="s">
        <v>29</v>
      </c>
      <c r="I745" t="s">
        <v>37</v>
      </c>
      <c r="J745">
        <v>51</v>
      </c>
      <c r="K745">
        <v>1622.69</v>
      </c>
      <c r="L745">
        <v>82757.429999999993</v>
      </c>
      <c r="M745">
        <v>46522.31</v>
      </c>
      <c r="N745">
        <v>7590.63</v>
      </c>
      <c r="O745">
        <v>4459.3</v>
      </c>
      <c r="P745">
        <v>1851.29</v>
      </c>
      <c r="Q745">
        <v>723.16</v>
      </c>
      <c r="R745">
        <v>2773.22</v>
      </c>
      <c r="S745">
        <v>1691.01</v>
      </c>
      <c r="T745">
        <v>65610.91</v>
      </c>
      <c r="U745">
        <v>36235.120000000003</v>
      </c>
      <c r="V745">
        <v>17146.52</v>
      </c>
      <c r="W745">
        <v>15397.41</v>
      </c>
      <c r="X745">
        <v>81072.44</v>
      </c>
      <c r="Y745">
        <v>63019.45</v>
      </c>
    </row>
    <row r="746" spans="1:25" x14ac:dyDescent="0.25">
      <c r="A746" t="s">
        <v>796</v>
      </c>
      <c r="B746" s="1">
        <v>45134</v>
      </c>
      <c r="C746">
        <v>2023</v>
      </c>
      <c r="D746">
        <v>7</v>
      </c>
      <c r="E746" t="s">
        <v>690</v>
      </c>
      <c r="F746" t="s">
        <v>691</v>
      </c>
      <c r="G746" t="s">
        <v>44</v>
      </c>
      <c r="H746" t="s">
        <v>32</v>
      </c>
      <c r="I746" t="s">
        <v>65</v>
      </c>
      <c r="J746">
        <v>64</v>
      </c>
      <c r="K746">
        <v>856.7</v>
      </c>
      <c r="L746">
        <v>54828.61</v>
      </c>
      <c r="M746">
        <v>30452.03</v>
      </c>
      <c r="N746">
        <v>6747.42</v>
      </c>
      <c r="O746">
        <v>2899.92</v>
      </c>
      <c r="P746">
        <v>1508.72</v>
      </c>
      <c r="Q746">
        <v>921.05</v>
      </c>
      <c r="R746">
        <v>3534.54</v>
      </c>
      <c r="S746">
        <v>821.41</v>
      </c>
      <c r="T746">
        <v>46885.09</v>
      </c>
      <c r="U746">
        <v>24376.58</v>
      </c>
      <c r="V746">
        <v>7943.52</v>
      </c>
      <c r="W746">
        <v>7119.65</v>
      </c>
      <c r="X746">
        <v>55575.43</v>
      </c>
      <c r="Y746">
        <v>50015.59</v>
      </c>
    </row>
    <row r="747" spans="1:25" x14ac:dyDescent="0.25">
      <c r="A747" t="s">
        <v>797</v>
      </c>
      <c r="B747" s="1">
        <v>45134</v>
      </c>
      <c r="C747">
        <v>2023</v>
      </c>
      <c r="D747">
        <v>7</v>
      </c>
      <c r="E747" t="s">
        <v>690</v>
      </c>
      <c r="F747" t="s">
        <v>691</v>
      </c>
      <c r="G747" t="s">
        <v>55</v>
      </c>
      <c r="H747" t="s">
        <v>29</v>
      </c>
      <c r="I747" t="s">
        <v>50</v>
      </c>
      <c r="J747">
        <v>68</v>
      </c>
      <c r="K747">
        <v>871.63</v>
      </c>
      <c r="L747">
        <v>59271.01</v>
      </c>
      <c r="M747">
        <v>38531.199999999997</v>
      </c>
      <c r="N747">
        <v>5757.2</v>
      </c>
      <c r="O747">
        <v>3826.32</v>
      </c>
      <c r="P747">
        <v>2009.66</v>
      </c>
      <c r="Q747">
        <v>467.11</v>
      </c>
      <c r="R747">
        <v>3652.7</v>
      </c>
      <c r="S747">
        <v>630.32000000000005</v>
      </c>
      <c r="T747">
        <v>54874.51</v>
      </c>
      <c r="U747">
        <v>20739.810000000001</v>
      </c>
      <c r="V747">
        <v>4396.5</v>
      </c>
      <c r="W747">
        <v>4321.55</v>
      </c>
      <c r="X747">
        <v>57370.09</v>
      </c>
      <c r="Y747">
        <v>51323.19</v>
      </c>
    </row>
    <row r="748" spans="1:25" x14ac:dyDescent="0.25">
      <c r="A748" t="s">
        <v>798</v>
      </c>
      <c r="B748" s="1">
        <v>45134</v>
      </c>
      <c r="C748">
        <v>2023</v>
      </c>
      <c r="D748">
        <v>7</v>
      </c>
      <c r="E748" t="s">
        <v>690</v>
      </c>
      <c r="F748" t="s">
        <v>691</v>
      </c>
      <c r="G748" t="s">
        <v>55</v>
      </c>
      <c r="H748" t="s">
        <v>36</v>
      </c>
      <c r="I748" t="s">
        <v>65</v>
      </c>
      <c r="J748">
        <v>42</v>
      </c>
      <c r="K748">
        <v>1537.92</v>
      </c>
      <c r="L748">
        <v>64592.47</v>
      </c>
      <c r="M748">
        <v>36745.9</v>
      </c>
      <c r="N748">
        <v>7869.98</v>
      </c>
      <c r="O748">
        <v>2483.56</v>
      </c>
      <c r="P748">
        <v>1207.6099999999999</v>
      </c>
      <c r="Q748">
        <v>941.88</v>
      </c>
      <c r="R748">
        <v>3946.48</v>
      </c>
      <c r="S748">
        <v>1301.24</v>
      </c>
      <c r="T748">
        <v>54496.65</v>
      </c>
      <c r="U748">
        <v>27846.57</v>
      </c>
      <c r="V748">
        <v>10095.82</v>
      </c>
      <c r="W748">
        <v>9549.39</v>
      </c>
      <c r="X748">
        <v>66070.759999999995</v>
      </c>
      <c r="Y748">
        <v>54158.85</v>
      </c>
    </row>
    <row r="749" spans="1:25" x14ac:dyDescent="0.25">
      <c r="A749" t="s">
        <v>799</v>
      </c>
      <c r="B749" s="1">
        <v>45135</v>
      </c>
      <c r="C749">
        <v>2023</v>
      </c>
      <c r="D749">
        <v>7</v>
      </c>
      <c r="E749" t="s">
        <v>690</v>
      </c>
      <c r="F749" t="s">
        <v>691</v>
      </c>
      <c r="G749" t="s">
        <v>55</v>
      </c>
      <c r="H749" t="s">
        <v>32</v>
      </c>
      <c r="I749" t="s">
        <v>45</v>
      </c>
      <c r="J749">
        <v>54</v>
      </c>
      <c r="K749">
        <v>1345.89</v>
      </c>
      <c r="L749">
        <v>72678.179999999993</v>
      </c>
      <c r="M749">
        <v>43623.93</v>
      </c>
      <c r="N749">
        <v>6753.43</v>
      </c>
      <c r="O749">
        <v>3718.42</v>
      </c>
      <c r="P749">
        <v>2855.67</v>
      </c>
      <c r="Q749">
        <v>755.7</v>
      </c>
      <c r="R749">
        <v>4596.5200000000004</v>
      </c>
      <c r="S749">
        <v>1702.85</v>
      </c>
      <c r="T749">
        <v>64006.51</v>
      </c>
      <c r="U749">
        <v>29054.25</v>
      </c>
      <c r="V749">
        <v>8671.67</v>
      </c>
      <c r="W749">
        <v>8368.32</v>
      </c>
      <c r="X749">
        <v>75858.490000000005</v>
      </c>
      <c r="Y749">
        <v>61286.68</v>
      </c>
    </row>
    <row r="750" spans="1:25" x14ac:dyDescent="0.25">
      <c r="A750" t="s">
        <v>800</v>
      </c>
      <c r="B750" s="1">
        <v>45135</v>
      </c>
      <c r="C750">
        <v>2023</v>
      </c>
      <c r="D750">
        <v>7</v>
      </c>
      <c r="E750" t="s">
        <v>690</v>
      </c>
      <c r="F750" t="s">
        <v>691</v>
      </c>
      <c r="G750" t="s">
        <v>44</v>
      </c>
      <c r="H750" t="s">
        <v>53</v>
      </c>
      <c r="I750" t="s">
        <v>56</v>
      </c>
      <c r="J750">
        <v>38</v>
      </c>
      <c r="K750">
        <v>834.88</v>
      </c>
      <c r="L750">
        <v>31725.42</v>
      </c>
      <c r="M750">
        <v>17518.66</v>
      </c>
      <c r="N750">
        <v>2428.8000000000002</v>
      </c>
      <c r="O750">
        <v>1736.84</v>
      </c>
      <c r="P750">
        <v>1221.8699999999999</v>
      </c>
      <c r="Q750">
        <v>331.67</v>
      </c>
      <c r="R750">
        <v>1551.53</v>
      </c>
      <c r="S750">
        <v>675.77</v>
      </c>
      <c r="T750">
        <v>25465.13</v>
      </c>
      <c r="U750">
        <v>14206.76</v>
      </c>
      <c r="V750">
        <v>6260.29</v>
      </c>
      <c r="W750">
        <v>6144.57</v>
      </c>
      <c r="X750">
        <v>31601.55</v>
      </c>
      <c r="Y750">
        <v>25836.17</v>
      </c>
    </row>
    <row r="751" spans="1:25" x14ac:dyDescent="0.25">
      <c r="A751" t="s">
        <v>801</v>
      </c>
      <c r="B751" s="1">
        <v>45136</v>
      </c>
      <c r="C751">
        <v>2023</v>
      </c>
      <c r="D751">
        <v>7</v>
      </c>
      <c r="E751" t="s">
        <v>690</v>
      </c>
      <c r="F751" t="s">
        <v>691</v>
      </c>
      <c r="G751" t="s">
        <v>55</v>
      </c>
      <c r="H751" t="s">
        <v>29</v>
      </c>
      <c r="I751" t="s">
        <v>65</v>
      </c>
      <c r="J751">
        <v>43</v>
      </c>
      <c r="K751">
        <v>1614.06</v>
      </c>
      <c r="L751">
        <v>69404.399999999994</v>
      </c>
      <c r="M751">
        <v>40057.67</v>
      </c>
      <c r="N751">
        <v>5105.25</v>
      </c>
      <c r="O751">
        <v>3628.93</v>
      </c>
      <c r="P751">
        <v>3113.04</v>
      </c>
      <c r="Q751">
        <v>1114.8699999999999</v>
      </c>
      <c r="R751">
        <v>3869.15</v>
      </c>
      <c r="S751">
        <v>660.5</v>
      </c>
      <c r="T751">
        <v>57549.41</v>
      </c>
      <c r="U751">
        <v>29346.73</v>
      </c>
      <c r="V751">
        <v>11854.99</v>
      </c>
      <c r="W751">
        <v>11098.91</v>
      </c>
      <c r="X751">
        <v>77025.45</v>
      </c>
      <c r="Y751">
        <v>62632.54</v>
      </c>
    </row>
    <row r="752" spans="1:25" x14ac:dyDescent="0.25">
      <c r="A752" t="s">
        <v>802</v>
      </c>
      <c r="B752" s="1">
        <v>45136</v>
      </c>
      <c r="C752">
        <v>2023</v>
      </c>
      <c r="D752">
        <v>7</v>
      </c>
      <c r="E752" t="s">
        <v>690</v>
      </c>
      <c r="F752" t="s">
        <v>691</v>
      </c>
      <c r="G752" t="s">
        <v>28</v>
      </c>
      <c r="H752" t="s">
        <v>32</v>
      </c>
      <c r="I752" t="s">
        <v>30</v>
      </c>
      <c r="J752">
        <v>63</v>
      </c>
      <c r="K752">
        <v>1693.59</v>
      </c>
      <c r="L752">
        <v>106695.92</v>
      </c>
      <c r="M752">
        <v>62169.11</v>
      </c>
      <c r="N752">
        <v>9495.89</v>
      </c>
      <c r="O752">
        <v>5852.98</v>
      </c>
      <c r="P752">
        <v>4555.8100000000004</v>
      </c>
      <c r="Q752">
        <v>1518.33</v>
      </c>
      <c r="R752">
        <v>3618.95</v>
      </c>
      <c r="S752">
        <v>1672.15</v>
      </c>
      <c r="T752">
        <v>88883.22</v>
      </c>
      <c r="U752">
        <v>44526.81</v>
      </c>
      <c r="V752">
        <v>17812.7</v>
      </c>
      <c r="W752">
        <v>15885.52</v>
      </c>
      <c r="X752">
        <v>118490</v>
      </c>
      <c r="Y752">
        <v>94642.1</v>
      </c>
    </row>
    <row r="753" spans="1:25" x14ac:dyDescent="0.25">
      <c r="A753" t="s">
        <v>803</v>
      </c>
      <c r="B753" s="1">
        <v>45136</v>
      </c>
      <c r="C753">
        <v>2023</v>
      </c>
      <c r="D753">
        <v>7</v>
      </c>
      <c r="E753" t="s">
        <v>690</v>
      </c>
      <c r="F753" t="s">
        <v>691</v>
      </c>
      <c r="G753" t="s">
        <v>44</v>
      </c>
      <c r="H753" t="s">
        <v>36</v>
      </c>
      <c r="I753" t="s">
        <v>56</v>
      </c>
      <c r="J753">
        <v>36</v>
      </c>
      <c r="K753">
        <v>1117.8900000000001</v>
      </c>
      <c r="L753">
        <v>40244.089999999997</v>
      </c>
      <c r="M753">
        <v>21529.52</v>
      </c>
      <c r="N753">
        <v>3388.77</v>
      </c>
      <c r="O753">
        <v>2339.0100000000002</v>
      </c>
      <c r="P753">
        <v>1017.48</v>
      </c>
      <c r="Q753">
        <v>461.35</v>
      </c>
      <c r="R753">
        <v>1275.18</v>
      </c>
      <c r="S753">
        <v>772.9</v>
      </c>
      <c r="T753">
        <v>30784.2</v>
      </c>
      <c r="U753">
        <v>18714.57</v>
      </c>
      <c r="V753">
        <v>9459.89</v>
      </c>
      <c r="W753">
        <v>9367.7099999999991</v>
      </c>
      <c r="X753">
        <v>38915.17</v>
      </c>
      <c r="Y753">
        <v>33352.589999999997</v>
      </c>
    </row>
    <row r="754" spans="1:25" x14ac:dyDescent="0.25">
      <c r="A754" t="s">
        <v>804</v>
      </c>
      <c r="B754" s="1">
        <v>45136</v>
      </c>
      <c r="C754">
        <v>2023</v>
      </c>
      <c r="D754">
        <v>7</v>
      </c>
      <c r="E754" t="s">
        <v>690</v>
      </c>
      <c r="F754" t="s">
        <v>691</v>
      </c>
      <c r="G754" t="s">
        <v>28</v>
      </c>
      <c r="H754" t="s">
        <v>36</v>
      </c>
      <c r="I754" t="s">
        <v>65</v>
      </c>
      <c r="J754">
        <v>37</v>
      </c>
      <c r="K754">
        <v>1442.97</v>
      </c>
      <c r="L754">
        <v>53389.71</v>
      </c>
      <c r="M754">
        <v>31760.91</v>
      </c>
      <c r="N754">
        <v>4467.25</v>
      </c>
      <c r="O754">
        <v>3710.49</v>
      </c>
      <c r="P754">
        <v>1508.54</v>
      </c>
      <c r="Q754">
        <v>637.17999999999995</v>
      </c>
      <c r="R754">
        <v>3215.78</v>
      </c>
      <c r="S754">
        <v>1065.6199999999999</v>
      </c>
      <c r="T754">
        <v>46365.77</v>
      </c>
      <c r="U754">
        <v>21628.799999999999</v>
      </c>
      <c r="V754">
        <v>7023.94</v>
      </c>
      <c r="W754">
        <v>7073.5</v>
      </c>
      <c r="X754">
        <v>49480.49</v>
      </c>
      <c r="Y754">
        <v>43500.63</v>
      </c>
    </row>
    <row r="755" spans="1:25" x14ac:dyDescent="0.25">
      <c r="A755" t="s">
        <v>805</v>
      </c>
      <c r="B755" s="1">
        <v>45136</v>
      </c>
      <c r="C755">
        <v>2023</v>
      </c>
      <c r="D755">
        <v>7</v>
      </c>
      <c r="E755" t="s">
        <v>690</v>
      </c>
      <c r="F755" t="s">
        <v>691</v>
      </c>
      <c r="G755" t="s">
        <v>28</v>
      </c>
      <c r="H755" t="s">
        <v>53</v>
      </c>
      <c r="I755" t="s">
        <v>33</v>
      </c>
      <c r="J755">
        <v>48</v>
      </c>
      <c r="K755">
        <v>1332.96</v>
      </c>
      <c r="L755">
        <v>63982.23</v>
      </c>
      <c r="M755">
        <v>33425.99</v>
      </c>
      <c r="N755">
        <v>7972.44</v>
      </c>
      <c r="O755">
        <v>2045.44</v>
      </c>
      <c r="P755">
        <v>1963.04</v>
      </c>
      <c r="Q755">
        <v>387.68</v>
      </c>
      <c r="R755">
        <v>1628.98</v>
      </c>
      <c r="S755">
        <v>1356.62</v>
      </c>
      <c r="T755">
        <v>48780.19</v>
      </c>
      <c r="U755">
        <v>30556.240000000002</v>
      </c>
      <c r="V755">
        <v>15202.03</v>
      </c>
      <c r="W755">
        <v>13976.92</v>
      </c>
      <c r="X755">
        <v>61839.66</v>
      </c>
      <c r="Y755">
        <v>48171.27</v>
      </c>
    </row>
    <row r="756" spans="1:25" x14ac:dyDescent="0.25">
      <c r="A756" t="s">
        <v>806</v>
      </c>
      <c r="B756" s="1">
        <v>45136</v>
      </c>
      <c r="C756">
        <v>2023</v>
      </c>
      <c r="D756">
        <v>7</v>
      </c>
      <c r="E756" t="s">
        <v>690</v>
      </c>
      <c r="F756" t="s">
        <v>691</v>
      </c>
      <c r="G756" t="s">
        <v>44</v>
      </c>
      <c r="H756" t="s">
        <v>29</v>
      </c>
      <c r="I756" t="s">
        <v>33</v>
      </c>
      <c r="J756">
        <v>97</v>
      </c>
      <c r="K756">
        <v>950.25</v>
      </c>
      <c r="L756">
        <v>92174.46</v>
      </c>
      <c r="M756">
        <v>53424.32</v>
      </c>
      <c r="N756">
        <v>8568.4500000000007</v>
      </c>
      <c r="O756">
        <v>4113.34</v>
      </c>
      <c r="P756">
        <v>2112.79</v>
      </c>
      <c r="Q756">
        <v>923.18</v>
      </c>
      <c r="R756">
        <v>2921.57</v>
      </c>
      <c r="S756">
        <v>932.65</v>
      </c>
      <c r="T756">
        <v>72996.31</v>
      </c>
      <c r="U756">
        <v>38750.14</v>
      </c>
      <c r="V756">
        <v>19178.16</v>
      </c>
      <c r="W756">
        <v>18727.68</v>
      </c>
      <c r="X756">
        <v>98616.1</v>
      </c>
      <c r="Y756">
        <v>75354.850000000006</v>
      </c>
    </row>
    <row r="757" spans="1:25" x14ac:dyDescent="0.25">
      <c r="A757" t="s">
        <v>807</v>
      </c>
      <c r="B757" s="1">
        <v>45137</v>
      </c>
      <c r="C757">
        <v>2023</v>
      </c>
      <c r="D757">
        <v>7</v>
      </c>
      <c r="E757" t="s">
        <v>690</v>
      </c>
      <c r="F757" t="s">
        <v>691</v>
      </c>
      <c r="G757" t="s">
        <v>35</v>
      </c>
      <c r="H757" t="s">
        <v>53</v>
      </c>
      <c r="I757" t="s">
        <v>37</v>
      </c>
      <c r="J757">
        <v>34</v>
      </c>
      <c r="K757">
        <v>1166.9100000000001</v>
      </c>
      <c r="L757">
        <v>39674.870000000003</v>
      </c>
      <c r="M757">
        <v>25996.58</v>
      </c>
      <c r="N757">
        <v>3289.94</v>
      </c>
      <c r="O757">
        <v>2781.42</v>
      </c>
      <c r="P757">
        <v>1242.58</v>
      </c>
      <c r="Q757">
        <v>510.28</v>
      </c>
      <c r="R757">
        <v>1120.83</v>
      </c>
      <c r="S757">
        <v>807.63</v>
      </c>
      <c r="T757">
        <v>35749.25</v>
      </c>
      <c r="U757">
        <v>13678.28</v>
      </c>
      <c r="V757">
        <v>3925.62</v>
      </c>
      <c r="W757">
        <v>3773.02</v>
      </c>
      <c r="X757">
        <v>39320.31</v>
      </c>
      <c r="Y757">
        <v>34840.800000000003</v>
      </c>
    </row>
    <row r="758" spans="1:25" x14ac:dyDescent="0.25">
      <c r="A758" t="s">
        <v>808</v>
      </c>
      <c r="B758" s="1">
        <v>45137</v>
      </c>
      <c r="C758">
        <v>2023</v>
      </c>
      <c r="D758">
        <v>7</v>
      </c>
      <c r="E758" t="s">
        <v>690</v>
      </c>
      <c r="F758" t="s">
        <v>691</v>
      </c>
      <c r="G758" t="s">
        <v>35</v>
      </c>
      <c r="H758" t="s">
        <v>32</v>
      </c>
      <c r="I758" t="s">
        <v>50</v>
      </c>
      <c r="J758">
        <v>52</v>
      </c>
      <c r="K758">
        <v>913.34</v>
      </c>
      <c r="L758">
        <v>47493.43</v>
      </c>
      <c r="M758">
        <v>30841.17</v>
      </c>
      <c r="N758">
        <v>4510.2</v>
      </c>
      <c r="O758">
        <v>1406.17</v>
      </c>
      <c r="P758">
        <v>1277.94</v>
      </c>
      <c r="Q758">
        <v>608.89</v>
      </c>
      <c r="R758">
        <v>1327.76</v>
      </c>
      <c r="S758">
        <v>1073.07</v>
      </c>
      <c r="T758">
        <v>41045.19</v>
      </c>
      <c r="U758">
        <v>16652.259999999998</v>
      </c>
      <c r="V758">
        <v>6448.24</v>
      </c>
      <c r="W758">
        <v>5822.86</v>
      </c>
      <c r="X758">
        <v>45551.96</v>
      </c>
      <c r="Y758">
        <v>44914.62</v>
      </c>
    </row>
    <row r="759" spans="1:25" x14ac:dyDescent="0.25">
      <c r="A759" t="s">
        <v>809</v>
      </c>
      <c r="B759" s="1">
        <v>45137</v>
      </c>
      <c r="C759">
        <v>2023</v>
      </c>
      <c r="D759">
        <v>7</v>
      </c>
      <c r="E759" t="s">
        <v>690</v>
      </c>
      <c r="F759" t="s">
        <v>691</v>
      </c>
      <c r="G759" t="s">
        <v>55</v>
      </c>
      <c r="H759" t="s">
        <v>53</v>
      </c>
      <c r="I759" t="s">
        <v>37</v>
      </c>
      <c r="J759">
        <v>42</v>
      </c>
      <c r="K759">
        <v>1552.6</v>
      </c>
      <c r="L759">
        <v>65209.08</v>
      </c>
      <c r="M759">
        <v>40207.839999999997</v>
      </c>
      <c r="N759">
        <v>6039.82</v>
      </c>
      <c r="O759">
        <v>3164.84</v>
      </c>
      <c r="P759">
        <v>2553.52</v>
      </c>
      <c r="Q759">
        <v>975.5</v>
      </c>
      <c r="R759">
        <v>2852.13</v>
      </c>
      <c r="S759">
        <v>1012.94</v>
      </c>
      <c r="T759">
        <v>56806.58</v>
      </c>
      <c r="U759">
        <v>25001.24</v>
      </c>
      <c r="V759">
        <v>8402.49</v>
      </c>
      <c r="W759">
        <v>7860.77</v>
      </c>
      <c r="X759">
        <v>64129.83</v>
      </c>
      <c r="Y759">
        <v>58843.61</v>
      </c>
    </row>
    <row r="760" spans="1:25" x14ac:dyDescent="0.25">
      <c r="A760" t="s">
        <v>810</v>
      </c>
      <c r="B760" s="1">
        <v>45138</v>
      </c>
      <c r="C760">
        <v>2023</v>
      </c>
      <c r="D760">
        <v>7</v>
      </c>
      <c r="E760" t="s">
        <v>690</v>
      </c>
      <c r="F760" t="s">
        <v>691</v>
      </c>
      <c r="G760" t="s">
        <v>35</v>
      </c>
      <c r="H760" t="s">
        <v>53</v>
      </c>
      <c r="I760" t="s">
        <v>45</v>
      </c>
      <c r="J760">
        <v>40</v>
      </c>
      <c r="K760">
        <v>849.92</v>
      </c>
      <c r="L760">
        <v>33996.71</v>
      </c>
      <c r="M760">
        <v>19518.169999999998</v>
      </c>
      <c r="N760">
        <v>2822.12</v>
      </c>
      <c r="O760">
        <v>1315.35</v>
      </c>
      <c r="P760">
        <v>960.36</v>
      </c>
      <c r="Q760">
        <v>502.65</v>
      </c>
      <c r="R760">
        <v>1228.6500000000001</v>
      </c>
      <c r="S760">
        <v>639.96</v>
      </c>
      <c r="T760">
        <v>26987.26</v>
      </c>
      <c r="U760">
        <v>14478.54</v>
      </c>
      <c r="V760">
        <v>7009.45</v>
      </c>
      <c r="W760">
        <v>6958.77</v>
      </c>
      <c r="X760">
        <v>31952.5</v>
      </c>
      <c r="Y760">
        <v>25705.88</v>
      </c>
    </row>
    <row r="761" spans="1:25" x14ac:dyDescent="0.25">
      <c r="A761" t="s">
        <v>811</v>
      </c>
      <c r="B761" s="1">
        <v>45138</v>
      </c>
      <c r="C761">
        <v>2023</v>
      </c>
      <c r="D761">
        <v>7</v>
      </c>
      <c r="E761" t="s">
        <v>690</v>
      </c>
      <c r="F761" t="s">
        <v>691</v>
      </c>
      <c r="G761" t="s">
        <v>28</v>
      </c>
      <c r="H761" t="s">
        <v>58</v>
      </c>
      <c r="I761" t="s">
        <v>50</v>
      </c>
      <c r="J761">
        <v>37</v>
      </c>
      <c r="K761">
        <v>1437.64</v>
      </c>
      <c r="L761">
        <v>53192.74</v>
      </c>
      <c r="M761">
        <v>33555.08</v>
      </c>
      <c r="N761">
        <v>6485.65</v>
      </c>
      <c r="O761">
        <v>3357.21</v>
      </c>
      <c r="P761">
        <v>1480.43</v>
      </c>
      <c r="Q761">
        <v>591.04</v>
      </c>
      <c r="R761">
        <v>2999.46</v>
      </c>
      <c r="S761">
        <v>1239.5899999999999</v>
      </c>
      <c r="T761">
        <v>49708.46</v>
      </c>
      <c r="U761">
        <v>19637.66</v>
      </c>
      <c r="V761">
        <v>3484.28</v>
      </c>
      <c r="W761">
        <v>3439.96</v>
      </c>
      <c r="X761">
        <v>49547.05</v>
      </c>
      <c r="Y761">
        <v>51761.11</v>
      </c>
    </row>
    <row r="762" spans="1:25" x14ac:dyDescent="0.25">
      <c r="A762" t="s">
        <v>812</v>
      </c>
      <c r="B762" s="1">
        <v>45138</v>
      </c>
      <c r="C762">
        <v>2023</v>
      </c>
      <c r="D762">
        <v>7</v>
      </c>
      <c r="E762" t="s">
        <v>690</v>
      </c>
      <c r="F762" t="s">
        <v>691</v>
      </c>
      <c r="G762" t="s">
        <v>28</v>
      </c>
      <c r="H762" t="s">
        <v>32</v>
      </c>
      <c r="I762" t="s">
        <v>45</v>
      </c>
      <c r="J762">
        <v>65</v>
      </c>
      <c r="K762">
        <v>993.31</v>
      </c>
      <c r="L762">
        <v>64565.15</v>
      </c>
      <c r="M762">
        <v>38871.360000000001</v>
      </c>
      <c r="N762">
        <v>6945.06</v>
      </c>
      <c r="O762">
        <v>3051.8</v>
      </c>
      <c r="P762">
        <v>2674.78</v>
      </c>
      <c r="Q762">
        <v>844.55</v>
      </c>
      <c r="R762">
        <v>2317.9699999999998</v>
      </c>
      <c r="S762">
        <v>712.97</v>
      </c>
      <c r="T762">
        <v>55418.5</v>
      </c>
      <c r="U762">
        <v>25693.79</v>
      </c>
      <c r="V762">
        <v>9146.65</v>
      </c>
      <c r="W762">
        <v>8230.73</v>
      </c>
      <c r="X762">
        <v>59828.12</v>
      </c>
      <c r="Y762">
        <v>59469.08</v>
      </c>
    </row>
    <row r="763" spans="1:25" x14ac:dyDescent="0.25">
      <c r="A763" t="s">
        <v>813</v>
      </c>
      <c r="B763" s="1">
        <v>45139</v>
      </c>
      <c r="C763">
        <v>2023</v>
      </c>
      <c r="D763">
        <v>8</v>
      </c>
      <c r="E763" t="s">
        <v>814</v>
      </c>
      <c r="F763" t="s">
        <v>691</v>
      </c>
      <c r="G763" t="s">
        <v>28</v>
      </c>
      <c r="H763" t="s">
        <v>36</v>
      </c>
      <c r="I763" t="s">
        <v>65</v>
      </c>
      <c r="J763">
        <v>48</v>
      </c>
      <c r="K763">
        <v>1321.9</v>
      </c>
      <c r="L763">
        <v>63450.97</v>
      </c>
      <c r="M763">
        <v>42821.79</v>
      </c>
      <c r="N763">
        <v>6290.05</v>
      </c>
      <c r="O763">
        <v>3791.95</v>
      </c>
      <c r="P763">
        <v>1638.22</v>
      </c>
      <c r="Q763">
        <v>902.75</v>
      </c>
      <c r="R763">
        <v>2184.16</v>
      </c>
      <c r="S763">
        <v>1522.14</v>
      </c>
      <c r="T763">
        <v>59151.05</v>
      </c>
      <c r="U763">
        <v>20629.18</v>
      </c>
      <c r="V763">
        <v>4299.92</v>
      </c>
      <c r="W763">
        <v>4253.41</v>
      </c>
      <c r="X763">
        <v>60714.17</v>
      </c>
      <c r="Y763">
        <v>57110.3</v>
      </c>
    </row>
    <row r="764" spans="1:25" x14ac:dyDescent="0.25">
      <c r="A764" t="s">
        <v>815</v>
      </c>
      <c r="B764" s="1">
        <v>45139</v>
      </c>
      <c r="C764">
        <v>2023</v>
      </c>
      <c r="D764">
        <v>8</v>
      </c>
      <c r="E764" t="s">
        <v>814</v>
      </c>
      <c r="F764" t="s">
        <v>691</v>
      </c>
      <c r="G764" t="s">
        <v>28</v>
      </c>
      <c r="H764" t="s">
        <v>32</v>
      </c>
      <c r="I764" t="s">
        <v>56</v>
      </c>
      <c r="J764">
        <v>36</v>
      </c>
      <c r="K764">
        <v>1308.5</v>
      </c>
      <c r="L764">
        <v>47105.93</v>
      </c>
      <c r="M764">
        <v>30717.31</v>
      </c>
      <c r="N764">
        <v>4084.85</v>
      </c>
      <c r="O764">
        <v>3430.93</v>
      </c>
      <c r="P764">
        <v>1690.3</v>
      </c>
      <c r="Q764">
        <v>454.67</v>
      </c>
      <c r="R764">
        <v>1905.96</v>
      </c>
      <c r="S764">
        <v>477</v>
      </c>
      <c r="T764">
        <v>42761.01</v>
      </c>
      <c r="U764">
        <v>16388.62</v>
      </c>
      <c r="V764">
        <v>4344.92</v>
      </c>
      <c r="W764">
        <v>4173.8599999999997</v>
      </c>
      <c r="X764">
        <v>47556.74</v>
      </c>
      <c r="Y764">
        <v>42674.26</v>
      </c>
    </row>
    <row r="765" spans="1:25" x14ac:dyDescent="0.25">
      <c r="A765" t="s">
        <v>816</v>
      </c>
      <c r="B765" s="1">
        <v>45139</v>
      </c>
      <c r="C765">
        <v>2023</v>
      </c>
      <c r="D765">
        <v>8</v>
      </c>
      <c r="E765" t="s">
        <v>814</v>
      </c>
      <c r="F765" t="s">
        <v>691</v>
      </c>
      <c r="G765" t="s">
        <v>28</v>
      </c>
      <c r="H765" t="s">
        <v>32</v>
      </c>
      <c r="I765" t="s">
        <v>45</v>
      </c>
      <c r="J765">
        <v>32</v>
      </c>
      <c r="K765">
        <v>1508.57</v>
      </c>
      <c r="L765">
        <v>48274.32</v>
      </c>
      <c r="M765">
        <v>29111.11</v>
      </c>
      <c r="N765">
        <v>5172.66</v>
      </c>
      <c r="O765">
        <v>3124.13</v>
      </c>
      <c r="P765">
        <v>1451.6</v>
      </c>
      <c r="Q765">
        <v>859.67</v>
      </c>
      <c r="R765">
        <v>2514.29</v>
      </c>
      <c r="S765">
        <v>1161.04</v>
      </c>
      <c r="T765">
        <v>43394.5</v>
      </c>
      <c r="U765">
        <v>19163.21</v>
      </c>
      <c r="V765">
        <v>4879.82</v>
      </c>
      <c r="W765">
        <v>4760.43</v>
      </c>
      <c r="X765">
        <v>46149.02</v>
      </c>
      <c r="Y765">
        <v>41439.15</v>
      </c>
    </row>
    <row r="766" spans="1:25" x14ac:dyDescent="0.25">
      <c r="A766" t="s">
        <v>817</v>
      </c>
      <c r="B766" s="1">
        <v>45139</v>
      </c>
      <c r="C766">
        <v>2023</v>
      </c>
      <c r="D766">
        <v>8</v>
      </c>
      <c r="E766" t="s">
        <v>814</v>
      </c>
      <c r="F766" t="s">
        <v>691</v>
      </c>
      <c r="G766" t="s">
        <v>35</v>
      </c>
      <c r="H766" t="s">
        <v>53</v>
      </c>
      <c r="I766" t="s">
        <v>30</v>
      </c>
      <c r="J766">
        <v>70</v>
      </c>
      <c r="K766">
        <v>1005.19</v>
      </c>
      <c r="L766">
        <v>70363.56</v>
      </c>
      <c r="M766">
        <v>36025.29</v>
      </c>
      <c r="N766">
        <v>7174.59</v>
      </c>
      <c r="O766">
        <v>2675.97</v>
      </c>
      <c r="P766">
        <v>2221.46</v>
      </c>
      <c r="Q766">
        <v>1092.0999999999999</v>
      </c>
      <c r="R766">
        <v>3596.43</v>
      </c>
      <c r="S766">
        <v>677.58</v>
      </c>
      <c r="T766">
        <v>53463.41</v>
      </c>
      <c r="U766">
        <v>34338.269999999997</v>
      </c>
      <c r="V766">
        <v>16900.150000000001</v>
      </c>
      <c r="W766">
        <v>15057.26</v>
      </c>
      <c r="X766">
        <v>74733.7</v>
      </c>
      <c r="Y766">
        <v>57009.34</v>
      </c>
    </row>
    <row r="767" spans="1:25" x14ac:dyDescent="0.25">
      <c r="A767" t="s">
        <v>818</v>
      </c>
      <c r="B767" s="1">
        <v>45140</v>
      </c>
      <c r="C767">
        <v>2023</v>
      </c>
      <c r="D767">
        <v>8</v>
      </c>
      <c r="E767" t="s">
        <v>814</v>
      </c>
      <c r="F767" t="s">
        <v>691</v>
      </c>
      <c r="G767" t="s">
        <v>35</v>
      </c>
      <c r="H767" t="s">
        <v>36</v>
      </c>
      <c r="I767" t="s">
        <v>65</v>
      </c>
      <c r="J767">
        <v>30</v>
      </c>
      <c r="K767">
        <v>1327.22</v>
      </c>
      <c r="L767">
        <v>39816.559999999998</v>
      </c>
      <c r="M767">
        <v>23322.44</v>
      </c>
      <c r="N767">
        <v>4133.82</v>
      </c>
      <c r="O767">
        <v>1392.27</v>
      </c>
      <c r="P767">
        <v>755.34</v>
      </c>
      <c r="Q767">
        <v>385.37</v>
      </c>
      <c r="R767">
        <v>2133.2399999999998</v>
      </c>
      <c r="S767">
        <v>379.04</v>
      </c>
      <c r="T767">
        <v>32501.52</v>
      </c>
      <c r="U767">
        <v>16494.12</v>
      </c>
      <c r="V767">
        <v>7315.04</v>
      </c>
      <c r="W767">
        <v>6744.95</v>
      </c>
      <c r="X767">
        <v>43492.03</v>
      </c>
      <c r="Y767">
        <v>31084.11</v>
      </c>
    </row>
    <row r="768" spans="1:25" x14ac:dyDescent="0.25">
      <c r="A768" t="s">
        <v>819</v>
      </c>
      <c r="B768" s="1">
        <v>45140</v>
      </c>
      <c r="C768">
        <v>2023</v>
      </c>
      <c r="D768">
        <v>8</v>
      </c>
      <c r="E768" t="s">
        <v>814</v>
      </c>
      <c r="F768" t="s">
        <v>691</v>
      </c>
      <c r="G768" t="s">
        <v>28</v>
      </c>
      <c r="H768" t="s">
        <v>29</v>
      </c>
      <c r="I768" t="s">
        <v>56</v>
      </c>
      <c r="J768">
        <v>26</v>
      </c>
      <c r="K768">
        <v>1205.03</v>
      </c>
      <c r="L768">
        <v>31330.78</v>
      </c>
      <c r="M768">
        <v>18954.13</v>
      </c>
      <c r="N768">
        <v>2944.96</v>
      </c>
      <c r="O768">
        <v>957.26</v>
      </c>
      <c r="P768">
        <v>1109.07</v>
      </c>
      <c r="Q768">
        <v>295.33999999999997</v>
      </c>
      <c r="R768">
        <v>1298.3499999999999</v>
      </c>
      <c r="S768">
        <v>527.59</v>
      </c>
      <c r="T768">
        <v>26086.7</v>
      </c>
      <c r="U768">
        <v>12376.65</v>
      </c>
      <c r="V768">
        <v>5244.08</v>
      </c>
      <c r="W768">
        <v>5098.63</v>
      </c>
      <c r="X768">
        <v>32914.46</v>
      </c>
      <c r="Y768">
        <v>26307.45</v>
      </c>
    </row>
    <row r="769" spans="1:25" x14ac:dyDescent="0.25">
      <c r="A769" t="s">
        <v>820</v>
      </c>
      <c r="B769" s="1">
        <v>45140</v>
      </c>
      <c r="C769">
        <v>2023</v>
      </c>
      <c r="D769">
        <v>8</v>
      </c>
      <c r="E769" t="s">
        <v>814</v>
      </c>
      <c r="F769" t="s">
        <v>691</v>
      </c>
      <c r="G769" t="s">
        <v>44</v>
      </c>
      <c r="H769" t="s">
        <v>58</v>
      </c>
      <c r="I769" t="s">
        <v>30</v>
      </c>
      <c r="J769">
        <v>71</v>
      </c>
      <c r="K769">
        <v>1235</v>
      </c>
      <c r="L769">
        <v>87685.119999999995</v>
      </c>
      <c r="M769">
        <v>55768.84</v>
      </c>
      <c r="N769">
        <v>9841.67</v>
      </c>
      <c r="O769">
        <v>4270.38</v>
      </c>
      <c r="P769">
        <v>2120.39</v>
      </c>
      <c r="Q769">
        <v>1278.47</v>
      </c>
      <c r="R769">
        <v>4960.79</v>
      </c>
      <c r="S769">
        <v>1717.91</v>
      </c>
      <c r="T769">
        <v>79958.45</v>
      </c>
      <c r="U769">
        <v>31916.28</v>
      </c>
      <c r="V769">
        <v>7726.67</v>
      </c>
      <c r="W769">
        <v>7397.44</v>
      </c>
      <c r="X769">
        <v>92906.4</v>
      </c>
      <c r="Y769">
        <v>87253.61</v>
      </c>
    </row>
    <row r="770" spans="1:25" x14ac:dyDescent="0.25">
      <c r="A770" t="s">
        <v>821</v>
      </c>
      <c r="B770" s="1">
        <v>45140</v>
      </c>
      <c r="C770">
        <v>2023</v>
      </c>
      <c r="D770">
        <v>8</v>
      </c>
      <c r="E770" t="s">
        <v>814</v>
      </c>
      <c r="F770" t="s">
        <v>691</v>
      </c>
      <c r="G770" t="s">
        <v>55</v>
      </c>
      <c r="H770" t="s">
        <v>53</v>
      </c>
      <c r="I770" t="s">
        <v>56</v>
      </c>
      <c r="J770">
        <v>27</v>
      </c>
      <c r="K770">
        <v>1485.47</v>
      </c>
      <c r="L770">
        <v>40107.74</v>
      </c>
      <c r="M770">
        <v>23325.68</v>
      </c>
      <c r="N770">
        <v>3014.17</v>
      </c>
      <c r="O770">
        <v>1698.42</v>
      </c>
      <c r="P770">
        <v>1149.29</v>
      </c>
      <c r="Q770">
        <v>477.49</v>
      </c>
      <c r="R770">
        <v>1264.8900000000001</v>
      </c>
      <c r="S770">
        <v>809.99</v>
      </c>
      <c r="T770">
        <v>31739.91</v>
      </c>
      <c r="U770">
        <v>16782.060000000001</v>
      </c>
      <c r="V770">
        <v>8367.83</v>
      </c>
      <c r="W770">
        <v>8501.65</v>
      </c>
      <c r="X770">
        <v>37633.730000000003</v>
      </c>
      <c r="Y770">
        <v>32260.16</v>
      </c>
    </row>
    <row r="771" spans="1:25" x14ac:dyDescent="0.25">
      <c r="A771" t="s">
        <v>822</v>
      </c>
      <c r="B771" s="1">
        <v>45141</v>
      </c>
      <c r="C771">
        <v>2023</v>
      </c>
      <c r="D771">
        <v>8</v>
      </c>
      <c r="E771" t="s">
        <v>814</v>
      </c>
      <c r="F771" t="s">
        <v>691</v>
      </c>
      <c r="G771" t="s">
        <v>28</v>
      </c>
      <c r="H771" t="s">
        <v>36</v>
      </c>
      <c r="I771" t="s">
        <v>56</v>
      </c>
      <c r="J771">
        <v>35</v>
      </c>
      <c r="K771">
        <v>1064.21</v>
      </c>
      <c r="L771">
        <v>37247.4</v>
      </c>
      <c r="M771">
        <v>22764.33</v>
      </c>
      <c r="N771">
        <v>3915.66</v>
      </c>
      <c r="O771">
        <v>2431.73</v>
      </c>
      <c r="P771">
        <v>1168.31</v>
      </c>
      <c r="Q771">
        <v>316.36</v>
      </c>
      <c r="R771">
        <v>1923.14</v>
      </c>
      <c r="S771">
        <v>562.54999999999995</v>
      </c>
      <c r="T771">
        <v>33082.07</v>
      </c>
      <c r="U771">
        <v>14483.08</v>
      </c>
      <c r="V771">
        <v>4165.33</v>
      </c>
      <c r="W771">
        <v>3901.08</v>
      </c>
      <c r="X771">
        <v>36689.660000000003</v>
      </c>
      <c r="Y771">
        <v>32966.699999999997</v>
      </c>
    </row>
    <row r="772" spans="1:25" x14ac:dyDescent="0.25">
      <c r="A772" t="s">
        <v>823</v>
      </c>
      <c r="B772" s="1">
        <v>45141</v>
      </c>
      <c r="C772">
        <v>2023</v>
      </c>
      <c r="D772">
        <v>8</v>
      </c>
      <c r="E772" t="s">
        <v>814</v>
      </c>
      <c r="F772" t="s">
        <v>691</v>
      </c>
      <c r="G772" t="s">
        <v>35</v>
      </c>
      <c r="H772" t="s">
        <v>29</v>
      </c>
      <c r="I772" t="s">
        <v>30</v>
      </c>
      <c r="J772">
        <v>74</v>
      </c>
      <c r="K772">
        <v>1379.18</v>
      </c>
      <c r="L772">
        <v>102059.54</v>
      </c>
      <c r="M772">
        <v>57827.15</v>
      </c>
      <c r="N772">
        <v>9118.94</v>
      </c>
      <c r="O772">
        <v>3980.81</v>
      </c>
      <c r="P772">
        <v>2615.42</v>
      </c>
      <c r="Q772">
        <v>1262.18</v>
      </c>
      <c r="R772">
        <v>4341.78</v>
      </c>
      <c r="S772">
        <v>1396.24</v>
      </c>
      <c r="T772">
        <v>80542.52</v>
      </c>
      <c r="U772">
        <v>44232.39</v>
      </c>
      <c r="V772">
        <v>21517.02</v>
      </c>
      <c r="W772">
        <v>21919.599999999999</v>
      </c>
      <c r="X772">
        <v>99737.96</v>
      </c>
      <c r="Y772">
        <v>87144.98</v>
      </c>
    </row>
    <row r="773" spans="1:25" x14ac:dyDescent="0.25">
      <c r="A773" t="s">
        <v>824</v>
      </c>
      <c r="B773" s="1">
        <v>45141</v>
      </c>
      <c r="C773">
        <v>2023</v>
      </c>
      <c r="D773">
        <v>8</v>
      </c>
      <c r="E773" t="s">
        <v>814</v>
      </c>
      <c r="F773" t="s">
        <v>691</v>
      </c>
      <c r="G773" t="s">
        <v>44</v>
      </c>
      <c r="H773" t="s">
        <v>32</v>
      </c>
      <c r="I773" t="s">
        <v>30</v>
      </c>
      <c r="J773">
        <v>105</v>
      </c>
      <c r="K773">
        <v>1207.99</v>
      </c>
      <c r="L773">
        <v>126838.7</v>
      </c>
      <c r="M773">
        <v>70702.53</v>
      </c>
      <c r="N773">
        <v>9599.7000000000007</v>
      </c>
      <c r="O773">
        <v>6386.46</v>
      </c>
      <c r="P773">
        <v>4967.04</v>
      </c>
      <c r="Q773">
        <v>1260.6300000000001</v>
      </c>
      <c r="R773">
        <v>3650.14</v>
      </c>
      <c r="S773">
        <v>2052.7199999999998</v>
      </c>
      <c r="T773">
        <v>98619.22</v>
      </c>
      <c r="U773">
        <v>56136.17</v>
      </c>
      <c r="V773">
        <v>28219.48</v>
      </c>
      <c r="W773">
        <v>26109.29</v>
      </c>
      <c r="X773">
        <v>137268.26999999999</v>
      </c>
      <c r="Y773">
        <v>101450.06</v>
      </c>
    </row>
    <row r="774" spans="1:25" x14ac:dyDescent="0.25">
      <c r="A774" t="s">
        <v>825</v>
      </c>
      <c r="B774" s="1">
        <v>45142</v>
      </c>
      <c r="C774">
        <v>2023</v>
      </c>
      <c r="D774">
        <v>8</v>
      </c>
      <c r="E774" t="s">
        <v>814</v>
      </c>
      <c r="F774" t="s">
        <v>691</v>
      </c>
      <c r="G774" t="s">
        <v>28</v>
      </c>
      <c r="H774" t="s">
        <v>36</v>
      </c>
      <c r="I774" t="s">
        <v>37</v>
      </c>
      <c r="J774">
        <v>40</v>
      </c>
      <c r="K774">
        <v>1619.11</v>
      </c>
      <c r="L774">
        <v>64764.58</v>
      </c>
      <c r="M774">
        <v>31595.82</v>
      </c>
      <c r="N774">
        <v>4562.93</v>
      </c>
      <c r="O774">
        <v>3792.93</v>
      </c>
      <c r="P774">
        <v>2101.11</v>
      </c>
      <c r="Q774">
        <v>509.03</v>
      </c>
      <c r="R774">
        <v>3617.56</v>
      </c>
      <c r="S774">
        <v>754.35</v>
      </c>
      <c r="T774">
        <v>46933.73</v>
      </c>
      <c r="U774">
        <v>33168.769999999997</v>
      </c>
      <c r="V774">
        <v>17830.849999999999</v>
      </c>
      <c r="W774">
        <v>15787.65</v>
      </c>
      <c r="X774">
        <v>67885.679999999993</v>
      </c>
      <c r="Y774">
        <v>46957.53</v>
      </c>
    </row>
    <row r="775" spans="1:25" x14ac:dyDescent="0.25">
      <c r="A775" t="s">
        <v>826</v>
      </c>
      <c r="B775" s="1">
        <v>45142</v>
      </c>
      <c r="C775">
        <v>2023</v>
      </c>
      <c r="D775">
        <v>8</v>
      </c>
      <c r="E775" t="s">
        <v>814</v>
      </c>
      <c r="F775" t="s">
        <v>691</v>
      </c>
      <c r="G775" t="s">
        <v>44</v>
      </c>
      <c r="H775" t="s">
        <v>29</v>
      </c>
      <c r="I775" t="s">
        <v>45</v>
      </c>
      <c r="J775">
        <v>44</v>
      </c>
      <c r="K775">
        <v>1115.51</v>
      </c>
      <c r="L775">
        <v>49082.52</v>
      </c>
      <c r="M775">
        <v>24524.05</v>
      </c>
      <c r="N775">
        <v>6154.57</v>
      </c>
      <c r="O775">
        <v>3351.45</v>
      </c>
      <c r="P775">
        <v>858.73</v>
      </c>
      <c r="Q775">
        <v>752.61</v>
      </c>
      <c r="R775">
        <v>1531.54</v>
      </c>
      <c r="S775">
        <v>1033.96</v>
      </c>
      <c r="T775">
        <v>38206.910000000003</v>
      </c>
      <c r="U775">
        <v>24558.47</v>
      </c>
      <c r="V775">
        <v>10875.61</v>
      </c>
      <c r="W775">
        <v>10570.37</v>
      </c>
      <c r="X775">
        <v>49727.35</v>
      </c>
      <c r="Y775">
        <v>40225.129999999997</v>
      </c>
    </row>
    <row r="776" spans="1:25" x14ac:dyDescent="0.25">
      <c r="A776" t="s">
        <v>827</v>
      </c>
      <c r="B776" s="1">
        <v>45142</v>
      </c>
      <c r="C776">
        <v>2023</v>
      </c>
      <c r="D776">
        <v>8</v>
      </c>
      <c r="E776" t="s">
        <v>814</v>
      </c>
      <c r="F776" t="s">
        <v>691</v>
      </c>
      <c r="G776" t="s">
        <v>28</v>
      </c>
      <c r="H776" t="s">
        <v>32</v>
      </c>
      <c r="I776" t="s">
        <v>33</v>
      </c>
      <c r="J776">
        <v>79</v>
      </c>
      <c r="K776">
        <v>899.31</v>
      </c>
      <c r="L776">
        <v>71045.440000000002</v>
      </c>
      <c r="M776">
        <v>42195.56</v>
      </c>
      <c r="N776">
        <v>5801.54</v>
      </c>
      <c r="O776">
        <v>4901.54</v>
      </c>
      <c r="P776">
        <v>1715.19</v>
      </c>
      <c r="Q776">
        <v>685.21</v>
      </c>
      <c r="R776">
        <v>3550.18</v>
      </c>
      <c r="S776">
        <v>668.22</v>
      </c>
      <c r="T776">
        <v>59517.440000000002</v>
      </c>
      <c r="U776">
        <v>28849.88</v>
      </c>
      <c r="V776">
        <v>11528</v>
      </c>
      <c r="W776">
        <v>11127.29</v>
      </c>
      <c r="X776">
        <v>67527.16</v>
      </c>
      <c r="Y776">
        <v>60537.06</v>
      </c>
    </row>
    <row r="777" spans="1:25" x14ac:dyDescent="0.25">
      <c r="A777" t="s">
        <v>828</v>
      </c>
      <c r="B777" s="1">
        <v>45142</v>
      </c>
      <c r="C777">
        <v>2023</v>
      </c>
      <c r="D777">
        <v>8</v>
      </c>
      <c r="E777" t="s">
        <v>814</v>
      </c>
      <c r="F777" t="s">
        <v>691</v>
      </c>
      <c r="G777" t="s">
        <v>28</v>
      </c>
      <c r="H777" t="s">
        <v>53</v>
      </c>
      <c r="I777" t="s">
        <v>56</v>
      </c>
      <c r="J777">
        <v>22</v>
      </c>
      <c r="K777">
        <v>1358.21</v>
      </c>
      <c r="L777">
        <v>29880.63</v>
      </c>
      <c r="M777">
        <v>15686.21</v>
      </c>
      <c r="N777">
        <v>3555.68</v>
      </c>
      <c r="O777">
        <v>874.79</v>
      </c>
      <c r="P777">
        <v>1287.23</v>
      </c>
      <c r="Q777">
        <v>230.6</v>
      </c>
      <c r="R777">
        <v>1129.6199999999999</v>
      </c>
      <c r="S777">
        <v>265.33999999999997</v>
      </c>
      <c r="T777">
        <v>23029.47</v>
      </c>
      <c r="U777">
        <v>14194.42</v>
      </c>
      <c r="V777">
        <v>6851.16</v>
      </c>
      <c r="W777">
        <v>6294.38</v>
      </c>
      <c r="X777">
        <v>31202.73</v>
      </c>
      <c r="Y777">
        <v>21512.87</v>
      </c>
    </row>
    <row r="778" spans="1:25" x14ac:dyDescent="0.25">
      <c r="A778" t="s">
        <v>829</v>
      </c>
      <c r="B778" s="1">
        <v>45142</v>
      </c>
      <c r="C778">
        <v>2023</v>
      </c>
      <c r="D778">
        <v>8</v>
      </c>
      <c r="E778" t="s">
        <v>814</v>
      </c>
      <c r="F778" t="s">
        <v>691</v>
      </c>
      <c r="G778" t="s">
        <v>44</v>
      </c>
      <c r="H778" t="s">
        <v>32</v>
      </c>
      <c r="I778" t="s">
        <v>65</v>
      </c>
      <c r="J778">
        <v>41</v>
      </c>
      <c r="K778">
        <v>1578.96</v>
      </c>
      <c r="L778">
        <v>64737.35</v>
      </c>
      <c r="M778">
        <v>36485.449999999997</v>
      </c>
      <c r="N778">
        <v>5300</v>
      </c>
      <c r="O778">
        <v>4071.88</v>
      </c>
      <c r="P778">
        <v>1282.97</v>
      </c>
      <c r="Q778">
        <v>915.43</v>
      </c>
      <c r="R778">
        <v>3189.07</v>
      </c>
      <c r="S778">
        <v>1587.55</v>
      </c>
      <c r="T778">
        <v>52832.34</v>
      </c>
      <c r="U778">
        <v>28251.89</v>
      </c>
      <c r="V778">
        <v>11905</v>
      </c>
      <c r="W778">
        <v>11862.93</v>
      </c>
      <c r="X778">
        <v>61129.599999999999</v>
      </c>
      <c r="Y778">
        <v>52530.66</v>
      </c>
    </row>
    <row r="779" spans="1:25" x14ac:dyDescent="0.25">
      <c r="A779" t="s">
        <v>830</v>
      </c>
      <c r="B779" s="1">
        <v>45143</v>
      </c>
      <c r="C779">
        <v>2023</v>
      </c>
      <c r="D779">
        <v>8</v>
      </c>
      <c r="E779" t="s">
        <v>814</v>
      </c>
      <c r="F779" t="s">
        <v>691</v>
      </c>
      <c r="G779" t="s">
        <v>44</v>
      </c>
      <c r="H779" t="s">
        <v>29</v>
      </c>
      <c r="I779" t="s">
        <v>30</v>
      </c>
      <c r="J779">
        <v>63</v>
      </c>
      <c r="K779">
        <v>1502.09</v>
      </c>
      <c r="L779">
        <v>94631.69</v>
      </c>
      <c r="M779">
        <v>63171.199999999997</v>
      </c>
      <c r="N779">
        <v>10191.36</v>
      </c>
      <c r="O779">
        <v>4153.71</v>
      </c>
      <c r="P779">
        <v>2754.89</v>
      </c>
      <c r="Q779">
        <v>752.87</v>
      </c>
      <c r="R779">
        <v>2371.96</v>
      </c>
      <c r="S779">
        <v>985.85</v>
      </c>
      <c r="T779">
        <v>84381.83</v>
      </c>
      <c r="U779">
        <v>31460.5</v>
      </c>
      <c r="V779">
        <v>10249.86</v>
      </c>
      <c r="W779">
        <v>9683.24</v>
      </c>
      <c r="X779">
        <v>92518.29</v>
      </c>
      <c r="Y779">
        <v>86525.1</v>
      </c>
    </row>
    <row r="780" spans="1:25" x14ac:dyDescent="0.25">
      <c r="A780" t="s">
        <v>831</v>
      </c>
      <c r="B780" s="1">
        <v>45143</v>
      </c>
      <c r="C780">
        <v>2023</v>
      </c>
      <c r="D780">
        <v>8</v>
      </c>
      <c r="E780" t="s">
        <v>814</v>
      </c>
      <c r="F780" t="s">
        <v>691</v>
      </c>
      <c r="G780" t="s">
        <v>35</v>
      </c>
      <c r="H780" t="s">
        <v>32</v>
      </c>
      <c r="I780" t="s">
        <v>37</v>
      </c>
      <c r="J780">
        <v>51</v>
      </c>
      <c r="K780">
        <v>1536.08</v>
      </c>
      <c r="L780">
        <v>78340.22</v>
      </c>
      <c r="M780">
        <v>40543.89</v>
      </c>
      <c r="N780">
        <v>9227.01</v>
      </c>
      <c r="O780">
        <v>5819.06</v>
      </c>
      <c r="P780">
        <v>2270.5100000000002</v>
      </c>
      <c r="Q780">
        <v>585.39</v>
      </c>
      <c r="R780">
        <v>4628.72</v>
      </c>
      <c r="S780">
        <v>1448.57</v>
      </c>
      <c r="T780">
        <v>64523.15</v>
      </c>
      <c r="U780">
        <v>37796.32</v>
      </c>
      <c r="V780">
        <v>13817.06</v>
      </c>
      <c r="W780">
        <v>13571.25</v>
      </c>
      <c r="X780">
        <v>87020.43</v>
      </c>
      <c r="Y780">
        <v>68280.789999999994</v>
      </c>
    </row>
    <row r="781" spans="1:25" x14ac:dyDescent="0.25">
      <c r="A781" t="s">
        <v>832</v>
      </c>
      <c r="B781" s="1">
        <v>45143</v>
      </c>
      <c r="C781">
        <v>2023</v>
      </c>
      <c r="D781">
        <v>8</v>
      </c>
      <c r="E781" t="s">
        <v>814</v>
      </c>
      <c r="F781" t="s">
        <v>691</v>
      </c>
      <c r="G781" t="s">
        <v>44</v>
      </c>
      <c r="H781" t="s">
        <v>36</v>
      </c>
      <c r="I781" t="s">
        <v>45</v>
      </c>
      <c r="J781">
        <v>30</v>
      </c>
      <c r="K781">
        <v>1648.53</v>
      </c>
      <c r="L781">
        <v>49455.82</v>
      </c>
      <c r="M781">
        <v>25469.41</v>
      </c>
      <c r="N781">
        <v>5443.17</v>
      </c>
      <c r="O781">
        <v>1635.97</v>
      </c>
      <c r="P781">
        <v>1248.29</v>
      </c>
      <c r="Q781">
        <v>381.45</v>
      </c>
      <c r="R781">
        <v>2638.73</v>
      </c>
      <c r="S781">
        <v>654.48</v>
      </c>
      <c r="T781">
        <v>37471.5</v>
      </c>
      <c r="U781">
        <v>23986.41</v>
      </c>
      <c r="V781">
        <v>11984.33</v>
      </c>
      <c r="W781">
        <v>11905.84</v>
      </c>
      <c r="X781">
        <v>50377.29</v>
      </c>
      <c r="Y781">
        <v>38206.67</v>
      </c>
    </row>
    <row r="782" spans="1:25" x14ac:dyDescent="0.25">
      <c r="A782" t="s">
        <v>833</v>
      </c>
      <c r="B782" s="1">
        <v>45143</v>
      </c>
      <c r="C782">
        <v>2023</v>
      </c>
      <c r="D782">
        <v>8</v>
      </c>
      <c r="E782" t="s">
        <v>814</v>
      </c>
      <c r="F782" t="s">
        <v>691</v>
      </c>
      <c r="G782" t="s">
        <v>35</v>
      </c>
      <c r="H782" t="s">
        <v>32</v>
      </c>
      <c r="I782" t="s">
        <v>33</v>
      </c>
      <c r="J782">
        <v>56</v>
      </c>
      <c r="K782">
        <v>1332</v>
      </c>
      <c r="L782">
        <v>74591.88</v>
      </c>
      <c r="M782">
        <v>48572.46</v>
      </c>
      <c r="N782">
        <v>6552.33</v>
      </c>
      <c r="O782">
        <v>4231.63</v>
      </c>
      <c r="P782">
        <v>1739.36</v>
      </c>
      <c r="Q782">
        <v>541.09</v>
      </c>
      <c r="R782">
        <v>1926.42</v>
      </c>
      <c r="S782">
        <v>1003.5</v>
      </c>
      <c r="T782">
        <v>64566.78</v>
      </c>
      <c r="U782">
        <v>26019.42</v>
      </c>
      <c r="V782">
        <v>10025.1</v>
      </c>
      <c r="W782">
        <v>8922.18</v>
      </c>
      <c r="X782">
        <v>80235.320000000007</v>
      </c>
      <c r="Y782">
        <v>63303.61</v>
      </c>
    </row>
    <row r="783" spans="1:25" x14ac:dyDescent="0.25">
      <c r="A783" t="s">
        <v>834</v>
      </c>
      <c r="B783" s="1">
        <v>45143</v>
      </c>
      <c r="C783">
        <v>2023</v>
      </c>
      <c r="D783">
        <v>8</v>
      </c>
      <c r="E783" t="s">
        <v>814</v>
      </c>
      <c r="F783" t="s">
        <v>691</v>
      </c>
      <c r="G783" t="s">
        <v>28</v>
      </c>
      <c r="H783" t="s">
        <v>29</v>
      </c>
      <c r="I783" t="s">
        <v>45</v>
      </c>
      <c r="J783">
        <v>36</v>
      </c>
      <c r="K783">
        <v>1024.7</v>
      </c>
      <c r="L783">
        <v>36889.339999999997</v>
      </c>
      <c r="M783">
        <v>24878.959999999999</v>
      </c>
      <c r="N783">
        <v>3084.6</v>
      </c>
      <c r="O783">
        <v>1143.1199999999999</v>
      </c>
      <c r="P783">
        <v>1373.24</v>
      </c>
      <c r="Q783">
        <v>234.97</v>
      </c>
      <c r="R783">
        <v>1182.3900000000001</v>
      </c>
      <c r="S783">
        <v>546.16</v>
      </c>
      <c r="T783">
        <v>32443.439999999999</v>
      </c>
      <c r="U783">
        <v>12010.37</v>
      </c>
      <c r="V783">
        <v>4445.8900000000003</v>
      </c>
      <c r="W783">
        <v>4046.26</v>
      </c>
      <c r="X783">
        <v>40931.15</v>
      </c>
      <c r="Y783">
        <v>34439.94</v>
      </c>
    </row>
    <row r="784" spans="1:25" x14ac:dyDescent="0.25">
      <c r="A784" t="s">
        <v>835</v>
      </c>
      <c r="B784" s="1">
        <v>45144</v>
      </c>
      <c r="C784">
        <v>2023</v>
      </c>
      <c r="D784">
        <v>8</v>
      </c>
      <c r="E784" t="s">
        <v>814</v>
      </c>
      <c r="F784" t="s">
        <v>691</v>
      </c>
      <c r="G784" t="s">
        <v>28</v>
      </c>
      <c r="H784" t="s">
        <v>29</v>
      </c>
      <c r="I784" t="s">
        <v>30</v>
      </c>
      <c r="J784">
        <v>95</v>
      </c>
      <c r="K784">
        <v>1142.71</v>
      </c>
      <c r="L784">
        <v>108557.9</v>
      </c>
      <c r="M784">
        <v>53302.53</v>
      </c>
      <c r="N784">
        <v>8077.22</v>
      </c>
      <c r="O784">
        <v>3121.81</v>
      </c>
      <c r="P784">
        <v>2216.19</v>
      </c>
      <c r="Q784">
        <v>821.98</v>
      </c>
      <c r="R784">
        <v>3181.13</v>
      </c>
      <c r="S784">
        <v>1259.0899999999999</v>
      </c>
      <c r="T784">
        <v>71979.95</v>
      </c>
      <c r="U784">
        <v>55255.37</v>
      </c>
      <c r="V784">
        <v>36577.949999999997</v>
      </c>
      <c r="W784">
        <v>35950.51</v>
      </c>
      <c r="X784">
        <v>107145.93</v>
      </c>
      <c r="Y784">
        <v>70368.429999999993</v>
      </c>
    </row>
    <row r="785" spans="1:25" x14ac:dyDescent="0.25">
      <c r="A785" t="s">
        <v>836</v>
      </c>
      <c r="B785" s="1">
        <v>45144</v>
      </c>
      <c r="C785">
        <v>2023</v>
      </c>
      <c r="D785">
        <v>8</v>
      </c>
      <c r="E785" t="s">
        <v>814</v>
      </c>
      <c r="F785" t="s">
        <v>691</v>
      </c>
      <c r="G785" t="s">
        <v>28</v>
      </c>
      <c r="H785" t="s">
        <v>58</v>
      </c>
      <c r="I785" t="s">
        <v>37</v>
      </c>
      <c r="J785">
        <v>52</v>
      </c>
      <c r="K785">
        <v>1307</v>
      </c>
      <c r="L785">
        <v>67963.839999999997</v>
      </c>
      <c r="M785">
        <v>34447.230000000003</v>
      </c>
      <c r="N785">
        <v>8436.76</v>
      </c>
      <c r="O785">
        <v>4360.6400000000003</v>
      </c>
      <c r="P785">
        <v>2526.5500000000002</v>
      </c>
      <c r="Q785">
        <v>362.82</v>
      </c>
      <c r="R785">
        <v>3790.15</v>
      </c>
      <c r="S785">
        <v>1065.18</v>
      </c>
      <c r="T785">
        <v>54989.32</v>
      </c>
      <c r="U785">
        <v>33516.61</v>
      </c>
      <c r="V785">
        <v>12974.52</v>
      </c>
      <c r="W785">
        <v>13213.11</v>
      </c>
      <c r="X785">
        <v>64461.22</v>
      </c>
      <c r="Y785">
        <v>54164.59</v>
      </c>
    </row>
    <row r="786" spans="1:25" x14ac:dyDescent="0.25">
      <c r="A786" t="s">
        <v>837</v>
      </c>
      <c r="B786" s="1">
        <v>45144</v>
      </c>
      <c r="C786">
        <v>2023</v>
      </c>
      <c r="D786">
        <v>8</v>
      </c>
      <c r="E786" t="s">
        <v>814</v>
      </c>
      <c r="F786" t="s">
        <v>691</v>
      </c>
      <c r="G786" t="s">
        <v>28</v>
      </c>
      <c r="H786" t="s">
        <v>36</v>
      </c>
      <c r="I786" t="s">
        <v>33</v>
      </c>
      <c r="J786">
        <v>69</v>
      </c>
      <c r="K786">
        <v>1448.15</v>
      </c>
      <c r="L786">
        <v>99922.61</v>
      </c>
      <c r="M786">
        <v>66029.58</v>
      </c>
      <c r="N786">
        <v>10289.23</v>
      </c>
      <c r="O786">
        <v>5898.41</v>
      </c>
      <c r="P786">
        <v>1894.26</v>
      </c>
      <c r="Q786">
        <v>805.86</v>
      </c>
      <c r="R786">
        <v>4396.46</v>
      </c>
      <c r="S786">
        <v>1243.48</v>
      </c>
      <c r="T786">
        <v>90557.28</v>
      </c>
      <c r="U786">
        <v>33893.040000000001</v>
      </c>
      <c r="V786">
        <v>9365.34</v>
      </c>
      <c r="W786">
        <v>8343.0499999999993</v>
      </c>
      <c r="X786">
        <v>103908.86</v>
      </c>
      <c r="Y786">
        <v>85769.86</v>
      </c>
    </row>
    <row r="787" spans="1:25" x14ac:dyDescent="0.25">
      <c r="A787" t="s">
        <v>838</v>
      </c>
      <c r="B787" s="1">
        <v>45144</v>
      </c>
      <c r="C787">
        <v>2023</v>
      </c>
      <c r="D787">
        <v>8</v>
      </c>
      <c r="E787" t="s">
        <v>814</v>
      </c>
      <c r="F787" t="s">
        <v>691</v>
      </c>
      <c r="G787" t="s">
        <v>44</v>
      </c>
      <c r="H787" t="s">
        <v>36</v>
      </c>
      <c r="I787" t="s">
        <v>50</v>
      </c>
      <c r="J787">
        <v>35</v>
      </c>
      <c r="K787">
        <v>1627.03</v>
      </c>
      <c r="L787">
        <v>56945.96</v>
      </c>
      <c r="M787">
        <v>28111.78</v>
      </c>
      <c r="N787">
        <v>5390.87</v>
      </c>
      <c r="O787">
        <v>3962.14</v>
      </c>
      <c r="P787">
        <v>1178.31</v>
      </c>
      <c r="Q787">
        <v>1022.5</v>
      </c>
      <c r="R787">
        <v>3152.81</v>
      </c>
      <c r="S787">
        <v>1204.06</v>
      </c>
      <c r="T787">
        <v>44022.47</v>
      </c>
      <c r="U787">
        <v>28834.18</v>
      </c>
      <c r="V787">
        <v>12923.49</v>
      </c>
      <c r="W787">
        <v>11594.59</v>
      </c>
      <c r="X787">
        <v>61736.44</v>
      </c>
      <c r="Y787">
        <v>46119.360000000001</v>
      </c>
    </row>
    <row r="788" spans="1:25" x14ac:dyDescent="0.25">
      <c r="A788" t="s">
        <v>839</v>
      </c>
      <c r="B788" s="1">
        <v>45144</v>
      </c>
      <c r="C788">
        <v>2023</v>
      </c>
      <c r="D788">
        <v>8</v>
      </c>
      <c r="E788" t="s">
        <v>814</v>
      </c>
      <c r="F788" t="s">
        <v>691</v>
      </c>
      <c r="G788" t="s">
        <v>35</v>
      </c>
      <c r="H788" t="s">
        <v>53</v>
      </c>
      <c r="I788" t="s">
        <v>50</v>
      </c>
      <c r="J788">
        <v>25</v>
      </c>
      <c r="K788">
        <v>1529</v>
      </c>
      <c r="L788">
        <v>38224.93</v>
      </c>
      <c r="M788">
        <v>23058.15</v>
      </c>
      <c r="N788">
        <v>3907.7</v>
      </c>
      <c r="O788">
        <v>2807.97</v>
      </c>
      <c r="P788">
        <v>1517.45</v>
      </c>
      <c r="Q788">
        <v>441.07</v>
      </c>
      <c r="R788">
        <v>1044.1199999999999</v>
      </c>
      <c r="S788">
        <v>661.12</v>
      </c>
      <c r="T788">
        <v>33437.58</v>
      </c>
      <c r="U788">
        <v>15166.78</v>
      </c>
      <c r="V788">
        <v>4787.34</v>
      </c>
      <c r="W788">
        <v>4564.2</v>
      </c>
      <c r="X788">
        <v>37109.599999999999</v>
      </c>
      <c r="Y788">
        <v>32157.24</v>
      </c>
    </row>
    <row r="789" spans="1:25" x14ac:dyDescent="0.25">
      <c r="A789" t="s">
        <v>840</v>
      </c>
      <c r="B789" s="1">
        <v>45145</v>
      </c>
      <c r="C789">
        <v>2023</v>
      </c>
      <c r="D789">
        <v>8</v>
      </c>
      <c r="E789" t="s">
        <v>814</v>
      </c>
      <c r="F789" t="s">
        <v>691</v>
      </c>
      <c r="G789" t="s">
        <v>44</v>
      </c>
      <c r="H789" t="s">
        <v>53</v>
      </c>
      <c r="I789" t="s">
        <v>39</v>
      </c>
      <c r="J789">
        <v>27</v>
      </c>
      <c r="K789">
        <v>1050.32</v>
      </c>
      <c r="L789">
        <v>28358.69</v>
      </c>
      <c r="M789">
        <v>19194.400000000001</v>
      </c>
      <c r="N789">
        <v>2873.18</v>
      </c>
      <c r="O789">
        <v>834.67</v>
      </c>
      <c r="P789">
        <v>1190</v>
      </c>
      <c r="Q789">
        <v>392.47</v>
      </c>
      <c r="R789">
        <v>1684.82</v>
      </c>
      <c r="S789">
        <v>640.85</v>
      </c>
      <c r="T789">
        <v>26810.400000000001</v>
      </c>
      <c r="U789">
        <v>9164.2999999999993</v>
      </c>
      <c r="V789">
        <v>1548.3</v>
      </c>
      <c r="W789">
        <v>1435.88</v>
      </c>
      <c r="X789">
        <v>29023.01</v>
      </c>
      <c r="Y789">
        <v>29350.720000000001</v>
      </c>
    </row>
    <row r="790" spans="1:25" x14ac:dyDescent="0.25">
      <c r="A790" t="s">
        <v>841</v>
      </c>
      <c r="B790" s="1">
        <v>45145</v>
      </c>
      <c r="C790">
        <v>2023</v>
      </c>
      <c r="D790">
        <v>8</v>
      </c>
      <c r="E790" t="s">
        <v>814</v>
      </c>
      <c r="F790" t="s">
        <v>691</v>
      </c>
      <c r="G790" t="s">
        <v>55</v>
      </c>
      <c r="H790" t="s">
        <v>36</v>
      </c>
      <c r="I790" t="s">
        <v>37</v>
      </c>
      <c r="J790">
        <v>71</v>
      </c>
      <c r="K790">
        <v>953.15</v>
      </c>
      <c r="L790">
        <v>67673.77</v>
      </c>
      <c r="M790">
        <v>43316.63</v>
      </c>
      <c r="N790">
        <v>7161.95</v>
      </c>
      <c r="O790">
        <v>4492.3999999999996</v>
      </c>
      <c r="P790">
        <v>2744.73</v>
      </c>
      <c r="Q790">
        <v>500.31</v>
      </c>
      <c r="R790">
        <v>2897.61</v>
      </c>
      <c r="S790">
        <v>1519.1</v>
      </c>
      <c r="T790">
        <v>62632.73</v>
      </c>
      <c r="U790">
        <v>24357.14</v>
      </c>
      <c r="V790">
        <v>5041.04</v>
      </c>
      <c r="W790">
        <v>5001.49</v>
      </c>
      <c r="X790">
        <v>75630.77</v>
      </c>
      <c r="Y790">
        <v>66521.37</v>
      </c>
    </row>
    <row r="791" spans="1:25" x14ac:dyDescent="0.25">
      <c r="A791" t="s">
        <v>842</v>
      </c>
      <c r="B791" s="1">
        <v>45146</v>
      </c>
      <c r="C791">
        <v>2023</v>
      </c>
      <c r="D791">
        <v>8</v>
      </c>
      <c r="E791" t="s">
        <v>814</v>
      </c>
      <c r="F791" t="s">
        <v>691</v>
      </c>
      <c r="G791" t="s">
        <v>28</v>
      </c>
      <c r="H791" t="s">
        <v>32</v>
      </c>
      <c r="I791" t="s">
        <v>65</v>
      </c>
      <c r="J791">
        <v>47</v>
      </c>
      <c r="K791">
        <v>1719.41</v>
      </c>
      <c r="L791">
        <v>80812.38</v>
      </c>
      <c r="M791">
        <v>47027.63</v>
      </c>
      <c r="N791">
        <v>9508.86</v>
      </c>
      <c r="O791">
        <v>2400.6799999999998</v>
      </c>
      <c r="P791">
        <v>3028.42</v>
      </c>
      <c r="Q791">
        <v>1142.1500000000001</v>
      </c>
      <c r="R791">
        <v>3306.18</v>
      </c>
      <c r="S791">
        <v>1336.5</v>
      </c>
      <c r="T791">
        <v>67750.41</v>
      </c>
      <c r="U791">
        <v>33784.74</v>
      </c>
      <c r="V791">
        <v>13061.97</v>
      </c>
      <c r="W791">
        <v>11673.45</v>
      </c>
      <c r="X791">
        <v>86872.46</v>
      </c>
      <c r="Y791">
        <v>71859.259999999995</v>
      </c>
    </row>
    <row r="792" spans="1:25" x14ac:dyDescent="0.25">
      <c r="A792" t="s">
        <v>843</v>
      </c>
      <c r="B792" s="1">
        <v>45146</v>
      </c>
      <c r="C792">
        <v>2023</v>
      </c>
      <c r="D792">
        <v>8</v>
      </c>
      <c r="E792" t="s">
        <v>814</v>
      </c>
      <c r="F792" t="s">
        <v>691</v>
      </c>
      <c r="G792" t="s">
        <v>44</v>
      </c>
      <c r="H792" t="s">
        <v>32</v>
      </c>
      <c r="I792" t="s">
        <v>56</v>
      </c>
      <c r="J792">
        <v>40</v>
      </c>
      <c r="K792">
        <v>968.36</v>
      </c>
      <c r="L792">
        <v>38734.239999999998</v>
      </c>
      <c r="M792">
        <v>26027.63</v>
      </c>
      <c r="N792">
        <v>3505.43</v>
      </c>
      <c r="O792">
        <v>1455.46</v>
      </c>
      <c r="P792">
        <v>1411.53</v>
      </c>
      <c r="Q792">
        <v>546.77</v>
      </c>
      <c r="R792">
        <v>1114.99</v>
      </c>
      <c r="S792">
        <v>804.26</v>
      </c>
      <c r="T792">
        <v>34866.07</v>
      </c>
      <c r="U792">
        <v>12706.61</v>
      </c>
      <c r="V792">
        <v>3868.17</v>
      </c>
      <c r="W792">
        <v>3679.92</v>
      </c>
      <c r="X792">
        <v>39286.160000000003</v>
      </c>
      <c r="Y792">
        <v>35571.040000000001</v>
      </c>
    </row>
    <row r="793" spans="1:25" x14ac:dyDescent="0.25">
      <c r="A793" t="s">
        <v>844</v>
      </c>
      <c r="B793" s="1">
        <v>45146</v>
      </c>
      <c r="C793">
        <v>2023</v>
      </c>
      <c r="D793">
        <v>8</v>
      </c>
      <c r="E793" t="s">
        <v>814</v>
      </c>
      <c r="F793" t="s">
        <v>691</v>
      </c>
      <c r="G793" t="s">
        <v>28</v>
      </c>
      <c r="H793" t="s">
        <v>29</v>
      </c>
      <c r="I793" t="s">
        <v>65</v>
      </c>
      <c r="J793">
        <v>53</v>
      </c>
      <c r="K793">
        <v>1428.03</v>
      </c>
      <c r="L793">
        <v>75685.81</v>
      </c>
      <c r="M793">
        <v>47689.48</v>
      </c>
      <c r="N793">
        <v>7669.63</v>
      </c>
      <c r="O793">
        <v>4859.8999999999996</v>
      </c>
      <c r="P793">
        <v>1464.3</v>
      </c>
      <c r="Q793">
        <v>1097.51</v>
      </c>
      <c r="R793">
        <v>4271.62</v>
      </c>
      <c r="S793">
        <v>929.08</v>
      </c>
      <c r="T793">
        <v>67981.53</v>
      </c>
      <c r="U793">
        <v>27996.33</v>
      </c>
      <c r="V793">
        <v>7704.28</v>
      </c>
      <c r="W793">
        <v>6874.52</v>
      </c>
      <c r="X793">
        <v>71603.149999999994</v>
      </c>
      <c r="Y793">
        <v>72541.509999999995</v>
      </c>
    </row>
    <row r="794" spans="1:25" x14ac:dyDescent="0.25">
      <c r="A794" t="s">
        <v>845</v>
      </c>
      <c r="B794" s="1">
        <v>45146</v>
      </c>
      <c r="C794">
        <v>2023</v>
      </c>
      <c r="D794">
        <v>8</v>
      </c>
      <c r="E794" t="s">
        <v>814</v>
      </c>
      <c r="F794" t="s">
        <v>691</v>
      </c>
      <c r="G794" t="s">
        <v>55</v>
      </c>
      <c r="H794" t="s">
        <v>36</v>
      </c>
      <c r="I794" t="s">
        <v>37</v>
      </c>
      <c r="J794">
        <v>74</v>
      </c>
      <c r="K794">
        <v>870.33</v>
      </c>
      <c r="L794">
        <v>64404.11</v>
      </c>
      <c r="M794">
        <v>32095.81</v>
      </c>
      <c r="N794">
        <v>6748.29</v>
      </c>
      <c r="O794">
        <v>1659.71</v>
      </c>
      <c r="P794">
        <v>1156.8399999999999</v>
      </c>
      <c r="Q794">
        <v>1082.68</v>
      </c>
      <c r="R794">
        <v>1882.69</v>
      </c>
      <c r="S794">
        <v>673.65</v>
      </c>
      <c r="T794">
        <v>45299.68</v>
      </c>
      <c r="U794">
        <v>32308.3</v>
      </c>
      <c r="V794">
        <v>19104.43</v>
      </c>
      <c r="W794">
        <v>17071.86</v>
      </c>
      <c r="X794">
        <v>70667.37</v>
      </c>
      <c r="Y794">
        <v>44502.76</v>
      </c>
    </row>
    <row r="795" spans="1:25" x14ac:dyDescent="0.25">
      <c r="A795" t="s">
        <v>846</v>
      </c>
      <c r="B795" s="1">
        <v>45147</v>
      </c>
      <c r="C795">
        <v>2023</v>
      </c>
      <c r="D795">
        <v>8</v>
      </c>
      <c r="E795" t="s">
        <v>814</v>
      </c>
      <c r="F795" t="s">
        <v>691</v>
      </c>
      <c r="G795" t="s">
        <v>28</v>
      </c>
      <c r="H795" t="s">
        <v>36</v>
      </c>
      <c r="I795" t="s">
        <v>30</v>
      </c>
      <c r="J795">
        <v>85</v>
      </c>
      <c r="K795">
        <v>1364.4</v>
      </c>
      <c r="L795">
        <v>115973.67</v>
      </c>
      <c r="M795">
        <v>74628.33</v>
      </c>
      <c r="N795">
        <v>8789.8700000000008</v>
      </c>
      <c r="O795">
        <v>7598.59</v>
      </c>
      <c r="P795">
        <v>4857.92</v>
      </c>
      <c r="Q795">
        <v>1918.01</v>
      </c>
      <c r="R795">
        <v>6289</v>
      </c>
      <c r="S795">
        <v>2477.88</v>
      </c>
      <c r="T795">
        <v>106559.6</v>
      </c>
      <c r="U795">
        <v>41345.33</v>
      </c>
      <c r="V795">
        <v>9414.07</v>
      </c>
      <c r="W795">
        <v>8642.02</v>
      </c>
      <c r="X795">
        <v>112315.43</v>
      </c>
      <c r="Y795">
        <v>114428.93</v>
      </c>
    </row>
    <row r="796" spans="1:25" x14ac:dyDescent="0.25">
      <c r="A796" t="s">
        <v>847</v>
      </c>
      <c r="B796" s="1">
        <v>45147</v>
      </c>
      <c r="C796">
        <v>2023</v>
      </c>
      <c r="D796">
        <v>8</v>
      </c>
      <c r="E796" t="s">
        <v>814</v>
      </c>
      <c r="F796" t="s">
        <v>691</v>
      </c>
      <c r="G796" t="s">
        <v>35</v>
      </c>
      <c r="H796" t="s">
        <v>36</v>
      </c>
      <c r="I796" t="s">
        <v>33</v>
      </c>
      <c r="J796">
        <v>40</v>
      </c>
      <c r="K796">
        <v>1247.8399999999999</v>
      </c>
      <c r="L796">
        <v>49913.71</v>
      </c>
      <c r="M796">
        <v>30675.89</v>
      </c>
      <c r="N796">
        <v>5481.08</v>
      </c>
      <c r="O796">
        <v>1985.13</v>
      </c>
      <c r="P796">
        <v>1500.79</v>
      </c>
      <c r="Q796">
        <v>670.46</v>
      </c>
      <c r="R796">
        <v>1288.83</v>
      </c>
      <c r="S796">
        <v>859.3</v>
      </c>
      <c r="T796">
        <v>42461.48</v>
      </c>
      <c r="U796">
        <v>19237.82</v>
      </c>
      <c r="V796">
        <v>7452.22</v>
      </c>
      <c r="W796">
        <v>7061.23</v>
      </c>
      <c r="X796">
        <v>48058.57</v>
      </c>
      <c r="Y796">
        <v>46405.89</v>
      </c>
    </row>
    <row r="797" spans="1:25" x14ac:dyDescent="0.25">
      <c r="A797" t="s">
        <v>848</v>
      </c>
      <c r="B797" s="1">
        <v>45148</v>
      </c>
      <c r="C797">
        <v>2023</v>
      </c>
      <c r="D797">
        <v>8</v>
      </c>
      <c r="E797" t="s">
        <v>814</v>
      </c>
      <c r="F797" t="s">
        <v>691</v>
      </c>
      <c r="G797" t="s">
        <v>28</v>
      </c>
      <c r="H797" t="s">
        <v>36</v>
      </c>
      <c r="I797" t="s">
        <v>39</v>
      </c>
      <c r="J797">
        <v>37</v>
      </c>
      <c r="K797">
        <v>1386.5</v>
      </c>
      <c r="L797">
        <v>51300.5</v>
      </c>
      <c r="M797">
        <v>28455.77</v>
      </c>
      <c r="N797">
        <v>4826.8</v>
      </c>
      <c r="O797">
        <v>2731.11</v>
      </c>
      <c r="P797">
        <v>1145.75</v>
      </c>
      <c r="Q797">
        <v>314.7</v>
      </c>
      <c r="R797">
        <v>3306.39</v>
      </c>
      <c r="S797">
        <v>996.35</v>
      </c>
      <c r="T797">
        <v>41776.879999999997</v>
      </c>
      <c r="U797">
        <v>22844.720000000001</v>
      </c>
      <c r="V797">
        <v>9523.6200000000008</v>
      </c>
      <c r="W797">
        <v>8442.02</v>
      </c>
      <c r="X797">
        <v>51635.68</v>
      </c>
      <c r="Y797">
        <v>42927.28</v>
      </c>
    </row>
    <row r="798" spans="1:25" x14ac:dyDescent="0.25">
      <c r="A798" t="s">
        <v>849</v>
      </c>
      <c r="B798" s="1">
        <v>45149</v>
      </c>
      <c r="C798">
        <v>2023</v>
      </c>
      <c r="D798">
        <v>8</v>
      </c>
      <c r="E798" t="s">
        <v>814</v>
      </c>
      <c r="F798" t="s">
        <v>691</v>
      </c>
      <c r="G798" t="s">
        <v>44</v>
      </c>
      <c r="H798" t="s">
        <v>32</v>
      </c>
      <c r="I798" t="s">
        <v>37</v>
      </c>
      <c r="J798">
        <v>48</v>
      </c>
      <c r="K798">
        <v>1619.32</v>
      </c>
      <c r="L798">
        <v>77727.289999999994</v>
      </c>
      <c r="M798">
        <v>51423.17</v>
      </c>
      <c r="N798">
        <v>9659.0499999999993</v>
      </c>
      <c r="O798">
        <v>2030.1</v>
      </c>
      <c r="P798">
        <v>2342.04</v>
      </c>
      <c r="Q798">
        <v>983.82</v>
      </c>
      <c r="R798">
        <v>2876.6</v>
      </c>
      <c r="S798">
        <v>1600.6</v>
      </c>
      <c r="T798">
        <v>70915.38</v>
      </c>
      <c r="U798">
        <v>26304.12</v>
      </c>
      <c r="V798">
        <v>6811.91</v>
      </c>
      <c r="W798">
        <v>6431.44</v>
      </c>
      <c r="X798">
        <v>78366.460000000006</v>
      </c>
      <c r="Y798">
        <v>71818.02</v>
      </c>
    </row>
    <row r="799" spans="1:25" x14ac:dyDescent="0.25">
      <c r="A799" t="s">
        <v>850</v>
      </c>
      <c r="B799" s="1">
        <v>45149</v>
      </c>
      <c r="C799">
        <v>2023</v>
      </c>
      <c r="D799">
        <v>8</v>
      </c>
      <c r="E799" t="s">
        <v>814</v>
      </c>
      <c r="F799" t="s">
        <v>691</v>
      </c>
      <c r="G799" t="s">
        <v>28</v>
      </c>
      <c r="H799" t="s">
        <v>36</v>
      </c>
      <c r="I799" t="s">
        <v>30</v>
      </c>
      <c r="J799">
        <v>67</v>
      </c>
      <c r="K799">
        <v>1739.17</v>
      </c>
      <c r="L799">
        <v>116524.46</v>
      </c>
      <c r="M799">
        <v>78009.61</v>
      </c>
      <c r="N799">
        <v>12663.36</v>
      </c>
      <c r="O799">
        <v>4660.1899999999996</v>
      </c>
      <c r="P799">
        <v>3152.24</v>
      </c>
      <c r="Q799">
        <v>1552.55</v>
      </c>
      <c r="R799">
        <v>2985.6</v>
      </c>
      <c r="S799">
        <v>1099.8</v>
      </c>
      <c r="T799">
        <v>104123.35</v>
      </c>
      <c r="U799">
        <v>38514.85</v>
      </c>
      <c r="V799">
        <v>12401.11</v>
      </c>
      <c r="W799">
        <v>12577.76</v>
      </c>
      <c r="X799">
        <v>122523.77</v>
      </c>
      <c r="Y799">
        <v>101477.3</v>
      </c>
    </row>
    <row r="800" spans="1:25" x14ac:dyDescent="0.25">
      <c r="A800" t="s">
        <v>851</v>
      </c>
      <c r="B800" s="1">
        <v>45150</v>
      </c>
      <c r="C800">
        <v>2023</v>
      </c>
      <c r="D800">
        <v>8</v>
      </c>
      <c r="E800" t="s">
        <v>814</v>
      </c>
      <c r="F800" t="s">
        <v>691</v>
      </c>
      <c r="G800" t="s">
        <v>55</v>
      </c>
      <c r="H800" t="s">
        <v>58</v>
      </c>
      <c r="I800" t="s">
        <v>37</v>
      </c>
      <c r="J800">
        <v>56</v>
      </c>
      <c r="K800">
        <v>929.86</v>
      </c>
      <c r="L800">
        <v>52072.13</v>
      </c>
      <c r="M800">
        <v>34564.589999999997</v>
      </c>
      <c r="N800">
        <v>5633.14</v>
      </c>
      <c r="O800">
        <v>1650.31</v>
      </c>
      <c r="P800">
        <v>1527.62</v>
      </c>
      <c r="Q800">
        <v>595.91999999999996</v>
      </c>
      <c r="R800">
        <v>2604.59</v>
      </c>
      <c r="S800">
        <v>1083.75</v>
      </c>
      <c r="T800">
        <v>47659.91</v>
      </c>
      <c r="U800">
        <v>17507.54</v>
      </c>
      <c r="V800">
        <v>4412.22</v>
      </c>
      <c r="W800">
        <v>4251.17</v>
      </c>
      <c r="X800">
        <v>53746.78</v>
      </c>
      <c r="Y800">
        <v>47652.05</v>
      </c>
    </row>
    <row r="801" spans="1:25" x14ac:dyDescent="0.25">
      <c r="A801" t="s">
        <v>852</v>
      </c>
      <c r="B801" s="1">
        <v>45150</v>
      </c>
      <c r="C801">
        <v>2023</v>
      </c>
      <c r="D801">
        <v>8</v>
      </c>
      <c r="E801" t="s">
        <v>814</v>
      </c>
      <c r="F801" t="s">
        <v>691</v>
      </c>
      <c r="G801" t="s">
        <v>28</v>
      </c>
      <c r="H801" t="s">
        <v>36</v>
      </c>
      <c r="I801" t="s">
        <v>33</v>
      </c>
      <c r="J801">
        <v>44</v>
      </c>
      <c r="K801">
        <v>1490.96</v>
      </c>
      <c r="L801">
        <v>65602.13</v>
      </c>
      <c r="M801">
        <v>34489.339999999997</v>
      </c>
      <c r="N801">
        <v>5702.38</v>
      </c>
      <c r="O801">
        <v>1782.13</v>
      </c>
      <c r="P801">
        <v>1752.73</v>
      </c>
      <c r="Q801">
        <v>451.92</v>
      </c>
      <c r="R801">
        <v>3508.17</v>
      </c>
      <c r="S801">
        <v>576.64</v>
      </c>
      <c r="T801">
        <v>48263.32</v>
      </c>
      <c r="U801">
        <v>31112.79</v>
      </c>
      <c r="V801">
        <v>17338.810000000001</v>
      </c>
      <c r="W801">
        <v>15601.13</v>
      </c>
      <c r="X801">
        <v>69003.009999999995</v>
      </c>
      <c r="Y801">
        <v>45595.19</v>
      </c>
    </row>
    <row r="802" spans="1:25" x14ac:dyDescent="0.25">
      <c r="A802" t="s">
        <v>853</v>
      </c>
      <c r="B802" s="1">
        <v>45150</v>
      </c>
      <c r="C802">
        <v>2023</v>
      </c>
      <c r="D802">
        <v>8</v>
      </c>
      <c r="E802" t="s">
        <v>814</v>
      </c>
      <c r="F802" t="s">
        <v>691</v>
      </c>
      <c r="G802" t="s">
        <v>55</v>
      </c>
      <c r="H802" t="s">
        <v>32</v>
      </c>
      <c r="I802" t="s">
        <v>65</v>
      </c>
      <c r="J802">
        <v>66</v>
      </c>
      <c r="K802">
        <v>1257.25</v>
      </c>
      <c r="L802">
        <v>82978.179999999993</v>
      </c>
      <c r="M802">
        <v>53785.18</v>
      </c>
      <c r="N802">
        <v>8713.4</v>
      </c>
      <c r="O802">
        <v>4141.1000000000004</v>
      </c>
      <c r="P802">
        <v>2818.57</v>
      </c>
      <c r="Q802">
        <v>812.14</v>
      </c>
      <c r="R802">
        <v>4483.55</v>
      </c>
      <c r="S802">
        <v>1399.2</v>
      </c>
      <c r="T802">
        <v>76153.14</v>
      </c>
      <c r="U802">
        <v>29193</v>
      </c>
      <c r="V802">
        <v>6825.04</v>
      </c>
      <c r="W802">
        <v>6141.68</v>
      </c>
      <c r="X802">
        <v>89449.25</v>
      </c>
      <c r="Y802">
        <v>81004.240000000005</v>
      </c>
    </row>
    <row r="803" spans="1:25" x14ac:dyDescent="0.25">
      <c r="A803" t="s">
        <v>854</v>
      </c>
      <c r="B803" s="1">
        <v>45151</v>
      </c>
      <c r="C803">
        <v>2023</v>
      </c>
      <c r="D803">
        <v>8</v>
      </c>
      <c r="E803" t="s">
        <v>814</v>
      </c>
      <c r="F803" t="s">
        <v>691</v>
      </c>
      <c r="G803" t="s">
        <v>44</v>
      </c>
      <c r="H803" t="s">
        <v>32</v>
      </c>
      <c r="I803" t="s">
        <v>45</v>
      </c>
      <c r="J803">
        <v>40</v>
      </c>
      <c r="K803">
        <v>1198.4000000000001</v>
      </c>
      <c r="L803">
        <v>47936.1</v>
      </c>
      <c r="M803">
        <v>25670.09</v>
      </c>
      <c r="N803">
        <v>4687.6000000000004</v>
      </c>
      <c r="O803">
        <v>3033.97</v>
      </c>
      <c r="P803">
        <v>1056.54</v>
      </c>
      <c r="Q803">
        <v>301.14</v>
      </c>
      <c r="R803">
        <v>1841.86</v>
      </c>
      <c r="S803">
        <v>662.04</v>
      </c>
      <c r="T803">
        <v>37253.25</v>
      </c>
      <c r="U803">
        <v>22266.01</v>
      </c>
      <c r="V803">
        <v>10682.85</v>
      </c>
      <c r="W803">
        <v>9759.65</v>
      </c>
      <c r="X803">
        <v>50961.38</v>
      </c>
      <c r="Y803">
        <v>36590.550000000003</v>
      </c>
    </row>
    <row r="804" spans="1:25" x14ac:dyDescent="0.25">
      <c r="A804" t="s">
        <v>855</v>
      </c>
      <c r="B804" s="1">
        <v>45151</v>
      </c>
      <c r="C804">
        <v>2023</v>
      </c>
      <c r="D804">
        <v>8</v>
      </c>
      <c r="E804" t="s">
        <v>814</v>
      </c>
      <c r="F804" t="s">
        <v>691</v>
      </c>
      <c r="G804" t="s">
        <v>55</v>
      </c>
      <c r="H804" t="s">
        <v>58</v>
      </c>
      <c r="I804" t="s">
        <v>33</v>
      </c>
      <c r="J804">
        <v>35</v>
      </c>
      <c r="K804">
        <v>1629.57</v>
      </c>
      <c r="L804">
        <v>57034.83</v>
      </c>
      <c r="M804">
        <v>31096.53</v>
      </c>
      <c r="N804">
        <v>6274.64</v>
      </c>
      <c r="O804">
        <v>2356.4699999999998</v>
      </c>
      <c r="P804">
        <v>1271.83</v>
      </c>
      <c r="Q804">
        <v>423.67</v>
      </c>
      <c r="R804">
        <v>3136.01</v>
      </c>
      <c r="S804">
        <v>1213.1500000000001</v>
      </c>
      <c r="T804">
        <v>45772.3</v>
      </c>
      <c r="U804">
        <v>25938.3</v>
      </c>
      <c r="V804">
        <v>11262.52</v>
      </c>
      <c r="W804">
        <v>10876.55</v>
      </c>
      <c r="X804">
        <v>54428.39</v>
      </c>
      <c r="Y804">
        <v>45235.35</v>
      </c>
    </row>
    <row r="805" spans="1:25" x14ac:dyDescent="0.25">
      <c r="A805" t="s">
        <v>856</v>
      </c>
      <c r="B805" s="1">
        <v>45151</v>
      </c>
      <c r="C805">
        <v>2023</v>
      </c>
      <c r="D805">
        <v>8</v>
      </c>
      <c r="E805" t="s">
        <v>814</v>
      </c>
      <c r="F805" t="s">
        <v>691</v>
      </c>
      <c r="G805" t="s">
        <v>55</v>
      </c>
      <c r="H805" t="s">
        <v>58</v>
      </c>
      <c r="I805" t="s">
        <v>50</v>
      </c>
      <c r="J805">
        <v>32</v>
      </c>
      <c r="K805">
        <v>1596.49</v>
      </c>
      <c r="L805">
        <v>51087.65</v>
      </c>
      <c r="M805">
        <v>30080.1</v>
      </c>
      <c r="N805">
        <v>5438.08</v>
      </c>
      <c r="O805">
        <v>3638.65</v>
      </c>
      <c r="P805">
        <v>802.43</v>
      </c>
      <c r="Q805">
        <v>750.11</v>
      </c>
      <c r="R805">
        <v>1574.3</v>
      </c>
      <c r="S805">
        <v>490.8</v>
      </c>
      <c r="T805">
        <v>42774.47</v>
      </c>
      <c r="U805">
        <v>21007.55</v>
      </c>
      <c r="V805">
        <v>8313.18</v>
      </c>
      <c r="W805">
        <v>7389.95</v>
      </c>
      <c r="X805">
        <v>54314.2</v>
      </c>
      <c r="Y805">
        <v>45394.53</v>
      </c>
    </row>
    <row r="806" spans="1:25" x14ac:dyDescent="0.25">
      <c r="A806" t="s">
        <v>857</v>
      </c>
      <c r="B806" s="1">
        <v>45152</v>
      </c>
      <c r="C806">
        <v>2023</v>
      </c>
      <c r="D806">
        <v>8</v>
      </c>
      <c r="E806" t="s">
        <v>814</v>
      </c>
      <c r="F806" t="s">
        <v>691</v>
      </c>
      <c r="G806" t="s">
        <v>28</v>
      </c>
      <c r="H806" t="s">
        <v>32</v>
      </c>
      <c r="I806" t="s">
        <v>45</v>
      </c>
      <c r="J806">
        <v>35</v>
      </c>
      <c r="K806">
        <v>1651.42</v>
      </c>
      <c r="L806">
        <v>57799.87</v>
      </c>
      <c r="M806">
        <v>33146.980000000003</v>
      </c>
      <c r="N806">
        <v>5961.64</v>
      </c>
      <c r="O806">
        <v>3425.46</v>
      </c>
      <c r="P806">
        <v>2383.73</v>
      </c>
      <c r="Q806">
        <v>897.51</v>
      </c>
      <c r="R806">
        <v>1876.46</v>
      </c>
      <c r="S806">
        <v>480.52</v>
      </c>
      <c r="T806">
        <v>48172.29</v>
      </c>
      <c r="U806">
        <v>24652.89</v>
      </c>
      <c r="V806">
        <v>9627.58</v>
      </c>
      <c r="W806">
        <v>9244.7000000000007</v>
      </c>
      <c r="X806">
        <v>61162.1</v>
      </c>
      <c r="Y806">
        <v>50923.65</v>
      </c>
    </row>
    <row r="807" spans="1:25" x14ac:dyDescent="0.25">
      <c r="A807" t="s">
        <v>858</v>
      </c>
      <c r="B807" s="1">
        <v>45152</v>
      </c>
      <c r="C807">
        <v>2023</v>
      </c>
      <c r="D807">
        <v>8</v>
      </c>
      <c r="E807" t="s">
        <v>814</v>
      </c>
      <c r="F807" t="s">
        <v>691</v>
      </c>
      <c r="G807" t="s">
        <v>28</v>
      </c>
      <c r="H807" t="s">
        <v>53</v>
      </c>
      <c r="I807" t="s">
        <v>56</v>
      </c>
      <c r="J807">
        <v>34</v>
      </c>
      <c r="K807">
        <v>858.98</v>
      </c>
      <c r="L807">
        <v>29205.439999999999</v>
      </c>
      <c r="M807">
        <v>17440.900000000001</v>
      </c>
      <c r="N807">
        <v>3044.84</v>
      </c>
      <c r="O807">
        <v>1733.98</v>
      </c>
      <c r="P807">
        <v>682.71</v>
      </c>
      <c r="Q807">
        <v>198.03</v>
      </c>
      <c r="R807">
        <v>1136.76</v>
      </c>
      <c r="S807">
        <v>512.35</v>
      </c>
      <c r="T807">
        <v>24749.57</v>
      </c>
      <c r="U807">
        <v>11764.54</v>
      </c>
      <c r="V807">
        <v>4455.87</v>
      </c>
      <c r="W807">
        <v>4227.8599999999997</v>
      </c>
      <c r="X807">
        <v>30508.6</v>
      </c>
      <c r="Y807">
        <v>26230.49</v>
      </c>
    </row>
    <row r="808" spans="1:25" x14ac:dyDescent="0.25">
      <c r="A808" t="s">
        <v>859</v>
      </c>
      <c r="B808" s="1">
        <v>45152</v>
      </c>
      <c r="C808">
        <v>2023</v>
      </c>
      <c r="D808">
        <v>8</v>
      </c>
      <c r="E808" t="s">
        <v>814</v>
      </c>
      <c r="F808" t="s">
        <v>691</v>
      </c>
      <c r="G808" t="s">
        <v>28</v>
      </c>
      <c r="H808" t="s">
        <v>32</v>
      </c>
      <c r="I808" t="s">
        <v>50</v>
      </c>
      <c r="J808">
        <v>66</v>
      </c>
      <c r="K808">
        <v>1139.6500000000001</v>
      </c>
      <c r="L808">
        <v>75216.62</v>
      </c>
      <c r="M808">
        <v>40446.49</v>
      </c>
      <c r="N808">
        <v>8149.96</v>
      </c>
      <c r="O808">
        <v>5442.69</v>
      </c>
      <c r="P808">
        <v>2542.7199999999998</v>
      </c>
      <c r="Q808">
        <v>1110.2</v>
      </c>
      <c r="R808">
        <v>4225.95</v>
      </c>
      <c r="S808">
        <v>893.71</v>
      </c>
      <c r="T808">
        <v>62811.72</v>
      </c>
      <c r="U808">
        <v>34770.129999999997</v>
      </c>
      <c r="V808">
        <v>12404.9</v>
      </c>
      <c r="W808">
        <v>12006.16</v>
      </c>
      <c r="X808">
        <v>75486.929999999993</v>
      </c>
      <c r="Y808">
        <v>64849.74</v>
      </c>
    </row>
    <row r="809" spans="1:25" x14ac:dyDescent="0.25">
      <c r="A809" t="s">
        <v>860</v>
      </c>
      <c r="B809" s="1">
        <v>45152</v>
      </c>
      <c r="C809">
        <v>2023</v>
      </c>
      <c r="D809">
        <v>8</v>
      </c>
      <c r="E809" t="s">
        <v>814</v>
      </c>
      <c r="F809" t="s">
        <v>691</v>
      </c>
      <c r="G809" t="s">
        <v>55</v>
      </c>
      <c r="H809" t="s">
        <v>36</v>
      </c>
      <c r="I809" t="s">
        <v>33</v>
      </c>
      <c r="J809">
        <v>38</v>
      </c>
      <c r="K809">
        <v>1613.51</v>
      </c>
      <c r="L809">
        <v>61313.45</v>
      </c>
      <c r="M809">
        <v>40239.67</v>
      </c>
      <c r="N809">
        <v>6318.46</v>
      </c>
      <c r="O809">
        <v>2841.03</v>
      </c>
      <c r="P809">
        <v>2232.63</v>
      </c>
      <c r="Q809">
        <v>704.1</v>
      </c>
      <c r="R809">
        <v>2394.62</v>
      </c>
      <c r="S809">
        <v>848.77</v>
      </c>
      <c r="T809">
        <v>55579.29</v>
      </c>
      <c r="U809">
        <v>21073.79</v>
      </c>
      <c r="V809">
        <v>5734.16</v>
      </c>
      <c r="W809">
        <v>5372.68</v>
      </c>
      <c r="X809">
        <v>66888.789999999994</v>
      </c>
      <c r="Y809">
        <v>56935.07</v>
      </c>
    </row>
    <row r="810" spans="1:25" x14ac:dyDescent="0.25">
      <c r="A810" t="s">
        <v>861</v>
      </c>
      <c r="B810" s="1">
        <v>45153</v>
      </c>
      <c r="C810">
        <v>2023</v>
      </c>
      <c r="D810">
        <v>8</v>
      </c>
      <c r="E810" t="s">
        <v>814</v>
      </c>
      <c r="F810" t="s">
        <v>691</v>
      </c>
      <c r="G810" t="s">
        <v>35</v>
      </c>
      <c r="H810" t="s">
        <v>32</v>
      </c>
      <c r="I810" t="s">
        <v>30</v>
      </c>
      <c r="J810">
        <v>49</v>
      </c>
      <c r="K810">
        <v>1624.58</v>
      </c>
      <c r="L810">
        <v>79604.56</v>
      </c>
      <c r="M810">
        <v>48419.95</v>
      </c>
      <c r="N810">
        <v>6322.21</v>
      </c>
      <c r="O810">
        <v>5705.62</v>
      </c>
      <c r="P810">
        <v>1439.61</v>
      </c>
      <c r="Q810">
        <v>699.38</v>
      </c>
      <c r="R810">
        <v>2087.7800000000002</v>
      </c>
      <c r="S810">
        <v>1829.46</v>
      </c>
      <c r="T810">
        <v>66504</v>
      </c>
      <c r="U810">
        <v>31184.61</v>
      </c>
      <c r="V810">
        <v>13100.56</v>
      </c>
      <c r="W810">
        <v>13119.15</v>
      </c>
      <c r="X810">
        <v>77697.919999999998</v>
      </c>
      <c r="Y810">
        <v>72114.73</v>
      </c>
    </row>
    <row r="811" spans="1:25" x14ac:dyDescent="0.25">
      <c r="A811" t="s">
        <v>862</v>
      </c>
      <c r="B811" s="1">
        <v>45153</v>
      </c>
      <c r="C811">
        <v>2023</v>
      </c>
      <c r="D811">
        <v>8</v>
      </c>
      <c r="E811" t="s">
        <v>814</v>
      </c>
      <c r="F811" t="s">
        <v>691</v>
      </c>
      <c r="G811" t="s">
        <v>28</v>
      </c>
      <c r="H811" t="s">
        <v>32</v>
      </c>
      <c r="I811" t="s">
        <v>65</v>
      </c>
      <c r="J811">
        <v>61</v>
      </c>
      <c r="K811">
        <v>1395.41</v>
      </c>
      <c r="L811">
        <v>85119.93</v>
      </c>
      <c r="M811">
        <v>46917.05</v>
      </c>
      <c r="N811">
        <v>7597.9</v>
      </c>
      <c r="O811">
        <v>6145.69</v>
      </c>
      <c r="P811">
        <v>2120.77</v>
      </c>
      <c r="Q811">
        <v>911.77</v>
      </c>
      <c r="R811">
        <v>5505.06</v>
      </c>
      <c r="S811">
        <v>1209.69</v>
      </c>
      <c r="T811">
        <v>70407.92</v>
      </c>
      <c r="U811">
        <v>38202.89</v>
      </c>
      <c r="V811">
        <v>14712.01</v>
      </c>
      <c r="W811">
        <v>14382.71</v>
      </c>
      <c r="X811">
        <v>84020.03</v>
      </c>
      <c r="Y811">
        <v>67485.66</v>
      </c>
    </row>
    <row r="812" spans="1:25" x14ac:dyDescent="0.25">
      <c r="A812" t="s">
        <v>863</v>
      </c>
      <c r="B812" s="1">
        <v>45153</v>
      </c>
      <c r="C812">
        <v>2023</v>
      </c>
      <c r="D812">
        <v>8</v>
      </c>
      <c r="E812" t="s">
        <v>814</v>
      </c>
      <c r="F812" t="s">
        <v>691</v>
      </c>
      <c r="G812" t="s">
        <v>28</v>
      </c>
      <c r="H812" t="s">
        <v>53</v>
      </c>
      <c r="I812" t="s">
        <v>39</v>
      </c>
      <c r="J812">
        <v>30</v>
      </c>
      <c r="K812">
        <v>1633.87</v>
      </c>
      <c r="L812">
        <v>49015.96</v>
      </c>
      <c r="M812">
        <v>28627.72</v>
      </c>
      <c r="N812">
        <v>5127.4399999999996</v>
      </c>
      <c r="O812">
        <v>2421.25</v>
      </c>
      <c r="P812">
        <v>920.53</v>
      </c>
      <c r="Q812">
        <v>362.37</v>
      </c>
      <c r="R812">
        <v>1944.67</v>
      </c>
      <c r="S812">
        <v>768.59</v>
      </c>
      <c r="T812">
        <v>40172.559999999998</v>
      </c>
      <c r="U812">
        <v>20388.240000000002</v>
      </c>
      <c r="V812">
        <v>8843.4</v>
      </c>
      <c r="W812">
        <v>7993.79</v>
      </c>
      <c r="X812">
        <v>51519.97</v>
      </c>
      <c r="Y812">
        <v>43109.74</v>
      </c>
    </row>
    <row r="813" spans="1:25" x14ac:dyDescent="0.25">
      <c r="A813" t="s">
        <v>864</v>
      </c>
      <c r="B813" s="1">
        <v>45153</v>
      </c>
      <c r="C813">
        <v>2023</v>
      </c>
      <c r="D813">
        <v>8</v>
      </c>
      <c r="E813" t="s">
        <v>814</v>
      </c>
      <c r="F813" t="s">
        <v>691</v>
      </c>
      <c r="G813" t="s">
        <v>28</v>
      </c>
      <c r="H813" t="s">
        <v>29</v>
      </c>
      <c r="I813" t="s">
        <v>45</v>
      </c>
      <c r="J813">
        <v>49</v>
      </c>
      <c r="K813">
        <v>1159.54</v>
      </c>
      <c r="L813">
        <v>56817.27</v>
      </c>
      <c r="M813">
        <v>35805.910000000003</v>
      </c>
      <c r="N813">
        <v>5056.32</v>
      </c>
      <c r="O813">
        <v>1776.28</v>
      </c>
      <c r="P813">
        <v>1132.46</v>
      </c>
      <c r="Q813">
        <v>310.26</v>
      </c>
      <c r="R813">
        <v>1930.14</v>
      </c>
      <c r="S813">
        <v>1016.29</v>
      </c>
      <c r="T813">
        <v>47027.67</v>
      </c>
      <c r="U813">
        <v>21011.360000000001</v>
      </c>
      <c r="V813">
        <v>9789.6</v>
      </c>
      <c r="W813">
        <v>9047.4699999999993</v>
      </c>
      <c r="X813">
        <v>55850.96</v>
      </c>
      <c r="Y813">
        <v>51108.03</v>
      </c>
    </row>
    <row r="814" spans="1:25" x14ac:dyDescent="0.25">
      <c r="A814" t="s">
        <v>865</v>
      </c>
      <c r="B814" s="1">
        <v>45153</v>
      </c>
      <c r="C814">
        <v>2023</v>
      </c>
      <c r="D814">
        <v>8</v>
      </c>
      <c r="E814" t="s">
        <v>814</v>
      </c>
      <c r="F814" t="s">
        <v>691</v>
      </c>
      <c r="G814" t="s">
        <v>55</v>
      </c>
      <c r="H814" t="s">
        <v>58</v>
      </c>
      <c r="I814" t="s">
        <v>45</v>
      </c>
      <c r="J814">
        <v>66</v>
      </c>
      <c r="K814">
        <v>861.74</v>
      </c>
      <c r="L814">
        <v>56875.13</v>
      </c>
      <c r="M814">
        <v>36468.15</v>
      </c>
      <c r="N814">
        <v>6664.16</v>
      </c>
      <c r="O814">
        <v>3332.33</v>
      </c>
      <c r="P814">
        <v>1530.8</v>
      </c>
      <c r="Q814">
        <v>599.1</v>
      </c>
      <c r="R814">
        <v>2208.09</v>
      </c>
      <c r="S814">
        <v>753.53</v>
      </c>
      <c r="T814">
        <v>51556.160000000003</v>
      </c>
      <c r="U814">
        <v>20406.98</v>
      </c>
      <c r="V814">
        <v>5318.97</v>
      </c>
      <c r="W814">
        <v>5268.27</v>
      </c>
      <c r="X814">
        <v>54442.37</v>
      </c>
      <c r="Y814">
        <v>54353.49</v>
      </c>
    </row>
    <row r="815" spans="1:25" x14ac:dyDescent="0.25">
      <c r="A815" t="s">
        <v>866</v>
      </c>
      <c r="B815" s="1">
        <v>45153</v>
      </c>
      <c r="C815">
        <v>2023</v>
      </c>
      <c r="D815">
        <v>8</v>
      </c>
      <c r="E815" t="s">
        <v>814</v>
      </c>
      <c r="F815" t="s">
        <v>691</v>
      </c>
      <c r="G815" t="s">
        <v>55</v>
      </c>
      <c r="H815" t="s">
        <v>53</v>
      </c>
      <c r="I815" t="s">
        <v>30</v>
      </c>
      <c r="J815">
        <v>80</v>
      </c>
      <c r="K815">
        <v>1148.52</v>
      </c>
      <c r="L815">
        <v>91881.75</v>
      </c>
      <c r="M815">
        <v>57549.2</v>
      </c>
      <c r="N815">
        <v>8615.51</v>
      </c>
      <c r="O815">
        <v>4639.9399999999996</v>
      </c>
      <c r="P815">
        <v>3678.91</v>
      </c>
      <c r="Q815">
        <v>1114.28</v>
      </c>
      <c r="R815">
        <v>4937.8999999999996</v>
      </c>
      <c r="S815">
        <v>1632.9</v>
      </c>
      <c r="T815">
        <v>82168.649999999994</v>
      </c>
      <c r="U815">
        <v>34332.550000000003</v>
      </c>
      <c r="V815">
        <v>9713.1</v>
      </c>
      <c r="W815">
        <v>9415.31</v>
      </c>
      <c r="X815">
        <v>91409.39</v>
      </c>
      <c r="Y815">
        <v>82036.81</v>
      </c>
    </row>
    <row r="816" spans="1:25" x14ac:dyDescent="0.25">
      <c r="A816" t="s">
        <v>867</v>
      </c>
      <c r="B816" s="1">
        <v>45153</v>
      </c>
      <c r="C816">
        <v>2023</v>
      </c>
      <c r="D816">
        <v>8</v>
      </c>
      <c r="E816" t="s">
        <v>814</v>
      </c>
      <c r="F816" t="s">
        <v>691</v>
      </c>
      <c r="G816" t="s">
        <v>28</v>
      </c>
      <c r="H816" t="s">
        <v>32</v>
      </c>
      <c r="I816" t="s">
        <v>56</v>
      </c>
      <c r="J816">
        <v>27</v>
      </c>
      <c r="K816">
        <v>1638.04</v>
      </c>
      <c r="L816">
        <v>44227.02</v>
      </c>
      <c r="M816">
        <v>21328.49</v>
      </c>
      <c r="N816">
        <v>4090.63</v>
      </c>
      <c r="O816">
        <v>3284.93</v>
      </c>
      <c r="P816">
        <v>1927.63</v>
      </c>
      <c r="Q816">
        <v>224.22</v>
      </c>
      <c r="R816">
        <v>2625.42</v>
      </c>
      <c r="S816">
        <v>690.56</v>
      </c>
      <c r="T816">
        <v>34171.879999999997</v>
      </c>
      <c r="U816">
        <v>22898.54</v>
      </c>
      <c r="V816">
        <v>10055.14</v>
      </c>
      <c r="W816">
        <v>10082.48</v>
      </c>
      <c r="X816">
        <v>42109.07</v>
      </c>
      <c r="Y816">
        <v>33646.19</v>
      </c>
    </row>
    <row r="817" spans="1:25" x14ac:dyDescent="0.25">
      <c r="A817" t="s">
        <v>868</v>
      </c>
      <c r="B817" s="1">
        <v>45153</v>
      </c>
      <c r="C817">
        <v>2023</v>
      </c>
      <c r="D817">
        <v>8</v>
      </c>
      <c r="E817" t="s">
        <v>814</v>
      </c>
      <c r="F817" t="s">
        <v>691</v>
      </c>
      <c r="G817" t="s">
        <v>28</v>
      </c>
      <c r="H817" t="s">
        <v>53</v>
      </c>
      <c r="I817" t="s">
        <v>30</v>
      </c>
      <c r="J817">
        <v>63</v>
      </c>
      <c r="K817">
        <v>1156.9000000000001</v>
      </c>
      <c r="L817">
        <v>72884.73</v>
      </c>
      <c r="M817">
        <v>48051.92</v>
      </c>
      <c r="N817">
        <v>7861.55</v>
      </c>
      <c r="O817">
        <v>2660.67</v>
      </c>
      <c r="P817">
        <v>2524.21</v>
      </c>
      <c r="Q817">
        <v>607.14</v>
      </c>
      <c r="R817">
        <v>2949.5</v>
      </c>
      <c r="S817">
        <v>1733.66</v>
      </c>
      <c r="T817">
        <v>66388.649999999994</v>
      </c>
      <c r="U817">
        <v>24832.82</v>
      </c>
      <c r="V817">
        <v>6496.08</v>
      </c>
      <c r="W817">
        <v>6147.88</v>
      </c>
      <c r="X817">
        <v>67968.72</v>
      </c>
      <c r="Y817">
        <v>71370.81</v>
      </c>
    </row>
    <row r="818" spans="1:25" x14ac:dyDescent="0.25">
      <c r="A818" t="s">
        <v>869</v>
      </c>
      <c r="B818" s="1">
        <v>45154</v>
      </c>
      <c r="C818">
        <v>2023</v>
      </c>
      <c r="D818">
        <v>8</v>
      </c>
      <c r="E818" t="s">
        <v>814</v>
      </c>
      <c r="F818" t="s">
        <v>691</v>
      </c>
      <c r="G818" t="s">
        <v>44</v>
      </c>
      <c r="H818" t="s">
        <v>32</v>
      </c>
      <c r="I818" t="s">
        <v>56</v>
      </c>
      <c r="J818">
        <v>43</v>
      </c>
      <c r="K818">
        <v>1150.27</v>
      </c>
      <c r="L818">
        <v>49461.58</v>
      </c>
      <c r="M818">
        <v>25817.73</v>
      </c>
      <c r="N818">
        <v>4233.05</v>
      </c>
      <c r="O818">
        <v>1368.47</v>
      </c>
      <c r="P818">
        <v>1753.19</v>
      </c>
      <c r="Q818">
        <v>418.15</v>
      </c>
      <c r="R818">
        <v>3192.03</v>
      </c>
      <c r="S818">
        <v>668.26</v>
      </c>
      <c r="T818">
        <v>37450.879999999997</v>
      </c>
      <c r="U818">
        <v>23643.85</v>
      </c>
      <c r="V818">
        <v>12010.7</v>
      </c>
      <c r="W818">
        <v>10729.18</v>
      </c>
      <c r="X818">
        <v>50919.76</v>
      </c>
      <c r="Y818">
        <v>37318.800000000003</v>
      </c>
    </row>
    <row r="819" spans="1:25" x14ac:dyDescent="0.25">
      <c r="A819" t="s">
        <v>870</v>
      </c>
      <c r="B819" s="1">
        <v>45154</v>
      </c>
      <c r="C819">
        <v>2023</v>
      </c>
      <c r="D819">
        <v>8</v>
      </c>
      <c r="E819" t="s">
        <v>814</v>
      </c>
      <c r="F819" t="s">
        <v>691</v>
      </c>
      <c r="G819" t="s">
        <v>28</v>
      </c>
      <c r="H819" t="s">
        <v>53</v>
      </c>
      <c r="I819" t="s">
        <v>45</v>
      </c>
      <c r="J819">
        <v>38</v>
      </c>
      <c r="K819">
        <v>1289.78</v>
      </c>
      <c r="L819">
        <v>49011.7</v>
      </c>
      <c r="M819">
        <v>28558.16</v>
      </c>
      <c r="N819">
        <v>5440.26</v>
      </c>
      <c r="O819">
        <v>2298.2399999999998</v>
      </c>
      <c r="P819">
        <v>760.51</v>
      </c>
      <c r="Q819">
        <v>384.49</v>
      </c>
      <c r="R819">
        <v>2688.87</v>
      </c>
      <c r="S819">
        <v>884.84</v>
      </c>
      <c r="T819">
        <v>41015.370000000003</v>
      </c>
      <c r="U819">
        <v>20453.54</v>
      </c>
      <c r="V819">
        <v>7996.33</v>
      </c>
      <c r="W819">
        <v>7915.42</v>
      </c>
      <c r="X819">
        <v>53540.92</v>
      </c>
      <c r="Y819">
        <v>44982.14</v>
      </c>
    </row>
    <row r="820" spans="1:25" x14ac:dyDescent="0.25">
      <c r="A820" t="s">
        <v>871</v>
      </c>
      <c r="B820" s="1">
        <v>45155</v>
      </c>
      <c r="C820">
        <v>2023</v>
      </c>
      <c r="D820">
        <v>8</v>
      </c>
      <c r="E820" t="s">
        <v>814</v>
      </c>
      <c r="F820" t="s">
        <v>691</v>
      </c>
      <c r="G820" t="s">
        <v>35</v>
      </c>
      <c r="H820" t="s">
        <v>32</v>
      </c>
      <c r="I820" t="s">
        <v>56</v>
      </c>
      <c r="J820">
        <v>43</v>
      </c>
      <c r="K820">
        <v>925.61</v>
      </c>
      <c r="L820">
        <v>39801.14</v>
      </c>
      <c r="M820">
        <v>24397.95</v>
      </c>
      <c r="N820">
        <v>4140.05</v>
      </c>
      <c r="O820">
        <v>1844.76</v>
      </c>
      <c r="P820">
        <v>1033.79</v>
      </c>
      <c r="Q820">
        <v>599.4</v>
      </c>
      <c r="R820">
        <v>2218.0700000000002</v>
      </c>
      <c r="S820">
        <v>767.97</v>
      </c>
      <c r="T820">
        <v>35001.99</v>
      </c>
      <c r="U820">
        <v>15403.19</v>
      </c>
      <c r="V820">
        <v>4799.1499999999996</v>
      </c>
      <c r="W820">
        <v>4699.8</v>
      </c>
      <c r="X820">
        <v>38896.050000000003</v>
      </c>
      <c r="Y820">
        <v>34379.46</v>
      </c>
    </row>
    <row r="821" spans="1:25" x14ac:dyDescent="0.25">
      <c r="A821" t="s">
        <v>872</v>
      </c>
      <c r="B821" s="1">
        <v>45156</v>
      </c>
      <c r="C821">
        <v>2023</v>
      </c>
      <c r="D821">
        <v>8</v>
      </c>
      <c r="E821" t="s">
        <v>814</v>
      </c>
      <c r="F821" t="s">
        <v>691</v>
      </c>
      <c r="G821" t="s">
        <v>44</v>
      </c>
      <c r="H821" t="s">
        <v>36</v>
      </c>
      <c r="I821" t="s">
        <v>56</v>
      </c>
      <c r="J821">
        <v>33</v>
      </c>
      <c r="K821">
        <v>1001.85</v>
      </c>
      <c r="L821">
        <v>33060.9</v>
      </c>
      <c r="M821">
        <v>21282.06</v>
      </c>
      <c r="N821">
        <v>4102.74</v>
      </c>
      <c r="O821">
        <v>2113.2199999999998</v>
      </c>
      <c r="P821">
        <v>797.54</v>
      </c>
      <c r="Q821">
        <v>565.78</v>
      </c>
      <c r="R821">
        <v>2025.29</v>
      </c>
      <c r="S821">
        <v>693.99</v>
      </c>
      <c r="T821">
        <v>31580.63</v>
      </c>
      <c r="U821">
        <v>11778.84</v>
      </c>
      <c r="V821">
        <v>1480.27</v>
      </c>
      <c r="W821">
        <v>1421.23</v>
      </c>
      <c r="X821">
        <v>31568.55</v>
      </c>
      <c r="Y821">
        <v>32261.9</v>
      </c>
    </row>
    <row r="822" spans="1:25" x14ac:dyDescent="0.25">
      <c r="A822" t="s">
        <v>873</v>
      </c>
      <c r="B822" s="1">
        <v>45156</v>
      </c>
      <c r="C822">
        <v>2023</v>
      </c>
      <c r="D822">
        <v>8</v>
      </c>
      <c r="E822" t="s">
        <v>814</v>
      </c>
      <c r="F822" t="s">
        <v>691</v>
      </c>
      <c r="G822" t="s">
        <v>44</v>
      </c>
      <c r="H822" t="s">
        <v>53</v>
      </c>
      <c r="I822" t="s">
        <v>50</v>
      </c>
      <c r="J822">
        <v>28</v>
      </c>
      <c r="K822">
        <v>1820.66</v>
      </c>
      <c r="L822">
        <v>50978.49</v>
      </c>
      <c r="M822">
        <v>31611.34</v>
      </c>
      <c r="N822">
        <v>6295.47</v>
      </c>
      <c r="O822">
        <v>3807.05</v>
      </c>
      <c r="P822">
        <v>2154.75</v>
      </c>
      <c r="Q822">
        <v>630.55999999999995</v>
      </c>
      <c r="R822">
        <v>3169.92</v>
      </c>
      <c r="S822">
        <v>1185.1500000000001</v>
      </c>
      <c r="T822">
        <v>48854.239999999998</v>
      </c>
      <c r="U822">
        <v>19367.150000000001</v>
      </c>
      <c r="V822">
        <v>2124.2600000000002</v>
      </c>
      <c r="W822">
        <v>1896.98</v>
      </c>
      <c r="X822">
        <v>50626.28</v>
      </c>
      <c r="Y822">
        <v>51715.31</v>
      </c>
    </row>
    <row r="823" spans="1:25" x14ac:dyDescent="0.25">
      <c r="A823" t="s">
        <v>874</v>
      </c>
      <c r="B823" s="1">
        <v>45156</v>
      </c>
      <c r="C823">
        <v>2023</v>
      </c>
      <c r="D823">
        <v>8</v>
      </c>
      <c r="E823" t="s">
        <v>814</v>
      </c>
      <c r="F823" t="s">
        <v>691</v>
      </c>
      <c r="G823" t="s">
        <v>44</v>
      </c>
      <c r="H823" t="s">
        <v>29</v>
      </c>
      <c r="I823" t="s">
        <v>65</v>
      </c>
      <c r="J823">
        <v>53</v>
      </c>
      <c r="K823">
        <v>1251.47</v>
      </c>
      <c r="L823">
        <v>66327.69</v>
      </c>
      <c r="M823">
        <v>32252.26</v>
      </c>
      <c r="N823">
        <v>7425.02</v>
      </c>
      <c r="O823">
        <v>4068.58</v>
      </c>
      <c r="P823">
        <v>1161.96</v>
      </c>
      <c r="Q823">
        <v>1049.8399999999999</v>
      </c>
      <c r="R823">
        <v>2638.05</v>
      </c>
      <c r="S823">
        <v>1290.81</v>
      </c>
      <c r="T823">
        <v>49886.52</v>
      </c>
      <c r="U823">
        <v>34075.43</v>
      </c>
      <c r="V823">
        <v>16441.169999999998</v>
      </c>
      <c r="W823">
        <v>16064.81</v>
      </c>
      <c r="X823">
        <v>66770.47</v>
      </c>
      <c r="Y823">
        <v>49099.79</v>
      </c>
    </row>
    <row r="824" spans="1:25" x14ac:dyDescent="0.25">
      <c r="A824" t="s">
        <v>875</v>
      </c>
      <c r="B824" s="1">
        <v>45156</v>
      </c>
      <c r="C824">
        <v>2023</v>
      </c>
      <c r="D824">
        <v>8</v>
      </c>
      <c r="E824" t="s">
        <v>814</v>
      </c>
      <c r="F824" t="s">
        <v>691</v>
      </c>
      <c r="G824" t="s">
        <v>55</v>
      </c>
      <c r="H824" t="s">
        <v>32</v>
      </c>
      <c r="I824" t="s">
        <v>37</v>
      </c>
      <c r="J824">
        <v>44</v>
      </c>
      <c r="K824">
        <v>1521.69</v>
      </c>
      <c r="L824">
        <v>66954.17</v>
      </c>
      <c r="M824">
        <v>42138.64</v>
      </c>
      <c r="N824">
        <v>6317.76</v>
      </c>
      <c r="O824">
        <v>2205.67</v>
      </c>
      <c r="P824">
        <v>1114.97</v>
      </c>
      <c r="Q824">
        <v>415.19</v>
      </c>
      <c r="R824">
        <v>1683.49</v>
      </c>
      <c r="S824">
        <v>1258.78</v>
      </c>
      <c r="T824">
        <v>55134.51</v>
      </c>
      <c r="U824">
        <v>24815.53</v>
      </c>
      <c r="V824">
        <v>11819.66</v>
      </c>
      <c r="W824">
        <v>11326.82</v>
      </c>
      <c r="X824">
        <v>72438.289999999994</v>
      </c>
      <c r="Y824">
        <v>51709.77</v>
      </c>
    </row>
    <row r="825" spans="1:25" x14ac:dyDescent="0.25">
      <c r="A825" t="s">
        <v>876</v>
      </c>
      <c r="B825" s="1">
        <v>45157</v>
      </c>
      <c r="C825">
        <v>2023</v>
      </c>
      <c r="D825">
        <v>8</v>
      </c>
      <c r="E825" t="s">
        <v>814</v>
      </c>
      <c r="F825" t="s">
        <v>691</v>
      </c>
      <c r="G825" t="s">
        <v>35</v>
      </c>
      <c r="H825" t="s">
        <v>58</v>
      </c>
      <c r="I825" t="s">
        <v>56</v>
      </c>
      <c r="J825">
        <v>22</v>
      </c>
      <c r="K825">
        <v>1026.8699999999999</v>
      </c>
      <c r="L825">
        <v>22591.200000000001</v>
      </c>
      <c r="M825">
        <v>12318.58</v>
      </c>
      <c r="N825">
        <v>1809.74</v>
      </c>
      <c r="O825">
        <v>1074.07</v>
      </c>
      <c r="P825">
        <v>912.66</v>
      </c>
      <c r="Q825">
        <v>121.09</v>
      </c>
      <c r="R825">
        <v>847.97</v>
      </c>
      <c r="S825">
        <v>208.46</v>
      </c>
      <c r="T825">
        <v>17292.560000000001</v>
      </c>
      <c r="U825">
        <v>10272.629999999999</v>
      </c>
      <c r="V825">
        <v>5298.64</v>
      </c>
      <c r="W825">
        <v>5261.01</v>
      </c>
      <c r="X825">
        <v>24245.81</v>
      </c>
      <c r="Y825">
        <v>18030.439999999999</v>
      </c>
    </row>
    <row r="826" spans="1:25" x14ac:dyDescent="0.25">
      <c r="A826" t="s">
        <v>877</v>
      </c>
      <c r="B826" s="1">
        <v>45157</v>
      </c>
      <c r="C826">
        <v>2023</v>
      </c>
      <c r="D826">
        <v>8</v>
      </c>
      <c r="E826" t="s">
        <v>814</v>
      </c>
      <c r="F826" t="s">
        <v>691</v>
      </c>
      <c r="G826" t="s">
        <v>44</v>
      </c>
      <c r="H826" t="s">
        <v>32</v>
      </c>
      <c r="I826" t="s">
        <v>37</v>
      </c>
      <c r="J826">
        <v>52</v>
      </c>
      <c r="K826">
        <v>1432.34</v>
      </c>
      <c r="L826">
        <v>74481.710000000006</v>
      </c>
      <c r="M826">
        <v>40802.120000000003</v>
      </c>
      <c r="N826">
        <v>7102.94</v>
      </c>
      <c r="O826">
        <v>3688.93</v>
      </c>
      <c r="P826">
        <v>2771</v>
      </c>
      <c r="Q826">
        <v>595.86</v>
      </c>
      <c r="R826">
        <v>3819.4</v>
      </c>
      <c r="S826">
        <v>964.76</v>
      </c>
      <c r="T826">
        <v>59745.02</v>
      </c>
      <c r="U826">
        <v>33679.589999999997</v>
      </c>
      <c r="V826">
        <v>14736.69</v>
      </c>
      <c r="W826">
        <v>14626.29</v>
      </c>
      <c r="X826">
        <v>69584.77</v>
      </c>
      <c r="Y826">
        <v>62156.38</v>
      </c>
    </row>
    <row r="827" spans="1:25" x14ac:dyDescent="0.25">
      <c r="A827" t="s">
        <v>878</v>
      </c>
      <c r="B827" s="1">
        <v>45157</v>
      </c>
      <c r="C827">
        <v>2023</v>
      </c>
      <c r="D827">
        <v>8</v>
      </c>
      <c r="E827" t="s">
        <v>814</v>
      </c>
      <c r="F827" t="s">
        <v>691</v>
      </c>
      <c r="G827" t="s">
        <v>55</v>
      </c>
      <c r="H827" t="s">
        <v>29</v>
      </c>
      <c r="I827" t="s">
        <v>50</v>
      </c>
      <c r="J827">
        <v>41</v>
      </c>
      <c r="K827">
        <v>1658.03</v>
      </c>
      <c r="L827">
        <v>67979.259999999995</v>
      </c>
      <c r="M827">
        <v>37220.39</v>
      </c>
      <c r="N827">
        <v>5691.38</v>
      </c>
      <c r="O827">
        <v>2216.81</v>
      </c>
      <c r="P827">
        <v>2362.65</v>
      </c>
      <c r="Q827">
        <v>1166.25</v>
      </c>
      <c r="R827">
        <v>3516.69</v>
      </c>
      <c r="S827">
        <v>1074.48</v>
      </c>
      <c r="T827">
        <v>53248.65</v>
      </c>
      <c r="U827">
        <v>30758.87</v>
      </c>
      <c r="V827">
        <v>14730.61</v>
      </c>
      <c r="W827">
        <v>13652.36</v>
      </c>
      <c r="X827">
        <v>64097.14</v>
      </c>
      <c r="Y827">
        <v>49877.11</v>
      </c>
    </row>
    <row r="828" spans="1:25" x14ac:dyDescent="0.25">
      <c r="A828" t="s">
        <v>879</v>
      </c>
      <c r="B828" s="1">
        <v>45157</v>
      </c>
      <c r="C828">
        <v>2023</v>
      </c>
      <c r="D828">
        <v>8</v>
      </c>
      <c r="E828" t="s">
        <v>814</v>
      </c>
      <c r="F828" t="s">
        <v>691</v>
      </c>
      <c r="G828" t="s">
        <v>28</v>
      </c>
      <c r="H828" t="s">
        <v>32</v>
      </c>
      <c r="I828" t="s">
        <v>56</v>
      </c>
      <c r="J828">
        <v>40</v>
      </c>
      <c r="K828">
        <v>1185.78</v>
      </c>
      <c r="L828">
        <v>47431.27</v>
      </c>
      <c r="M828">
        <v>29576.66</v>
      </c>
      <c r="N828">
        <v>5657.71</v>
      </c>
      <c r="O828">
        <v>2460.29</v>
      </c>
      <c r="P828">
        <v>950.11</v>
      </c>
      <c r="Q828">
        <v>494.8</v>
      </c>
      <c r="R828">
        <v>2100.9899999999998</v>
      </c>
      <c r="S828">
        <v>793.26</v>
      </c>
      <c r="T828">
        <v>42033.82</v>
      </c>
      <c r="U828">
        <v>17854.61</v>
      </c>
      <c r="V828">
        <v>5397.45</v>
      </c>
      <c r="W828">
        <v>5334.2</v>
      </c>
      <c r="X828">
        <v>52460.24</v>
      </c>
      <c r="Y828">
        <v>41167.15</v>
      </c>
    </row>
    <row r="829" spans="1:25" x14ac:dyDescent="0.25">
      <c r="A829" t="s">
        <v>880</v>
      </c>
      <c r="B829" s="1">
        <v>45158</v>
      </c>
      <c r="C829">
        <v>2023</v>
      </c>
      <c r="D829">
        <v>8</v>
      </c>
      <c r="E829" t="s">
        <v>814</v>
      </c>
      <c r="F829" t="s">
        <v>691</v>
      </c>
      <c r="G829" t="s">
        <v>28</v>
      </c>
      <c r="H829" t="s">
        <v>32</v>
      </c>
      <c r="I829" t="s">
        <v>65</v>
      </c>
      <c r="J829">
        <v>69</v>
      </c>
      <c r="K829">
        <v>1302.52</v>
      </c>
      <c r="L829">
        <v>89873.600000000006</v>
      </c>
      <c r="M829">
        <v>60978.31</v>
      </c>
      <c r="N829">
        <v>9945.8799999999992</v>
      </c>
      <c r="O829">
        <v>3546.27</v>
      </c>
      <c r="P829">
        <v>3180.96</v>
      </c>
      <c r="Q829">
        <v>571.11</v>
      </c>
      <c r="R829">
        <v>3663.25</v>
      </c>
      <c r="S829">
        <v>2162.23</v>
      </c>
      <c r="T829">
        <v>84048</v>
      </c>
      <c r="U829">
        <v>28895.29</v>
      </c>
      <c r="V829">
        <v>5825.6</v>
      </c>
      <c r="W829">
        <v>5299.14</v>
      </c>
      <c r="X829">
        <v>97584.08</v>
      </c>
      <c r="Y829">
        <v>91302.43</v>
      </c>
    </row>
    <row r="830" spans="1:25" x14ac:dyDescent="0.25">
      <c r="A830" t="s">
        <v>881</v>
      </c>
      <c r="B830" s="1">
        <v>45158</v>
      </c>
      <c r="C830">
        <v>2023</v>
      </c>
      <c r="D830">
        <v>8</v>
      </c>
      <c r="E830" t="s">
        <v>814</v>
      </c>
      <c r="F830" t="s">
        <v>691</v>
      </c>
      <c r="G830" t="s">
        <v>28</v>
      </c>
      <c r="H830" t="s">
        <v>29</v>
      </c>
      <c r="I830" t="s">
        <v>39</v>
      </c>
      <c r="J830">
        <v>29</v>
      </c>
      <c r="K830">
        <v>1295.02</v>
      </c>
      <c r="L830">
        <v>37555.51</v>
      </c>
      <c r="M830">
        <v>23964</v>
      </c>
      <c r="N830">
        <v>3075.37</v>
      </c>
      <c r="O830">
        <v>2025.68</v>
      </c>
      <c r="P830">
        <v>753.7</v>
      </c>
      <c r="Q830">
        <v>234.44</v>
      </c>
      <c r="R830">
        <v>1835.76</v>
      </c>
      <c r="S830">
        <v>316.87</v>
      </c>
      <c r="T830">
        <v>32205.83</v>
      </c>
      <c r="U830">
        <v>13591.51</v>
      </c>
      <c r="V830">
        <v>5349.68</v>
      </c>
      <c r="W830">
        <v>5001.58</v>
      </c>
      <c r="X830">
        <v>39537.83</v>
      </c>
      <c r="Y830">
        <v>32131.919999999998</v>
      </c>
    </row>
    <row r="831" spans="1:25" x14ac:dyDescent="0.25">
      <c r="A831" t="s">
        <v>882</v>
      </c>
      <c r="B831" s="1">
        <v>45158</v>
      </c>
      <c r="C831">
        <v>2023</v>
      </c>
      <c r="D831">
        <v>8</v>
      </c>
      <c r="E831" t="s">
        <v>814</v>
      </c>
      <c r="F831" t="s">
        <v>691</v>
      </c>
      <c r="G831" t="s">
        <v>55</v>
      </c>
      <c r="H831" t="s">
        <v>32</v>
      </c>
      <c r="I831" t="s">
        <v>39</v>
      </c>
      <c r="J831">
        <v>54</v>
      </c>
      <c r="K831">
        <v>1169.6099999999999</v>
      </c>
      <c r="L831">
        <v>63159.21</v>
      </c>
      <c r="M831">
        <v>40749.01</v>
      </c>
      <c r="N831">
        <v>6930.64</v>
      </c>
      <c r="O831">
        <v>2979.15</v>
      </c>
      <c r="P831">
        <v>976.51</v>
      </c>
      <c r="Q831">
        <v>728.05</v>
      </c>
      <c r="R831">
        <v>2997.02</v>
      </c>
      <c r="S831">
        <v>982.76</v>
      </c>
      <c r="T831">
        <v>56343.15</v>
      </c>
      <c r="U831">
        <v>22410.2</v>
      </c>
      <c r="V831">
        <v>6816.06</v>
      </c>
      <c r="W831">
        <v>6080.74</v>
      </c>
      <c r="X831">
        <v>68684.95</v>
      </c>
      <c r="Y831">
        <v>58410.04</v>
      </c>
    </row>
    <row r="832" spans="1:25" x14ac:dyDescent="0.25">
      <c r="A832" t="s">
        <v>883</v>
      </c>
      <c r="B832" s="1">
        <v>45159</v>
      </c>
      <c r="C832">
        <v>2023</v>
      </c>
      <c r="D832">
        <v>8</v>
      </c>
      <c r="E832" t="s">
        <v>814</v>
      </c>
      <c r="F832" t="s">
        <v>691</v>
      </c>
      <c r="G832" t="s">
        <v>44</v>
      </c>
      <c r="H832" t="s">
        <v>32</v>
      </c>
      <c r="I832" t="s">
        <v>65</v>
      </c>
      <c r="J832">
        <v>47</v>
      </c>
      <c r="K832">
        <v>1636.78</v>
      </c>
      <c r="L832">
        <v>76928.679999999993</v>
      </c>
      <c r="M832">
        <v>49023.55</v>
      </c>
      <c r="N832">
        <v>5730.87</v>
      </c>
      <c r="O832">
        <v>3077.34</v>
      </c>
      <c r="P832">
        <v>1332.77</v>
      </c>
      <c r="Q832">
        <v>748.44</v>
      </c>
      <c r="R832">
        <v>4559.8900000000003</v>
      </c>
      <c r="S832">
        <v>1809.88</v>
      </c>
      <c r="T832">
        <v>66282.740000000005</v>
      </c>
      <c r="U832">
        <v>27905.13</v>
      </c>
      <c r="V832">
        <v>10645.94</v>
      </c>
      <c r="W832">
        <v>10690.64</v>
      </c>
      <c r="X832">
        <v>77785.8</v>
      </c>
      <c r="Y832">
        <v>65981.81</v>
      </c>
    </row>
    <row r="833" spans="1:25" x14ac:dyDescent="0.25">
      <c r="A833" t="s">
        <v>884</v>
      </c>
      <c r="B833" s="1">
        <v>45159</v>
      </c>
      <c r="C833">
        <v>2023</v>
      </c>
      <c r="D833">
        <v>8</v>
      </c>
      <c r="E833" t="s">
        <v>814</v>
      </c>
      <c r="F833" t="s">
        <v>691</v>
      </c>
      <c r="G833" t="s">
        <v>44</v>
      </c>
      <c r="H833" t="s">
        <v>58</v>
      </c>
      <c r="I833" t="s">
        <v>37</v>
      </c>
      <c r="J833">
        <v>73</v>
      </c>
      <c r="K833">
        <v>1027.69</v>
      </c>
      <c r="L833">
        <v>75021.41</v>
      </c>
      <c r="M833">
        <v>38571.910000000003</v>
      </c>
      <c r="N833">
        <v>9514.36</v>
      </c>
      <c r="O833">
        <v>3051.03</v>
      </c>
      <c r="P833">
        <v>2154.16</v>
      </c>
      <c r="Q833">
        <v>636.28</v>
      </c>
      <c r="R833">
        <v>3668.5</v>
      </c>
      <c r="S833">
        <v>996.93</v>
      </c>
      <c r="T833">
        <v>58593.17</v>
      </c>
      <c r="U833">
        <v>36449.5</v>
      </c>
      <c r="V833">
        <v>16428.23</v>
      </c>
      <c r="W833">
        <v>15114.98</v>
      </c>
      <c r="X833">
        <v>79191.13</v>
      </c>
      <c r="Y833">
        <v>59829.87</v>
      </c>
    </row>
    <row r="834" spans="1:25" x14ac:dyDescent="0.25">
      <c r="A834" t="s">
        <v>885</v>
      </c>
      <c r="B834" s="1">
        <v>45159</v>
      </c>
      <c r="C834">
        <v>2023</v>
      </c>
      <c r="D834">
        <v>8</v>
      </c>
      <c r="E834" t="s">
        <v>814</v>
      </c>
      <c r="F834" t="s">
        <v>691</v>
      </c>
      <c r="G834" t="s">
        <v>55</v>
      </c>
      <c r="H834" t="s">
        <v>32</v>
      </c>
      <c r="I834" t="s">
        <v>45</v>
      </c>
      <c r="J834">
        <v>57</v>
      </c>
      <c r="K834">
        <v>1076.83</v>
      </c>
      <c r="L834">
        <v>61379.5</v>
      </c>
      <c r="M834">
        <v>33803.26</v>
      </c>
      <c r="N834">
        <v>6208.1</v>
      </c>
      <c r="O834">
        <v>4182.66</v>
      </c>
      <c r="P834">
        <v>2133.0700000000002</v>
      </c>
      <c r="Q834">
        <v>689.1</v>
      </c>
      <c r="R834">
        <v>2384.6799999999998</v>
      </c>
      <c r="S834">
        <v>1088.6400000000001</v>
      </c>
      <c r="T834">
        <v>50489.52</v>
      </c>
      <c r="U834">
        <v>27576.25</v>
      </c>
      <c r="V834">
        <v>10889.98</v>
      </c>
      <c r="W834">
        <v>10958.71</v>
      </c>
      <c r="X834">
        <v>65852.05</v>
      </c>
      <c r="Y834">
        <v>54016.94</v>
      </c>
    </row>
    <row r="835" spans="1:25" x14ac:dyDescent="0.25">
      <c r="A835" t="s">
        <v>886</v>
      </c>
      <c r="B835" s="1">
        <v>45159</v>
      </c>
      <c r="C835">
        <v>2023</v>
      </c>
      <c r="D835">
        <v>8</v>
      </c>
      <c r="E835" t="s">
        <v>814</v>
      </c>
      <c r="F835" t="s">
        <v>691</v>
      </c>
      <c r="G835" t="s">
        <v>44</v>
      </c>
      <c r="H835" t="s">
        <v>53</v>
      </c>
      <c r="I835" t="s">
        <v>50</v>
      </c>
      <c r="J835">
        <v>31</v>
      </c>
      <c r="K835">
        <v>1550.82</v>
      </c>
      <c r="L835">
        <v>48075.39</v>
      </c>
      <c r="M835">
        <v>23795.71</v>
      </c>
      <c r="N835">
        <v>4555.0200000000004</v>
      </c>
      <c r="O835">
        <v>3044.78</v>
      </c>
      <c r="P835">
        <v>1944.1</v>
      </c>
      <c r="Q835">
        <v>603.44000000000005</v>
      </c>
      <c r="R835">
        <v>1789.75</v>
      </c>
      <c r="S835">
        <v>695.57</v>
      </c>
      <c r="T835">
        <v>36428.379999999997</v>
      </c>
      <c r="U835">
        <v>24279.68</v>
      </c>
      <c r="V835">
        <v>11647.01</v>
      </c>
      <c r="W835">
        <v>10306.42</v>
      </c>
      <c r="X835">
        <v>53056.21</v>
      </c>
      <c r="Y835">
        <v>37725.21</v>
      </c>
    </row>
    <row r="836" spans="1:25" x14ac:dyDescent="0.25">
      <c r="A836" t="s">
        <v>887</v>
      </c>
      <c r="B836" s="1">
        <v>45160</v>
      </c>
      <c r="C836">
        <v>2023</v>
      </c>
      <c r="D836">
        <v>8</v>
      </c>
      <c r="E836" t="s">
        <v>814</v>
      </c>
      <c r="F836" t="s">
        <v>691</v>
      </c>
      <c r="G836" t="s">
        <v>44</v>
      </c>
      <c r="H836" t="s">
        <v>53</v>
      </c>
      <c r="I836" t="s">
        <v>45</v>
      </c>
      <c r="J836">
        <v>18</v>
      </c>
      <c r="K836">
        <v>1631.92</v>
      </c>
      <c r="L836">
        <v>29374.49</v>
      </c>
      <c r="M836">
        <v>16747.27</v>
      </c>
      <c r="N836">
        <v>3008.15</v>
      </c>
      <c r="O836">
        <v>1670.02</v>
      </c>
      <c r="P836">
        <v>792.75</v>
      </c>
      <c r="Q836">
        <v>244.64</v>
      </c>
      <c r="R836">
        <v>1559.95</v>
      </c>
      <c r="S836">
        <v>589.53</v>
      </c>
      <c r="T836">
        <v>24612.31</v>
      </c>
      <c r="U836">
        <v>12627.22</v>
      </c>
      <c r="V836">
        <v>4762.18</v>
      </c>
      <c r="W836">
        <v>4637.7</v>
      </c>
      <c r="X836">
        <v>31914.240000000002</v>
      </c>
      <c r="Y836">
        <v>26715.24</v>
      </c>
    </row>
    <row r="837" spans="1:25" x14ac:dyDescent="0.25">
      <c r="A837" t="s">
        <v>888</v>
      </c>
      <c r="B837" s="1">
        <v>45161</v>
      </c>
      <c r="C837">
        <v>2023</v>
      </c>
      <c r="D837">
        <v>8</v>
      </c>
      <c r="E837" t="s">
        <v>814</v>
      </c>
      <c r="F837" t="s">
        <v>691</v>
      </c>
      <c r="G837" t="s">
        <v>55</v>
      </c>
      <c r="H837" t="s">
        <v>29</v>
      </c>
      <c r="I837" t="s">
        <v>56</v>
      </c>
      <c r="J837">
        <v>36</v>
      </c>
      <c r="K837">
        <v>1393.73</v>
      </c>
      <c r="L837">
        <v>50174.14</v>
      </c>
      <c r="M837">
        <v>33405.449999999997</v>
      </c>
      <c r="N837">
        <v>5103.0600000000004</v>
      </c>
      <c r="O837">
        <v>2747.4</v>
      </c>
      <c r="P837">
        <v>1443.03</v>
      </c>
      <c r="Q837">
        <v>430.06</v>
      </c>
      <c r="R837">
        <v>2121.31</v>
      </c>
      <c r="S837">
        <v>1159.93</v>
      </c>
      <c r="T837">
        <v>46410.23</v>
      </c>
      <c r="U837">
        <v>16768.689999999999</v>
      </c>
      <c r="V837">
        <v>3763.92</v>
      </c>
      <c r="W837">
        <v>3591.94</v>
      </c>
      <c r="X837">
        <v>52965.58</v>
      </c>
      <c r="Y837">
        <v>43600.99</v>
      </c>
    </row>
    <row r="838" spans="1:25" x14ac:dyDescent="0.25">
      <c r="A838" t="s">
        <v>889</v>
      </c>
      <c r="B838" s="1">
        <v>45161</v>
      </c>
      <c r="C838">
        <v>2023</v>
      </c>
      <c r="D838">
        <v>8</v>
      </c>
      <c r="E838" t="s">
        <v>814</v>
      </c>
      <c r="F838" t="s">
        <v>691</v>
      </c>
      <c r="G838" t="s">
        <v>35</v>
      </c>
      <c r="H838" t="s">
        <v>36</v>
      </c>
      <c r="I838" t="s">
        <v>39</v>
      </c>
      <c r="J838">
        <v>27</v>
      </c>
      <c r="K838">
        <v>1423.24</v>
      </c>
      <c r="L838">
        <v>38427.47</v>
      </c>
      <c r="M838">
        <v>22866.29</v>
      </c>
      <c r="N838">
        <v>3542.52</v>
      </c>
      <c r="O838">
        <v>1332.02</v>
      </c>
      <c r="P838">
        <v>1529.87</v>
      </c>
      <c r="Q838">
        <v>505.97</v>
      </c>
      <c r="R838">
        <v>2395.8200000000002</v>
      </c>
      <c r="S838">
        <v>837.29</v>
      </c>
      <c r="T838">
        <v>33009.79</v>
      </c>
      <c r="U838">
        <v>15561.18</v>
      </c>
      <c r="V838">
        <v>5417.69</v>
      </c>
      <c r="W838">
        <v>5102.87</v>
      </c>
      <c r="X838">
        <v>39822.11</v>
      </c>
      <c r="Y838">
        <v>34859.25</v>
      </c>
    </row>
    <row r="839" spans="1:25" x14ac:dyDescent="0.25">
      <c r="A839" t="s">
        <v>890</v>
      </c>
      <c r="B839" s="1">
        <v>45161</v>
      </c>
      <c r="C839">
        <v>2023</v>
      </c>
      <c r="D839">
        <v>8</v>
      </c>
      <c r="E839" t="s">
        <v>814</v>
      </c>
      <c r="F839" t="s">
        <v>691</v>
      </c>
      <c r="G839" t="s">
        <v>28</v>
      </c>
      <c r="H839" t="s">
        <v>36</v>
      </c>
      <c r="I839" t="s">
        <v>39</v>
      </c>
      <c r="J839">
        <v>20</v>
      </c>
      <c r="K839">
        <v>1700.97</v>
      </c>
      <c r="L839">
        <v>34019.47</v>
      </c>
      <c r="M839">
        <v>19758.509999999998</v>
      </c>
      <c r="N839">
        <v>3747.41</v>
      </c>
      <c r="O839">
        <v>1885.43</v>
      </c>
      <c r="P839">
        <v>1470.25</v>
      </c>
      <c r="Q839">
        <v>206.87</v>
      </c>
      <c r="R839">
        <v>937.65</v>
      </c>
      <c r="S839">
        <v>424.95</v>
      </c>
      <c r="T839">
        <v>28431.07</v>
      </c>
      <c r="U839">
        <v>14260.96</v>
      </c>
      <c r="V839">
        <v>5588.4</v>
      </c>
      <c r="W839">
        <v>5131.22</v>
      </c>
      <c r="X839">
        <v>35554.129999999997</v>
      </c>
      <c r="Y839">
        <v>31114.89</v>
      </c>
    </row>
    <row r="840" spans="1:25" x14ac:dyDescent="0.25">
      <c r="A840" t="s">
        <v>891</v>
      </c>
      <c r="B840" s="1">
        <v>45161</v>
      </c>
      <c r="C840">
        <v>2023</v>
      </c>
      <c r="D840">
        <v>8</v>
      </c>
      <c r="E840" t="s">
        <v>814</v>
      </c>
      <c r="F840" t="s">
        <v>691</v>
      </c>
      <c r="G840" t="s">
        <v>55</v>
      </c>
      <c r="H840" t="s">
        <v>58</v>
      </c>
      <c r="I840" t="s">
        <v>30</v>
      </c>
      <c r="J840">
        <v>94</v>
      </c>
      <c r="K840">
        <v>900.1</v>
      </c>
      <c r="L840">
        <v>84609.23</v>
      </c>
      <c r="M840">
        <v>51727.18</v>
      </c>
      <c r="N840">
        <v>9099.2800000000007</v>
      </c>
      <c r="O840">
        <v>3803.93</v>
      </c>
      <c r="P840">
        <v>3700.98</v>
      </c>
      <c r="Q840">
        <v>1029.8499999999999</v>
      </c>
      <c r="R840">
        <v>3045.95</v>
      </c>
      <c r="S840">
        <v>922.2</v>
      </c>
      <c r="T840">
        <v>73329.37</v>
      </c>
      <c r="U840">
        <v>32882.04</v>
      </c>
      <c r="V840">
        <v>11279.86</v>
      </c>
      <c r="W840">
        <v>10608.06</v>
      </c>
      <c r="X840">
        <v>86457.74</v>
      </c>
      <c r="Y840">
        <v>70467.839999999997</v>
      </c>
    </row>
    <row r="841" spans="1:25" x14ac:dyDescent="0.25">
      <c r="A841" t="s">
        <v>892</v>
      </c>
      <c r="B841" s="1">
        <v>45161</v>
      </c>
      <c r="C841">
        <v>2023</v>
      </c>
      <c r="D841">
        <v>8</v>
      </c>
      <c r="E841" t="s">
        <v>814</v>
      </c>
      <c r="F841" t="s">
        <v>691</v>
      </c>
      <c r="G841" t="s">
        <v>28</v>
      </c>
      <c r="H841" t="s">
        <v>32</v>
      </c>
      <c r="I841" t="s">
        <v>56</v>
      </c>
      <c r="J841">
        <v>47</v>
      </c>
      <c r="K841">
        <v>996.26</v>
      </c>
      <c r="L841">
        <v>46824</v>
      </c>
      <c r="M841">
        <v>31038.31</v>
      </c>
      <c r="N841">
        <v>4982.26</v>
      </c>
      <c r="O841">
        <v>1350.42</v>
      </c>
      <c r="P841">
        <v>1855.73</v>
      </c>
      <c r="Q841">
        <v>339.74</v>
      </c>
      <c r="R841">
        <v>2008.35</v>
      </c>
      <c r="S841">
        <v>1084.7</v>
      </c>
      <c r="T841">
        <v>42659.51</v>
      </c>
      <c r="U841">
        <v>15785.69</v>
      </c>
      <c r="V841">
        <v>4164.49</v>
      </c>
      <c r="W841">
        <v>4084.77</v>
      </c>
      <c r="X841">
        <v>48481.07</v>
      </c>
      <c r="Y841">
        <v>43623.48</v>
      </c>
    </row>
    <row r="842" spans="1:25" x14ac:dyDescent="0.25">
      <c r="A842" t="s">
        <v>893</v>
      </c>
      <c r="B842" s="1">
        <v>45161</v>
      </c>
      <c r="C842">
        <v>2023</v>
      </c>
      <c r="D842">
        <v>8</v>
      </c>
      <c r="E842" t="s">
        <v>814</v>
      </c>
      <c r="F842" t="s">
        <v>691</v>
      </c>
      <c r="G842" t="s">
        <v>28</v>
      </c>
      <c r="H842" t="s">
        <v>53</v>
      </c>
      <c r="I842" t="s">
        <v>30</v>
      </c>
      <c r="J842">
        <v>54</v>
      </c>
      <c r="K842">
        <v>1597.42</v>
      </c>
      <c r="L842">
        <v>86260.79</v>
      </c>
      <c r="M842">
        <v>51083.89</v>
      </c>
      <c r="N842">
        <v>7741.35</v>
      </c>
      <c r="O842">
        <v>3498.76</v>
      </c>
      <c r="P842">
        <v>3273.26</v>
      </c>
      <c r="Q842">
        <v>949.63</v>
      </c>
      <c r="R842">
        <v>3318.06</v>
      </c>
      <c r="S842">
        <v>1975.53</v>
      </c>
      <c r="T842">
        <v>71840.490000000005</v>
      </c>
      <c r="U842">
        <v>35176.9</v>
      </c>
      <c r="V842">
        <v>14420.31</v>
      </c>
      <c r="W842">
        <v>13872.12</v>
      </c>
      <c r="X842">
        <v>85601.89</v>
      </c>
      <c r="Y842">
        <v>67419.13</v>
      </c>
    </row>
    <row r="843" spans="1:25" x14ac:dyDescent="0.25">
      <c r="A843" t="s">
        <v>894</v>
      </c>
      <c r="B843" s="1">
        <v>45162</v>
      </c>
      <c r="C843">
        <v>2023</v>
      </c>
      <c r="D843">
        <v>8</v>
      </c>
      <c r="E843" t="s">
        <v>814</v>
      </c>
      <c r="F843" t="s">
        <v>691</v>
      </c>
      <c r="G843" t="s">
        <v>28</v>
      </c>
      <c r="H843" t="s">
        <v>36</v>
      </c>
      <c r="I843" t="s">
        <v>39</v>
      </c>
      <c r="J843">
        <v>29</v>
      </c>
      <c r="K843">
        <v>1682.14</v>
      </c>
      <c r="L843">
        <v>48781.96</v>
      </c>
      <c r="M843">
        <v>24983.38</v>
      </c>
      <c r="N843">
        <v>5124.47</v>
      </c>
      <c r="O843">
        <v>2218.11</v>
      </c>
      <c r="P843">
        <v>1740.08</v>
      </c>
      <c r="Q843">
        <v>316.97000000000003</v>
      </c>
      <c r="R843">
        <v>1550.29</v>
      </c>
      <c r="S843">
        <v>938.62</v>
      </c>
      <c r="T843">
        <v>36871.919999999998</v>
      </c>
      <c r="U843">
        <v>23798.58</v>
      </c>
      <c r="V843">
        <v>11910.04</v>
      </c>
      <c r="W843">
        <v>11244.2</v>
      </c>
      <c r="X843">
        <v>49114.51</v>
      </c>
      <c r="Y843">
        <v>39193.71</v>
      </c>
    </row>
    <row r="844" spans="1:25" x14ac:dyDescent="0.25">
      <c r="A844" t="s">
        <v>895</v>
      </c>
      <c r="B844" s="1">
        <v>45162</v>
      </c>
      <c r="C844">
        <v>2023</v>
      </c>
      <c r="D844">
        <v>8</v>
      </c>
      <c r="E844" t="s">
        <v>814</v>
      </c>
      <c r="F844" t="s">
        <v>691</v>
      </c>
      <c r="G844" t="s">
        <v>28</v>
      </c>
      <c r="H844" t="s">
        <v>53</v>
      </c>
      <c r="I844" t="s">
        <v>45</v>
      </c>
      <c r="J844">
        <v>33</v>
      </c>
      <c r="K844">
        <v>1481.2</v>
      </c>
      <c r="L844">
        <v>48879.64</v>
      </c>
      <c r="M844">
        <v>25227.78</v>
      </c>
      <c r="N844">
        <v>4518.1899999999996</v>
      </c>
      <c r="O844">
        <v>2883.9</v>
      </c>
      <c r="P844">
        <v>2169.44</v>
      </c>
      <c r="Q844">
        <v>512.59</v>
      </c>
      <c r="R844">
        <v>1238.3399999999999</v>
      </c>
      <c r="S844">
        <v>984.55</v>
      </c>
      <c r="T844">
        <v>37534.79</v>
      </c>
      <c r="U844">
        <v>23651.85</v>
      </c>
      <c r="V844">
        <v>11344.85</v>
      </c>
      <c r="W844">
        <v>10133.969999999999</v>
      </c>
      <c r="X844">
        <v>54361.64</v>
      </c>
      <c r="Y844">
        <v>35097.919999999998</v>
      </c>
    </row>
    <row r="845" spans="1:25" x14ac:dyDescent="0.25">
      <c r="A845" t="s">
        <v>896</v>
      </c>
      <c r="B845" s="1">
        <v>45162</v>
      </c>
      <c r="C845">
        <v>2023</v>
      </c>
      <c r="D845">
        <v>8</v>
      </c>
      <c r="E845" t="s">
        <v>814</v>
      </c>
      <c r="F845" t="s">
        <v>691</v>
      </c>
      <c r="G845" t="s">
        <v>35</v>
      </c>
      <c r="H845" t="s">
        <v>32</v>
      </c>
      <c r="I845" t="s">
        <v>39</v>
      </c>
      <c r="J845">
        <v>38</v>
      </c>
      <c r="K845">
        <v>1202.96</v>
      </c>
      <c r="L845">
        <v>45712.3</v>
      </c>
      <c r="M845">
        <v>29785.4</v>
      </c>
      <c r="N845">
        <v>4926</v>
      </c>
      <c r="O845">
        <v>3153.25</v>
      </c>
      <c r="P845">
        <v>1634.9</v>
      </c>
      <c r="Q845">
        <v>724.67</v>
      </c>
      <c r="R845">
        <v>2638.89</v>
      </c>
      <c r="S845">
        <v>544.28</v>
      </c>
      <c r="T845">
        <v>43407.39</v>
      </c>
      <c r="U845">
        <v>15926.9</v>
      </c>
      <c r="V845">
        <v>2304.91</v>
      </c>
      <c r="W845">
        <v>2338</v>
      </c>
      <c r="X845">
        <v>43469.07</v>
      </c>
      <c r="Y845">
        <v>42285.63</v>
      </c>
    </row>
    <row r="846" spans="1:25" x14ac:dyDescent="0.25">
      <c r="A846" t="s">
        <v>897</v>
      </c>
      <c r="B846" s="1">
        <v>45162</v>
      </c>
      <c r="C846">
        <v>2023</v>
      </c>
      <c r="D846">
        <v>8</v>
      </c>
      <c r="E846" t="s">
        <v>814</v>
      </c>
      <c r="F846" t="s">
        <v>691</v>
      </c>
      <c r="G846" t="s">
        <v>44</v>
      </c>
      <c r="H846" t="s">
        <v>58</v>
      </c>
      <c r="I846" t="s">
        <v>39</v>
      </c>
      <c r="J846">
        <v>36</v>
      </c>
      <c r="K846">
        <v>865.8</v>
      </c>
      <c r="L846">
        <v>31168.86</v>
      </c>
      <c r="M846">
        <v>16873.39</v>
      </c>
      <c r="N846">
        <v>2491.17</v>
      </c>
      <c r="O846">
        <v>1474.14</v>
      </c>
      <c r="P846">
        <v>1189.17</v>
      </c>
      <c r="Q846">
        <v>208.95</v>
      </c>
      <c r="R846">
        <v>1006.22</v>
      </c>
      <c r="S846">
        <v>731.01</v>
      </c>
      <c r="T846">
        <v>23974.06</v>
      </c>
      <c r="U846">
        <v>14295.47</v>
      </c>
      <c r="V846">
        <v>7194.8</v>
      </c>
      <c r="W846">
        <v>6872.27</v>
      </c>
      <c r="X846">
        <v>34046.06</v>
      </c>
      <c r="Y846">
        <v>22375.08</v>
      </c>
    </row>
    <row r="847" spans="1:25" x14ac:dyDescent="0.25">
      <c r="A847" t="s">
        <v>898</v>
      </c>
      <c r="B847" s="1">
        <v>45163</v>
      </c>
      <c r="C847">
        <v>2023</v>
      </c>
      <c r="D847">
        <v>8</v>
      </c>
      <c r="E847" t="s">
        <v>814</v>
      </c>
      <c r="F847" t="s">
        <v>691</v>
      </c>
      <c r="G847" t="s">
        <v>28</v>
      </c>
      <c r="H847" t="s">
        <v>32</v>
      </c>
      <c r="I847" t="s">
        <v>56</v>
      </c>
      <c r="J847">
        <v>43</v>
      </c>
      <c r="K847">
        <v>910.56</v>
      </c>
      <c r="L847">
        <v>39154.019999999997</v>
      </c>
      <c r="M847">
        <v>19908.240000000002</v>
      </c>
      <c r="N847">
        <v>3001.37</v>
      </c>
      <c r="O847">
        <v>1908.13</v>
      </c>
      <c r="P847">
        <v>764.84</v>
      </c>
      <c r="Q847">
        <v>496.27</v>
      </c>
      <c r="R847">
        <v>2190.94</v>
      </c>
      <c r="S847">
        <v>334.21</v>
      </c>
      <c r="T847">
        <v>28604.01</v>
      </c>
      <c r="U847">
        <v>19245.77</v>
      </c>
      <c r="V847">
        <v>10550.01</v>
      </c>
      <c r="W847">
        <v>10107.719999999999</v>
      </c>
      <c r="X847">
        <v>39067.56</v>
      </c>
      <c r="Y847">
        <v>29845.63</v>
      </c>
    </row>
    <row r="848" spans="1:25" x14ac:dyDescent="0.25">
      <c r="A848" t="s">
        <v>899</v>
      </c>
      <c r="B848" s="1">
        <v>45163</v>
      </c>
      <c r="C848">
        <v>2023</v>
      </c>
      <c r="D848">
        <v>8</v>
      </c>
      <c r="E848" t="s">
        <v>814</v>
      </c>
      <c r="F848" t="s">
        <v>691</v>
      </c>
      <c r="G848" t="s">
        <v>55</v>
      </c>
      <c r="H848" t="s">
        <v>36</v>
      </c>
      <c r="I848" t="s">
        <v>39</v>
      </c>
      <c r="J848">
        <v>51</v>
      </c>
      <c r="K848">
        <v>1045.48</v>
      </c>
      <c r="L848">
        <v>53319.7</v>
      </c>
      <c r="M848">
        <v>29919.93</v>
      </c>
      <c r="N848">
        <v>5564.43</v>
      </c>
      <c r="O848">
        <v>2068.89</v>
      </c>
      <c r="P848">
        <v>1576.23</v>
      </c>
      <c r="Q848">
        <v>381.4</v>
      </c>
      <c r="R848">
        <v>2244.09</v>
      </c>
      <c r="S848">
        <v>695.05</v>
      </c>
      <c r="T848">
        <v>42450.02</v>
      </c>
      <c r="U848">
        <v>23399.77</v>
      </c>
      <c r="V848">
        <v>10869.68</v>
      </c>
      <c r="W848">
        <v>11066.57</v>
      </c>
      <c r="X848">
        <v>51826.14</v>
      </c>
      <c r="Y848">
        <v>41193.03</v>
      </c>
    </row>
    <row r="849" spans="1:25" x14ac:dyDescent="0.25">
      <c r="A849" t="s">
        <v>900</v>
      </c>
      <c r="B849" s="1">
        <v>45164</v>
      </c>
      <c r="C849">
        <v>2023</v>
      </c>
      <c r="D849">
        <v>8</v>
      </c>
      <c r="E849" t="s">
        <v>814</v>
      </c>
      <c r="F849" t="s">
        <v>691</v>
      </c>
      <c r="G849" t="s">
        <v>28</v>
      </c>
      <c r="H849" t="s">
        <v>32</v>
      </c>
      <c r="I849" t="s">
        <v>45</v>
      </c>
      <c r="J849">
        <v>56</v>
      </c>
      <c r="K849">
        <v>1190.7</v>
      </c>
      <c r="L849">
        <v>66678.990000000005</v>
      </c>
      <c r="M849">
        <v>44923.74</v>
      </c>
      <c r="N849">
        <v>6769.75</v>
      </c>
      <c r="O849">
        <v>1725.69</v>
      </c>
      <c r="P849">
        <v>1330.02</v>
      </c>
      <c r="Q849">
        <v>577.1</v>
      </c>
      <c r="R849">
        <v>2483.02</v>
      </c>
      <c r="S849">
        <v>1582.62</v>
      </c>
      <c r="T849">
        <v>59391.94</v>
      </c>
      <c r="U849">
        <v>21755.26</v>
      </c>
      <c r="V849">
        <v>7287.05</v>
      </c>
      <c r="W849">
        <v>7188.82</v>
      </c>
      <c r="X849">
        <v>74572.47</v>
      </c>
      <c r="Y849">
        <v>63151.87</v>
      </c>
    </row>
    <row r="850" spans="1:25" x14ac:dyDescent="0.25">
      <c r="A850" t="s">
        <v>901</v>
      </c>
      <c r="B850" s="1">
        <v>45164</v>
      </c>
      <c r="C850">
        <v>2023</v>
      </c>
      <c r="D850">
        <v>8</v>
      </c>
      <c r="E850" t="s">
        <v>814</v>
      </c>
      <c r="F850" t="s">
        <v>691</v>
      </c>
      <c r="G850" t="s">
        <v>44</v>
      </c>
      <c r="H850" t="s">
        <v>29</v>
      </c>
      <c r="I850" t="s">
        <v>45</v>
      </c>
      <c r="J850">
        <v>24</v>
      </c>
      <c r="K850">
        <v>1758.15</v>
      </c>
      <c r="L850">
        <v>42195.7</v>
      </c>
      <c r="M850">
        <v>27885.51</v>
      </c>
      <c r="N850">
        <v>4025.16</v>
      </c>
      <c r="O850">
        <v>1597.8</v>
      </c>
      <c r="P850">
        <v>933.19</v>
      </c>
      <c r="Q850">
        <v>498.59</v>
      </c>
      <c r="R850">
        <v>2568.42</v>
      </c>
      <c r="S850">
        <v>971.57</v>
      </c>
      <c r="T850">
        <v>38480.25</v>
      </c>
      <c r="U850">
        <v>14310.19</v>
      </c>
      <c r="V850">
        <v>3715.46</v>
      </c>
      <c r="W850">
        <v>3583.55</v>
      </c>
      <c r="X850">
        <v>42201.02</v>
      </c>
      <c r="Y850">
        <v>38886.519999999997</v>
      </c>
    </row>
    <row r="851" spans="1:25" x14ac:dyDescent="0.25">
      <c r="A851" t="s">
        <v>902</v>
      </c>
      <c r="B851" s="1">
        <v>45164</v>
      </c>
      <c r="C851">
        <v>2023</v>
      </c>
      <c r="D851">
        <v>8</v>
      </c>
      <c r="E851" t="s">
        <v>814</v>
      </c>
      <c r="F851" t="s">
        <v>691</v>
      </c>
      <c r="G851" t="s">
        <v>35</v>
      </c>
      <c r="H851" t="s">
        <v>58</v>
      </c>
      <c r="I851" t="s">
        <v>56</v>
      </c>
      <c r="J851">
        <v>36</v>
      </c>
      <c r="K851">
        <v>899.28</v>
      </c>
      <c r="L851">
        <v>32374.04</v>
      </c>
      <c r="M851">
        <v>15913.09</v>
      </c>
      <c r="N851">
        <v>2813.75</v>
      </c>
      <c r="O851">
        <v>2345.1799999999998</v>
      </c>
      <c r="P851">
        <v>777.96</v>
      </c>
      <c r="Q851">
        <v>576.22</v>
      </c>
      <c r="R851">
        <v>1985.25</v>
      </c>
      <c r="S851">
        <v>353.25</v>
      </c>
      <c r="T851">
        <v>24764.69</v>
      </c>
      <c r="U851">
        <v>16460.95</v>
      </c>
      <c r="V851">
        <v>7609.35</v>
      </c>
      <c r="W851">
        <v>7728.94</v>
      </c>
      <c r="X851">
        <v>30265.18</v>
      </c>
      <c r="Y851">
        <v>26152.27</v>
      </c>
    </row>
    <row r="852" spans="1:25" x14ac:dyDescent="0.25">
      <c r="A852" t="s">
        <v>903</v>
      </c>
      <c r="B852" s="1">
        <v>45164</v>
      </c>
      <c r="C852">
        <v>2023</v>
      </c>
      <c r="D852">
        <v>8</v>
      </c>
      <c r="E852" t="s">
        <v>814</v>
      </c>
      <c r="F852" t="s">
        <v>691</v>
      </c>
      <c r="G852" t="s">
        <v>55</v>
      </c>
      <c r="H852" t="s">
        <v>32</v>
      </c>
      <c r="I852" t="s">
        <v>33</v>
      </c>
      <c r="J852">
        <v>60</v>
      </c>
      <c r="K852">
        <v>1655.91</v>
      </c>
      <c r="L852">
        <v>99354.86</v>
      </c>
      <c r="M852">
        <v>55124.160000000003</v>
      </c>
      <c r="N852">
        <v>12583.51</v>
      </c>
      <c r="O852">
        <v>3284.17</v>
      </c>
      <c r="P852">
        <v>4053.53</v>
      </c>
      <c r="Q852">
        <v>1136.3699999999999</v>
      </c>
      <c r="R852">
        <v>2856.18</v>
      </c>
      <c r="S852">
        <v>1688.68</v>
      </c>
      <c r="T852">
        <v>80726.59</v>
      </c>
      <c r="U852">
        <v>44230.7</v>
      </c>
      <c r="V852">
        <v>18628.27</v>
      </c>
      <c r="W852">
        <v>16928.27</v>
      </c>
      <c r="X852">
        <v>98466.86</v>
      </c>
      <c r="Y852">
        <v>86814.25</v>
      </c>
    </row>
    <row r="853" spans="1:25" x14ac:dyDescent="0.25">
      <c r="A853" t="s">
        <v>904</v>
      </c>
      <c r="B853" s="1">
        <v>45164</v>
      </c>
      <c r="C853">
        <v>2023</v>
      </c>
      <c r="D853">
        <v>8</v>
      </c>
      <c r="E853" t="s">
        <v>814</v>
      </c>
      <c r="F853" t="s">
        <v>691</v>
      </c>
      <c r="G853" t="s">
        <v>55</v>
      </c>
      <c r="H853" t="s">
        <v>53</v>
      </c>
      <c r="I853" t="s">
        <v>30</v>
      </c>
      <c r="J853">
        <v>38</v>
      </c>
      <c r="K853">
        <v>1710.38</v>
      </c>
      <c r="L853">
        <v>64994.55</v>
      </c>
      <c r="M853">
        <v>42397.63</v>
      </c>
      <c r="N853">
        <v>8112.85</v>
      </c>
      <c r="O853">
        <v>2470.66</v>
      </c>
      <c r="P853">
        <v>1527.01</v>
      </c>
      <c r="Q853">
        <v>715</v>
      </c>
      <c r="R853">
        <v>2449.56</v>
      </c>
      <c r="S853">
        <v>1514.1</v>
      </c>
      <c r="T853">
        <v>59186.8</v>
      </c>
      <c r="U853">
        <v>22596.92</v>
      </c>
      <c r="V853">
        <v>5807.74</v>
      </c>
      <c r="W853">
        <v>5398.3</v>
      </c>
      <c r="X853">
        <v>69161.399999999994</v>
      </c>
      <c r="Y853">
        <v>61006.46</v>
      </c>
    </row>
    <row r="854" spans="1:25" x14ac:dyDescent="0.25">
      <c r="A854" t="s">
        <v>905</v>
      </c>
      <c r="B854" s="1">
        <v>45165</v>
      </c>
      <c r="C854">
        <v>2023</v>
      </c>
      <c r="D854">
        <v>8</v>
      </c>
      <c r="E854" t="s">
        <v>814</v>
      </c>
      <c r="F854" t="s">
        <v>691</v>
      </c>
      <c r="G854" t="s">
        <v>55</v>
      </c>
      <c r="H854" t="s">
        <v>53</v>
      </c>
      <c r="I854" t="s">
        <v>50</v>
      </c>
      <c r="J854">
        <v>23</v>
      </c>
      <c r="K854">
        <v>1790.6</v>
      </c>
      <c r="L854">
        <v>41183.879999999997</v>
      </c>
      <c r="M854">
        <v>26144.03</v>
      </c>
      <c r="N854">
        <v>3596.52</v>
      </c>
      <c r="O854">
        <v>2212.06</v>
      </c>
      <c r="P854">
        <v>1107.6500000000001</v>
      </c>
      <c r="Q854">
        <v>683.37</v>
      </c>
      <c r="R854">
        <v>1905.37</v>
      </c>
      <c r="S854">
        <v>362.25</v>
      </c>
      <c r="T854">
        <v>36011.269999999997</v>
      </c>
      <c r="U854">
        <v>15039.85</v>
      </c>
      <c r="V854">
        <v>5172.62</v>
      </c>
      <c r="W854">
        <v>4905.0200000000004</v>
      </c>
      <c r="X854">
        <v>40064.79</v>
      </c>
      <c r="Y854">
        <v>38671.47</v>
      </c>
    </row>
    <row r="855" spans="1:25" x14ac:dyDescent="0.25">
      <c r="A855" t="s">
        <v>906</v>
      </c>
      <c r="B855" s="1">
        <v>45165</v>
      </c>
      <c r="C855">
        <v>2023</v>
      </c>
      <c r="D855">
        <v>8</v>
      </c>
      <c r="E855" t="s">
        <v>814</v>
      </c>
      <c r="F855" t="s">
        <v>691</v>
      </c>
      <c r="G855" t="s">
        <v>28</v>
      </c>
      <c r="H855" t="s">
        <v>29</v>
      </c>
      <c r="I855" t="s">
        <v>33</v>
      </c>
      <c r="J855">
        <v>84</v>
      </c>
      <c r="K855">
        <v>1084.19</v>
      </c>
      <c r="L855">
        <v>91071.8</v>
      </c>
      <c r="M855">
        <v>61217.71</v>
      </c>
      <c r="N855">
        <v>8338.2099999999991</v>
      </c>
      <c r="O855">
        <v>4294.29</v>
      </c>
      <c r="P855">
        <v>2519.36</v>
      </c>
      <c r="Q855">
        <v>1566.01</v>
      </c>
      <c r="R855">
        <v>3430.52</v>
      </c>
      <c r="S855">
        <v>1552.12</v>
      </c>
      <c r="T855">
        <v>82918.22</v>
      </c>
      <c r="U855">
        <v>29854.09</v>
      </c>
      <c r="V855">
        <v>8153.57</v>
      </c>
      <c r="W855">
        <v>7882.45</v>
      </c>
      <c r="X855">
        <v>90961.49</v>
      </c>
      <c r="Y855">
        <v>82261.48</v>
      </c>
    </row>
    <row r="856" spans="1:25" x14ac:dyDescent="0.25">
      <c r="A856" t="s">
        <v>907</v>
      </c>
      <c r="B856" s="1">
        <v>45165</v>
      </c>
      <c r="C856">
        <v>2023</v>
      </c>
      <c r="D856">
        <v>8</v>
      </c>
      <c r="E856" t="s">
        <v>814</v>
      </c>
      <c r="F856" t="s">
        <v>691</v>
      </c>
      <c r="G856" t="s">
        <v>44</v>
      </c>
      <c r="H856" t="s">
        <v>29</v>
      </c>
      <c r="I856" t="s">
        <v>45</v>
      </c>
      <c r="J856">
        <v>33</v>
      </c>
      <c r="K856">
        <v>1238.04</v>
      </c>
      <c r="L856">
        <v>40855.480000000003</v>
      </c>
      <c r="M856">
        <v>19846.580000000002</v>
      </c>
      <c r="N856">
        <v>5059.7</v>
      </c>
      <c r="O856">
        <v>2607.7199999999998</v>
      </c>
      <c r="P856">
        <v>945.5</v>
      </c>
      <c r="Q856">
        <v>726.03</v>
      </c>
      <c r="R856">
        <v>2223.62</v>
      </c>
      <c r="S856">
        <v>982.89</v>
      </c>
      <c r="T856">
        <v>32392.03</v>
      </c>
      <c r="U856">
        <v>21008.9</v>
      </c>
      <c r="V856">
        <v>8463.44</v>
      </c>
      <c r="W856">
        <v>8531.42</v>
      </c>
      <c r="X856">
        <v>39323.65</v>
      </c>
      <c r="Y856">
        <v>31735.66</v>
      </c>
    </row>
    <row r="857" spans="1:25" x14ac:dyDescent="0.25">
      <c r="A857" t="s">
        <v>908</v>
      </c>
      <c r="B857" s="1">
        <v>45168</v>
      </c>
      <c r="C857">
        <v>2023</v>
      </c>
      <c r="D857">
        <v>8</v>
      </c>
      <c r="E857" t="s">
        <v>814</v>
      </c>
      <c r="F857" t="s">
        <v>691</v>
      </c>
      <c r="G857" t="s">
        <v>35</v>
      </c>
      <c r="H857" t="s">
        <v>36</v>
      </c>
      <c r="I857" t="s">
        <v>65</v>
      </c>
      <c r="J857">
        <v>57</v>
      </c>
      <c r="K857">
        <v>989.82</v>
      </c>
      <c r="L857">
        <v>56419.79</v>
      </c>
      <c r="M857">
        <v>29590.84</v>
      </c>
      <c r="N857">
        <v>6498.37</v>
      </c>
      <c r="O857">
        <v>2070.89</v>
      </c>
      <c r="P857">
        <v>2199.04</v>
      </c>
      <c r="Q857">
        <v>386.41</v>
      </c>
      <c r="R857">
        <v>2335.44</v>
      </c>
      <c r="S857">
        <v>1184.31</v>
      </c>
      <c r="T857">
        <v>44265.3</v>
      </c>
      <c r="U857">
        <v>26828.95</v>
      </c>
      <c r="V857">
        <v>12154.49</v>
      </c>
      <c r="W857">
        <v>11231.95</v>
      </c>
      <c r="X857">
        <v>52698.13</v>
      </c>
      <c r="Y857">
        <v>48591.02</v>
      </c>
    </row>
    <row r="858" spans="1:25" x14ac:dyDescent="0.25">
      <c r="A858" t="s">
        <v>909</v>
      </c>
      <c r="B858" s="1">
        <v>45168</v>
      </c>
      <c r="C858">
        <v>2023</v>
      </c>
      <c r="D858">
        <v>8</v>
      </c>
      <c r="E858" t="s">
        <v>814</v>
      </c>
      <c r="F858" t="s">
        <v>691</v>
      </c>
      <c r="G858" t="s">
        <v>55</v>
      </c>
      <c r="H858" t="s">
        <v>53</v>
      </c>
      <c r="I858" t="s">
        <v>37</v>
      </c>
      <c r="J858">
        <v>76</v>
      </c>
      <c r="K858">
        <v>1031.98</v>
      </c>
      <c r="L858">
        <v>78430.58</v>
      </c>
      <c r="M858">
        <v>41091.949999999997</v>
      </c>
      <c r="N858">
        <v>6943.15</v>
      </c>
      <c r="O858">
        <v>3888.45</v>
      </c>
      <c r="P858">
        <v>2010.16</v>
      </c>
      <c r="Q858">
        <v>997.29</v>
      </c>
      <c r="R858">
        <v>3335.51</v>
      </c>
      <c r="S858">
        <v>660.97</v>
      </c>
      <c r="T858">
        <v>58927.47</v>
      </c>
      <c r="U858">
        <v>37338.629999999997</v>
      </c>
      <c r="V858">
        <v>19503.11</v>
      </c>
      <c r="W858">
        <v>18245.14</v>
      </c>
      <c r="X858">
        <v>82776.77</v>
      </c>
      <c r="Y858">
        <v>58127.59</v>
      </c>
    </row>
    <row r="859" spans="1:25" x14ac:dyDescent="0.25">
      <c r="A859" t="s">
        <v>910</v>
      </c>
      <c r="B859" s="1">
        <v>45168</v>
      </c>
      <c r="C859">
        <v>2023</v>
      </c>
      <c r="D859">
        <v>8</v>
      </c>
      <c r="E859" t="s">
        <v>814</v>
      </c>
      <c r="F859" t="s">
        <v>691</v>
      </c>
      <c r="G859" t="s">
        <v>55</v>
      </c>
      <c r="H859" t="s">
        <v>36</v>
      </c>
      <c r="I859" t="s">
        <v>65</v>
      </c>
      <c r="J859">
        <v>63</v>
      </c>
      <c r="K859">
        <v>1268.8399999999999</v>
      </c>
      <c r="L859">
        <v>79936.740000000005</v>
      </c>
      <c r="M859">
        <v>51751.09</v>
      </c>
      <c r="N859">
        <v>6643.83</v>
      </c>
      <c r="O859">
        <v>2236.12</v>
      </c>
      <c r="P859">
        <v>2028.78</v>
      </c>
      <c r="Q859">
        <v>1190.57</v>
      </c>
      <c r="R859">
        <v>3655.87</v>
      </c>
      <c r="S859">
        <v>942.49</v>
      </c>
      <c r="T859">
        <v>68448.759999999995</v>
      </c>
      <c r="U859">
        <v>28185.65</v>
      </c>
      <c r="V859">
        <v>11487.99</v>
      </c>
      <c r="W859">
        <v>10752.55</v>
      </c>
      <c r="X859">
        <v>76320.67</v>
      </c>
      <c r="Y859">
        <v>70415.009999999995</v>
      </c>
    </row>
    <row r="860" spans="1:25" x14ac:dyDescent="0.25">
      <c r="A860" t="s">
        <v>911</v>
      </c>
      <c r="B860" s="1">
        <v>45168</v>
      </c>
      <c r="C860">
        <v>2023</v>
      </c>
      <c r="D860">
        <v>8</v>
      </c>
      <c r="E860" t="s">
        <v>814</v>
      </c>
      <c r="F860" t="s">
        <v>691</v>
      </c>
      <c r="G860" t="s">
        <v>55</v>
      </c>
      <c r="H860" t="s">
        <v>32</v>
      </c>
      <c r="I860" t="s">
        <v>37</v>
      </c>
      <c r="J860">
        <v>83</v>
      </c>
      <c r="K860">
        <v>899.82</v>
      </c>
      <c r="L860">
        <v>74684.86</v>
      </c>
      <c r="M860">
        <v>40396.65</v>
      </c>
      <c r="N860">
        <v>6648.42</v>
      </c>
      <c r="O860">
        <v>2417.9</v>
      </c>
      <c r="P860">
        <v>1525.66</v>
      </c>
      <c r="Q860">
        <v>820.09</v>
      </c>
      <c r="R860">
        <v>3653.46</v>
      </c>
      <c r="S860">
        <v>707.52</v>
      </c>
      <c r="T860">
        <v>56169.7</v>
      </c>
      <c r="U860">
        <v>34288.21</v>
      </c>
      <c r="V860">
        <v>18515.16</v>
      </c>
      <c r="W860">
        <v>18793.63</v>
      </c>
      <c r="X860">
        <v>74063.070000000007</v>
      </c>
      <c r="Y860">
        <v>52607</v>
      </c>
    </row>
    <row r="861" spans="1:25" x14ac:dyDescent="0.25">
      <c r="A861" t="s">
        <v>912</v>
      </c>
      <c r="B861" s="1">
        <v>45168</v>
      </c>
      <c r="C861">
        <v>2023</v>
      </c>
      <c r="D861">
        <v>8</v>
      </c>
      <c r="E861" t="s">
        <v>814</v>
      </c>
      <c r="F861" t="s">
        <v>691</v>
      </c>
      <c r="G861" t="s">
        <v>55</v>
      </c>
      <c r="H861" t="s">
        <v>32</v>
      </c>
      <c r="I861" t="s">
        <v>65</v>
      </c>
      <c r="J861">
        <v>59</v>
      </c>
      <c r="K861">
        <v>1617.43</v>
      </c>
      <c r="L861">
        <v>95428.6</v>
      </c>
      <c r="M861">
        <v>50290.74</v>
      </c>
      <c r="N861">
        <v>11151.01</v>
      </c>
      <c r="O861">
        <v>5105.93</v>
      </c>
      <c r="P861">
        <v>3988.47</v>
      </c>
      <c r="Q861">
        <v>795.66</v>
      </c>
      <c r="R861">
        <v>5601.25</v>
      </c>
      <c r="S861">
        <v>1195.5</v>
      </c>
      <c r="T861">
        <v>78128.55</v>
      </c>
      <c r="U861">
        <v>45137.86</v>
      </c>
      <c r="V861">
        <v>17300.05</v>
      </c>
      <c r="W861">
        <v>16760.72</v>
      </c>
      <c r="X861">
        <v>96291.43</v>
      </c>
      <c r="Y861">
        <v>83268</v>
      </c>
    </row>
    <row r="862" spans="1:25" x14ac:dyDescent="0.25">
      <c r="A862" t="s">
        <v>913</v>
      </c>
      <c r="B862" s="1">
        <v>45168</v>
      </c>
      <c r="C862">
        <v>2023</v>
      </c>
      <c r="D862">
        <v>8</v>
      </c>
      <c r="E862" t="s">
        <v>814</v>
      </c>
      <c r="F862" t="s">
        <v>691</v>
      </c>
      <c r="G862" t="s">
        <v>55</v>
      </c>
      <c r="H862" t="s">
        <v>58</v>
      </c>
      <c r="I862" t="s">
        <v>56</v>
      </c>
      <c r="J862">
        <v>24</v>
      </c>
      <c r="K862">
        <v>1580.37</v>
      </c>
      <c r="L862">
        <v>37928.97</v>
      </c>
      <c r="M862">
        <v>18473.990000000002</v>
      </c>
      <c r="N862">
        <v>3588.62</v>
      </c>
      <c r="O862">
        <v>1174.8599999999999</v>
      </c>
      <c r="P862">
        <v>752.7</v>
      </c>
      <c r="Q862">
        <v>460.49</v>
      </c>
      <c r="R862">
        <v>1628.79</v>
      </c>
      <c r="S862">
        <v>582.15</v>
      </c>
      <c r="T862">
        <v>26661.599999999999</v>
      </c>
      <c r="U862">
        <v>19454.97</v>
      </c>
      <c r="V862">
        <v>11267.37</v>
      </c>
      <c r="W862">
        <v>10801.68</v>
      </c>
      <c r="X862">
        <v>39493.35</v>
      </c>
      <c r="Y862">
        <v>26529.24</v>
      </c>
    </row>
    <row r="863" spans="1:25" x14ac:dyDescent="0.25">
      <c r="A863" t="s">
        <v>914</v>
      </c>
      <c r="B863" s="1">
        <v>45168</v>
      </c>
      <c r="C863">
        <v>2023</v>
      </c>
      <c r="D863">
        <v>8</v>
      </c>
      <c r="E863" t="s">
        <v>814</v>
      </c>
      <c r="F863" t="s">
        <v>691</v>
      </c>
      <c r="G863" t="s">
        <v>28</v>
      </c>
      <c r="H863" t="s">
        <v>32</v>
      </c>
      <c r="I863" t="s">
        <v>30</v>
      </c>
      <c r="J863">
        <v>72</v>
      </c>
      <c r="K863">
        <v>1218.55</v>
      </c>
      <c r="L863">
        <v>87735.82</v>
      </c>
      <c r="M863">
        <v>50925.32</v>
      </c>
      <c r="N863">
        <v>10161.02</v>
      </c>
      <c r="O863">
        <v>5785.64</v>
      </c>
      <c r="P863">
        <v>1467.83</v>
      </c>
      <c r="Q863">
        <v>1363.73</v>
      </c>
      <c r="R863">
        <v>3558.78</v>
      </c>
      <c r="S863">
        <v>1175.5899999999999</v>
      </c>
      <c r="T863">
        <v>74437.919999999998</v>
      </c>
      <c r="U863">
        <v>36810.49</v>
      </c>
      <c r="V863">
        <v>13297.89</v>
      </c>
      <c r="W863">
        <v>12036.58</v>
      </c>
      <c r="X863">
        <v>87913.93</v>
      </c>
      <c r="Y863">
        <v>69694.7</v>
      </c>
    </row>
    <row r="864" spans="1:25" x14ac:dyDescent="0.25">
      <c r="A864" t="s">
        <v>915</v>
      </c>
      <c r="B864" s="1">
        <v>45169</v>
      </c>
      <c r="C864">
        <v>2023</v>
      </c>
      <c r="D864">
        <v>8</v>
      </c>
      <c r="E864" t="s">
        <v>814</v>
      </c>
      <c r="F864" t="s">
        <v>691</v>
      </c>
      <c r="G864" t="s">
        <v>44</v>
      </c>
      <c r="H864" t="s">
        <v>29</v>
      </c>
      <c r="I864" t="s">
        <v>33</v>
      </c>
      <c r="J864">
        <v>63</v>
      </c>
      <c r="K864">
        <v>1281.76</v>
      </c>
      <c r="L864">
        <v>80750.89</v>
      </c>
      <c r="M864">
        <v>54463.75</v>
      </c>
      <c r="N864">
        <v>8142.54</v>
      </c>
      <c r="O864">
        <v>2381.6</v>
      </c>
      <c r="P864">
        <v>2858.25</v>
      </c>
      <c r="Q864">
        <v>526.79999999999995</v>
      </c>
      <c r="R864">
        <v>3952.55</v>
      </c>
      <c r="S864">
        <v>1180.74</v>
      </c>
      <c r="T864">
        <v>73506.23</v>
      </c>
      <c r="U864">
        <v>26287.13</v>
      </c>
      <c r="V864">
        <v>7244.65</v>
      </c>
      <c r="W864">
        <v>7299</v>
      </c>
      <c r="X864">
        <v>84994.91</v>
      </c>
      <c r="Y864">
        <v>79026.490000000005</v>
      </c>
    </row>
    <row r="865" spans="1:25" x14ac:dyDescent="0.25">
      <c r="A865" t="s">
        <v>916</v>
      </c>
      <c r="B865" s="1">
        <v>45169</v>
      </c>
      <c r="C865">
        <v>2023</v>
      </c>
      <c r="D865">
        <v>8</v>
      </c>
      <c r="E865" t="s">
        <v>814</v>
      </c>
      <c r="F865" t="s">
        <v>691</v>
      </c>
      <c r="G865" t="s">
        <v>55</v>
      </c>
      <c r="H865" t="s">
        <v>29</v>
      </c>
      <c r="I865" t="s">
        <v>39</v>
      </c>
      <c r="J865">
        <v>20</v>
      </c>
      <c r="K865">
        <v>1766.69</v>
      </c>
      <c r="L865">
        <v>35333.83</v>
      </c>
      <c r="M865">
        <v>19981.21</v>
      </c>
      <c r="N865">
        <v>4329.2</v>
      </c>
      <c r="O865">
        <v>1397.78</v>
      </c>
      <c r="P865">
        <v>1576.05</v>
      </c>
      <c r="Q865">
        <v>340.27</v>
      </c>
      <c r="R865">
        <v>1657.4</v>
      </c>
      <c r="S865">
        <v>742.45</v>
      </c>
      <c r="T865">
        <v>30024.37</v>
      </c>
      <c r="U865">
        <v>15352.62</v>
      </c>
      <c r="V865">
        <v>5309.46</v>
      </c>
      <c r="W865">
        <v>4798.99</v>
      </c>
      <c r="X865">
        <v>34559.279999999999</v>
      </c>
      <c r="Y865">
        <v>28222.34</v>
      </c>
    </row>
    <row r="866" spans="1:25" x14ac:dyDescent="0.25">
      <c r="A866" t="s">
        <v>917</v>
      </c>
      <c r="B866" s="1">
        <v>45170</v>
      </c>
      <c r="C866">
        <v>2023</v>
      </c>
      <c r="D866">
        <v>9</v>
      </c>
      <c r="E866" t="s">
        <v>918</v>
      </c>
      <c r="F866" t="s">
        <v>691</v>
      </c>
      <c r="G866" t="s">
        <v>44</v>
      </c>
      <c r="H866" t="s">
        <v>36</v>
      </c>
      <c r="I866" t="s">
        <v>50</v>
      </c>
      <c r="J866">
        <v>48</v>
      </c>
      <c r="K866">
        <v>908.37</v>
      </c>
      <c r="L866">
        <v>43601.91</v>
      </c>
      <c r="M866">
        <v>27472.959999999999</v>
      </c>
      <c r="N866">
        <v>4598.66</v>
      </c>
      <c r="O866">
        <v>2392.0500000000002</v>
      </c>
      <c r="P866">
        <v>1071.21</v>
      </c>
      <c r="Q866">
        <v>408.79</v>
      </c>
      <c r="R866">
        <v>2804.36</v>
      </c>
      <c r="S866">
        <v>1055.76</v>
      </c>
      <c r="T866">
        <v>39803.79</v>
      </c>
      <c r="U866">
        <v>16128.95</v>
      </c>
      <c r="V866">
        <v>3798.12</v>
      </c>
      <c r="W866">
        <v>3380.55</v>
      </c>
      <c r="X866">
        <v>47057.63</v>
      </c>
      <c r="Y866">
        <v>40299.050000000003</v>
      </c>
    </row>
    <row r="867" spans="1:25" x14ac:dyDescent="0.25">
      <c r="A867" t="s">
        <v>919</v>
      </c>
      <c r="B867" s="1">
        <v>45170</v>
      </c>
      <c r="C867">
        <v>2023</v>
      </c>
      <c r="D867">
        <v>9</v>
      </c>
      <c r="E867" t="s">
        <v>918</v>
      </c>
      <c r="F867" t="s">
        <v>691</v>
      </c>
      <c r="G867" t="s">
        <v>55</v>
      </c>
      <c r="H867" t="s">
        <v>36</v>
      </c>
      <c r="I867" t="s">
        <v>30</v>
      </c>
      <c r="J867">
        <v>72</v>
      </c>
      <c r="K867">
        <v>1533.92</v>
      </c>
      <c r="L867">
        <v>110442.22</v>
      </c>
      <c r="M867">
        <v>55516.37</v>
      </c>
      <c r="N867">
        <v>12367.53</v>
      </c>
      <c r="O867">
        <v>6404.07</v>
      </c>
      <c r="P867">
        <v>3424.95</v>
      </c>
      <c r="Q867">
        <v>1196.01</v>
      </c>
      <c r="R867">
        <v>5727.77</v>
      </c>
      <c r="S867">
        <v>1376.14</v>
      </c>
      <c r="T867">
        <v>86012.84</v>
      </c>
      <c r="U867">
        <v>54925.85</v>
      </c>
      <c r="V867">
        <v>24429.37</v>
      </c>
      <c r="W867">
        <v>22268.16</v>
      </c>
      <c r="X867">
        <v>118984.07</v>
      </c>
      <c r="Y867">
        <v>88744.18</v>
      </c>
    </row>
    <row r="868" spans="1:25" x14ac:dyDescent="0.25">
      <c r="A868" t="s">
        <v>920</v>
      </c>
      <c r="B868" s="1">
        <v>45171</v>
      </c>
      <c r="C868">
        <v>2023</v>
      </c>
      <c r="D868">
        <v>9</v>
      </c>
      <c r="E868" t="s">
        <v>918</v>
      </c>
      <c r="F868" t="s">
        <v>691</v>
      </c>
      <c r="G868" t="s">
        <v>55</v>
      </c>
      <c r="H868" t="s">
        <v>32</v>
      </c>
      <c r="I868" t="s">
        <v>50</v>
      </c>
      <c r="J868">
        <v>72</v>
      </c>
      <c r="K868">
        <v>1034</v>
      </c>
      <c r="L868">
        <v>74447.710000000006</v>
      </c>
      <c r="M868">
        <v>40060.089999999997</v>
      </c>
      <c r="N868">
        <v>8419.6299999999992</v>
      </c>
      <c r="O868">
        <v>5023.28</v>
      </c>
      <c r="P868">
        <v>2188.4</v>
      </c>
      <c r="Q868">
        <v>1225.97</v>
      </c>
      <c r="R868">
        <v>4466.68</v>
      </c>
      <c r="S868">
        <v>897.47</v>
      </c>
      <c r="T868">
        <v>62281.52</v>
      </c>
      <c r="U868">
        <v>34387.620000000003</v>
      </c>
      <c r="V868">
        <v>12166.2</v>
      </c>
      <c r="W868">
        <v>12320.09</v>
      </c>
      <c r="X868">
        <v>79479.25</v>
      </c>
      <c r="Y868">
        <v>60611.15</v>
      </c>
    </row>
    <row r="869" spans="1:25" x14ac:dyDescent="0.25">
      <c r="A869" t="s">
        <v>921</v>
      </c>
      <c r="B869" s="1">
        <v>45171</v>
      </c>
      <c r="C869">
        <v>2023</v>
      </c>
      <c r="D869">
        <v>9</v>
      </c>
      <c r="E869" t="s">
        <v>918</v>
      </c>
      <c r="F869" t="s">
        <v>691</v>
      </c>
      <c r="G869" t="s">
        <v>28</v>
      </c>
      <c r="H869" t="s">
        <v>32</v>
      </c>
      <c r="I869" t="s">
        <v>37</v>
      </c>
      <c r="J869">
        <v>57</v>
      </c>
      <c r="K869">
        <v>1424.5</v>
      </c>
      <c r="L869">
        <v>81196.28</v>
      </c>
      <c r="M869">
        <v>45700.98</v>
      </c>
      <c r="N869">
        <v>7056.54</v>
      </c>
      <c r="O869">
        <v>4864.1499999999996</v>
      </c>
      <c r="P869">
        <v>2530.4699999999998</v>
      </c>
      <c r="Q869">
        <v>1009.98</v>
      </c>
      <c r="R869">
        <v>3817.01</v>
      </c>
      <c r="S869">
        <v>1458.25</v>
      </c>
      <c r="T869">
        <v>66437.399999999994</v>
      </c>
      <c r="U869">
        <v>35495.29</v>
      </c>
      <c r="V869">
        <v>14758.88</v>
      </c>
      <c r="W869">
        <v>13633.4</v>
      </c>
      <c r="X869">
        <v>77222.960000000006</v>
      </c>
      <c r="Y869">
        <v>69972.800000000003</v>
      </c>
    </row>
    <row r="870" spans="1:25" x14ac:dyDescent="0.25">
      <c r="A870" t="s">
        <v>922</v>
      </c>
      <c r="B870" s="1">
        <v>45171</v>
      </c>
      <c r="C870">
        <v>2023</v>
      </c>
      <c r="D870">
        <v>9</v>
      </c>
      <c r="E870" t="s">
        <v>918</v>
      </c>
      <c r="F870" t="s">
        <v>691</v>
      </c>
      <c r="G870" t="s">
        <v>44</v>
      </c>
      <c r="H870" t="s">
        <v>36</v>
      </c>
      <c r="I870" t="s">
        <v>50</v>
      </c>
      <c r="J870">
        <v>33</v>
      </c>
      <c r="K870">
        <v>1089.79</v>
      </c>
      <c r="L870">
        <v>35963.21</v>
      </c>
      <c r="M870">
        <v>20243.02</v>
      </c>
      <c r="N870">
        <v>3455</v>
      </c>
      <c r="O870">
        <v>1910.71</v>
      </c>
      <c r="P870">
        <v>1023.42</v>
      </c>
      <c r="Q870">
        <v>315.12</v>
      </c>
      <c r="R870">
        <v>2069.5</v>
      </c>
      <c r="S870">
        <v>638.44000000000005</v>
      </c>
      <c r="T870">
        <v>29655.21</v>
      </c>
      <c r="U870">
        <v>15720.19</v>
      </c>
      <c r="V870">
        <v>6308</v>
      </c>
      <c r="W870">
        <v>6192.45</v>
      </c>
      <c r="X870">
        <v>34923.629999999997</v>
      </c>
      <c r="Y870">
        <v>29864.17</v>
      </c>
    </row>
    <row r="871" spans="1:25" x14ac:dyDescent="0.25">
      <c r="A871" t="s">
        <v>923</v>
      </c>
      <c r="B871" s="1">
        <v>45171</v>
      </c>
      <c r="C871">
        <v>2023</v>
      </c>
      <c r="D871">
        <v>9</v>
      </c>
      <c r="E871" t="s">
        <v>918</v>
      </c>
      <c r="F871" t="s">
        <v>691</v>
      </c>
      <c r="G871" t="s">
        <v>55</v>
      </c>
      <c r="H871" t="s">
        <v>36</v>
      </c>
      <c r="I871" t="s">
        <v>30</v>
      </c>
      <c r="J871">
        <v>100</v>
      </c>
      <c r="K871">
        <v>1058.27</v>
      </c>
      <c r="L871">
        <v>105827.4</v>
      </c>
      <c r="M871">
        <v>62377.38</v>
      </c>
      <c r="N871">
        <v>12989.85</v>
      </c>
      <c r="O871">
        <v>2941.32</v>
      </c>
      <c r="P871">
        <v>1716.14</v>
      </c>
      <c r="Q871">
        <v>983.02</v>
      </c>
      <c r="R871">
        <v>2802.65</v>
      </c>
      <c r="S871">
        <v>1198.6099999999999</v>
      </c>
      <c r="T871">
        <v>85008.960000000006</v>
      </c>
      <c r="U871">
        <v>43450.02</v>
      </c>
      <c r="V871">
        <v>20818.439999999999</v>
      </c>
      <c r="W871">
        <v>19108.88</v>
      </c>
      <c r="X871">
        <v>99323.83</v>
      </c>
      <c r="Y871">
        <v>89229.51</v>
      </c>
    </row>
    <row r="872" spans="1:25" x14ac:dyDescent="0.25">
      <c r="A872" t="s">
        <v>924</v>
      </c>
      <c r="B872" s="1">
        <v>45171</v>
      </c>
      <c r="C872">
        <v>2023</v>
      </c>
      <c r="D872">
        <v>9</v>
      </c>
      <c r="E872" t="s">
        <v>918</v>
      </c>
      <c r="F872" t="s">
        <v>691</v>
      </c>
      <c r="G872" t="s">
        <v>35</v>
      </c>
      <c r="H872" t="s">
        <v>29</v>
      </c>
      <c r="I872" t="s">
        <v>50</v>
      </c>
      <c r="J872">
        <v>27</v>
      </c>
      <c r="K872">
        <v>1538.08</v>
      </c>
      <c r="L872">
        <v>41528.18</v>
      </c>
      <c r="M872">
        <v>26108.240000000002</v>
      </c>
      <c r="N872">
        <v>5125.1899999999996</v>
      </c>
      <c r="O872">
        <v>1907.89</v>
      </c>
      <c r="P872">
        <v>639.34</v>
      </c>
      <c r="Q872">
        <v>576.11</v>
      </c>
      <c r="R872">
        <v>1586.74</v>
      </c>
      <c r="S872">
        <v>603.64</v>
      </c>
      <c r="T872">
        <v>36547.14</v>
      </c>
      <c r="U872">
        <v>15419.95</v>
      </c>
      <c r="V872">
        <v>4981.04</v>
      </c>
      <c r="W872">
        <v>4764.68</v>
      </c>
      <c r="X872">
        <v>40056.519999999997</v>
      </c>
      <c r="Y872">
        <v>38508.58</v>
      </c>
    </row>
    <row r="873" spans="1:25" x14ac:dyDescent="0.25">
      <c r="A873" t="s">
        <v>925</v>
      </c>
      <c r="B873" s="1">
        <v>45172</v>
      </c>
      <c r="C873">
        <v>2023</v>
      </c>
      <c r="D873">
        <v>9</v>
      </c>
      <c r="E873" t="s">
        <v>918</v>
      </c>
      <c r="F873" t="s">
        <v>691</v>
      </c>
      <c r="G873" t="s">
        <v>44</v>
      </c>
      <c r="H873" t="s">
        <v>32</v>
      </c>
      <c r="I873" t="s">
        <v>50</v>
      </c>
      <c r="J873">
        <v>34</v>
      </c>
      <c r="K873">
        <v>1758.96</v>
      </c>
      <c r="L873">
        <v>59804.61</v>
      </c>
      <c r="M873">
        <v>33730.22</v>
      </c>
      <c r="N873">
        <v>5044.03</v>
      </c>
      <c r="O873">
        <v>1906.12</v>
      </c>
      <c r="P873">
        <v>2679.28</v>
      </c>
      <c r="Q873">
        <v>773.38</v>
      </c>
      <c r="R873">
        <v>1648.22</v>
      </c>
      <c r="S873">
        <v>774.21</v>
      </c>
      <c r="T873">
        <v>46555.45</v>
      </c>
      <c r="U873">
        <v>26074.400000000001</v>
      </c>
      <c r="V873">
        <v>13249.16</v>
      </c>
      <c r="W873">
        <v>11777.25</v>
      </c>
      <c r="X873">
        <v>60913.71</v>
      </c>
      <c r="Y873">
        <v>47988.47</v>
      </c>
    </row>
    <row r="874" spans="1:25" x14ac:dyDescent="0.25">
      <c r="A874" t="s">
        <v>926</v>
      </c>
      <c r="B874" s="1">
        <v>45172</v>
      </c>
      <c r="C874">
        <v>2023</v>
      </c>
      <c r="D874">
        <v>9</v>
      </c>
      <c r="E874" t="s">
        <v>918</v>
      </c>
      <c r="F874" t="s">
        <v>691</v>
      </c>
      <c r="G874" t="s">
        <v>55</v>
      </c>
      <c r="H874" t="s">
        <v>29</v>
      </c>
      <c r="I874" t="s">
        <v>65</v>
      </c>
      <c r="J874">
        <v>57</v>
      </c>
      <c r="K874">
        <v>1228.32</v>
      </c>
      <c r="L874">
        <v>70014.23</v>
      </c>
      <c r="M874">
        <v>34052.230000000003</v>
      </c>
      <c r="N874">
        <v>6915.93</v>
      </c>
      <c r="O874">
        <v>2091.81</v>
      </c>
      <c r="P874">
        <v>1487.09</v>
      </c>
      <c r="Q874">
        <v>1094.71</v>
      </c>
      <c r="R874">
        <v>1792.13</v>
      </c>
      <c r="S874">
        <v>1431.73</v>
      </c>
      <c r="T874">
        <v>48865.61</v>
      </c>
      <c r="U874">
        <v>35962.01</v>
      </c>
      <c r="V874">
        <v>21148.62</v>
      </c>
      <c r="W874">
        <v>18989.2</v>
      </c>
      <c r="X874">
        <v>73717.94</v>
      </c>
      <c r="Y874">
        <v>49580.79</v>
      </c>
    </row>
    <row r="875" spans="1:25" x14ac:dyDescent="0.25">
      <c r="A875" t="s">
        <v>927</v>
      </c>
      <c r="B875" s="1">
        <v>45172</v>
      </c>
      <c r="C875">
        <v>2023</v>
      </c>
      <c r="D875">
        <v>9</v>
      </c>
      <c r="E875" t="s">
        <v>918</v>
      </c>
      <c r="F875" t="s">
        <v>691</v>
      </c>
      <c r="G875" t="s">
        <v>35</v>
      </c>
      <c r="H875" t="s">
        <v>32</v>
      </c>
      <c r="I875" t="s">
        <v>30</v>
      </c>
      <c r="J875">
        <v>45</v>
      </c>
      <c r="K875">
        <v>1564.73</v>
      </c>
      <c r="L875">
        <v>70412.679999999993</v>
      </c>
      <c r="M875">
        <v>42220.22</v>
      </c>
      <c r="N875">
        <v>9118.68</v>
      </c>
      <c r="O875">
        <v>4023.33</v>
      </c>
      <c r="P875">
        <v>2854.29</v>
      </c>
      <c r="Q875">
        <v>415.92</v>
      </c>
      <c r="R875">
        <v>3828.07</v>
      </c>
      <c r="S875">
        <v>1589.26</v>
      </c>
      <c r="T875">
        <v>64049.78</v>
      </c>
      <c r="U875">
        <v>28192.46</v>
      </c>
      <c r="V875">
        <v>6362.9</v>
      </c>
      <c r="W875">
        <v>6335.82</v>
      </c>
      <c r="X875">
        <v>77137.39</v>
      </c>
      <c r="Y875">
        <v>67003.649999999994</v>
      </c>
    </row>
    <row r="876" spans="1:25" x14ac:dyDescent="0.25">
      <c r="A876" t="s">
        <v>928</v>
      </c>
      <c r="B876" s="1">
        <v>45173</v>
      </c>
      <c r="C876">
        <v>2023</v>
      </c>
      <c r="D876">
        <v>9</v>
      </c>
      <c r="E876" t="s">
        <v>918</v>
      </c>
      <c r="F876" t="s">
        <v>691</v>
      </c>
      <c r="G876" t="s">
        <v>44</v>
      </c>
      <c r="H876" t="s">
        <v>32</v>
      </c>
      <c r="I876" t="s">
        <v>56</v>
      </c>
      <c r="J876">
        <v>56</v>
      </c>
      <c r="K876">
        <v>872.67</v>
      </c>
      <c r="L876">
        <v>48869.78</v>
      </c>
      <c r="M876">
        <v>26412.21</v>
      </c>
      <c r="N876">
        <v>5554.51</v>
      </c>
      <c r="O876">
        <v>3314.65</v>
      </c>
      <c r="P876">
        <v>2173.4899999999998</v>
      </c>
      <c r="Q876">
        <v>780.32</v>
      </c>
      <c r="R876">
        <v>2177.67</v>
      </c>
      <c r="S876">
        <v>393.08</v>
      </c>
      <c r="T876">
        <v>40805.94</v>
      </c>
      <c r="U876">
        <v>22457.56</v>
      </c>
      <c r="V876">
        <v>8063.84</v>
      </c>
      <c r="W876">
        <v>7300.01</v>
      </c>
      <c r="X876">
        <v>48428.18</v>
      </c>
      <c r="Y876">
        <v>39847.99</v>
      </c>
    </row>
    <row r="877" spans="1:25" x14ac:dyDescent="0.25">
      <c r="A877" t="s">
        <v>929</v>
      </c>
      <c r="B877" s="1">
        <v>45173</v>
      </c>
      <c r="C877">
        <v>2023</v>
      </c>
      <c r="D877">
        <v>9</v>
      </c>
      <c r="E877" t="s">
        <v>918</v>
      </c>
      <c r="F877" t="s">
        <v>691</v>
      </c>
      <c r="G877" t="s">
        <v>28</v>
      </c>
      <c r="H877" t="s">
        <v>36</v>
      </c>
      <c r="I877" t="s">
        <v>45</v>
      </c>
      <c r="J877">
        <v>52</v>
      </c>
      <c r="K877">
        <v>954.01</v>
      </c>
      <c r="L877">
        <v>49608.67</v>
      </c>
      <c r="M877">
        <v>32036.82</v>
      </c>
      <c r="N877">
        <v>4699.03</v>
      </c>
      <c r="O877">
        <v>2492.6999999999998</v>
      </c>
      <c r="P877">
        <v>829.66</v>
      </c>
      <c r="Q877">
        <v>649.41999999999996</v>
      </c>
      <c r="R877">
        <v>1731.19</v>
      </c>
      <c r="S877">
        <v>774.99</v>
      </c>
      <c r="T877">
        <v>43213.81</v>
      </c>
      <c r="U877">
        <v>17571.849999999999</v>
      </c>
      <c r="V877">
        <v>6394.86</v>
      </c>
      <c r="W877">
        <v>6026.51</v>
      </c>
      <c r="X877">
        <v>46758.29</v>
      </c>
      <c r="Y877">
        <v>42350.73</v>
      </c>
    </row>
    <row r="878" spans="1:25" x14ac:dyDescent="0.25">
      <c r="A878" t="s">
        <v>930</v>
      </c>
      <c r="B878" s="1">
        <v>45173</v>
      </c>
      <c r="C878">
        <v>2023</v>
      </c>
      <c r="D878">
        <v>9</v>
      </c>
      <c r="E878" t="s">
        <v>918</v>
      </c>
      <c r="F878" t="s">
        <v>691</v>
      </c>
      <c r="G878" t="s">
        <v>35</v>
      </c>
      <c r="H878" t="s">
        <v>36</v>
      </c>
      <c r="I878" t="s">
        <v>30</v>
      </c>
      <c r="J878">
        <v>52</v>
      </c>
      <c r="K878">
        <v>1619.6</v>
      </c>
      <c r="L878">
        <v>84219.13</v>
      </c>
      <c r="M878">
        <v>49993.26</v>
      </c>
      <c r="N878">
        <v>7141.68</v>
      </c>
      <c r="O878">
        <v>2707.11</v>
      </c>
      <c r="P878">
        <v>3631.82</v>
      </c>
      <c r="Q878">
        <v>565.79999999999995</v>
      </c>
      <c r="R878">
        <v>2477.1799999999998</v>
      </c>
      <c r="S878">
        <v>887.82</v>
      </c>
      <c r="T878">
        <v>67404.679999999993</v>
      </c>
      <c r="U878">
        <v>34225.870000000003</v>
      </c>
      <c r="V878">
        <v>16814.45</v>
      </c>
      <c r="W878">
        <v>15006.87</v>
      </c>
      <c r="X878">
        <v>80161.27</v>
      </c>
      <c r="Y878">
        <v>68079.570000000007</v>
      </c>
    </row>
    <row r="879" spans="1:25" x14ac:dyDescent="0.25">
      <c r="A879" t="s">
        <v>931</v>
      </c>
      <c r="B879" s="1">
        <v>45173</v>
      </c>
      <c r="C879">
        <v>2023</v>
      </c>
      <c r="D879">
        <v>9</v>
      </c>
      <c r="E879" t="s">
        <v>918</v>
      </c>
      <c r="F879" t="s">
        <v>691</v>
      </c>
      <c r="G879" t="s">
        <v>44</v>
      </c>
      <c r="H879" t="s">
        <v>32</v>
      </c>
      <c r="I879" t="s">
        <v>39</v>
      </c>
      <c r="J879">
        <v>34</v>
      </c>
      <c r="K879">
        <v>1685.15</v>
      </c>
      <c r="L879">
        <v>57295.12</v>
      </c>
      <c r="M879">
        <v>28867.68</v>
      </c>
      <c r="N879">
        <v>5621.99</v>
      </c>
      <c r="O879">
        <v>2165.38</v>
      </c>
      <c r="P879">
        <v>1863.06</v>
      </c>
      <c r="Q879">
        <v>857.55</v>
      </c>
      <c r="R879">
        <v>3323.21</v>
      </c>
      <c r="S879">
        <v>1209.92</v>
      </c>
      <c r="T879">
        <v>43908.79</v>
      </c>
      <c r="U879">
        <v>28427.45</v>
      </c>
      <c r="V879">
        <v>13386.33</v>
      </c>
      <c r="W879">
        <v>12479.45</v>
      </c>
      <c r="X879">
        <v>60317.06</v>
      </c>
      <c r="Y879">
        <v>46538.09</v>
      </c>
    </row>
    <row r="880" spans="1:25" x14ac:dyDescent="0.25">
      <c r="A880" t="s">
        <v>932</v>
      </c>
      <c r="B880" s="1">
        <v>45173</v>
      </c>
      <c r="C880">
        <v>2023</v>
      </c>
      <c r="D880">
        <v>9</v>
      </c>
      <c r="E880" t="s">
        <v>918</v>
      </c>
      <c r="F880" t="s">
        <v>691</v>
      </c>
      <c r="G880" t="s">
        <v>35</v>
      </c>
      <c r="H880" t="s">
        <v>32</v>
      </c>
      <c r="I880" t="s">
        <v>45</v>
      </c>
      <c r="J880">
        <v>43</v>
      </c>
      <c r="K880">
        <v>1396</v>
      </c>
      <c r="L880">
        <v>60028.02</v>
      </c>
      <c r="M880">
        <v>40161.53</v>
      </c>
      <c r="N880">
        <v>6247.16</v>
      </c>
      <c r="O880">
        <v>2887.82</v>
      </c>
      <c r="P880">
        <v>941.58</v>
      </c>
      <c r="Q880">
        <v>767.78</v>
      </c>
      <c r="R880">
        <v>3891.1</v>
      </c>
      <c r="S880">
        <v>654.83000000000004</v>
      </c>
      <c r="T880">
        <v>55551.81</v>
      </c>
      <c r="U880">
        <v>19866.490000000002</v>
      </c>
      <c r="V880">
        <v>4476.21</v>
      </c>
      <c r="W880">
        <v>4113.75</v>
      </c>
      <c r="X880">
        <v>63179.95</v>
      </c>
      <c r="Y880">
        <v>52809.81</v>
      </c>
    </row>
    <row r="881" spans="1:25" x14ac:dyDescent="0.25">
      <c r="A881" t="s">
        <v>933</v>
      </c>
      <c r="B881" s="1">
        <v>45174</v>
      </c>
      <c r="C881">
        <v>2023</v>
      </c>
      <c r="D881">
        <v>9</v>
      </c>
      <c r="E881" t="s">
        <v>918</v>
      </c>
      <c r="F881" t="s">
        <v>691</v>
      </c>
      <c r="G881" t="s">
        <v>28</v>
      </c>
      <c r="H881" t="s">
        <v>32</v>
      </c>
      <c r="I881" t="s">
        <v>50</v>
      </c>
      <c r="J881">
        <v>46</v>
      </c>
      <c r="K881">
        <v>1188.03</v>
      </c>
      <c r="L881">
        <v>54649.38</v>
      </c>
      <c r="M881">
        <v>32297.81</v>
      </c>
      <c r="N881">
        <v>4358.72</v>
      </c>
      <c r="O881">
        <v>3839</v>
      </c>
      <c r="P881">
        <v>2056.87</v>
      </c>
      <c r="Q881">
        <v>849.93</v>
      </c>
      <c r="R881">
        <v>1791.03</v>
      </c>
      <c r="S881">
        <v>1107.8800000000001</v>
      </c>
      <c r="T881">
        <v>46301.24</v>
      </c>
      <c r="U881">
        <v>22351.57</v>
      </c>
      <c r="V881">
        <v>8348.14</v>
      </c>
      <c r="W881">
        <v>7724.75</v>
      </c>
      <c r="X881">
        <v>53767.27</v>
      </c>
      <c r="Y881">
        <v>43868.27</v>
      </c>
    </row>
    <row r="882" spans="1:25" x14ac:dyDescent="0.25">
      <c r="A882" t="s">
        <v>934</v>
      </c>
      <c r="B882" s="1">
        <v>45174</v>
      </c>
      <c r="C882">
        <v>2023</v>
      </c>
      <c r="D882">
        <v>9</v>
      </c>
      <c r="E882" t="s">
        <v>918</v>
      </c>
      <c r="F882" t="s">
        <v>691</v>
      </c>
      <c r="G882" t="s">
        <v>35</v>
      </c>
      <c r="H882" t="s">
        <v>32</v>
      </c>
      <c r="I882" t="s">
        <v>39</v>
      </c>
      <c r="J882">
        <v>41</v>
      </c>
      <c r="K882">
        <v>1286.45</v>
      </c>
      <c r="L882">
        <v>52744.61</v>
      </c>
      <c r="M882">
        <v>28943.34</v>
      </c>
      <c r="N882">
        <v>4622.63</v>
      </c>
      <c r="O882">
        <v>1412.65</v>
      </c>
      <c r="P882">
        <v>1055.79</v>
      </c>
      <c r="Q882">
        <v>509.07</v>
      </c>
      <c r="R882">
        <v>1675.64</v>
      </c>
      <c r="S882">
        <v>780.05</v>
      </c>
      <c r="T882">
        <v>38999.17</v>
      </c>
      <c r="U882">
        <v>23801.27</v>
      </c>
      <c r="V882">
        <v>13745.44</v>
      </c>
      <c r="W882">
        <v>13809.27</v>
      </c>
      <c r="X882">
        <v>52872.44</v>
      </c>
      <c r="Y882">
        <v>40185.160000000003</v>
      </c>
    </row>
    <row r="883" spans="1:25" x14ac:dyDescent="0.25">
      <c r="A883" t="s">
        <v>935</v>
      </c>
      <c r="B883" s="1">
        <v>45175</v>
      </c>
      <c r="C883">
        <v>2023</v>
      </c>
      <c r="D883">
        <v>9</v>
      </c>
      <c r="E883" t="s">
        <v>918</v>
      </c>
      <c r="F883" t="s">
        <v>691</v>
      </c>
      <c r="G883" t="s">
        <v>44</v>
      </c>
      <c r="H883" t="s">
        <v>36</v>
      </c>
      <c r="I883" t="s">
        <v>30</v>
      </c>
      <c r="J883">
        <v>87</v>
      </c>
      <c r="K883">
        <v>1077.1199999999999</v>
      </c>
      <c r="L883">
        <v>93709.47</v>
      </c>
      <c r="M883">
        <v>61149.36</v>
      </c>
      <c r="N883">
        <v>6561.91</v>
      </c>
      <c r="O883">
        <v>4435.59</v>
      </c>
      <c r="P883">
        <v>1652.36</v>
      </c>
      <c r="Q883">
        <v>1597.24</v>
      </c>
      <c r="R883">
        <v>5696.59</v>
      </c>
      <c r="S883">
        <v>1220.8599999999999</v>
      </c>
      <c r="T883">
        <v>82313.899999999994</v>
      </c>
      <c r="U883">
        <v>32560.11</v>
      </c>
      <c r="V883">
        <v>11395.57</v>
      </c>
      <c r="W883">
        <v>10626.15</v>
      </c>
      <c r="X883">
        <v>99853.68</v>
      </c>
      <c r="Y883">
        <v>79543.47</v>
      </c>
    </row>
    <row r="884" spans="1:25" x14ac:dyDescent="0.25">
      <c r="A884" t="s">
        <v>936</v>
      </c>
      <c r="B884" s="1">
        <v>45175</v>
      </c>
      <c r="C884">
        <v>2023</v>
      </c>
      <c r="D884">
        <v>9</v>
      </c>
      <c r="E884" t="s">
        <v>918</v>
      </c>
      <c r="F884" t="s">
        <v>691</v>
      </c>
      <c r="G884" t="s">
        <v>55</v>
      </c>
      <c r="H884" t="s">
        <v>32</v>
      </c>
      <c r="I884" t="s">
        <v>65</v>
      </c>
      <c r="J884">
        <v>89</v>
      </c>
      <c r="K884">
        <v>804.82</v>
      </c>
      <c r="L884">
        <v>71628.600000000006</v>
      </c>
      <c r="M884">
        <v>43979.55</v>
      </c>
      <c r="N884">
        <v>9110.7199999999993</v>
      </c>
      <c r="O884">
        <v>4505.09</v>
      </c>
      <c r="P884">
        <v>2545.58</v>
      </c>
      <c r="Q884">
        <v>476.24</v>
      </c>
      <c r="R884">
        <v>4612.92</v>
      </c>
      <c r="S884">
        <v>887.13</v>
      </c>
      <c r="T884">
        <v>66117.240000000005</v>
      </c>
      <c r="U884">
        <v>27649.05</v>
      </c>
      <c r="V884">
        <v>5511.37</v>
      </c>
      <c r="W884">
        <v>5038.49</v>
      </c>
      <c r="X884">
        <v>71347.960000000006</v>
      </c>
      <c r="Y884">
        <v>69780.53</v>
      </c>
    </row>
    <row r="885" spans="1:25" x14ac:dyDescent="0.25">
      <c r="A885" t="s">
        <v>937</v>
      </c>
      <c r="B885" s="1">
        <v>45176</v>
      </c>
      <c r="C885">
        <v>2023</v>
      </c>
      <c r="D885">
        <v>9</v>
      </c>
      <c r="E885" t="s">
        <v>918</v>
      </c>
      <c r="F885" t="s">
        <v>691</v>
      </c>
      <c r="G885" t="s">
        <v>55</v>
      </c>
      <c r="H885" t="s">
        <v>29</v>
      </c>
      <c r="I885" t="s">
        <v>30</v>
      </c>
      <c r="J885">
        <v>59</v>
      </c>
      <c r="K885">
        <v>1668.42</v>
      </c>
      <c r="L885">
        <v>98436.99</v>
      </c>
      <c r="M885">
        <v>54119.54</v>
      </c>
      <c r="N885">
        <v>12546.26</v>
      </c>
      <c r="O885">
        <v>5255.32</v>
      </c>
      <c r="P885">
        <v>4363.55</v>
      </c>
      <c r="Q885">
        <v>809.45</v>
      </c>
      <c r="R885">
        <v>3349.62</v>
      </c>
      <c r="S885">
        <v>1044.75</v>
      </c>
      <c r="T885">
        <v>81488.490000000005</v>
      </c>
      <c r="U885">
        <v>44317.45</v>
      </c>
      <c r="V885">
        <v>16948.5</v>
      </c>
      <c r="W885">
        <v>16491.599999999999</v>
      </c>
      <c r="X885">
        <v>91598.79</v>
      </c>
      <c r="Y885">
        <v>78090.58</v>
      </c>
    </row>
    <row r="886" spans="1:25" x14ac:dyDescent="0.25">
      <c r="A886" t="s">
        <v>938</v>
      </c>
      <c r="B886" s="1">
        <v>45176</v>
      </c>
      <c r="C886">
        <v>2023</v>
      </c>
      <c r="D886">
        <v>9</v>
      </c>
      <c r="E886" t="s">
        <v>918</v>
      </c>
      <c r="F886" t="s">
        <v>691</v>
      </c>
      <c r="G886" t="s">
        <v>55</v>
      </c>
      <c r="H886" t="s">
        <v>36</v>
      </c>
      <c r="I886" t="s">
        <v>65</v>
      </c>
      <c r="J886">
        <v>38</v>
      </c>
      <c r="K886">
        <v>1331.81</v>
      </c>
      <c r="L886">
        <v>50608.62</v>
      </c>
      <c r="M886">
        <v>27438.46</v>
      </c>
      <c r="N886">
        <v>4897.21</v>
      </c>
      <c r="O886">
        <v>2682.97</v>
      </c>
      <c r="P886">
        <v>1502.73</v>
      </c>
      <c r="Q886">
        <v>680.75</v>
      </c>
      <c r="R886">
        <v>3085.92</v>
      </c>
      <c r="S886">
        <v>569.97</v>
      </c>
      <c r="T886">
        <v>40858.019999999997</v>
      </c>
      <c r="U886">
        <v>23170.16</v>
      </c>
      <c r="V886">
        <v>9750.61</v>
      </c>
      <c r="W886">
        <v>9212.2099999999991</v>
      </c>
      <c r="X886">
        <v>55899.95</v>
      </c>
      <c r="Y886">
        <v>42573.54</v>
      </c>
    </row>
    <row r="887" spans="1:25" x14ac:dyDescent="0.25">
      <c r="A887" t="s">
        <v>939</v>
      </c>
      <c r="B887" s="1">
        <v>45176</v>
      </c>
      <c r="C887">
        <v>2023</v>
      </c>
      <c r="D887">
        <v>9</v>
      </c>
      <c r="E887" t="s">
        <v>918</v>
      </c>
      <c r="F887" t="s">
        <v>691</v>
      </c>
      <c r="G887" t="s">
        <v>44</v>
      </c>
      <c r="H887" t="s">
        <v>53</v>
      </c>
      <c r="I887" t="s">
        <v>65</v>
      </c>
      <c r="J887">
        <v>40</v>
      </c>
      <c r="K887">
        <v>1104.71</v>
      </c>
      <c r="L887">
        <v>44188.34</v>
      </c>
      <c r="M887">
        <v>22101.16</v>
      </c>
      <c r="N887">
        <v>5254.65</v>
      </c>
      <c r="O887">
        <v>2243.5500000000002</v>
      </c>
      <c r="P887">
        <v>1533.86</v>
      </c>
      <c r="Q887">
        <v>727.94</v>
      </c>
      <c r="R887">
        <v>2443.9</v>
      </c>
      <c r="S887">
        <v>495.84</v>
      </c>
      <c r="T887">
        <v>34800.89</v>
      </c>
      <c r="U887">
        <v>22087.19</v>
      </c>
      <c r="V887">
        <v>9387.4500000000007</v>
      </c>
      <c r="W887">
        <v>8875.7800000000007</v>
      </c>
      <c r="X887">
        <v>48057.85</v>
      </c>
      <c r="Y887">
        <v>37742.89</v>
      </c>
    </row>
    <row r="888" spans="1:25" x14ac:dyDescent="0.25">
      <c r="A888" t="s">
        <v>940</v>
      </c>
      <c r="B888" s="1">
        <v>45176</v>
      </c>
      <c r="C888">
        <v>2023</v>
      </c>
      <c r="D888">
        <v>9</v>
      </c>
      <c r="E888" t="s">
        <v>918</v>
      </c>
      <c r="F888" t="s">
        <v>691</v>
      </c>
      <c r="G888" t="s">
        <v>28</v>
      </c>
      <c r="H888" t="s">
        <v>32</v>
      </c>
      <c r="I888" t="s">
        <v>39</v>
      </c>
      <c r="J888">
        <v>35</v>
      </c>
      <c r="K888">
        <v>1144.78</v>
      </c>
      <c r="L888">
        <v>40067.300000000003</v>
      </c>
      <c r="M888">
        <v>24458.87</v>
      </c>
      <c r="N888">
        <v>3498.77</v>
      </c>
      <c r="O888">
        <v>2173.42</v>
      </c>
      <c r="P888">
        <v>1688.7</v>
      </c>
      <c r="Q888">
        <v>566.70000000000005</v>
      </c>
      <c r="R888">
        <v>2207.15</v>
      </c>
      <c r="S888">
        <v>620.72</v>
      </c>
      <c r="T888">
        <v>35214.33</v>
      </c>
      <c r="U888">
        <v>15608.44</v>
      </c>
      <c r="V888">
        <v>4852.9799999999996</v>
      </c>
      <c r="W888">
        <v>4629.13</v>
      </c>
      <c r="X888">
        <v>37135.040000000001</v>
      </c>
      <c r="Y888">
        <v>34881.550000000003</v>
      </c>
    </row>
    <row r="889" spans="1:25" x14ac:dyDescent="0.25">
      <c r="A889" t="s">
        <v>941</v>
      </c>
      <c r="B889" s="1">
        <v>45177</v>
      </c>
      <c r="C889">
        <v>2023</v>
      </c>
      <c r="D889">
        <v>9</v>
      </c>
      <c r="E889" t="s">
        <v>918</v>
      </c>
      <c r="F889" t="s">
        <v>691</v>
      </c>
      <c r="G889" t="s">
        <v>55</v>
      </c>
      <c r="H889" t="s">
        <v>36</v>
      </c>
      <c r="I889" t="s">
        <v>33</v>
      </c>
      <c r="J889">
        <v>93</v>
      </c>
      <c r="K889">
        <v>1057.03</v>
      </c>
      <c r="L889">
        <v>98303.78</v>
      </c>
      <c r="M889">
        <v>52854.41</v>
      </c>
      <c r="N889">
        <v>9329.56</v>
      </c>
      <c r="O889">
        <v>6302.69</v>
      </c>
      <c r="P889">
        <v>4297.78</v>
      </c>
      <c r="Q889">
        <v>531.69000000000005</v>
      </c>
      <c r="R889">
        <v>3395.39</v>
      </c>
      <c r="S889">
        <v>1497.74</v>
      </c>
      <c r="T889">
        <v>78209.25</v>
      </c>
      <c r="U889">
        <v>45449.36</v>
      </c>
      <c r="V889">
        <v>20094.53</v>
      </c>
      <c r="W889">
        <v>18186.79</v>
      </c>
      <c r="X889">
        <v>103058.42</v>
      </c>
      <c r="Y889">
        <v>76971.789999999994</v>
      </c>
    </row>
    <row r="890" spans="1:25" x14ac:dyDescent="0.25">
      <c r="A890" t="s">
        <v>942</v>
      </c>
      <c r="B890" s="1">
        <v>45177</v>
      </c>
      <c r="C890">
        <v>2023</v>
      </c>
      <c r="D890">
        <v>9</v>
      </c>
      <c r="E890" t="s">
        <v>918</v>
      </c>
      <c r="F890" t="s">
        <v>691</v>
      </c>
      <c r="G890" t="s">
        <v>44</v>
      </c>
      <c r="H890" t="s">
        <v>32</v>
      </c>
      <c r="I890" t="s">
        <v>37</v>
      </c>
      <c r="J890">
        <v>46</v>
      </c>
      <c r="K890">
        <v>1681.28</v>
      </c>
      <c r="L890">
        <v>77338.84</v>
      </c>
      <c r="M890">
        <v>41340.53</v>
      </c>
      <c r="N890">
        <v>9419.56</v>
      </c>
      <c r="O890">
        <v>2184.3000000000002</v>
      </c>
      <c r="P890">
        <v>3470.89</v>
      </c>
      <c r="Q890">
        <v>445.17</v>
      </c>
      <c r="R890">
        <v>4465.3500000000004</v>
      </c>
      <c r="S890">
        <v>1633.61</v>
      </c>
      <c r="T890">
        <v>62959.41</v>
      </c>
      <c r="U890">
        <v>35998.31</v>
      </c>
      <c r="V890">
        <v>14379.43</v>
      </c>
      <c r="W890">
        <v>14446.49</v>
      </c>
      <c r="X890">
        <v>85937.79</v>
      </c>
      <c r="Y890">
        <v>59898.31</v>
      </c>
    </row>
    <row r="891" spans="1:25" x14ac:dyDescent="0.25">
      <c r="A891" t="s">
        <v>943</v>
      </c>
      <c r="B891" s="1">
        <v>45177</v>
      </c>
      <c r="C891">
        <v>2023</v>
      </c>
      <c r="D891">
        <v>9</v>
      </c>
      <c r="E891" t="s">
        <v>918</v>
      </c>
      <c r="F891" t="s">
        <v>691</v>
      </c>
      <c r="G891" t="s">
        <v>55</v>
      </c>
      <c r="H891" t="s">
        <v>32</v>
      </c>
      <c r="I891" t="s">
        <v>33</v>
      </c>
      <c r="J891">
        <v>59</v>
      </c>
      <c r="K891">
        <v>1710.14</v>
      </c>
      <c r="L891">
        <v>100898.41</v>
      </c>
      <c r="M891">
        <v>51523.41</v>
      </c>
      <c r="N891">
        <v>7672.57</v>
      </c>
      <c r="O891">
        <v>2771.95</v>
      </c>
      <c r="P891">
        <v>3764.17</v>
      </c>
      <c r="Q891">
        <v>741.49</v>
      </c>
      <c r="R891">
        <v>2875.68</v>
      </c>
      <c r="S891">
        <v>1300.51</v>
      </c>
      <c r="T891">
        <v>70649.78</v>
      </c>
      <c r="U891">
        <v>49375</v>
      </c>
      <c r="V891">
        <v>30248.62</v>
      </c>
      <c r="W891">
        <v>26923.200000000001</v>
      </c>
      <c r="X891">
        <v>102719.25</v>
      </c>
      <c r="Y891">
        <v>69651.39</v>
      </c>
    </row>
    <row r="892" spans="1:25" x14ac:dyDescent="0.25">
      <c r="A892" t="s">
        <v>944</v>
      </c>
      <c r="B892" s="1">
        <v>45178</v>
      </c>
      <c r="C892">
        <v>2023</v>
      </c>
      <c r="D892">
        <v>9</v>
      </c>
      <c r="E892" t="s">
        <v>918</v>
      </c>
      <c r="F892" t="s">
        <v>691</v>
      </c>
      <c r="G892" t="s">
        <v>55</v>
      </c>
      <c r="H892" t="s">
        <v>29</v>
      </c>
      <c r="I892" t="s">
        <v>65</v>
      </c>
      <c r="J892">
        <v>55</v>
      </c>
      <c r="K892">
        <v>1315.54</v>
      </c>
      <c r="L892">
        <v>72354.710000000006</v>
      </c>
      <c r="M892">
        <v>38922.86</v>
      </c>
      <c r="N892">
        <v>8324.01</v>
      </c>
      <c r="O892">
        <v>3527.62</v>
      </c>
      <c r="P892">
        <v>1320</v>
      </c>
      <c r="Q892">
        <v>591.01</v>
      </c>
      <c r="R892">
        <v>4389.07</v>
      </c>
      <c r="S892">
        <v>1356.38</v>
      </c>
      <c r="T892">
        <v>58430.94</v>
      </c>
      <c r="U892">
        <v>33431.85</v>
      </c>
      <c r="V892">
        <v>13923.77</v>
      </c>
      <c r="W892">
        <v>13267.91</v>
      </c>
      <c r="X892">
        <v>71747.38</v>
      </c>
      <c r="Y892">
        <v>61479.09</v>
      </c>
    </row>
    <row r="893" spans="1:25" x14ac:dyDescent="0.25">
      <c r="A893" t="s">
        <v>945</v>
      </c>
      <c r="B893" s="1">
        <v>45179</v>
      </c>
      <c r="C893">
        <v>2023</v>
      </c>
      <c r="D893">
        <v>9</v>
      </c>
      <c r="E893" t="s">
        <v>918</v>
      </c>
      <c r="F893" t="s">
        <v>691</v>
      </c>
      <c r="G893" t="s">
        <v>28</v>
      </c>
      <c r="H893" t="s">
        <v>36</v>
      </c>
      <c r="I893" t="s">
        <v>37</v>
      </c>
      <c r="J893">
        <v>68</v>
      </c>
      <c r="K893">
        <v>1278.75</v>
      </c>
      <c r="L893">
        <v>86955.31</v>
      </c>
      <c r="M893">
        <v>51172.33</v>
      </c>
      <c r="N893">
        <v>9314.0300000000007</v>
      </c>
      <c r="O893">
        <v>3632.55</v>
      </c>
      <c r="P893">
        <v>3349.83</v>
      </c>
      <c r="Q893">
        <v>1387.46</v>
      </c>
      <c r="R893">
        <v>3278.71</v>
      </c>
      <c r="S893">
        <v>1586.32</v>
      </c>
      <c r="T893">
        <v>73721.23</v>
      </c>
      <c r="U893">
        <v>35782.980000000003</v>
      </c>
      <c r="V893">
        <v>13234.08</v>
      </c>
      <c r="W893">
        <v>12301.3</v>
      </c>
      <c r="X893">
        <v>80999.28</v>
      </c>
      <c r="Y893">
        <v>78990.17</v>
      </c>
    </row>
    <row r="894" spans="1:25" x14ac:dyDescent="0.25">
      <c r="A894" t="s">
        <v>946</v>
      </c>
      <c r="B894" s="1">
        <v>45179</v>
      </c>
      <c r="C894">
        <v>2023</v>
      </c>
      <c r="D894">
        <v>9</v>
      </c>
      <c r="E894" t="s">
        <v>918</v>
      </c>
      <c r="F894" t="s">
        <v>691</v>
      </c>
      <c r="G894" t="s">
        <v>55</v>
      </c>
      <c r="H894" t="s">
        <v>29</v>
      </c>
      <c r="I894" t="s">
        <v>50</v>
      </c>
      <c r="J894">
        <v>57</v>
      </c>
      <c r="K894">
        <v>828.2</v>
      </c>
      <c r="L894">
        <v>47207.41</v>
      </c>
      <c r="M894">
        <v>24392.46</v>
      </c>
      <c r="N894">
        <v>6010.89</v>
      </c>
      <c r="O894">
        <v>2177.1</v>
      </c>
      <c r="P894">
        <v>1404.77</v>
      </c>
      <c r="Q894">
        <v>721.9</v>
      </c>
      <c r="R894">
        <v>2142.21</v>
      </c>
      <c r="S894">
        <v>493.66</v>
      </c>
      <c r="T894">
        <v>37342.980000000003</v>
      </c>
      <c r="U894">
        <v>22814.95</v>
      </c>
      <c r="V894">
        <v>9864.43</v>
      </c>
      <c r="W894">
        <v>9312.26</v>
      </c>
      <c r="X894">
        <v>51399.49</v>
      </c>
      <c r="Y894">
        <v>35219.879999999997</v>
      </c>
    </row>
    <row r="895" spans="1:25" x14ac:dyDescent="0.25">
      <c r="A895" t="s">
        <v>947</v>
      </c>
      <c r="B895" s="1">
        <v>45179</v>
      </c>
      <c r="C895">
        <v>2023</v>
      </c>
      <c r="D895">
        <v>9</v>
      </c>
      <c r="E895" t="s">
        <v>918</v>
      </c>
      <c r="F895" t="s">
        <v>691</v>
      </c>
      <c r="G895" t="s">
        <v>28</v>
      </c>
      <c r="H895" t="s">
        <v>32</v>
      </c>
      <c r="I895" t="s">
        <v>37</v>
      </c>
      <c r="J895">
        <v>71</v>
      </c>
      <c r="K895">
        <v>1082.95</v>
      </c>
      <c r="L895">
        <v>76889.52</v>
      </c>
      <c r="M895">
        <v>51293.33</v>
      </c>
      <c r="N895">
        <v>6963.36</v>
      </c>
      <c r="O895">
        <v>3700.23</v>
      </c>
      <c r="P895">
        <v>3352.16</v>
      </c>
      <c r="Q895">
        <v>1013.09</v>
      </c>
      <c r="R895">
        <v>4661.46</v>
      </c>
      <c r="S895">
        <v>1735.8</v>
      </c>
      <c r="T895">
        <v>72719.44</v>
      </c>
      <c r="U895">
        <v>25596.2</v>
      </c>
      <c r="V895">
        <v>4170.09</v>
      </c>
      <c r="W895">
        <v>3778.68</v>
      </c>
      <c r="X895">
        <v>74311.850000000006</v>
      </c>
      <c r="Y895">
        <v>79803.820000000007</v>
      </c>
    </row>
    <row r="896" spans="1:25" x14ac:dyDescent="0.25">
      <c r="A896" t="s">
        <v>948</v>
      </c>
      <c r="B896" s="1">
        <v>45179</v>
      </c>
      <c r="C896">
        <v>2023</v>
      </c>
      <c r="D896">
        <v>9</v>
      </c>
      <c r="E896" t="s">
        <v>918</v>
      </c>
      <c r="F896" t="s">
        <v>691</v>
      </c>
      <c r="G896" t="s">
        <v>28</v>
      </c>
      <c r="H896" t="s">
        <v>58</v>
      </c>
      <c r="I896" t="s">
        <v>30</v>
      </c>
      <c r="J896">
        <v>87</v>
      </c>
      <c r="K896">
        <v>1224.51</v>
      </c>
      <c r="L896">
        <v>106532.02</v>
      </c>
      <c r="M896">
        <v>58048.73</v>
      </c>
      <c r="N896">
        <v>10389.15</v>
      </c>
      <c r="O896">
        <v>4563.5200000000004</v>
      </c>
      <c r="P896">
        <v>2074.66</v>
      </c>
      <c r="Q896">
        <v>1133.97</v>
      </c>
      <c r="R896">
        <v>4763.71</v>
      </c>
      <c r="S896">
        <v>1103.52</v>
      </c>
      <c r="T896">
        <v>82077.27</v>
      </c>
      <c r="U896">
        <v>48483.29</v>
      </c>
      <c r="V896">
        <v>24454.75</v>
      </c>
      <c r="W896">
        <v>24815</v>
      </c>
      <c r="X896">
        <v>100748.98</v>
      </c>
      <c r="Y896">
        <v>77034.05</v>
      </c>
    </row>
    <row r="897" spans="1:25" x14ac:dyDescent="0.25">
      <c r="A897" t="s">
        <v>949</v>
      </c>
      <c r="B897" s="1">
        <v>45180</v>
      </c>
      <c r="C897">
        <v>2023</v>
      </c>
      <c r="D897">
        <v>9</v>
      </c>
      <c r="E897" t="s">
        <v>918</v>
      </c>
      <c r="F897" t="s">
        <v>691</v>
      </c>
      <c r="G897" t="s">
        <v>44</v>
      </c>
      <c r="H897" t="s">
        <v>32</v>
      </c>
      <c r="I897" t="s">
        <v>37</v>
      </c>
      <c r="J897">
        <v>62</v>
      </c>
      <c r="K897">
        <v>947.96</v>
      </c>
      <c r="L897">
        <v>58773.31</v>
      </c>
      <c r="M897">
        <v>31415.67</v>
      </c>
      <c r="N897">
        <v>6535.56</v>
      </c>
      <c r="O897">
        <v>4094</v>
      </c>
      <c r="P897">
        <v>935.37</v>
      </c>
      <c r="Q897">
        <v>445.47</v>
      </c>
      <c r="R897">
        <v>3788.22</v>
      </c>
      <c r="S897">
        <v>1466.01</v>
      </c>
      <c r="T897">
        <v>48680.29</v>
      </c>
      <c r="U897">
        <v>27357.64</v>
      </c>
      <c r="V897">
        <v>10093.01</v>
      </c>
      <c r="W897">
        <v>8954.65</v>
      </c>
      <c r="X897">
        <v>54768.89</v>
      </c>
      <c r="Y897">
        <v>50844.12</v>
      </c>
    </row>
    <row r="898" spans="1:25" x14ac:dyDescent="0.25">
      <c r="A898" t="s">
        <v>950</v>
      </c>
      <c r="B898" s="1">
        <v>45180</v>
      </c>
      <c r="C898">
        <v>2023</v>
      </c>
      <c r="D898">
        <v>9</v>
      </c>
      <c r="E898" t="s">
        <v>918</v>
      </c>
      <c r="F898" t="s">
        <v>691</v>
      </c>
      <c r="G898" t="s">
        <v>44</v>
      </c>
      <c r="H898" t="s">
        <v>36</v>
      </c>
      <c r="I898" t="s">
        <v>39</v>
      </c>
      <c r="J898">
        <v>20</v>
      </c>
      <c r="K898">
        <v>1751.18</v>
      </c>
      <c r="L898">
        <v>35023.599999999999</v>
      </c>
      <c r="M898">
        <v>20989.26</v>
      </c>
      <c r="N898">
        <v>2496.52</v>
      </c>
      <c r="O898">
        <v>1613.9</v>
      </c>
      <c r="P898">
        <v>1271.01</v>
      </c>
      <c r="Q898">
        <v>281.55</v>
      </c>
      <c r="R898">
        <v>1062.07</v>
      </c>
      <c r="S898">
        <v>470.35</v>
      </c>
      <c r="T898">
        <v>28184.66</v>
      </c>
      <c r="U898">
        <v>14034.34</v>
      </c>
      <c r="V898">
        <v>6838.94</v>
      </c>
      <c r="W898">
        <v>6382.3</v>
      </c>
      <c r="X898">
        <v>32267.08</v>
      </c>
      <c r="Y898">
        <v>28084.98</v>
      </c>
    </row>
    <row r="899" spans="1:25" x14ac:dyDescent="0.25">
      <c r="A899" t="s">
        <v>951</v>
      </c>
      <c r="B899" s="1">
        <v>45180</v>
      </c>
      <c r="C899">
        <v>2023</v>
      </c>
      <c r="D899">
        <v>9</v>
      </c>
      <c r="E899" t="s">
        <v>918</v>
      </c>
      <c r="F899" t="s">
        <v>691</v>
      </c>
      <c r="G899" t="s">
        <v>55</v>
      </c>
      <c r="H899" t="s">
        <v>32</v>
      </c>
      <c r="I899" t="s">
        <v>37</v>
      </c>
      <c r="J899">
        <v>82</v>
      </c>
      <c r="K899">
        <v>1201.53</v>
      </c>
      <c r="L899">
        <v>98525.42</v>
      </c>
      <c r="M899">
        <v>59158.57</v>
      </c>
      <c r="N899">
        <v>12774.07</v>
      </c>
      <c r="O899">
        <v>4277.32</v>
      </c>
      <c r="P899">
        <v>4039.01</v>
      </c>
      <c r="Q899">
        <v>1728.25</v>
      </c>
      <c r="R899">
        <v>4162.49</v>
      </c>
      <c r="S899">
        <v>1076.1400000000001</v>
      </c>
      <c r="T899">
        <v>87215.84</v>
      </c>
      <c r="U899">
        <v>39366.85</v>
      </c>
      <c r="V899">
        <v>11309.58</v>
      </c>
      <c r="W899">
        <v>10376.59</v>
      </c>
      <c r="X899">
        <v>104099.18</v>
      </c>
      <c r="Y899">
        <v>90183.9</v>
      </c>
    </row>
    <row r="900" spans="1:25" x14ac:dyDescent="0.25">
      <c r="A900" t="s">
        <v>952</v>
      </c>
      <c r="B900" s="1">
        <v>45180</v>
      </c>
      <c r="C900">
        <v>2023</v>
      </c>
      <c r="D900">
        <v>9</v>
      </c>
      <c r="E900" t="s">
        <v>918</v>
      </c>
      <c r="F900" t="s">
        <v>691</v>
      </c>
      <c r="G900" t="s">
        <v>55</v>
      </c>
      <c r="H900" t="s">
        <v>36</v>
      </c>
      <c r="I900" t="s">
        <v>45</v>
      </c>
      <c r="J900">
        <v>46</v>
      </c>
      <c r="K900">
        <v>1015.12</v>
      </c>
      <c r="L900">
        <v>46695.32</v>
      </c>
      <c r="M900">
        <v>28646.45</v>
      </c>
      <c r="N900">
        <v>4608.66</v>
      </c>
      <c r="O900">
        <v>2971.66</v>
      </c>
      <c r="P900">
        <v>2003.35</v>
      </c>
      <c r="Q900">
        <v>693.08</v>
      </c>
      <c r="R900">
        <v>1853.68</v>
      </c>
      <c r="S900">
        <v>718.47</v>
      </c>
      <c r="T900">
        <v>41495.35</v>
      </c>
      <c r="U900">
        <v>18048.87</v>
      </c>
      <c r="V900">
        <v>5199.97</v>
      </c>
      <c r="W900">
        <v>5121.54</v>
      </c>
      <c r="X900">
        <v>48215.34</v>
      </c>
      <c r="Y900">
        <v>41570.699999999997</v>
      </c>
    </row>
    <row r="901" spans="1:25" x14ac:dyDescent="0.25">
      <c r="A901" t="s">
        <v>953</v>
      </c>
      <c r="B901" s="1">
        <v>45180</v>
      </c>
      <c r="C901">
        <v>2023</v>
      </c>
      <c r="D901">
        <v>9</v>
      </c>
      <c r="E901" t="s">
        <v>918</v>
      </c>
      <c r="F901" t="s">
        <v>691</v>
      </c>
      <c r="G901" t="s">
        <v>28</v>
      </c>
      <c r="H901" t="s">
        <v>36</v>
      </c>
      <c r="I901" t="s">
        <v>39</v>
      </c>
      <c r="J901">
        <v>26</v>
      </c>
      <c r="K901">
        <v>1644.41</v>
      </c>
      <c r="L901">
        <v>42754.68</v>
      </c>
      <c r="M901">
        <v>25600.01</v>
      </c>
      <c r="N901">
        <v>4364.8900000000003</v>
      </c>
      <c r="O901">
        <v>1847.45</v>
      </c>
      <c r="P901">
        <v>660.03</v>
      </c>
      <c r="Q901">
        <v>488.42</v>
      </c>
      <c r="R901">
        <v>2536.8200000000002</v>
      </c>
      <c r="S901">
        <v>987.1</v>
      </c>
      <c r="T901">
        <v>36484.71</v>
      </c>
      <c r="U901">
        <v>17154.669999999998</v>
      </c>
      <c r="V901">
        <v>6269.97</v>
      </c>
      <c r="W901">
        <v>5767.82</v>
      </c>
      <c r="X901">
        <v>41448.86</v>
      </c>
      <c r="Y901">
        <v>39234.239999999998</v>
      </c>
    </row>
    <row r="902" spans="1:25" x14ac:dyDescent="0.25">
      <c r="A902" t="s">
        <v>954</v>
      </c>
      <c r="B902" s="1">
        <v>45180</v>
      </c>
      <c r="C902">
        <v>2023</v>
      </c>
      <c r="D902">
        <v>9</v>
      </c>
      <c r="E902" t="s">
        <v>918</v>
      </c>
      <c r="F902" t="s">
        <v>691</v>
      </c>
      <c r="G902" t="s">
        <v>28</v>
      </c>
      <c r="H902" t="s">
        <v>32</v>
      </c>
      <c r="I902" t="s">
        <v>30</v>
      </c>
      <c r="J902">
        <v>117</v>
      </c>
      <c r="K902">
        <v>974.78</v>
      </c>
      <c r="L902">
        <v>114049.11</v>
      </c>
      <c r="M902">
        <v>65272.24</v>
      </c>
      <c r="N902">
        <v>12755.15</v>
      </c>
      <c r="O902">
        <v>6723.16</v>
      </c>
      <c r="P902">
        <v>3745.91</v>
      </c>
      <c r="Q902">
        <v>1776.37</v>
      </c>
      <c r="R902">
        <v>4769.7299999999996</v>
      </c>
      <c r="S902">
        <v>1899.68</v>
      </c>
      <c r="T902">
        <v>96942.24</v>
      </c>
      <c r="U902">
        <v>48776.87</v>
      </c>
      <c r="V902">
        <v>17106.87</v>
      </c>
      <c r="W902">
        <v>16128.95</v>
      </c>
      <c r="X902">
        <v>119969.01</v>
      </c>
      <c r="Y902">
        <v>102271.57</v>
      </c>
    </row>
    <row r="903" spans="1:25" x14ac:dyDescent="0.25">
      <c r="A903" t="s">
        <v>955</v>
      </c>
      <c r="B903" s="1">
        <v>45182</v>
      </c>
      <c r="C903">
        <v>2023</v>
      </c>
      <c r="D903">
        <v>9</v>
      </c>
      <c r="E903" t="s">
        <v>918</v>
      </c>
      <c r="F903" t="s">
        <v>691</v>
      </c>
      <c r="G903" t="s">
        <v>44</v>
      </c>
      <c r="H903" t="s">
        <v>32</v>
      </c>
      <c r="I903" t="s">
        <v>56</v>
      </c>
      <c r="J903">
        <v>30</v>
      </c>
      <c r="K903">
        <v>1192.9100000000001</v>
      </c>
      <c r="L903">
        <v>35787.370000000003</v>
      </c>
      <c r="M903">
        <v>19558.77</v>
      </c>
      <c r="N903">
        <v>3030.8</v>
      </c>
      <c r="O903">
        <v>2372.8000000000002</v>
      </c>
      <c r="P903">
        <v>704.24</v>
      </c>
      <c r="Q903">
        <v>485.45</v>
      </c>
      <c r="R903">
        <v>1995.91</v>
      </c>
      <c r="S903">
        <v>473.71</v>
      </c>
      <c r="T903">
        <v>28621.69</v>
      </c>
      <c r="U903">
        <v>16228.6</v>
      </c>
      <c r="V903">
        <v>7165.68</v>
      </c>
      <c r="W903">
        <v>6779.32</v>
      </c>
      <c r="X903">
        <v>35427.11</v>
      </c>
      <c r="Y903">
        <v>31202.68</v>
      </c>
    </row>
    <row r="904" spans="1:25" x14ac:dyDescent="0.25">
      <c r="A904" t="s">
        <v>956</v>
      </c>
      <c r="B904" s="1">
        <v>45182</v>
      </c>
      <c r="C904">
        <v>2023</v>
      </c>
      <c r="D904">
        <v>9</v>
      </c>
      <c r="E904" t="s">
        <v>918</v>
      </c>
      <c r="F904" t="s">
        <v>691</v>
      </c>
      <c r="G904" t="s">
        <v>55</v>
      </c>
      <c r="H904" t="s">
        <v>58</v>
      </c>
      <c r="I904" t="s">
        <v>45</v>
      </c>
      <c r="J904">
        <v>50</v>
      </c>
      <c r="K904">
        <v>1077.3</v>
      </c>
      <c r="L904">
        <v>53864.91</v>
      </c>
      <c r="M904">
        <v>33465.06</v>
      </c>
      <c r="N904">
        <v>4092.09</v>
      </c>
      <c r="O904">
        <v>1387.94</v>
      </c>
      <c r="P904">
        <v>908.61</v>
      </c>
      <c r="Q904">
        <v>464.68</v>
      </c>
      <c r="R904">
        <v>3398.9</v>
      </c>
      <c r="S904">
        <v>758.41</v>
      </c>
      <c r="T904">
        <v>44475.68</v>
      </c>
      <c r="U904">
        <v>20399.849999999999</v>
      </c>
      <c r="V904">
        <v>9389.23</v>
      </c>
      <c r="W904">
        <v>9473.01</v>
      </c>
      <c r="X904">
        <v>56884.43</v>
      </c>
      <c r="Y904">
        <v>45652.53</v>
      </c>
    </row>
    <row r="905" spans="1:25" x14ac:dyDescent="0.25">
      <c r="A905" t="s">
        <v>957</v>
      </c>
      <c r="B905" s="1">
        <v>45182</v>
      </c>
      <c r="C905">
        <v>2023</v>
      </c>
      <c r="D905">
        <v>9</v>
      </c>
      <c r="E905" t="s">
        <v>918</v>
      </c>
      <c r="F905" t="s">
        <v>691</v>
      </c>
      <c r="G905" t="s">
        <v>55</v>
      </c>
      <c r="H905" t="s">
        <v>32</v>
      </c>
      <c r="I905" t="s">
        <v>45</v>
      </c>
      <c r="J905">
        <v>45</v>
      </c>
      <c r="K905">
        <v>1165.99</v>
      </c>
      <c r="L905">
        <v>52469.51</v>
      </c>
      <c r="M905">
        <v>25294.49</v>
      </c>
      <c r="N905">
        <v>5726.05</v>
      </c>
      <c r="O905">
        <v>3531.78</v>
      </c>
      <c r="P905">
        <v>1025.8399999999999</v>
      </c>
      <c r="Q905">
        <v>358.18</v>
      </c>
      <c r="R905">
        <v>2850.14</v>
      </c>
      <c r="S905">
        <v>908.89</v>
      </c>
      <c r="T905">
        <v>39695.360000000001</v>
      </c>
      <c r="U905">
        <v>27175.02</v>
      </c>
      <c r="V905">
        <v>12774.15</v>
      </c>
      <c r="W905">
        <v>11499.43</v>
      </c>
      <c r="X905">
        <v>56251.82</v>
      </c>
      <c r="Y905">
        <v>41495.08</v>
      </c>
    </row>
    <row r="906" spans="1:25" x14ac:dyDescent="0.25">
      <c r="A906" t="s">
        <v>958</v>
      </c>
      <c r="B906" s="1">
        <v>45183</v>
      </c>
      <c r="C906">
        <v>2023</v>
      </c>
      <c r="D906">
        <v>9</v>
      </c>
      <c r="E906" t="s">
        <v>918</v>
      </c>
      <c r="F906" t="s">
        <v>691</v>
      </c>
      <c r="G906" t="s">
        <v>55</v>
      </c>
      <c r="H906" t="s">
        <v>58</v>
      </c>
      <c r="I906" t="s">
        <v>45</v>
      </c>
      <c r="J906">
        <v>39</v>
      </c>
      <c r="K906">
        <v>995.63</v>
      </c>
      <c r="L906">
        <v>38829.74</v>
      </c>
      <c r="M906">
        <v>20833.36</v>
      </c>
      <c r="N906">
        <v>3313.87</v>
      </c>
      <c r="O906">
        <v>1557.22</v>
      </c>
      <c r="P906">
        <v>1523.19</v>
      </c>
      <c r="Q906">
        <v>559.77</v>
      </c>
      <c r="R906">
        <v>976.66</v>
      </c>
      <c r="S906">
        <v>334.16</v>
      </c>
      <c r="T906">
        <v>29098.22</v>
      </c>
      <c r="U906">
        <v>17996.38</v>
      </c>
      <c r="V906">
        <v>9731.52</v>
      </c>
      <c r="W906">
        <v>8901.39</v>
      </c>
      <c r="X906">
        <v>39376.410000000003</v>
      </c>
      <c r="Y906">
        <v>30474.09</v>
      </c>
    </row>
    <row r="907" spans="1:25" x14ac:dyDescent="0.25">
      <c r="A907" t="s">
        <v>959</v>
      </c>
      <c r="B907" s="1">
        <v>45184</v>
      </c>
      <c r="C907">
        <v>2023</v>
      </c>
      <c r="D907">
        <v>9</v>
      </c>
      <c r="E907" t="s">
        <v>918</v>
      </c>
      <c r="F907" t="s">
        <v>691</v>
      </c>
      <c r="G907" t="s">
        <v>28</v>
      </c>
      <c r="H907" t="s">
        <v>53</v>
      </c>
      <c r="I907" t="s">
        <v>45</v>
      </c>
      <c r="J907">
        <v>28</v>
      </c>
      <c r="K907">
        <v>1567.71</v>
      </c>
      <c r="L907">
        <v>43895.99</v>
      </c>
      <c r="M907">
        <v>21095.83</v>
      </c>
      <c r="N907">
        <v>4723</v>
      </c>
      <c r="O907">
        <v>1147.1400000000001</v>
      </c>
      <c r="P907">
        <v>950.91</v>
      </c>
      <c r="Q907">
        <v>245.74</v>
      </c>
      <c r="R907">
        <v>2520.6</v>
      </c>
      <c r="S907">
        <v>612.67999999999995</v>
      </c>
      <c r="T907">
        <v>31295.91</v>
      </c>
      <c r="U907">
        <v>22800.15</v>
      </c>
      <c r="V907">
        <v>12600.07</v>
      </c>
      <c r="W907">
        <v>11995.5</v>
      </c>
      <c r="X907">
        <v>48196.11</v>
      </c>
      <c r="Y907">
        <v>34296.720000000001</v>
      </c>
    </row>
    <row r="908" spans="1:25" x14ac:dyDescent="0.25">
      <c r="A908" t="s">
        <v>960</v>
      </c>
      <c r="B908" s="1">
        <v>45184</v>
      </c>
      <c r="C908">
        <v>2023</v>
      </c>
      <c r="D908">
        <v>9</v>
      </c>
      <c r="E908" t="s">
        <v>918</v>
      </c>
      <c r="F908" t="s">
        <v>691</v>
      </c>
      <c r="G908" t="s">
        <v>35</v>
      </c>
      <c r="H908" t="s">
        <v>36</v>
      </c>
      <c r="I908" t="s">
        <v>56</v>
      </c>
      <c r="J908">
        <v>29</v>
      </c>
      <c r="K908">
        <v>1332.9</v>
      </c>
      <c r="L908">
        <v>38654.04</v>
      </c>
      <c r="M908">
        <v>25721.23</v>
      </c>
      <c r="N908">
        <v>2773.77</v>
      </c>
      <c r="O908">
        <v>1791.03</v>
      </c>
      <c r="P908">
        <v>1452.81</v>
      </c>
      <c r="Q908">
        <v>241.33</v>
      </c>
      <c r="R908">
        <v>1995.14</v>
      </c>
      <c r="S908">
        <v>374.75</v>
      </c>
      <c r="T908">
        <v>34350.050000000003</v>
      </c>
      <c r="U908">
        <v>12932.81</v>
      </c>
      <c r="V908">
        <v>4303.99</v>
      </c>
      <c r="W908">
        <v>4255.03</v>
      </c>
      <c r="X908">
        <v>38448.82</v>
      </c>
      <c r="Y908">
        <v>36891.25</v>
      </c>
    </row>
    <row r="909" spans="1:25" x14ac:dyDescent="0.25">
      <c r="A909" t="s">
        <v>961</v>
      </c>
      <c r="B909" s="1">
        <v>45184</v>
      </c>
      <c r="C909">
        <v>2023</v>
      </c>
      <c r="D909">
        <v>9</v>
      </c>
      <c r="E909" t="s">
        <v>918</v>
      </c>
      <c r="F909" t="s">
        <v>691</v>
      </c>
      <c r="G909" t="s">
        <v>35</v>
      </c>
      <c r="H909" t="s">
        <v>36</v>
      </c>
      <c r="I909" t="s">
        <v>37</v>
      </c>
      <c r="J909">
        <v>49</v>
      </c>
      <c r="K909">
        <v>1134.1099999999999</v>
      </c>
      <c r="L909">
        <v>55571.199999999997</v>
      </c>
      <c r="M909">
        <v>37194.870000000003</v>
      </c>
      <c r="N909">
        <v>6630.12</v>
      </c>
      <c r="O909">
        <v>2323.52</v>
      </c>
      <c r="P909">
        <v>2277.8000000000002</v>
      </c>
      <c r="Q909">
        <v>558.04999999999995</v>
      </c>
      <c r="R909">
        <v>2626.29</v>
      </c>
      <c r="S909">
        <v>1320.67</v>
      </c>
      <c r="T909">
        <v>52931.32</v>
      </c>
      <c r="U909">
        <v>18376.330000000002</v>
      </c>
      <c r="V909">
        <v>2639.89</v>
      </c>
      <c r="W909">
        <v>2521.86</v>
      </c>
      <c r="X909">
        <v>52092.25</v>
      </c>
      <c r="Y909">
        <v>52986.83</v>
      </c>
    </row>
    <row r="910" spans="1:25" x14ac:dyDescent="0.25">
      <c r="A910" t="s">
        <v>962</v>
      </c>
      <c r="B910" s="1">
        <v>45185</v>
      </c>
      <c r="C910">
        <v>2023</v>
      </c>
      <c r="D910">
        <v>9</v>
      </c>
      <c r="E910" t="s">
        <v>918</v>
      </c>
      <c r="F910" t="s">
        <v>691</v>
      </c>
      <c r="G910" t="s">
        <v>28</v>
      </c>
      <c r="H910" t="s">
        <v>32</v>
      </c>
      <c r="I910" t="s">
        <v>39</v>
      </c>
      <c r="J910">
        <v>40</v>
      </c>
      <c r="K910">
        <v>1077.02</v>
      </c>
      <c r="L910">
        <v>43080.84</v>
      </c>
      <c r="M910">
        <v>24347.66</v>
      </c>
      <c r="N910">
        <v>5531.81</v>
      </c>
      <c r="O910">
        <v>2897.62</v>
      </c>
      <c r="P910">
        <v>1867.8</v>
      </c>
      <c r="Q910">
        <v>338.21</v>
      </c>
      <c r="R910">
        <v>2362.25</v>
      </c>
      <c r="S910">
        <v>1035.32</v>
      </c>
      <c r="T910">
        <v>38380.67</v>
      </c>
      <c r="U910">
        <v>18733.18</v>
      </c>
      <c r="V910">
        <v>4700.17</v>
      </c>
      <c r="W910">
        <v>4607.53</v>
      </c>
      <c r="X910">
        <v>44121.04</v>
      </c>
      <c r="Y910">
        <v>40857.5</v>
      </c>
    </row>
    <row r="911" spans="1:25" x14ac:dyDescent="0.25">
      <c r="A911" t="s">
        <v>963</v>
      </c>
      <c r="B911" s="1">
        <v>45185</v>
      </c>
      <c r="C911">
        <v>2023</v>
      </c>
      <c r="D911">
        <v>9</v>
      </c>
      <c r="E911" t="s">
        <v>918</v>
      </c>
      <c r="F911" t="s">
        <v>691</v>
      </c>
      <c r="G911" t="s">
        <v>35</v>
      </c>
      <c r="H911" t="s">
        <v>32</v>
      </c>
      <c r="I911" t="s">
        <v>30</v>
      </c>
      <c r="J911">
        <v>108</v>
      </c>
      <c r="K911">
        <v>938.35</v>
      </c>
      <c r="L911">
        <v>101341.47</v>
      </c>
      <c r="M911">
        <v>55806.31</v>
      </c>
      <c r="N911">
        <v>7855.34</v>
      </c>
      <c r="O911">
        <v>7544.11</v>
      </c>
      <c r="P911">
        <v>2571.17</v>
      </c>
      <c r="Q911">
        <v>737.46</v>
      </c>
      <c r="R911">
        <v>3546.71</v>
      </c>
      <c r="S911">
        <v>2207.31</v>
      </c>
      <c r="T911">
        <v>80268.42</v>
      </c>
      <c r="U911">
        <v>45535.16</v>
      </c>
      <c r="V911">
        <v>21073.06</v>
      </c>
      <c r="W911">
        <v>20224.84</v>
      </c>
      <c r="X911">
        <v>104238.81</v>
      </c>
      <c r="Y911">
        <v>76385.31</v>
      </c>
    </row>
    <row r="912" spans="1:25" x14ac:dyDescent="0.25">
      <c r="A912" t="s">
        <v>964</v>
      </c>
      <c r="B912" s="1">
        <v>45185</v>
      </c>
      <c r="C912">
        <v>2023</v>
      </c>
      <c r="D912">
        <v>9</v>
      </c>
      <c r="E912" t="s">
        <v>918</v>
      </c>
      <c r="F912" t="s">
        <v>691</v>
      </c>
      <c r="G912" t="s">
        <v>28</v>
      </c>
      <c r="H912" t="s">
        <v>29</v>
      </c>
      <c r="I912" t="s">
        <v>56</v>
      </c>
      <c r="J912">
        <v>33</v>
      </c>
      <c r="K912">
        <v>1194.9100000000001</v>
      </c>
      <c r="L912">
        <v>39431.97</v>
      </c>
      <c r="M912">
        <v>19947.03</v>
      </c>
      <c r="N912">
        <v>2830.47</v>
      </c>
      <c r="O912">
        <v>2559.12</v>
      </c>
      <c r="P912">
        <v>625.36</v>
      </c>
      <c r="Q912">
        <v>217.96</v>
      </c>
      <c r="R912">
        <v>1667.56</v>
      </c>
      <c r="S912">
        <v>555.04999999999995</v>
      </c>
      <c r="T912">
        <v>28402.55</v>
      </c>
      <c r="U912">
        <v>19484.939999999999</v>
      </c>
      <c r="V912">
        <v>11029.42</v>
      </c>
      <c r="W912">
        <v>10020.540000000001</v>
      </c>
      <c r="X912">
        <v>40818.129999999997</v>
      </c>
      <c r="Y912">
        <v>28461.69</v>
      </c>
    </row>
    <row r="913" spans="1:25" x14ac:dyDescent="0.25">
      <c r="A913" t="s">
        <v>965</v>
      </c>
      <c r="B913" s="1">
        <v>45186</v>
      </c>
      <c r="C913">
        <v>2023</v>
      </c>
      <c r="D913">
        <v>9</v>
      </c>
      <c r="E913" t="s">
        <v>918</v>
      </c>
      <c r="F913" t="s">
        <v>691</v>
      </c>
      <c r="G913" t="s">
        <v>44</v>
      </c>
      <c r="H913" t="s">
        <v>58</v>
      </c>
      <c r="I913" t="s">
        <v>37</v>
      </c>
      <c r="J913">
        <v>34</v>
      </c>
      <c r="K913">
        <v>1552.42</v>
      </c>
      <c r="L913">
        <v>52782.400000000001</v>
      </c>
      <c r="M913">
        <v>30719.68</v>
      </c>
      <c r="N913">
        <v>6557.88</v>
      </c>
      <c r="O913">
        <v>3403.52</v>
      </c>
      <c r="P913">
        <v>1817.98</v>
      </c>
      <c r="Q913">
        <v>630.33000000000004</v>
      </c>
      <c r="R913">
        <v>3005.47</v>
      </c>
      <c r="S913">
        <v>828.32</v>
      </c>
      <c r="T913">
        <v>46963.18</v>
      </c>
      <c r="U913">
        <v>22062.73</v>
      </c>
      <c r="V913">
        <v>5819.22</v>
      </c>
      <c r="W913">
        <v>5568.09</v>
      </c>
      <c r="X913">
        <v>56172.18</v>
      </c>
      <c r="Y913">
        <v>43977.73</v>
      </c>
    </row>
    <row r="914" spans="1:25" x14ac:dyDescent="0.25">
      <c r="A914" t="s">
        <v>966</v>
      </c>
      <c r="B914" s="1">
        <v>45186</v>
      </c>
      <c r="C914">
        <v>2023</v>
      </c>
      <c r="D914">
        <v>9</v>
      </c>
      <c r="E914" t="s">
        <v>918</v>
      </c>
      <c r="F914" t="s">
        <v>691</v>
      </c>
      <c r="G914" t="s">
        <v>28</v>
      </c>
      <c r="H914" t="s">
        <v>32</v>
      </c>
      <c r="I914" t="s">
        <v>56</v>
      </c>
      <c r="J914">
        <v>25</v>
      </c>
      <c r="K914">
        <v>1626.12</v>
      </c>
      <c r="L914">
        <v>40652.89</v>
      </c>
      <c r="M914">
        <v>22780.74</v>
      </c>
      <c r="N914">
        <v>4636.03</v>
      </c>
      <c r="O914">
        <v>2875.42</v>
      </c>
      <c r="P914">
        <v>1442.78</v>
      </c>
      <c r="Q914">
        <v>320.81</v>
      </c>
      <c r="R914">
        <v>1430.57</v>
      </c>
      <c r="S914">
        <v>832.9</v>
      </c>
      <c r="T914">
        <v>34319.24</v>
      </c>
      <c r="U914">
        <v>17872.150000000001</v>
      </c>
      <c r="V914">
        <v>6333.65</v>
      </c>
      <c r="W914">
        <v>6183.65</v>
      </c>
      <c r="X914">
        <v>45366.06</v>
      </c>
      <c r="Y914">
        <v>33778.31</v>
      </c>
    </row>
    <row r="915" spans="1:25" x14ac:dyDescent="0.25">
      <c r="A915" t="s">
        <v>967</v>
      </c>
      <c r="B915" s="1">
        <v>45187</v>
      </c>
      <c r="C915">
        <v>2023</v>
      </c>
      <c r="D915">
        <v>9</v>
      </c>
      <c r="E915" t="s">
        <v>918</v>
      </c>
      <c r="F915" t="s">
        <v>691</v>
      </c>
      <c r="G915" t="s">
        <v>55</v>
      </c>
      <c r="H915" t="s">
        <v>36</v>
      </c>
      <c r="I915" t="s">
        <v>50</v>
      </c>
      <c r="J915">
        <v>50</v>
      </c>
      <c r="K915">
        <v>1082.4000000000001</v>
      </c>
      <c r="L915">
        <v>54119.83</v>
      </c>
      <c r="M915">
        <v>36340.550000000003</v>
      </c>
      <c r="N915">
        <v>4663.93</v>
      </c>
      <c r="O915">
        <v>2565.81</v>
      </c>
      <c r="P915">
        <v>1956.49</v>
      </c>
      <c r="Q915">
        <v>894.93</v>
      </c>
      <c r="R915">
        <v>2968.08</v>
      </c>
      <c r="S915">
        <v>598.70000000000005</v>
      </c>
      <c r="T915">
        <v>49988.49</v>
      </c>
      <c r="U915">
        <v>17779.28</v>
      </c>
      <c r="V915">
        <v>4131.34</v>
      </c>
      <c r="W915">
        <v>3996.88</v>
      </c>
      <c r="X915">
        <v>60518.66</v>
      </c>
      <c r="Y915">
        <v>51283.25</v>
      </c>
    </row>
    <row r="916" spans="1:25" x14ac:dyDescent="0.25">
      <c r="A916" t="s">
        <v>968</v>
      </c>
      <c r="B916" s="1">
        <v>45187</v>
      </c>
      <c r="C916">
        <v>2023</v>
      </c>
      <c r="D916">
        <v>9</v>
      </c>
      <c r="E916" t="s">
        <v>918</v>
      </c>
      <c r="F916" t="s">
        <v>691</v>
      </c>
      <c r="G916" t="s">
        <v>44</v>
      </c>
      <c r="H916" t="s">
        <v>32</v>
      </c>
      <c r="I916" t="s">
        <v>45</v>
      </c>
      <c r="J916">
        <v>64</v>
      </c>
      <c r="K916">
        <v>881.99</v>
      </c>
      <c r="L916">
        <v>56447.51</v>
      </c>
      <c r="M916">
        <v>27755.599999999999</v>
      </c>
      <c r="N916">
        <v>5347.72</v>
      </c>
      <c r="O916">
        <v>1607.94</v>
      </c>
      <c r="P916">
        <v>2085.23</v>
      </c>
      <c r="Q916">
        <v>396.16</v>
      </c>
      <c r="R916">
        <v>3518.22</v>
      </c>
      <c r="S916">
        <v>1113.48</v>
      </c>
      <c r="T916">
        <v>41824.35</v>
      </c>
      <c r="U916">
        <v>28691.91</v>
      </c>
      <c r="V916">
        <v>14623.16</v>
      </c>
      <c r="W916">
        <v>13424.5</v>
      </c>
      <c r="X916">
        <v>53379.6</v>
      </c>
      <c r="Y916">
        <v>39128.730000000003</v>
      </c>
    </row>
    <row r="917" spans="1:25" x14ac:dyDescent="0.25">
      <c r="A917" t="s">
        <v>969</v>
      </c>
      <c r="B917" s="1">
        <v>45187</v>
      </c>
      <c r="C917">
        <v>2023</v>
      </c>
      <c r="D917">
        <v>9</v>
      </c>
      <c r="E917" t="s">
        <v>918</v>
      </c>
      <c r="F917" t="s">
        <v>691</v>
      </c>
      <c r="G917" t="s">
        <v>55</v>
      </c>
      <c r="H917" t="s">
        <v>29</v>
      </c>
      <c r="I917" t="s">
        <v>39</v>
      </c>
      <c r="J917">
        <v>46</v>
      </c>
      <c r="K917">
        <v>1044.93</v>
      </c>
      <c r="L917">
        <v>48066.87</v>
      </c>
      <c r="M917">
        <v>26474.09</v>
      </c>
      <c r="N917">
        <v>5481.13</v>
      </c>
      <c r="O917">
        <v>1657.34</v>
      </c>
      <c r="P917">
        <v>1489.2</v>
      </c>
      <c r="Q917">
        <v>386.71</v>
      </c>
      <c r="R917">
        <v>1277.9100000000001</v>
      </c>
      <c r="S917">
        <v>583.41</v>
      </c>
      <c r="T917">
        <v>37349.79</v>
      </c>
      <c r="U917">
        <v>21592.78</v>
      </c>
      <c r="V917">
        <v>10717.09</v>
      </c>
      <c r="W917">
        <v>9929.1299999999992</v>
      </c>
      <c r="X917">
        <v>53056.62</v>
      </c>
      <c r="Y917">
        <v>38058.870000000003</v>
      </c>
    </row>
    <row r="918" spans="1:25" x14ac:dyDescent="0.25">
      <c r="A918" t="s">
        <v>970</v>
      </c>
      <c r="B918" s="1">
        <v>45187</v>
      </c>
      <c r="C918">
        <v>2023</v>
      </c>
      <c r="D918">
        <v>9</v>
      </c>
      <c r="E918" t="s">
        <v>918</v>
      </c>
      <c r="F918" t="s">
        <v>691</v>
      </c>
      <c r="G918" t="s">
        <v>55</v>
      </c>
      <c r="H918" t="s">
        <v>32</v>
      </c>
      <c r="I918" t="s">
        <v>33</v>
      </c>
      <c r="J918">
        <v>107</v>
      </c>
      <c r="K918">
        <v>1160.05</v>
      </c>
      <c r="L918">
        <v>124125.71</v>
      </c>
      <c r="M918">
        <v>80558.8</v>
      </c>
      <c r="N918">
        <v>15628.95</v>
      </c>
      <c r="O918">
        <v>3156.63</v>
      </c>
      <c r="P918">
        <v>2477.2800000000002</v>
      </c>
      <c r="Q918">
        <v>1099.46</v>
      </c>
      <c r="R918">
        <v>7456.91</v>
      </c>
      <c r="S918">
        <v>1467.19</v>
      </c>
      <c r="T918">
        <v>111845.22</v>
      </c>
      <c r="U918">
        <v>43566.92</v>
      </c>
      <c r="V918">
        <v>12280.49</v>
      </c>
      <c r="W918">
        <v>12216.8</v>
      </c>
      <c r="X918">
        <v>138062.54999999999</v>
      </c>
      <c r="Y918">
        <v>104099.25</v>
      </c>
    </row>
    <row r="919" spans="1:25" x14ac:dyDescent="0.25">
      <c r="A919" t="s">
        <v>971</v>
      </c>
      <c r="B919" s="1">
        <v>45187</v>
      </c>
      <c r="C919">
        <v>2023</v>
      </c>
      <c r="D919">
        <v>9</v>
      </c>
      <c r="E919" t="s">
        <v>918</v>
      </c>
      <c r="F919" t="s">
        <v>691</v>
      </c>
      <c r="G919" t="s">
        <v>44</v>
      </c>
      <c r="H919" t="s">
        <v>53</v>
      </c>
      <c r="I919" t="s">
        <v>37</v>
      </c>
      <c r="J919">
        <v>42</v>
      </c>
      <c r="K919">
        <v>1476.97</v>
      </c>
      <c r="L919">
        <v>62032.72</v>
      </c>
      <c r="M919">
        <v>39108.18</v>
      </c>
      <c r="N919">
        <v>6983.01</v>
      </c>
      <c r="O919">
        <v>2812.32</v>
      </c>
      <c r="P919">
        <v>1113.23</v>
      </c>
      <c r="Q919">
        <v>865.24</v>
      </c>
      <c r="R919">
        <v>3330.17</v>
      </c>
      <c r="S919">
        <v>1370.56</v>
      </c>
      <c r="T919">
        <v>55582.71</v>
      </c>
      <c r="U919">
        <v>22924.54</v>
      </c>
      <c r="V919">
        <v>6450.02</v>
      </c>
      <c r="W919">
        <v>6359.74</v>
      </c>
      <c r="X919">
        <v>57901.440000000002</v>
      </c>
      <c r="Y919">
        <v>58668.94</v>
      </c>
    </row>
    <row r="920" spans="1:25" x14ac:dyDescent="0.25">
      <c r="A920" t="s">
        <v>972</v>
      </c>
      <c r="B920" s="1">
        <v>45188</v>
      </c>
      <c r="C920">
        <v>2023</v>
      </c>
      <c r="D920">
        <v>9</v>
      </c>
      <c r="E920" t="s">
        <v>918</v>
      </c>
      <c r="F920" t="s">
        <v>691</v>
      </c>
      <c r="G920" t="s">
        <v>28</v>
      </c>
      <c r="H920" t="s">
        <v>53</v>
      </c>
      <c r="I920" t="s">
        <v>56</v>
      </c>
      <c r="J920">
        <v>27</v>
      </c>
      <c r="K920">
        <v>1540.17</v>
      </c>
      <c r="L920">
        <v>41584.57</v>
      </c>
      <c r="M920">
        <v>21830.38</v>
      </c>
      <c r="N920">
        <v>5236.74</v>
      </c>
      <c r="O920">
        <v>1844.92</v>
      </c>
      <c r="P920">
        <v>647.45000000000005</v>
      </c>
      <c r="Q920">
        <v>486.13</v>
      </c>
      <c r="R920">
        <v>1518.74</v>
      </c>
      <c r="S920">
        <v>350.43</v>
      </c>
      <c r="T920">
        <v>31914.79</v>
      </c>
      <c r="U920">
        <v>19754.189999999999</v>
      </c>
      <c r="V920">
        <v>9669.7800000000007</v>
      </c>
      <c r="W920">
        <v>9571.57</v>
      </c>
      <c r="X920">
        <v>42056.81</v>
      </c>
      <c r="Y920">
        <v>34589.699999999997</v>
      </c>
    </row>
    <row r="921" spans="1:25" x14ac:dyDescent="0.25">
      <c r="A921" t="s">
        <v>973</v>
      </c>
      <c r="B921" s="1">
        <v>45188</v>
      </c>
      <c r="C921">
        <v>2023</v>
      </c>
      <c r="D921">
        <v>9</v>
      </c>
      <c r="E921" t="s">
        <v>918</v>
      </c>
      <c r="F921" t="s">
        <v>691</v>
      </c>
      <c r="G921" t="s">
        <v>55</v>
      </c>
      <c r="H921" t="s">
        <v>53</v>
      </c>
      <c r="I921" t="s">
        <v>30</v>
      </c>
      <c r="J921">
        <v>52</v>
      </c>
      <c r="K921">
        <v>1481.08</v>
      </c>
      <c r="L921">
        <v>77016.33</v>
      </c>
      <c r="M921">
        <v>48960.639999999999</v>
      </c>
      <c r="N921">
        <v>8599.2800000000007</v>
      </c>
      <c r="O921">
        <v>2777.71</v>
      </c>
      <c r="P921">
        <v>1943.43</v>
      </c>
      <c r="Q921">
        <v>535.37</v>
      </c>
      <c r="R921">
        <v>2537</v>
      </c>
      <c r="S921">
        <v>926.75</v>
      </c>
      <c r="T921">
        <v>66280.179999999993</v>
      </c>
      <c r="U921">
        <v>28055.69</v>
      </c>
      <c r="V921">
        <v>10736.15</v>
      </c>
      <c r="W921">
        <v>9804.06</v>
      </c>
      <c r="X921">
        <v>77371.34</v>
      </c>
      <c r="Y921">
        <v>69851.070000000007</v>
      </c>
    </row>
    <row r="922" spans="1:25" x14ac:dyDescent="0.25">
      <c r="A922" t="s">
        <v>974</v>
      </c>
      <c r="B922" s="1">
        <v>45188</v>
      </c>
      <c r="C922">
        <v>2023</v>
      </c>
      <c r="D922">
        <v>9</v>
      </c>
      <c r="E922" t="s">
        <v>918</v>
      </c>
      <c r="F922" t="s">
        <v>691</v>
      </c>
      <c r="G922" t="s">
        <v>55</v>
      </c>
      <c r="H922" t="s">
        <v>32</v>
      </c>
      <c r="I922" t="s">
        <v>45</v>
      </c>
      <c r="J922">
        <v>50</v>
      </c>
      <c r="K922">
        <v>1084.6099999999999</v>
      </c>
      <c r="L922">
        <v>54230.38</v>
      </c>
      <c r="M922">
        <v>29996.44</v>
      </c>
      <c r="N922">
        <v>5843.56</v>
      </c>
      <c r="O922">
        <v>4008.23</v>
      </c>
      <c r="P922">
        <v>1447.61</v>
      </c>
      <c r="Q922">
        <v>320.52999999999997</v>
      </c>
      <c r="R922">
        <v>2943.17</v>
      </c>
      <c r="S922">
        <v>1350.01</v>
      </c>
      <c r="T922">
        <v>45909.55</v>
      </c>
      <c r="U922">
        <v>24233.94</v>
      </c>
      <c r="V922">
        <v>8320.83</v>
      </c>
      <c r="W922">
        <v>7450.4</v>
      </c>
      <c r="X922">
        <v>53865</v>
      </c>
      <c r="Y922">
        <v>49728.27</v>
      </c>
    </row>
    <row r="923" spans="1:25" x14ac:dyDescent="0.25">
      <c r="A923" t="s">
        <v>975</v>
      </c>
      <c r="B923" s="1">
        <v>45188</v>
      </c>
      <c r="C923">
        <v>2023</v>
      </c>
      <c r="D923">
        <v>9</v>
      </c>
      <c r="E923" t="s">
        <v>918</v>
      </c>
      <c r="F923" t="s">
        <v>691</v>
      </c>
      <c r="G923" t="s">
        <v>35</v>
      </c>
      <c r="H923" t="s">
        <v>32</v>
      </c>
      <c r="I923" t="s">
        <v>33</v>
      </c>
      <c r="J923">
        <v>58</v>
      </c>
      <c r="K923">
        <v>1056.79</v>
      </c>
      <c r="L923">
        <v>61293.84</v>
      </c>
      <c r="M923">
        <v>40960.720000000001</v>
      </c>
      <c r="N923">
        <v>5072.33</v>
      </c>
      <c r="O923">
        <v>4336.49</v>
      </c>
      <c r="P923">
        <v>2409.56</v>
      </c>
      <c r="Q923">
        <v>497.28</v>
      </c>
      <c r="R923">
        <v>2523.0500000000002</v>
      </c>
      <c r="S923">
        <v>1238.07</v>
      </c>
      <c r="T923">
        <v>57037.5</v>
      </c>
      <c r="U923">
        <v>20333.12</v>
      </c>
      <c r="V923">
        <v>4256.34</v>
      </c>
      <c r="W923">
        <v>4215.45</v>
      </c>
      <c r="X923">
        <v>66735.31</v>
      </c>
      <c r="Y923">
        <v>53948.66</v>
      </c>
    </row>
    <row r="924" spans="1:25" x14ac:dyDescent="0.25">
      <c r="A924" t="s">
        <v>976</v>
      </c>
      <c r="B924" s="1">
        <v>45188</v>
      </c>
      <c r="C924">
        <v>2023</v>
      </c>
      <c r="D924">
        <v>9</v>
      </c>
      <c r="E924" t="s">
        <v>918</v>
      </c>
      <c r="F924" t="s">
        <v>691</v>
      </c>
      <c r="G924" t="s">
        <v>44</v>
      </c>
      <c r="H924" t="s">
        <v>32</v>
      </c>
      <c r="I924" t="s">
        <v>39</v>
      </c>
      <c r="J924">
        <v>47</v>
      </c>
      <c r="K924">
        <v>1197.56</v>
      </c>
      <c r="L924">
        <v>56285.35</v>
      </c>
      <c r="M924">
        <v>35124.17</v>
      </c>
      <c r="N924">
        <v>6216.06</v>
      </c>
      <c r="O924">
        <v>4085.47</v>
      </c>
      <c r="P924">
        <v>2002.65</v>
      </c>
      <c r="Q924">
        <v>441.06</v>
      </c>
      <c r="R924">
        <v>2133.66</v>
      </c>
      <c r="S924">
        <v>1383.88</v>
      </c>
      <c r="T924">
        <v>51386.94</v>
      </c>
      <c r="U924">
        <v>21161.19</v>
      </c>
      <c r="V924">
        <v>4898.41</v>
      </c>
      <c r="W924">
        <v>4824.2</v>
      </c>
      <c r="X924">
        <v>54173.98</v>
      </c>
      <c r="Y924">
        <v>50501.11</v>
      </c>
    </row>
    <row r="925" spans="1:25" x14ac:dyDescent="0.25">
      <c r="A925" t="s">
        <v>977</v>
      </c>
      <c r="B925" s="1">
        <v>45189</v>
      </c>
      <c r="C925">
        <v>2023</v>
      </c>
      <c r="D925">
        <v>9</v>
      </c>
      <c r="E925" t="s">
        <v>918</v>
      </c>
      <c r="F925" t="s">
        <v>691</v>
      </c>
      <c r="G925" t="s">
        <v>55</v>
      </c>
      <c r="H925" t="s">
        <v>32</v>
      </c>
      <c r="I925" t="s">
        <v>56</v>
      </c>
      <c r="J925">
        <v>26</v>
      </c>
      <c r="K925">
        <v>1664.91</v>
      </c>
      <c r="L925">
        <v>43287.65</v>
      </c>
      <c r="M925">
        <v>25930.14</v>
      </c>
      <c r="N925">
        <v>4567.34</v>
      </c>
      <c r="O925">
        <v>2777.25</v>
      </c>
      <c r="P925">
        <v>896.87</v>
      </c>
      <c r="Q925">
        <v>288.52</v>
      </c>
      <c r="R925">
        <v>2735.45</v>
      </c>
      <c r="S925">
        <v>960.83</v>
      </c>
      <c r="T925">
        <v>38156.410000000003</v>
      </c>
      <c r="U925">
        <v>17357.509999999998</v>
      </c>
      <c r="V925">
        <v>5131.24</v>
      </c>
      <c r="W925">
        <v>4632.2299999999996</v>
      </c>
      <c r="X925">
        <v>42408.29</v>
      </c>
      <c r="Y925">
        <v>36291.74</v>
      </c>
    </row>
    <row r="926" spans="1:25" x14ac:dyDescent="0.25">
      <c r="A926" t="s">
        <v>978</v>
      </c>
      <c r="B926" s="1">
        <v>45189</v>
      </c>
      <c r="C926">
        <v>2023</v>
      </c>
      <c r="D926">
        <v>9</v>
      </c>
      <c r="E926" t="s">
        <v>918</v>
      </c>
      <c r="F926" t="s">
        <v>691</v>
      </c>
      <c r="G926" t="s">
        <v>55</v>
      </c>
      <c r="H926" t="s">
        <v>32</v>
      </c>
      <c r="I926" t="s">
        <v>33</v>
      </c>
      <c r="J926">
        <v>61</v>
      </c>
      <c r="K926">
        <v>1797.73</v>
      </c>
      <c r="L926">
        <v>109661.46</v>
      </c>
      <c r="M926">
        <v>57734.98</v>
      </c>
      <c r="N926">
        <v>11363.8</v>
      </c>
      <c r="O926">
        <v>5303.06</v>
      </c>
      <c r="P926">
        <v>2466.75</v>
      </c>
      <c r="Q926">
        <v>805.62</v>
      </c>
      <c r="R926">
        <v>4899.1000000000004</v>
      </c>
      <c r="S926">
        <v>2583.35</v>
      </c>
      <c r="T926">
        <v>85156.66</v>
      </c>
      <c r="U926">
        <v>51926.48</v>
      </c>
      <c r="V926">
        <v>24504.799999999999</v>
      </c>
      <c r="W926">
        <v>23443.11</v>
      </c>
      <c r="X926">
        <v>105256.44</v>
      </c>
      <c r="Y926">
        <v>79927.69</v>
      </c>
    </row>
    <row r="927" spans="1:25" x14ac:dyDescent="0.25">
      <c r="A927" t="s">
        <v>979</v>
      </c>
      <c r="B927" s="1">
        <v>45189</v>
      </c>
      <c r="C927">
        <v>2023</v>
      </c>
      <c r="D927">
        <v>9</v>
      </c>
      <c r="E927" t="s">
        <v>918</v>
      </c>
      <c r="F927" t="s">
        <v>691</v>
      </c>
      <c r="G927" t="s">
        <v>55</v>
      </c>
      <c r="H927" t="s">
        <v>32</v>
      </c>
      <c r="I927" t="s">
        <v>33</v>
      </c>
      <c r="J927">
        <v>77</v>
      </c>
      <c r="K927">
        <v>1199.97</v>
      </c>
      <c r="L927">
        <v>92397.72</v>
      </c>
      <c r="M927">
        <v>54625.87</v>
      </c>
      <c r="N927">
        <v>11448.4</v>
      </c>
      <c r="O927">
        <v>5402.41</v>
      </c>
      <c r="P927">
        <v>2201.84</v>
      </c>
      <c r="Q927">
        <v>1515.3</v>
      </c>
      <c r="R927">
        <v>5313.33</v>
      </c>
      <c r="S927">
        <v>992.6</v>
      </c>
      <c r="T927">
        <v>81499.740000000005</v>
      </c>
      <c r="U927">
        <v>37771.85</v>
      </c>
      <c r="V927">
        <v>10897.98</v>
      </c>
      <c r="W927">
        <v>10917.87</v>
      </c>
      <c r="X927">
        <v>96006.05</v>
      </c>
      <c r="Y927">
        <v>89007.48</v>
      </c>
    </row>
    <row r="928" spans="1:25" x14ac:dyDescent="0.25">
      <c r="A928" t="s">
        <v>980</v>
      </c>
      <c r="B928" s="1">
        <v>45190</v>
      </c>
      <c r="C928">
        <v>2023</v>
      </c>
      <c r="D928">
        <v>9</v>
      </c>
      <c r="E928" t="s">
        <v>918</v>
      </c>
      <c r="F928" t="s">
        <v>691</v>
      </c>
      <c r="G928" t="s">
        <v>28</v>
      </c>
      <c r="H928" t="s">
        <v>32</v>
      </c>
      <c r="I928" t="s">
        <v>50</v>
      </c>
      <c r="J928">
        <v>51</v>
      </c>
      <c r="K928">
        <v>964.2</v>
      </c>
      <c r="L928">
        <v>49174.23</v>
      </c>
      <c r="M928">
        <v>23659.45</v>
      </c>
      <c r="N928">
        <v>3860.73</v>
      </c>
      <c r="O928">
        <v>2268.91</v>
      </c>
      <c r="P928">
        <v>1913.32</v>
      </c>
      <c r="Q928">
        <v>559.53</v>
      </c>
      <c r="R928">
        <v>2510.8000000000002</v>
      </c>
      <c r="S928">
        <v>457.79</v>
      </c>
      <c r="T928">
        <v>35230.53</v>
      </c>
      <c r="U928">
        <v>25514.79</v>
      </c>
      <c r="V928">
        <v>13943.7</v>
      </c>
      <c r="W928">
        <v>12902.73</v>
      </c>
      <c r="X928">
        <v>48670.38</v>
      </c>
      <c r="Y928">
        <v>33165.56</v>
      </c>
    </row>
    <row r="929" spans="1:25" x14ac:dyDescent="0.25">
      <c r="A929" t="s">
        <v>981</v>
      </c>
      <c r="B929" s="1">
        <v>45190</v>
      </c>
      <c r="C929">
        <v>2023</v>
      </c>
      <c r="D929">
        <v>9</v>
      </c>
      <c r="E929" t="s">
        <v>918</v>
      </c>
      <c r="F929" t="s">
        <v>691</v>
      </c>
      <c r="G929" t="s">
        <v>35</v>
      </c>
      <c r="H929" t="s">
        <v>58</v>
      </c>
      <c r="I929" t="s">
        <v>37</v>
      </c>
      <c r="J929">
        <v>58</v>
      </c>
      <c r="K929">
        <v>1128.52</v>
      </c>
      <c r="L929">
        <v>65454.09</v>
      </c>
      <c r="M929">
        <v>36132.699999999997</v>
      </c>
      <c r="N929">
        <v>7767.27</v>
      </c>
      <c r="O929">
        <v>3644.64</v>
      </c>
      <c r="P929">
        <v>2281.92</v>
      </c>
      <c r="Q929">
        <v>512.29</v>
      </c>
      <c r="R929">
        <v>2976.92</v>
      </c>
      <c r="S929">
        <v>934.66</v>
      </c>
      <c r="T929">
        <v>54250.400000000001</v>
      </c>
      <c r="U929">
        <v>29321.4</v>
      </c>
      <c r="V929">
        <v>11203.69</v>
      </c>
      <c r="W929">
        <v>10857.59</v>
      </c>
      <c r="X929">
        <v>66769.119999999995</v>
      </c>
      <c r="Y929">
        <v>55741.58</v>
      </c>
    </row>
    <row r="930" spans="1:25" x14ac:dyDescent="0.25">
      <c r="A930" t="s">
        <v>982</v>
      </c>
      <c r="B930" s="1">
        <v>45191</v>
      </c>
      <c r="C930">
        <v>2023</v>
      </c>
      <c r="D930">
        <v>9</v>
      </c>
      <c r="E930" t="s">
        <v>918</v>
      </c>
      <c r="F930" t="s">
        <v>691</v>
      </c>
      <c r="G930" t="s">
        <v>35</v>
      </c>
      <c r="H930" t="s">
        <v>29</v>
      </c>
      <c r="I930" t="s">
        <v>30</v>
      </c>
      <c r="J930">
        <v>87</v>
      </c>
      <c r="K930">
        <v>891.92</v>
      </c>
      <c r="L930">
        <v>77596.759999999995</v>
      </c>
      <c r="M930">
        <v>52059.8</v>
      </c>
      <c r="N930">
        <v>5883.55</v>
      </c>
      <c r="O930">
        <v>3801.74</v>
      </c>
      <c r="P930">
        <v>1819.39</v>
      </c>
      <c r="Q930">
        <v>666.19</v>
      </c>
      <c r="R930">
        <v>2826.72</v>
      </c>
      <c r="S930">
        <v>1000.66</v>
      </c>
      <c r="T930">
        <v>68058.070000000007</v>
      </c>
      <c r="U930">
        <v>25536.959999999999</v>
      </c>
      <c r="V930">
        <v>9538.69</v>
      </c>
      <c r="W930">
        <v>9383</v>
      </c>
      <c r="X930">
        <v>73831.34</v>
      </c>
      <c r="Y930">
        <v>64162.15</v>
      </c>
    </row>
    <row r="931" spans="1:25" x14ac:dyDescent="0.25">
      <c r="A931" t="s">
        <v>983</v>
      </c>
      <c r="B931" s="1">
        <v>45191</v>
      </c>
      <c r="C931">
        <v>2023</v>
      </c>
      <c r="D931">
        <v>9</v>
      </c>
      <c r="E931" t="s">
        <v>918</v>
      </c>
      <c r="F931" t="s">
        <v>691</v>
      </c>
      <c r="G931" t="s">
        <v>44</v>
      </c>
      <c r="H931" t="s">
        <v>36</v>
      </c>
      <c r="I931" t="s">
        <v>37</v>
      </c>
      <c r="J931">
        <v>37</v>
      </c>
      <c r="K931">
        <v>1260.07</v>
      </c>
      <c r="L931">
        <v>46622.62</v>
      </c>
      <c r="M931">
        <v>23777.91</v>
      </c>
      <c r="N931">
        <v>4364.3900000000003</v>
      </c>
      <c r="O931">
        <v>2719.68</v>
      </c>
      <c r="P931">
        <v>1310.94</v>
      </c>
      <c r="Q931">
        <v>406.64</v>
      </c>
      <c r="R931">
        <v>2434.56</v>
      </c>
      <c r="S931">
        <v>1142.33</v>
      </c>
      <c r="T931">
        <v>36156.46</v>
      </c>
      <c r="U931">
        <v>22844.71</v>
      </c>
      <c r="V931">
        <v>10466.16</v>
      </c>
      <c r="W931">
        <v>9807.8700000000008</v>
      </c>
      <c r="X931">
        <v>47847.03</v>
      </c>
      <c r="Y931">
        <v>35327.769999999997</v>
      </c>
    </row>
    <row r="932" spans="1:25" x14ac:dyDescent="0.25">
      <c r="A932" t="s">
        <v>984</v>
      </c>
      <c r="B932" s="1">
        <v>45191</v>
      </c>
      <c r="C932">
        <v>2023</v>
      </c>
      <c r="D932">
        <v>9</v>
      </c>
      <c r="E932" t="s">
        <v>918</v>
      </c>
      <c r="F932" t="s">
        <v>691</v>
      </c>
      <c r="G932" t="s">
        <v>28</v>
      </c>
      <c r="H932" t="s">
        <v>36</v>
      </c>
      <c r="I932" t="s">
        <v>50</v>
      </c>
      <c r="J932">
        <v>42</v>
      </c>
      <c r="K932">
        <v>1506.04</v>
      </c>
      <c r="L932">
        <v>63253.87</v>
      </c>
      <c r="M932">
        <v>32353.27</v>
      </c>
      <c r="N932">
        <v>8180.35</v>
      </c>
      <c r="O932">
        <v>3263.63</v>
      </c>
      <c r="P932">
        <v>2598.35</v>
      </c>
      <c r="Q932">
        <v>558.11</v>
      </c>
      <c r="R932">
        <v>2344.9499999999998</v>
      </c>
      <c r="S932">
        <v>1422.72</v>
      </c>
      <c r="T932">
        <v>50721.38</v>
      </c>
      <c r="U932">
        <v>30900.6</v>
      </c>
      <c r="V932">
        <v>12532.49</v>
      </c>
      <c r="W932">
        <v>12465.79</v>
      </c>
      <c r="X932">
        <v>62774.45</v>
      </c>
      <c r="Y932">
        <v>52099.38</v>
      </c>
    </row>
    <row r="933" spans="1:25" x14ac:dyDescent="0.25">
      <c r="A933" t="s">
        <v>985</v>
      </c>
      <c r="B933" s="1">
        <v>45192</v>
      </c>
      <c r="C933">
        <v>2023</v>
      </c>
      <c r="D933">
        <v>9</v>
      </c>
      <c r="E933" t="s">
        <v>918</v>
      </c>
      <c r="F933" t="s">
        <v>691</v>
      </c>
      <c r="G933" t="s">
        <v>28</v>
      </c>
      <c r="H933" t="s">
        <v>53</v>
      </c>
      <c r="I933" t="s">
        <v>45</v>
      </c>
      <c r="J933">
        <v>27</v>
      </c>
      <c r="K933">
        <v>1352.8</v>
      </c>
      <c r="L933">
        <v>36525.47</v>
      </c>
      <c r="M933">
        <v>19472.349999999999</v>
      </c>
      <c r="N933">
        <v>3333.48</v>
      </c>
      <c r="O933">
        <v>2037.32</v>
      </c>
      <c r="P933">
        <v>1561.23</v>
      </c>
      <c r="Q933">
        <v>600.46</v>
      </c>
      <c r="R933">
        <v>1665.59</v>
      </c>
      <c r="S933">
        <v>359.53</v>
      </c>
      <c r="T933">
        <v>29029.95</v>
      </c>
      <c r="U933">
        <v>17053.12</v>
      </c>
      <c r="V933">
        <v>7495.52</v>
      </c>
      <c r="W933">
        <v>6801.94</v>
      </c>
      <c r="X933">
        <v>40783.769999999997</v>
      </c>
      <c r="Y933">
        <v>31039.8</v>
      </c>
    </row>
    <row r="934" spans="1:25" x14ac:dyDescent="0.25">
      <c r="A934" t="s">
        <v>986</v>
      </c>
      <c r="B934" s="1">
        <v>45192</v>
      </c>
      <c r="C934">
        <v>2023</v>
      </c>
      <c r="D934">
        <v>9</v>
      </c>
      <c r="E934" t="s">
        <v>918</v>
      </c>
      <c r="F934" t="s">
        <v>691</v>
      </c>
      <c r="G934" t="s">
        <v>55</v>
      </c>
      <c r="H934" t="s">
        <v>36</v>
      </c>
      <c r="I934" t="s">
        <v>30</v>
      </c>
      <c r="J934">
        <v>74</v>
      </c>
      <c r="K934">
        <v>1055.17</v>
      </c>
      <c r="L934">
        <v>78082.38</v>
      </c>
      <c r="M934">
        <v>51972.46</v>
      </c>
      <c r="N934">
        <v>6488.1</v>
      </c>
      <c r="O934">
        <v>4827.92</v>
      </c>
      <c r="P934">
        <v>3431.5</v>
      </c>
      <c r="Q934">
        <v>897.23</v>
      </c>
      <c r="R934">
        <v>2011.74</v>
      </c>
      <c r="S934">
        <v>917.33</v>
      </c>
      <c r="T934">
        <v>70546.259999999995</v>
      </c>
      <c r="U934">
        <v>26109.93</v>
      </c>
      <c r="V934">
        <v>7536.12</v>
      </c>
      <c r="W934">
        <v>6855.39</v>
      </c>
      <c r="X934">
        <v>74744.41</v>
      </c>
      <c r="Y934">
        <v>71602.61</v>
      </c>
    </row>
    <row r="935" spans="1:25" x14ac:dyDescent="0.25">
      <c r="A935" t="s">
        <v>987</v>
      </c>
      <c r="B935" s="1">
        <v>45192</v>
      </c>
      <c r="C935">
        <v>2023</v>
      </c>
      <c r="D935">
        <v>9</v>
      </c>
      <c r="E935" t="s">
        <v>918</v>
      </c>
      <c r="F935" t="s">
        <v>691</v>
      </c>
      <c r="G935" t="s">
        <v>44</v>
      </c>
      <c r="H935" t="s">
        <v>36</v>
      </c>
      <c r="I935" t="s">
        <v>33</v>
      </c>
      <c r="J935">
        <v>97</v>
      </c>
      <c r="K935">
        <v>890.07</v>
      </c>
      <c r="L935">
        <v>86336.39</v>
      </c>
      <c r="M935">
        <v>44991.46</v>
      </c>
      <c r="N935">
        <v>9535.4500000000007</v>
      </c>
      <c r="O935">
        <v>3457.24</v>
      </c>
      <c r="P935">
        <v>2670.55</v>
      </c>
      <c r="Q935">
        <v>1236.02</v>
      </c>
      <c r="R935">
        <v>4396.8</v>
      </c>
      <c r="S935">
        <v>1827.5</v>
      </c>
      <c r="T935">
        <v>68115.02</v>
      </c>
      <c r="U935">
        <v>41344.93</v>
      </c>
      <c r="V935">
        <v>18221.36</v>
      </c>
      <c r="W935">
        <v>16091.11</v>
      </c>
      <c r="X935">
        <v>90340.43</v>
      </c>
      <c r="Y935">
        <v>65316.56</v>
      </c>
    </row>
    <row r="936" spans="1:25" x14ac:dyDescent="0.25">
      <c r="A936" t="s">
        <v>988</v>
      </c>
      <c r="B936" s="1">
        <v>45193</v>
      </c>
      <c r="C936">
        <v>2023</v>
      </c>
      <c r="D936">
        <v>9</v>
      </c>
      <c r="E936" t="s">
        <v>918</v>
      </c>
      <c r="F936" t="s">
        <v>691</v>
      </c>
      <c r="G936" t="s">
        <v>28</v>
      </c>
      <c r="H936" t="s">
        <v>32</v>
      </c>
      <c r="I936" t="s">
        <v>65</v>
      </c>
      <c r="J936">
        <v>106</v>
      </c>
      <c r="K936">
        <v>819.26</v>
      </c>
      <c r="L936">
        <v>86841.34</v>
      </c>
      <c r="M936">
        <v>55881.43</v>
      </c>
      <c r="N936">
        <v>6190.21</v>
      </c>
      <c r="O936">
        <v>5146.0600000000004</v>
      </c>
      <c r="P936">
        <v>2709.06</v>
      </c>
      <c r="Q936">
        <v>1239.81</v>
      </c>
      <c r="R936">
        <v>2698.09</v>
      </c>
      <c r="S936">
        <v>733.52</v>
      </c>
      <c r="T936">
        <v>74598.17</v>
      </c>
      <c r="U936">
        <v>30959.91</v>
      </c>
      <c r="V936">
        <v>12243.17</v>
      </c>
      <c r="W936">
        <v>11770.71</v>
      </c>
      <c r="X936">
        <v>92878.6</v>
      </c>
      <c r="Y936">
        <v>77334.41</v>
      </c>
    </row>
    <row r="937" spans="1:25" x14ac:dyDescent="0.25">
      <c r="A937" t="s">
        <v>989</v>
      </c>
      <c r="B937" s="1">
        <v>45193</v>
      </c>
      <c r="C937">
        <v>2023</v>
      </c>
      <c r="D937">
        <v>9</v>
      </c>
      <c r="E937" t="s">
        <v>918</v>
      </c>
      <c r="F937" t="s">
        <v>691</v>
      </c>
      <c r="G937" t="s">
        <v>44</v>
      </c>
      <c r="H937" t="s">
        <v>36</v>
      </c>
      <c r="I937" t="s">
        <v>37</v>
      </c>
      <c r="J937">
        <v>59</v>
      </c>
      <c r="K937">
        <v>1206.1500000000001</v>
      </c>
      <c r="L937">
        <v>71163.08</v>
      </c>
      <c r="M937">
        <v>45170.8</v>
      </c>
      <c r="N937">
        <v>5006.2700000000004</v>
      </c>
      <c r="O937">
        <v>4379.29</v>
      </c>
      <c r="P937">
        <v>1819.09</v>
      </c>
      <c r="Q937">
        <v>932.84</v>
      </c>
      <c r="R937">
        <v>3134.58</v>
      </c>
      <c r="S937">
        <v>773.95</v>
      </c>
      <c r="T937">
        <v>61216.83</v>
      </c>
      <c r="U937">
        <v>25992.28</v>
      </c>
      <c r="V937">
        <v>9946.25</v>
      </c>
      <c r="W937">
        <v>9984.74</v>
      </c>
      <c r="X937">
        <v>74602.44</v>
      </c>
      <c r="Y937">
        <v>57358.17</v>
      </c>
    </row>
    <row r="938" spans="1:25" x14ac:dyDescent="0.25">
      <c r="A938" t="s">
        <v>990</v>
      </c>
      <c r="B938" s="1">
        <v>45193</v>
      </c>
      <c r="C938">
        <v>2023</v>
      </c>
      <c r="D938">
        <v>9</v>
      </c>
      <c r="E938" t="s">
        <v>918</v>
      </c>
      <c r="F938" t="s">
        <v>691</v>
      </c>
      <c r="G938" t="s">
        <v>28</v>
      </c>
      <c r="H938" t="s">
        <v>36</v>
      </c>
      <c r="I938" t="s">
        <v>39</v>
      </c>
      <c r="J938">
        <v>45</v>
      </c>
      <c r="K938">
        <v>1082.79</v>
      </c>
      <c r="L938">
        <v>48725.36</v>
      </c>
      <c r="M938">
        <v>30643.89</v>
      </c>
      <c r="N938">
        <v>4644.8100000000004</v>
      </c>
      <c r="O938">
        <v>1647.64</v>
      </c>
      <c r="P938">
        <v>1315.02</v>
      </c>
      <c r="Q938">
        <v>563.54999999999995</v>
      </c>
      <c r="R938">
        <v>2200.46</v>
      </c>
      <c r="S938">
        <v>1015.13</v>
      </c>
      <c r="T938">
        <v>42030.51</v>
      </c>
      <c r="U938">
        <v>18081.47</v>
      </c>
      <c r="V938">
        <v>6694.85</v>
      </c>
      <c r="W938">
        <v>6007.76</v>
      </c>
      <c r="X938">
        <v>53246.62</v>
      </c>
      <c r="Y938">
        <v>41437.78</v>
      </c>
    </row>
    <row r="939" spans="1:25" x14ac:dyDescent="0.25">
      <c r="A939" t="s">
        <v>991</v>
      </c>
      <c r="B939" s="1">
        <v>45194</v>
      </c>
      <c r="C939">
        <v>2023</v>
      </c>
      <c r="D939">
        <v>9</v>
      </c>
      <c r="E939" t="s">
        <v>918</v>
      </c>
      <c r="F939" t="s">
        <v>691</v>
      </c>
      <c r="G939" t="s">
        <v>44</v>
      </c>
      <c r="H939" t="s">
        <v>32</v>
      </c>
      <c r="I939" t="s">
        <v>45</v>
      </c>
      <c r="J939">
        <v>32</v>
      </c>
      <c r="K939">
        <v>1582.98</v>
      </c>
      <c r="L939">
        <v>50655.21</v>
      </c>
      <c r="M939">
        <v>25038.26</v>
      </c>
      <c r="N939">
        <v>4013.93</v>
      </c>
      <c r="O939">
        <v>2812.15</v>
      </c>
      <c r="P939">
        <v>2190.0300000000002</v>
      </c>
      <c r="Q939">
        <v>597.41</v>
      </c>
      <c r="R939">
        <v>3144.14</v>
      </c>
      <c r="S939">
        <v>526.19000000000005</v>
      </c>
      <c r="T939">
        <v>38322.120000000003</v>
      </c>
      <c r="U939">
        <v>25616.94</v>
      </c>
      <c r="V939">
        <v>12333.09</v>
      </c>
      <c r="W939">
        <v>10991.63</v>
      </c>
      <c r="X939">
        <v>48740.54</v>
      </c>
      <c r="Y939">
        <v>37920.629999999997</v>
      </c>
    </row>
    <row r="940" spans="1:25" x14ac:dyDescent="0.25">
      <c r="A940" t="s">
        <v>992</v>
      </c>
      <c r="B940" s="1">
        <v>45194</v>
      </c>
      <c r="C940">
        <v>2023</v>
      </c>
      <c r="D940">
        <v>9</v>
      </c>
      <c r="E940" t="s">
        <v>918</v>
      </c>
      <c r="F940" t="s">
        <v>691</v>
      </c>
      <c r="G940" t="s">
        <v>28</v>
      </c>
      <c r="H940" t="s">
        <v>36</v>
      </c>
      <c r="I940" t="s">
        <v>50</v>
      </c>
      <c r="J940">
        <v>28</v>
      </c>
      <c r="K940">
        <v>1445.09</v>
      </c>
      <c r="L940">
        <v>40462.46</v>
      </c>
      <c r="M940">
        <v>24772.1</v>
      </c>
      <c r="N940">
        <v>4488.47</v>
      </c>
      <c r="O940">
        <v>2470.6999999999998</v>
      </c>
      <c r="P940">
        <v>764.48</v>
      </c>
      <c r="Q940">
        <v>498.86</v>
      </c>
      <c r="R940">
        <v>1454.05</v>
      </c>
      <c r="S940">
        <v>941.24</v>
      </c>
      <c r="T940">
        <v>35389.9</v>
      </c>
      <c r="U940">
        <v>15690.36</v>
      </c>
      <c r="V940">
        <v>5072.5600000000004</v>
      </c>
      <c r="W940">
        <v>5043.08</v>
      </c>
      <c r="X940">
        <v>40084.53</v>
      </c>
      <c r="Y940">
        <v>36333.31</v>
      </c>
    </row>
    <row r="941" spans="1:25" x14ac:dyDescent="0.25">
      <c r="A941" t="s">
        <v>993</v>
      </c>
      <c r="B941" s="1">
        <v>45194</v>
      </c>
      <c r="C941">
        <v>2023</v>
      </c>
      <c r="D941">
        <v>9</v>
      </c>
      <c r="E941" t="s">
        <v>918</v>
      </c>
      <c r="F941" t="s">
        <v>691</v>
      </c>
      <c r="G941" t="s">
        <v>28</v>
      </c>
      <c r="H941" t="s">
        <v>32</v>
      </c>
      <c r="I941" t="s">
        <v>65</v>
      </c>
      <c r="J941">
        <v>44</v>
      </c>
      <c r="K941">
        <v>1405.74</v>
      </c>
      <c r="L941">
        <v>61852.75</v>
      </c>
      <c r="M941">
        <v>29987.17</v>
      </c>
      <c r="N941">
        <v>5993.38</v>
      </c>
      <c r="O941">
        <v>3096.09</v>
      </c>
      <c r="P941">
        <v>1777.18</v>
      </c>
      <c r="Q941">
        <v>414.41</v>
      </c>
      <c r="R941">
        <v>1701.66</v>
      </c>
      <c r="S941">
        <v>1211.49</v>
      </c>
      <c r="T941">
        <v>44181.38</v>
      </c>
      <c r="U941">
        <v>31865.58</v>
      </c>
      <c r="V941">
        <v>17671.37</v>
      </c>
      <c r="W941">
        <v>16677.55</v>
      </c>
      <c r="X941">
        <v>63585.3</v>
      </c>
      <c r="Y941">
        <v>43617.08</v>
      </c>
    </row>
    <row r="942" spans="1:25" x14ac:dyDescent="0.25">
      <c r="A942" t="s">
        <v>994</v>
      </c>
      <c r="B942" s="1">
        <v>45194</v>
      </c>
      <c r="C942">
        <v>2023</v>
      </c>
      <c r="D942">
        <v>9</v>
      </c>
      <c r="E942" t="s">
        <v>918</v>
      </c>
      <c r="F942" t="s">
        <v>691</v>
      </c>
      <c r="G942" t="s">
        <v>35</v>
      </c>
      <c r="H942" t="s">
        <v>53</v>
      </c>
      <c r="I942" t="s">
        <v>33</v>
      </c>
      <c r="J942">
        <v>51</v>
      </c>
      <c r="K942">
        <v>1404.5</v>
      </c>
      <c r="L942">
        <v>71629.600000000006</v>
      </c>
      <c r="M942">
        <v>39536.54</v>
      </c>
      <c r="N942">
        <v>9283.64</v>
      </c>
      <c r="O942">
        <v>4750.54</v>
      </c>
      <c r="P942">
        <v>2260.84</v>
      </c>
      <c r="Q942">
        <v>464.64</v>
      </c>
      <c r="R942">
        <v>4540.9399999999996</v>
      </c>
      <c r="S942">
        <v>1609.23</v>
      </c>
      <c r="T942">
        <v>62446.37</v>
      </c>
      <c r="U942">
        <v>32093.06</v>
      </c>
      <c r="V942">
        <v>9183.23</v>
      </c>
      <c r="W942">
        <v>8433.6299999999992</v>
      </c>
      <c r="X942">
        <v>79948.77</v>
      </c>
      <c r="Y942">
        <v>58671.05</v>
      </c>
    </row>
    <row r="943" spans="1:25" x14ac:dyDescent="0.25">
      <c r="A943" t="s">
        <v>995</v>
      </c>
      <c r="B943" s="1">
        <v>45194</v>
      </c>
      <c r="C943">
        <v>2023</v>
      </c>
      <c r="D943">
        <v>9</v>
      </c>
      <c r="E943" t="s">
        <v>918</v>
      </c>
      <c r="F943" t="s">
        <v>691</v>
      </c>
      <c r="G943" t="s">
        <v>28</v>
      </c>
      <c r="H943" t="s">
        <v>58</v>
      </c>
      <c r="I943" t="s">
        <v>30</v>
      </c>
      <c r="J943">
        <v>55</v>
      </c>
      <c r="K943">
        <v>1296.31</v>
      </c>
      <c r="L943">
        <v>71296.92</v>
      </c>
      <c r="M943">
        <v>46241.65</v>
      </c>
      <c r="N943">
        <v>8105.38</v>
      </c>
      <c r="O943">
        <v>2002.73</v>
      </c>
      <c r="P943">
        <v>2706.91</v>
      </c>
      <c r="Q943">
        <v>754.55</v>
      </c>
      <c r="R943">
        <v>4209.74</v>
      </c>
      <c r="S943">
        <v>972.7</v>
      </c>
      <c r="T943">
        <v>64993.67</v>
      </c>
      <c r="U943">
        <v>25055.27</v>
      </c>
      <c r="V943">
        <v>6303.25</v>
      </c>
      <c r="W943">
        <v>6045.22</v>
      </c>
      <c r="X943">
        <v>76385.210000000006</v>
      </c>
      <c r="Y943">
        <v>64538.28</v>
      </c>
    </row>
    <row r="944" spans="1:25" x14ac:dyDescent="0.25">
      <c r="A944" t="s">
        <v>996</v>
      </c>
      <c r="B944" s="1">
        <v>45195</v>
      </c>
      <c r="C944">
        <v>2023</v>
      </c>
      <c r="D944">
        <v>9</v>
      </c>
      <c r="E944" t="s">
        <v>918</v>
      </c>
      <c r="F944" t="s">
        <v>691</v>
      </c>
      <c r="G944" t="s">
        <v>28</v>
      </c>
      <c r="H944" t="s">
        <v>53</v>
      </c>
      <c r="I944" t="s">
        <v>39</v>
      </c>
      <c r="J944">
        <v>23</v>
      </c>
      <c r="K944">
        <v>1770.45</v>
      </c>
      <c r="L944">
        <v>40720.269999999997</v>
      </c>
      <c r="M944">
        <v>20557.54</v>
      </c>
      <c r="N944">
        <v>3353.72</v>
      </c>
      <c r="O944">
        <v>2608.46</v>
      </c>
      <c r="P944">
        <v>1513.69</v>
      </c>
      <c r="Q944">
        <v>563.34</v>
      </c>
      <c r="R944">
        <v>1730.24</v>
      </c>
      <c r="S944">
        <v>549.36</v>
      </c>
      <c r="T944">
        <v>30876.34</v>
      </c>
      <c r="U944">
        <v>20162.740000000002</v>
      </c>
      <c r="V944">
        <v>9843.93</v>
      </c>
      <c r="W944">
        <v>9680.8700000000008</v>
      </c>
      <c r="X944">
        <v>44427.69</v>
      </c>
      <c r="Y944">
        <v>33903.49</v>
      </c>
    </row>
    <row r="945" spans="1:25" x14ac:dyDescent="0.25">
      <c r="A945" t="s">
        <v>997</v>
      </c>
      <c r="B945" s="1">
        <v>45195</v>
      </c>
      <c r="C945">
        <v>2023</v>
      </c>
      <c r="D945">
        <v>9</v>
      </c>
      <c r="E945" t="s">
        <v>918</v>
      </c>
      <c r="F945" t="s">
        <v>691</v>
      </c>
      <c r="G945" t="s">
        <v>35</v>
      </c>
      <c r="H945" t="s">
        <v>32</v>
      </c>
      <c r="I945" t="s">
        <v>50</v>
      </c>
      <c r="J945">
        <v>35</v>
      </c>
      <c r="K945">
        <v>1430.57</v>
      </c>
      <c r="L945">
        <v>50070.05</v>
      </c>
      <c r="M945">
        <v>26051</v>
      </c>
      <c r="N945">
        <v>5073.58</v>
      </c>
      <c r="O945">
        <v>3125.81</v>
      </c>
      <c r="P945">
        <v>1214.04</v>
      </c>
      <c r="Q945">
        <v>770.42</v>
      </c>
      <c r="R945">
        <v>2589.15</v>
      </c>
      <c r="S945">
        <v>662.9</v>
      </c>
      <c r="T945">
        <v>39486.9</v>
      </c>
      <c r="U945">
        <v>24019.05</v>
      </c>
      <c r="V945">
        <v>10583.15</v>
      </c>
      <c r="W945">
        <v>9986.69</v>
      </c>
      <c r="X945">
        <v>54802.16</v>
      </c>
      <c r="Y945">
        <v>43192.11</v>
      </c>
    </row>
    <row r="946" spans="1:25" x14ac:dyDescent="0.25">
      <c r="A946" t="s">
        <v>998</v>
      </c>
      <c r="B946" s="1">
        <v>45196</v>
      </c>
      <c r="C946">
        <v>2023</v>
      </c>
      <c r="D946">
        <v>9</v>
      </c>
      <c r="E946" t="s">
        <v>918</v>
      </c>
      <c r="F946" t="s">
        <v>691</v>
      </c>
      <c r="G946" t="s">
        <v>44</v>
      </c>
      <c r="H946" t="s">
        <v>53</v>
      </c>
      <c r="I946" t="s">
        <v>39</v>
      </c>
      <c r="J946">
        <v>18</v>
      </c>
      <c r="K946">
        <v>1554.53</v>
      </c>
      <c r="L946">
        <v>27981.51</v>
      </c>
      <c r="M946">
        <v>13506.45</v>
      </c>
      <c r="N946">
        <v>2802.18</v>
      </c>
      <c r="O946">
        <v>1949.29</v>
      </c>
      <c r="P946">
        <v>535.85</v>
      </c>
      <c r="Q946">
        <v>186.48</v>
      </c>
      <c r="R946">
        <v>1433.37</v>
      </c>
      <c r="S946">
        <v>315.58999999999997</v>
      </c>
      <c r="T946">
        <v>20729.22</v>
      </c>
      <c r="U946">
        <v>14475.06</v>
      </c>
      <c r="V946">
        <v>7252.28</v>
      </c>
      <c r="W946">
        <v>7087.91</v>
      </c>
      <c r="X946">
        <v>28025.41</v>
      </c>
      <c r="Y946">
        <v>22693.71</v>
      </c>
    </row>
    <row r="947" spans="1:25" x14ac:dyDescent="0.25">
      <c r="A947" t="s">
        <v>999</v>
      </c>
      <c r="B947" s="1">
        <v>45196</v>
      </c>
      <c r="C947">
        <v>2023</v>
      </c>
      <c r="D947">
        <v>9</v>
      </c>
      <c r="E947" t="s">
        <v>918</v>
      </c>
      <c r="F947" t="s">
        <v>691</v>
      </c>
      <c r="G947" t="s">
        <v>28</v>
      </c>
      <c r="H947" t="s">
        <v>36</v>
      </c>
      <c r="I947" t="s">
        <v>37</v>
      </c>
      <c r="J947">
        <v>42</v>
      </c>
      <c r="K947">
        <v>1364.22</v>
      </c>
      <c r="L947">
        <v>57297.29</v>
      </c>
      <c r="M947">
        <v>28036.35</v>
      </c>
      <c r="N947">
        <v>6509.03</v>
      </c>
      <c r="O947">
        <v>2332.38</v>
      </c>
      <c r="P947">
        <v>2168.7399999999998</v>
      </c>
      <c r="Q947">
        <v>723.82</v>
      </c>
      <c r="R947">
        <v>2646.85</v>
      </c>
      <c r="S947">
        <v>768.84</v>
      </c>
      <c r="T947">
        <v>43186.01</v>
      </c>
      <c r="U947">
        <v>29260.94</v>
      </c>
      <c r="V947">
        <v>14111.27</v>
      </c>
      <c r="W947">
        <v>12769.11</v>
      </c>
      <c r="X947">
        <v>61977.09</v>
      </c>
      <c r="Y947">
        <v>45940.06</v>
      </c>
    </row>
    <row r="948" spans="1:25" x14ac:dyDescent="0.25">
      <c r="A948" t="s">
        <v>1000</v>
      </c>
      <c r="B948" s="1">
        <v>45196</v>
      </c>
      <c r="C948">
        <v>2023</v>
      </c>
      <c r="D948">
        <v>9</v>
      </c>
      <c r="E948" t="s">
        <v>918</v>
      </c>
      <c r="F948" t="s">
        <v>691</v>
      </c>
      <c r="G948" t="s">
        <v>44</v>
      </c>
      <c r="H948" t="s">
        <v>36</v>
      </c>
      <c r="I948" t="s">
        <v>30</v>
      </c>
      <c r="J948">
        <v>55</v>
      </c>
      <c r="K948">
        <v>1695.42</v>
      </c>
      <c r="L948">
        <v>93248.22</v>
      </c>
      <c r="M948">
        <v>54269.62</v>
      </c>
      <c r="N948">
        <v>11012.66</v>
      </c>
      <c r="O948">
        <v>6196.42</v>
      </c>
      <c r="P948">
        <v>2587.98</v>
      </c>
      <c r="Q948">
        <v>479.28</v>
      </c>
      <c r="R948">
        <v>3383.4</v>
      </c>
      <c r="S948">
        <v>1789.59</v>
      </c>
      <c r="T948">
        <v>79718.94</v>
      </c>
      <c r="U948">
        <v>38978.6</v>
      </c>
      <c r="V948">
        <v>13529.28</v>
      </c>
      <c r="W948">
        <v>12877.93</v>
      </c>
      <c r="X948">
        <v>87507.51</v>
      </c>
      <c r="Y948">
        <v>81746.09</v>
      </c>
    </row>
    <row r="949" spans="1:25" x14ac:dyDescent="0.25">
      <c r="A949" t="s">
        <v>1001</v>
      </c>
      <c r="B949" s="1">
        <v>45196</v>
      </c>
      <c r="C949">
        <v>2023</v>
      </c>
      <c r="D949">
        <v>9</v>
      </c>
      <c r="E949" t="s">
        <v>918</v>
      </c>
      <c r="F949" t="s">
        <v>691</v>
      </c>
      <c r="G949" t="s">
        <v>28</v>
      </c>
      <c r="H949" t="s">
        <v>32</v>
      </c>
      <c r="I949" t="s">
        <v>39</v>
      </c>
      <c r="J949">
        <v>23</v>
      </c>
      <c r="K949">
        <v>1709.09</v>
      </c>
      <c r="L949">
        <v>39309.14</v>
      </c>
      <c r="M949">
        <v>23613.09</v>
      </c>
      <c r="N949">
        <v>2915.85</v>
      </c>
      <c r="O949">
        <v>2928.55</v>
      </c>
      <c r="P949">
        <v>711.51</v>
      </c>
      <c r="Q949">
        <v>271.51</v>
      </c>
      <c r="R949">
        <v>1105.49</v>
      </c>
      <c r="S949">
        <v>335.99</v>
      </c>
      <c r="T949">
        <v>31881.98</v>
      </c>
      <c r="U949">
        <v>15696.06</v>
      </c>
      <c r="V949">
        <v>7427.16</v>
      </c>
      <c r="W949">
        <v>6555.9</v>
      </c>
      <c r="X949">
        <v>39972.78</v>
      </c>
      <c r="Y949">
        <v>33855.800000000003</v>
      </c>
    </row>
    <row r="950" spans="1:25" x14ac:dyDescent="0.25">
      <c r="A950" t="s">
        <v>1002</v>
      </c>
      <c r="B950" s="1">
        <v>45196</v>
      </c>
      <c r="C950">
        <v>2023</v>
      </c>
      <c r="D950">
        <v>9</v>
      </c>
      <c r="E950" t="s">
        <v>918</v>
      </c>
      <c r="F950" t="s">
        <v>691</v>
      </c>
      <c r="G950" t="s">
        <v>44</v>
      </c>
      <c r="H950" t="s">
        <v>36</v>
      </c>
      <c r="I950" t="s">
        <v>30</v>
      </c>
      <c r="J950">
        <v>84</v>
      </c>
      <c r="K950">
        <v>995.55</v>
      </c>
      <c r="L950">
        <v>83625.81</v>
      </c>
      <c r="M950">
        <v>49282.98</v>
      </c>
      <c r="N950">
        <v>8438.25</v>
      </c>
      <c r="O950">
        <v>3095.77</v>
      </c>
      <c r="P950">
        <v>2478.44</v>
      </c>
      <c r="Q950">
        <v>487.56</v>
      </c>
      <c r="R950">
        <v>4108.51</v>
      </c>
      <c r="S950">
        <v>755.78</v>
      </c>
      <c r="T950">
        <v>68647.289999999994</v>
      </c>
      <c r="U950">
        <v>34342.83</v>
      </c>
      <c r="V950">
        <v>14978.52</v>
      </c>
      <c r="W950">
        <v>14947.75</v>
      </c>
      <c r="X950">
        <v>77021.09</v>
      </c>
      <c r="Y950">
        <v>68075.429999999993</v>
      </c>
    </row>
    <row r="951" spans="1:25" x14ac:dyDescent="0.25">
      <c r="A951" t="s">
        <v>1003</v>
      </c>
      <c r="B951" s="1">
        <v>45196</v>
      </c>
      <c r="C951">
        <v>2023</v>
      </c>
      <c r="D951">
        <v>9</v>
      </c>
      <c r="E951" t="s">
        <v>918</v>
      </c>
      <c r="F951" t="s">
        <v>691</v>
      </c>
      <c r="G951" t="s">
        <v>44</v>
      </c>
      <c r="H951" t="s">
        <v>32</v>
      </c>
      <c r="I951" t="s">
        <v>65</v>
      </c>
      <c r="J951">
        <v>63</v>
      </c>
      <c r="K951">
        <v>1296.3499999999999</v>
      </c>
      <c r="L951">
        <v>81669.929999999993</v>
      </c>
      <c r="M951">
        <v>40080.35</v>
      </c>
      <c r="N951">
        <v>7983.92</v>
      </c>
      <c r="O951">
        <v>4830.6000000000004</v>
      </c>
      <c r="P951">
        <v>3450.95</v>
      </c>
      <c r="Q951">
        <v>842.48</v>
      </c>
      <c r="R951">
        <v>3338.46</v>
      </c>
      <c r="S951">
        <v>1961.18</v>
      </c>
      <c r="T951">
        <v>62487.94</v>
      </c>
      <c r="U951">
        <v>41589.58</v>
      </c>
      <c r="V951">
        <v>19181.990000000002</v>
      </c>
      <c r="W951">
        <v>19297.82</v>
      </c>
      <c r="X951">
        <v>84993.49</v>
      </c>
      <c r="Y951">
        <v>60741.43</v>
      </c>
    </row>
    <row r="952" spans="1:25" x14ac:dyDescent="0.25">
      <c r="A952" t="s">
        <v>1004</v>
      </c>
      <c r="B952" s="1">
        <v>45197</v>
      </c>
      <c r="C952">
        <v>2023</v>
      </c>
      <c r="D952">
        <v>9</v>
      </c>
      <c r="E952" t="s">
        <v>918</v>
      </c>
      <c r="F952" t="s">
        <v>691</v>
      </c>
      <c r="G952" t="s">
        <v>35</v>
      </c>
      <c r="H952" t="s">
        <v>32</v>
      </c>
      <c r="I952" t="s">
        <v>45</v>
      </c>
      <c r="J952">
        <v>52</v>
      </c>
      <c r="K952">
        <v>1083.21</v>
      </c>
      <c r="L952">
        <v>56327.14</v>
      </c>
      <c r="M952">
        <v>30943.48</v>
      </c>
      <c r="N952">
        <v>5131.76</v>
      </c>
      <c r="O952">
        <v>3796.53</v>
      </c>
      <c r="P952">
        <v>1289.58</v>
      </c>
      <c r="Q952">
        <v>621.57000000000005</v>
      </c>
      <c r="R952">
        <v>3420.87</v>
      </c>
      <c r="S952">
        <v>773.25</v>
      </c>
      <c r="T952">
        <v>45977.04</v>
      </c>
      <c r="U952">
        <v>25383.67</v>
      </c>
      <c r="V952">
        <v>10350.1</v>
      </c>
      <c r="W952">
        <v>10007.39</v>
      </c>
      <c r="X952">
        <v>58680.7</v>
      </c>
      <c r="Y952">
        <v>50147.45</v>
      </c>
    </row>
    <row r="953" spans="1:25" x14ac:dyDescent="0.25">
      <c r="A953" t="s">
        <v>1005</v>
      </c>
      <c r="B953" s="1">
        <v>45197</v>
      </c>
      <c r="C953">
        <v>2023</v>
      </c>
      <c r="D953">
        <v>9</v>
      </c>
      <c r="E953" t="s">
        <v>918</v>
      </c>
      <c r="F953" t="s">
        <v>691</v>
      </c>
      <c r="G953" t="s">
        <v>44</v>
      </c>
      <c r="H953" t="s">
        <v>32</v>
      </c>
      <c r="I953" t="s">
        <v>65</v>
      </c>
      <c r="J953">
        <v>38</v>
      </c>
      <c r="K953">
        <v>1739.12</v>
      </c>
      <c r="L953">
        <v>66086.509999999995</v>
      </c>
      <c r="M953">
        <v>36597</v>
      </c>
      <c r="N953">
        <v>6551.05</v>
      </c>
      <c r="O953">
        <v>4768.3500000000004</v>
      </c>
      <c r="P953">
        <v>2775.86</v>
      </c>
      <c r="Q953">
        <v>1144.31</v>
      </c>
      <c r="R953">
        <v>2363.39</v>
      </c>
      <c r="S953">
        <v>815.72</v>
      </c>
      <c r="T953">
        <v>55015.66</v>
      </c>
      <c r="U953">
        <v>29489.51</v>
      </c>
      <c r="V953">
        <v>11070.84</v>
      </c>
      <c r="W953">
        <v>10181.950000000001</v>
      </c>
      <c r="X953">
        <v>69443.33</v>
      </c>
      <c r="Y953">
        <v>54014.84</v>
      </c>
    </row>
    <row r="954" spans="1:25" x14ac:dyDescent="0.25">
      <c r="A954" t="s">
        <v>1006</v>
      </c>
      <c r="B954" s="1">
        <v>45198</v>
      </c>
      <c r="C954">
        <v>2023</v>
      </c>
      <c r="D954">
        <v>9</v>
      </c>
      <c r="E954" t="s">
        <v>918</v>
      </c>
      <c r="F954" t="s">
        <v>691</v>
      </c>
      <c r="G954" t="s">
        <v>44</v>
      </c>
      <c r="H954" t="s">
        <v>29</v>
      </c>
      <c r="I954" t="s">
        <v>37</v>
      </c>
      <c r="J954">
        <v>29</v>
      </c>
      <c r="K954">
        <v>1754.95</v>
      </c>
      <c r="L954">
        <v>50893.42</v>
      </c>
      <c r="M954">
        <v>27725.41</v>
      </c>
      <c r="N954">
        <v>5795.81</v>
      </c>
      <c r="O954">
        <v>3385.7</v>
      </c>
      <c r="P954">
        <v>2021.22</v>
      </c>
      <c r="Q954">
        <v>412.65</v>
      </c>
      <c r="R954">
        <v>2507.9</v>
      </c>
      <c r="S954">
        <v>1236.26</v>
      </c>
      <c r="T954">
        <v>43084.95</v>
      </c>
      <c r="U954">
        <v>23168.01</v>
      </c>
      <c r="V954">
        <v>7808.47</v>
      </c>
      <c r="W954">
        <v>7044.31</v>
      </c>
      <c r="X954">
        <v>56700.06</v>
      </c>
      <c r="Y954">
        <v>44803.54</v>
      </c>
    </row>
    <row r="955" spans="1:25" x14ac:dyDescent="0.25">
      <c r="A955" t="s">
        <v>1007</v>
      </c>
      <c r="B955" s="1">
        <v>45198</v>
      </c>
      <c r="C955">
        <v>2023</v>
      </c>
      <c r="D955">
        <v>9</v>
      </c>
      <c r="E955" t="s">
        <v>918</v>
      </c>
      <c r="F955" t="s">
        <v>691</v>
      </c>
      <c r="G955" t="s">
        <v>55</v>
      </c>
      <c r="H955" t="s">
        <v>36</v>
      </c>
      <c r="I955" t="s">
        <v>56</v>
      </c>
      <c r="J955">
        <v>31</v>
      </c>
      <c r="K955">
        <v>1089.06</v>
      </c>
      <c r="L955">
        <v>33760.93</v>
      </c>
      <c r="M955">
        <v>21761.5</v>
      </c>
      <c r="N955">
        <v>3635.67</v>
      </c>
      <c r="O955">
        <v>2478.2199999999998</v>
      </c>
      <c r="P955">
        <v>1244.6600000000001</v>
      </c>
      <c r="Q955">
        <v>584.03</v>
      </c>
      <c r="R955">
        <v>886.76</v>
      </c>
      <c r="S955">
        <v>614.33000000000004</v>
      </c>
      <c r="T955">
        <v>31205.17</v>
      </c>
      <c r="U955">
        <v>11999.43</v>
      </c>
      <c r="V955">
        <v>2555.7600000000002</v>
      </c>
      <c r="W955">
        <v>2380.0500000000002</v>
      </c>
      <c r="X955">
        <v>32336.25</v>
      </c>
      <c r="Y955">
        <v>32897.410000000003</v>
      </c>
    </row>
    <row r="956" spans="1:25" x14ac:dyDescent="0.25">
      <c r="A956" t="s">
        <v>1008</v>
      </c>
      <c r="B956" s="1">
        <v>45198</v>
      </c>
      <c r="C956">
        <v>2023</v>
      </c>
      <c r="D956">
        <v>9</v>
      </c>
      <c r="E956" t="s">
        <v>918</v>
      </c>
      <c r="F956" t="s">
        <v>691</v>
      </c>
      <c r="G956" t="s">
        <v>44</v>
      </c>
      <c r="H956" t="s">
        <v>53</v>
      </c>
      <c r="I956" t="s">
        <v>37</v>
      </c>
      <c r="J956">
        <v>53</v>
      </c>
      <c r="K956">
        <v>1334.37</v>
      </c>
      <c r="L956">
        <v>70721.55</v>
      </c>
      <c r="M956">
        <v>45930.81</v>
      </c>
      <c r="N956">
        <v>8615.6200000000008</v>
      </c>
      <c r="O956">
        <v>4844.9799999999996</v>
      </c>
      <c r="P956">
        <v>2252.81</v>
      </c>
      <c r="Q956">
        <v>693.15</v>
      </c>
      <c r="R956">
        <v>2214.65</v>
      </c>
      <c r="S956">
        <v>1574.09</v>
      </c>
      <c r="T956">
        <v>66126.12</v>
      </c>
      <c r="U956">
        <v>24790.74</v>
      </c>
      <c r="V956">
        <v>4595.4399999999996</v>
      </c>
      <c r="W956">
        <v>4142.5200000000004</v>
      </c>
      <c r="X956">
        <v>69403.13</v>
      </c>
      <c r="Y956">
        <v>65324.480000000003</v>
      </c>
    </row>
    <row r="957" spans="1:25" x14ac:dyDescent="0.25">
      <c r="A957" t="s">
        <v>1009</v>
      </c>
      <c r="B957" s="1">
        <v>45198</v>
      </c>
      <c r="C957">
        <v>2023</v>
      </c>
      <c r="D957">
        <v>9</v>
      </c>
      <c r="E957" t="s">
        <v>918</v>
      </c>
      <c r="F957" t="s">
        <v>691</v>
      </c>
      <c r="G957" t="s">
        <v>28</v>
      </c>
      <c r="H957" t="s">
        <v>29</v>
      </c>
      <c r="I957" t="s">
        <v>39</v>
      </c>
      <c r="J957">
        <v>28</v>
      </c>
      <c r="K957">
        <v>1666.74</v>
      </c>
      <c r="L957">
        <v>46668.71</v>
      </c>
      <c r="M957">
        <v>24327.98</v>
      </c>
      <c r="N957">
        <v>5297.27</v>
      </c>
      <c r="O957">
        <v>3335.3</v>
      </c>
      <c r="P957">
        <v>977.13</v>
      </c>
      <c r="Q957">
        <v>433.29</v>
      </c>
      <c r="R957">
        <v>2886.69</v>
      </c>
      <c r="S957">
        <v>623.89</v>
      </c>
      <c r="T957">
        <v>37881.54</v>
      </c>
      <c r="U957">
        <v>22340.73</v>
      </c>
      <c r="V957">
        <v>8787.17</v>
      </c>
      <c r="W957">
        <v>7984.51</v>
      </c>
      <c r="X957">
        <v>46909.440000000002</v>
      </c>
      <c r="Y957">
        <v>37828.36</v>
      </c>
    </row>
    <row r="958" spans="1:25" x14ac:dyDescent="0.25">
      <c r="A958" t="s">
        <v>1010</v>
      </c>
      <c r="B958" s="1">
        <v>45199</v>
      </c>
      <c r="C958">
        <v>2023</v>
      </c>
      <c r="D958">
        <v>9</v>
      </c>
      <c r="E958" t="s">
        <v>918</v>
      </c>
      <c r="F958" t="s">
        <v>691</v>
      </c>
      <c r="G958" t="s">
        <v>28</v>
      </c>
      <c r="H958" t="s">
        <v>53</v>
      </c>
      <c r="I958" t="s">
        <v>39</v>
      </c>
      <c r="J958">
        <v>41</v>
      </c>
      <c r="K958">
        <v>982.07</v>
      </c>
      <c r="L958">
        <v>40264.86</v>
      </c>
      <c r="M958">
        <v>19474.310000000001</v>
      </c>
      <c r="N958">
        <v>4066.29</v>
      </c>
      <c r="O958">
        <v>2117.48</v>
      </c>
      <c r="P958">
        <v>730.96</v>
      </c>
      <c r="Q958">
        <v>527.29</v>
      </c>
      <c r="R958">
        <v>1046.46</v>
      </c>
      <c r="S958">
        <v>472.63</v>
      </c>
      <c r="T958">
        <v>28435.4</v>
      </c>
      <c r="U958">
        <v>20790.560000000001</v>
      </c>
      <c r="V958">
        <v>11829.46</v>
      </c>
      <c r="W958">
        <v>10936.65</v>
      </c>
      <c r="X958">
        <v>39112.9</v>
      </c>
      <c r="Y958">
        <v>30767.919999999998</v>
      </c>
    </row>
    <row r="959" spans="1:25" x14ac:dyDescent="0.25">
      <c r="A959" t="s">
        <v>1011</v>
      </c>
      <c r="B959" s="1">
        <v>45199</v>
      </c>
      <c r="C959">
        <v>2023</v>
      </c>
      <c r="D959">
        <v>9</v>
      </c>
      <c r="E959" t="s">
        <v>918</v>
      </c>
      <c r="F959" t="s">
        <v>691</v>
      </c>
      <c r="G959" t="s">
        <v>35</v>
      </c>
      <c r="H959" t="s">
        <v>53</v>
      </c>
      <c r="I959" t="s">
        <v>50</v>
      </c>
      <c r="J959">
        <v>23</v>
      </c>
      <c r="K959">
        <v>1834.8</v>
      </c>
      <c r="L959">
        <v>42200.45</v>
      </c>
      <c r="M959">
        <v>28252.93</v>
      </c>
      <c r="N959">
        <v>5290.86</v>
      </c>
      <c r="O959">
        <v>1166.32</v>
      </c>
      <c r="P959">
        <v>1565.58</v>
      </c>
      <c r="Q959">
        <v>217.39</v>
      </c>
      <c r="R959">
        <v>2032.68</v>
      </c>
      <c r="S959">
        <v>1039.53</v>
      </c>
      <c r="T959">
        <v>39565.29</v>
      </c>
      <c r="U959">
        <v>13947.52</v>
      </c>
      <c r="V959">
        <v>2635.16</v>
      </c>
      <c r="W959">
        <v>2526.3200000000002</v>
      </c>
      <c r="X959">
        <v>39526.97</v>
      </c>
      <c r="Y959">
        <v>39544.639999999999</v>
      </c>
    </row>
    <row r="960" spans="1:25" x14ac:dyDescent="0.25">
      <c r="A960" t="s">
        <v>1012</v>
      </c>
      <c r="B960" s="1">
        <v>45199</v>
      </c>
      <c r="C960">
        <v>2023</v>
      </c>
      <c r="D960">
        <v>9</v>
      </c>
      <c r="E960" t="s">
        <v>918</v>
      </c>
      <c r="F960" t="s">
        <v>691</v>
      </c>
      <c r="G960" t="s">
        <v>44</v>
      </c>
      <c r="H960" t="s">
        <v>36</v>
      </c>
      <c r="I960" t="s">
        <v>50</v>
      </c>
      <c r="J960">
        <v>42</v>
      </c>
      <c r="K960">
        <v>1382.24</v>
      </c>
      <c r="L960">
        <v>58053.99</v>
      </c>
      <c r="M960">
        <v>34522.33</v>
      </c>
      <c r="N960">
        <v>6425.99</v>
      </c>
      <c r="O960">
        <v>2546.81</v>
      </c>
      <c r="P960">
        <v>1650.61</v>
      </c>
      <c r="Q960">
        <v>611.22</v>
      </c>
      <c r="R960">
        <v>2210.17</v>
      </c>
      <c r="S960">
        <v>771.3</v>
      </c>
      <c r="T960">
        <v>48738.44</v>
      </c>
      <c r="U960">
        <v>23531.66</v>
      </c>
      <c r="V960">
        <v>9315.56</v>
      </c>
      <c r="W960">
        <v>8755.81</v>
      </c>
      <c r="X960">
        <v>59655.1</v>
      </c>
      <c r="Y960">
        <v>50958.080000000002</v>
      </c>
    </row>
    <row r="961" spans="1:25" x14ac:dyDescent="0.25">
      <c r="A961" t="s">
        <v>1013</v>
      </c>
      <c r="B961" s="1">
        <v>45199</v>
      </c>
      <c r="C961">
        <v>2023</v>
      </c>
      <c r="D961">
        <v>9</v>
      </c>
      <c r="E961" t="s">
        <v>918</v>
      </c>
      <c r="F961" t="s">
        <v>691</v>
      </c>
      <c r="G961" t="s">
        <v>35</v>
      </c>
      <c r="H961" t="s">
        <v>58</v>
      </c>
      <c r="I961" t="s">
        <v>65</v>
      </c>
      <c r="J961">
        <v>36</v>
      </c>
      <c r="K961">
        <v>1267.95</v>
      </c>
      <c r="L961">
        <v>45646.21</v>
      </c>
      <c r="M961">
        <v>24688.39</v>
      </c>
      <c r="N961">
        <v>3670.62</v>
      </c>
      <c r="O961">
        <v>3384.25</v>
      </c>
      <c r="P961">
        <v>1308.72</v>
      </c>
      <c r="Q961">
        <v>228.53</v>
      </c>
      <c r="R961">
        <v>2702.66</v>
      </c>
      <c r="S961">
        <v>954.75</v>
      </c>
      <c r="T961">
        <v>36937.910000000003</v>
      </c>
      <c r="U961">
        <v>20957.82</v>
      </c>
      <c r="V961">
        <v>8708.2999999999993</v>
      </c>
      <c r="W961">
        <v>7942.02</v>
      </c>
      <c r="X961">
        <v>49120.59</v>
      </c>
      <c r="Y961">
        <v>36816.99</v>
      </c>
    </row>
    <row r="962" spans="1:25" x14ac:dyDescent="0.25">
      <c r="A962" t="s">
        <v>1014</v>
      </c>
      <c r="B962" s="1">
        <v>45199</v>
      </c>
      <c r="C962">
        <v>2023</v>
      </c>
      <c r="D962">
        <v>9</v>
      </c>
      <c r="E962" t="s">
        <v>918</v>
      </c>
      <c r="F962" t="s">
        <v>691</v>
      </c>
      <c r="G962" t="s">
        <v>44</v>
      </c>
      <c r="H962" t="s">
        <v>32</v>
      </c>
      <c r="I962" t="s">
        <v>37</v>
      </c>
      <c r="J962">
        <v>44</v>
      </c>
      <c r="K962">
        <v>1551.59</v>
      </c>
      <c r="L962">
        <v>68269.88</v>
      </c>
      <c r="M962">
        <v>42684.74</v>
      </c>
      <c r="N962">
        <v>7059.97</v>
      </c>
      <c r="O962">
        <v>3982.12</v>
      </c>
      <c r="P962">
        <v>3069.95</v>
      </c>
      <c r="Q962">
        <v>776.96</v>
      </c>
      <c r="R962">
        <v>3630.63</v>
      </c>
      <c r="S962">
        <v>1534.53</v>
      </c>
      <c r="T962">
        <v>62738.91</v>
      </c>
      <c r="U962">
        <v>25585.14</v>
      </c>
      <c r="V962">
        <v>5530.97</v>
      </c>
      <c r="W962">
        <v>5212.17</v>
      </c>
      <c r="X962">
        <v>64331.49</v>
      </c>
      <c r="Y962">
        <v>62058.07</v>
      </c>
    </row>
    <row r="963" spans="1:25" x14ac:dyDescent="0.25">
      <c r="A963" t="s">
        <v>1015</v>
      </c>
      <c r="B963" s="1">
        <v>45199</v>
      </c>
      <c r="C963">
        <v>2023</v>
      </c>
      <c r="D963">
        <v>9</v>
      </c>
      <c r="E963" t="s">
        <v>918</v>
      </c>
      <c r="F963" t="s">
        <v>691</v>
      </c>
      <c r="G963" t="s">
        <v>35</v>
      </c>
      <c r="H963" t="s">
        <v>53</v>
      </c>
      <c r="I963" t="s">
        <v>30</v>
      </c>
      <c r="J963">
        <v>39</v>
      </c>
      <c r="K963">
        <v>1593.21</v>
      </c>
      <c r="L963">
        <v>62135.32</v>
      </c>
      <c r="M963">
        <v>40116.239999999998</v>
      </c>
      <c r="N963">
        <v>4419.34</v>
      </c>
      <c r="O963">
        <v>2840.6</v>
      </c>
      <c r="P963">
        <v>982.86</v>
      </c>
      <c r="Q963">
        <v>711.27</v>
      </c>
      <c r="R963">
        <v>3556.63</v>
      </c>
      <c r="S963">
        <v>542.34</v>
      </c>
      <c r="T963">
        <v>53169.279999999999</v>
      </c>
      <c r="U963">
        <v>22019.08</v>
      </c>
      <c r="V963">
        <v>8966.0400000000009</v>
      </c>
      <c r="W963">
        <v>8374.39</v>
      </c>
      <c r="X963">
        <v>57275.57</v>
      </c>
      <c r="Y963">
        <v>54142.54</v>
      </c>
    </row>
    <row r="964" spans="1:25" x14ac:dyDescent="0.25">
      <c r="A964" t="s">
        <v>1016</v>
      </c>
      <c r="B964" s="1">
        <v>45200</v>
      </c>
      <c r="C964">
        <v>2023</v>
      </c>
      <c r="D964">
        <v>10</v>
      </c>
      <c r="E964" t="s">
        <v>1017</v>
      </c>
      <c r="F964" t="s">
        <v>1018</v>
      </c>
      <c r="G964" t="s">
        <v>55</v>
      </c>
      <c r="H964" t="s">
        <v>32</v>
      </c>
      <c r="I964" t="s">
        <v>37</v>
      </c>
      <c r="J964">
        <v>99</v>
      </c>
      <c r="K964">
        <v>961.02</v>
      </c>
      <c r="L964">
        <v>95141.36</v>
      </c>
      <c r="M964">
        <v>54475.22</v>
      </c>
      <c r="N964">
        <v>6869.71</v>
      </c>
      <c r="O964">
        <v>5361.21</v>
      </c>
      <c r="P964">
        <v>1691.38</v>
      </c>
      <c r="Q964">
        <v>1542.82</v>
      </c>
      <c r="R964">
        <v>2508.96</v>
      </c>
      <c r="S964">
        <v>1140.8499999999999</v>
      </c>
      <c r="T964">
        <v>73590.149999999994</v>
      </c>
      <c r="U964">
        <v>40666.14</v>
      </c>
      <c r="V964">
        <v>21551.200000000001</v>
      </c>
      <c r="W964">
        <v>20690.919999999998</v>
      </c>
      <c r="X964">
        <v>104022.37</v>
      </c>
      <c r="Y964">
        <v>74895.14</v>
      </c>
    </row>
    <row r="965" spans="1:25" x14ac:dyDescent="0.25">
      <c r="A965" t="s">
        <v>1019</v>
      </c>
      <c r="B965" s="1">
        <v>45200</v>
      </c>
      <c r="C965">
        <v>2023</v>
      </c>
      <c r="D965">
        <v>10</v>
      </c>
      <c r="E965" t="s">
        <v>1017</v>
      </c>
      <c r="F965" t="s">
        <v>1018</v>
      </c>
      <c r="G965" t="s">
        <v>28</v>
      </c>
      <c r="H965" t="s">
        <v>53</v>
      </c>
      <c r="I965" t="s">
        <v>33</v>
      </c>
      <c r="J965">
        <v>67</v>
      </c>
      <c r="K965">
        <v>1320.17</v>
      </c>
      <c r="L965">
        <v>88451.64</v>
      </c>
      <c r="M965">
        <v>44274.400000000001</v>
      </c>
      <c r="N965">
        <v>6953.34</v>
      </c>
      <c r="O965">
        <v>3778.97</v>
      </c>
      <c r="P965">
        <v>2148.8200000000002</v>
      </c>
      <c r="Q965">
        <v>1360.94</v>
      </c>
      <c r="R965">
        <v>4398.72</v>
      </c>
      <c r="S965">
        <v>789.57</v>
      </c>
      <c r="T965">
        <v>63704.75</v>
      </c>
      <c r="U965">
        <v>44177.24</v>
      </c>
      <c r="V965">
        <v>24746.89</v>
      </c>
      <c r="W965">
        <v>24884.76</v>
      </c>
      <c r="X965">
        <v>95209.21</v>
      </c>
      <c r="Y965">
        <v>67800.320000000007</v>
      </c>
    </row>
    <row r="966" spans="1:25" x14ac:dyDescent="0.25">
      <c r="A966" t="s">
        <v>1020</v>
      </c>
      <c r="B966" s="1">
        <v>45200</v>
      </c>
      <c r="C966">
        <v>2023</v>
      </c>
      <c r="D966">
        <v>10</v>
      </c>
      <c r="E966" t="s">
        <v>1017</v>
      </c>
      <c r="F966" t="s">
        <v>1018</v>
      </c>
      <c r="G966" t="s">
        <v>35</v>
      </c>
      <c r="H966" t="s">
        <v>58</v>
      </c>
      <c r="I966" t="s">
        <v>37</v>
      </c>
      <c r="J966">
        <v>54</v>
      </c>
      <c r="K966">
        <v>1104.8399999999999</v>
      </c>
      <c r="L966">
        <v>59661.25</v>
      </c>
      <c r="M966">
        <v>38297.269999999997</v>
      </c>
      <c r="N966">
        <v>6813.55</v>
      </c>
      <c r="O966">
        <v>2493.84</v>
      </c>
      <c r="P966">
        <v>2089.89</v>
      </c>
      <c r="Q966">
        <v>533.64</v>
      </c>
      <c r="R966">
        <v>3623.49</v>
      </c>
      <c r="S966">
        <v>728.29</v>
      </c>
      <c r="T966">
        <v>54579.97</v>
      </c>
      <c r="U966">
        <v>21363.98</v>
      </c>
      <c r="V966">
        <v>5081.28</v>
      </c>
      <c r="W966">
        <v>5020.79</v>
      </c>
      <c r="X966">
        <v>59429.279999999999</v>
      </c>
      <c r="Y966">
        <v>59132.58</v>
      </c>
    </row>
    <row r="967" spans="1:25" x14ac:dyDescent="0.25">
      <c r="A967" t="s">
        <v>1021</v>
      </c>
      <c r="B967" s="1">
        <v>45200</v>
      </c>
      <c r="C967">
        <v>2023</v>
      </c>
      <c r="D967">
        <v>10</v>
      </c>
      <c r="E967" t="s">
        <v>1017</v>
      </c>
      <c r="F967" t="s">
        <v>1018</v>
      </c>
      <c r="G967" t="s">
        <v>55</v>
      </c>
      <c r="H967" t="s">
        <v>36</v>
      </c>
      <c r="I967" t="s">
        <v>39</v>
      </c>
      <c r="J967">
        <v>52</v>
      </c>
      <c r="K967">
        <v>1098.8800000000001</v>
      </c>
      <c r="L967">
        <v>57141.61</v>
      </c>
      <c r="M967">
        <v>29799.52</v>
      </c>
      <c r="N967">
        <v>6481.75</v>
      </c>
      <c r="O967">
        <v>3711.86</v>
      </c>
      <c r="P967">
        <v>2436.3000000000002</v>
      </c>
      <c r="Q967">
        <v>741.51</v>
      </c>
      <c r="R967">
        <v>2348.0500000000002</v>
      </c>
      <c r="S967">
        <v>912.6</v>
      </c>
      <c r="T967">
        <v>46431.59</v>
      </c>
      <c r="U967">
        <v>27342.09</v>
      </c>
      <c r="V967">
        <v>10710.02</v>
      </c>
      <c r="W967">
        <v>9596.0300000000007</v>
      </c>
      <c r="X967">
        <v>56612.2</v>
      </c>
      <c r="Y967">
        <v>44017.42</v>
      </c>
    </row>
    <row r="968" spans="1:25" x14ac:dyDescent="0.25">
      <c r="A968" t="s">
        <v>1022</v>
      </c>
      <c r="B968" s="1">
        <v>45201</v>
      </c>
      <c r="C968">
        <v>2023</v>
      </c>
      <c r="D968">
        <v>10</v>
      </c>
      <c r="E968" t="s">
        <v>1017</v>
      </c>
      <c r="F968" t="s">
        <v>1018</v>
      </c>
      <c r="G968" t="s">
        <v>55</v>
      </c>
      <c r="H968" t="s">
        <v>36</v>
      </c>
      <c r="I968" t="s">
        <v>30</v>
      </c>
      <c r="J968">
        <v>65</v>
      </c>
      <c r="K968">
        <v>1290.73</v>
      </c>
      <c r="L968">
        <v>83897.77</v>
      </c>
      <c r="M968">
        <v>45384.7</v>
      </c>
      <c r="N968">
        <v>10710.27</v>
      </c>
      <c r="O968">
        <v>3476.25</v>
      </c>
      <c r="P968">
        <v>3411.52</v>
      </c>
      <c r="Q968">
        <v>1239.07</v>
      </c>
      <c r="R968">
        <v>2528.64</v>
      </c>
      <c r="S968">
        <v>1374.91</v>
      </c>
      <c r="T968">
        <v>68125.36</v>
      </c>
      <c r="U968">
        <v>38513.07</v>
      </c>
      <c r="V968">
        <v>15772.41</v>
      </c>
      <c r="W968">
        <v>15311.49</v>
      </c>
      <c r="X968">
        <v>88886.74</v>
      </c>
      <c r="Y968">
        <v>73464.5</v>
      </c>
    </row>
    <row r="969" spans="1:25" x14ac:dyDescent="0.25">
      <c r="A969" t="s">
        <v>1023</v>
      </c>
      <c r="B969" s="1">
        <v>45201</v>
      </c>
      <c r="C969">
        <v>2023</v>
      </c>
      <c r="D969">
        <v>10</v>
      </c>
      <c r="E969" t="s">
        <v>1017</v>
      </c>
      <c r="F969" t="s">
        <v>1018</v>
      </c>
      <c r="G969" t="s">
        <v>55</v>
      </c>
      <c r="H969" t="s">
        <v>32</v>
      </c>
      <c r="I969" t="s">
        <v>37</v>
      </c>
      <c r="J969">
        <v>56</v>
      </c>
      <c r="K969">
        <v>1708.97</v>
      </c>
      <c r="L969">
        <v>95702.080000000002</v>
      </c>
      <c r="M969">
        <v>63582.09</v>
      </c>
      <c r="N969">
        <v>11962.38</v>
      </c>
      <c r="O969">
        <v>5372.53</v>
      </c>
      <c r="P969">
        <v>4033.65</v>
      </c>
      <c r="Q969">
        <v>774.54</v>
      </c>
      <c r="R969">
        <v>4483.28</v>
      </c>
      <c r="S969">
        <v>1859.34</v>
      </c>
      <c r="T969">
        <v>92067.8</v>
      </c>
      <c r="U969">
        <v>32119.99</v>
      </c>
      <c r="V969">
        <v>3634.28</v>
      </c>
      <c r="W969">
        <v>3314.31</v>
      </c>
      <c r="X969">
        <v>106125.65</v>
      </c>
      <c r="Y969">
        <v>92042.25</v>
      </c>
    </row>
    <row r="970" spans="1:25" x14ac:dyDescent="0.25">
      <c r="A970" t="s">
        <v>1024</v>
      </c>
      <c r="B970" s="1">
        <v>45202</v>
      </c>
      <c r="C970">
        <v>2023</v>
      </c>
      <c r="D970">
        <v>10</v>
      </c>
      <c r="E970" t="s">
        <v>1017</v>
      </c>
      <c r="F970" t="s">
        <v>1018</v>
      </c>
      <c r="G970" t="s">
        <v>44</v>
      </c>
      <c r="H970" t="s">
        <v>58</v>
      </c>
      <c r="I970" t="s">
        <v>45</v>
      </c>
      <c r="J970">
        <v>23</v>
      </c>
      <c r="K970">
        <v>1397.1</v>
      </c>
      <c r="L970">
        <v>32133.279999999999</v>
      </c>
      <c r="M970">
        <v>21202.36</v>
      </c>
      <c r="N970">
        <v>2782.28</v>
      </c>
      <c r="O970">
        <v>1080.6400000000001</v>
      </c>
      <c r="P970">
        <v>1194.8800000000001</v>
      </c>
      <c r="Q970">
        <v>524.41999999999996</v>
      </c>
      <c r="R970">
        <v>842.64</v>
      </c>
      <c r="S970">
        <v>461.28</v>
      </c>
      <c r="T970">
        <v>28088.5</v>
      </c>
      <c r="U970">
        <v>10930.93</v>
      </c>
      <c r="V970">
        <v>4044.78</v>
      </c>
      <c r="W970">
        <v>3838.21</v>
      </c>
      <c r="X970">
        <v>35751.629999999997</v>
      </c>
      <c r="Y970">
        <v>30790.67</v>
      </c>
    </row>
    <row r="971" spans="1:25" x14ac:dyDescent="0.25">
      <c r="A971" t="s">
        <v>1025</v>
      </c>
      <c r="B971" s="1">
        <v>45202</v>
      </c>
      <c r="C971">
        <v>2023</v>
      </c>
      <c r="D971">
        <v>10</v>
      </c>
      <c r="E971" t="s">
        <v>1017</v>
      </c>
      <c r="F971" t="s">
        <v>1018</v>
      </c>
      <c r="G971" t="s">
        <v>35</v>
      </c>
      <c r="H971" t="s">
        <v>32</v>
      </c>
      <c r="I971" t="s">
        <v>50</v>
      </c>
      <c r="J971">
        <v>28</v>
      </c>
      <c r="K971">
        <v>1567.83</v>
      </c>
      <c r="L971">
        <v>43899.32</v>
      </c>
      <c r="M971">
        <v>29405.88</v>
      </c>
      <c r="N971">
        <v>4439.7</v>
      </c>
      <c r="O971">
        <v>2447.17</v>
      </c>
      <c r="P971">
        <v>1528.91</v>
      </c>
      <c r="Q971">
        <v>261.54000000000002</v>
      </c>
      <c r="R971">
        <v>2406.81</v>
      </c>
      <c r="S971">
        <v>821.91</v>
      </c>
      <c r="T971">
        <v>41311.919999999998</v>
      </c>
      <c r="U971">
        <v>14493.44</v>
      </c>
      <c r="V971">
        <v>2587.4</v>
      </c>
      <c r="W971">
        <v>2319.5</v>
      </c>
      <c r="X971">
        <v>46107.22</v>
      </c>
      <c r="Y971">
        <v>42898.95</v>
      </c>
    </row>
    <row r="972" spans="1:25" x14ac:dyDescent="0.25">
      <c r="A972" t="s">
        <v>1026</v>
      </c>
      <c r="B972" s="1">
        <v>45202</v>
      </c>
      <c r="C972">
        <v>2023</v>
      </c>
      <c r="D972">
        <v>10</v>
      </c>
      <c r="E972" t="s">
        <v>1017</v>
      </c>
      <c r="F972" t="s">
        <v>1018</v>
      </c>
      <c r="G972" t="s">
        <v>44</v>
      </c>
      <c r="H972" t="s">
        <v>29</v>
      </c>
      <c r="I972" t="s">
        <v>65</v>
      </c>
      <c r="J972">
        <v>59</v>
      </c>
      <c r="K972">
        <v>895.84</v>
      </c>
      <c r="L972">
        <v>52854.79</v>
      </c>
      <c r="M972">
        <v>33509.65</v>
      </c>
      <c r="N972">
        <v>3844.48</v>
      </c>
      <c r="O972">
        <v>1395.85</v>
      </c>
      <c r="P972">
        <v>1425.28</v>
      </c>
      <c r="Q972">
        <v>599.79</v>
      </c>
      <c r="R972">
        <v>2577.6999999999998</v>
      </c>
      <c r="S972">
        <v>1226.92</v>
      </c>
      <c r="T972">
        <v>44579.68</v>
      </c>
      <c r="U972">
        <v>19345.14</v>
      </c>
      <c r="V972">
        <v>8275.11</v>
      </c>
      <c r="W972">
        <v>8427.83</v>
      </c>
      <c r="X972">
        <v>51289.5</v>
      </c>
      <c r="Y972">
        <v>41890.57</v>
      </c>
    </row>
    <row r="973" spans="1:25" x14ac:dyDescent="0.25">
      <c r="A973" t="s">
        <v>1027</v>
      </c>
      <c r="B973" s="1">
        <v>45202</v>
      </c>
      <c r="C973">
        <v>2023</v>
      </c>
      <c r="D973">
        <v>10</v>
      </c>
      <c r="E973" t="s">
        <v>1017</v>
      </c>
      <c r="F973" t="s">
        <v>1018</v>
      </c>
      <c r="G973" t="s">
        <v>55</v>
      </c>
      <c r="H973" t="s">
        <v>32</v>
      </c>
      <c r="I973" t="s">
        <v>30</v>
      </c>
      <c r="J973">
        <v>167</v>
      </c>
      <c r="K973">
        <v>822.69</v>
      </c>
      <c r="L973">
        <v>137389.16</v>
      </c>
      <c r="M973">
        <v>81755.19</v>
      </c>
      <c r="N973">
        <v>15462.07</v>
      </c>
      <c r="O973">
        <v>3962.46</v>
      </c>
      <c r="P973">
        <v>6134.84</v>
      </c>
      <c r="Q973">
        <v>1587.68</v>
      </c>
      <c r="R973">
        <v>7269.11</v>
      </c>
      <c r="S973">
        <v>1946.2</v>
      </c>
      <c r="T973">
        <v>118117.55</v>
      </c>
      <c r="U973">
        <v>55633.97</v>
      </c>
      <c r="V973">
        <v>19271.61</v>
      </c>
      <c r="W973">
        <v>18817.05</v>
      </c>
      <c r="X973">
        <v>131266.23999999999</v>
      </c>
      <c r="Y973">
        <v>110244.84</v>
      </c>
    </row>
    <row r="974" spans="1:25" x14ac:dyDescent="0.25">
      <c r="A974" t="s">
        <v>1028</v>
      </c>
      <c r="B974" s="1">
        <v>45203</v>
      </c>
      <c r="C974">
        <v>2023</v>
      </c>
      <c r="D974">
        <v>10</v>
      </c>
      <c r="E974" t="s">
        <v>1017</v>
      </c>
      <c r="F974" t="s">
        <v>1018</v>
      </c>
      <c r="G974" t="s">
        <v>55</v>
      </c>
      <c r="H974" t="s">
        <v>32</v>
      </c>
      <c r="I974" t="s">
        <v>33</v>
      </c>
      <c r="J974">
        <v>63</v>
      </c>
      <c r="K974">
        <v>1661.35</v>
      </c>
      <c r="L974">
        <v>104665.13</v>
      </c>
      <c r="M974">
        <v>60739.16</v>
      </c>
      <c r="N974">
        <v>13162.9</v>
      </c>
      <c r="O974">
        <v>7456.43</v>
      </c>
      <c r="P974">
        <v>3244.17</v>
      </c>
      <c r="Q974">
        <v>1424.19</v>
      </c>
      <c r="R974">
        <v>6762.11</v>
      </c>
      <c r="S974">
        <v>986.13</v>
      </c>
      <c r="T974">
        <v>93775.09</v>
      </c>
      <c r="U974">
        <v>43925.96</v>
      </c>
      <c r="V974">
        <v>10890.04</v>
      </c>
      <c r="W974">
        <v>10189.61</v>
      </c>
      <c r="X974">
        <v>100139.96</v>
      </c>
      <c r="Y974">
        <v>97002.49</v>
      </c>
    </row>
    <row r="975" spans="1:25" x14ac:dyDescent="0.25">
      <c r="A975" t="s">
        <v>1029</v>
      </c>
      <c r="B975" s="1">
        <v>45203</v>
      </c>
      <c r="C975">
        <v>2023</v>
      </c>
      <c r="D975">
        <v>10</v>
      </c>
      <c r="E975" t="s">
        <v>1017</v>
      </c>
      <c r="F975" t="s">
        <v>1018</v>
      </c>
      <c r="G975" t="s">
        <v>55</v>
      </c>
      <c r="H975" t="s">
        <v>32</v>
      </c>
      <c r="I975" t="s">
        <v>65</v>
      </c>
      <c r="J975">
        <v>79</v>
      </c>
      <c r="K975">
        <v>826.01</v>
      </c>
      <c r="L975">
        <v>65255.17</v>
      </c>
      <c r="M975">
        <v>36538.67</v>
      </c>
      <c r="N975">
        <v>8481.99</v>
      </c>
      <c r="O975">
        <v>4479.1000000000004</v>
      </c>
      <c r="P975">
        <v>2637.36</v>
      </c>
      <c r="Q975">
        <v>638.91</v>
      </c>
      <c r="R975">
        <v>4053.16</v>
      </c>
      <c r="S975">
        <v>1503.37</v>
      </c>
      <c r="T975">
        <v>58332.54</v>
      </c>
      <c r="U975">
        <v>28716.51</v>
      </c>
      <c r="V975">
        <v>6922.64</v>
      </c>
      <c r="W975">
        <v>6210.09</v>
      </c>
      <c r="X975">
        <v>64317.8</v>
      </c>
      <c r="Y975">
        <v>54318.29</v>
      </c>
    </row>
    <row r="976" spans="1:25" x14ac:dyDescent="0.25">
      <c r="A976" t="s">
        <v>1030</v>
      </c>
      <c r="B976" s="1">
        <v>45203</v>
      </c>
      <c r="C976">
        <v>2023</v>
      </c>
      <c r="D976">
        <v>10</v>
      </c>
      <c r="E976" t="s">
        <v>1017</v>
      </c>
      <c r="F976" t="s">
        <v>1018</v>
      </c>
      <c r="G976" t="s">
        <v>55</v>
      </c>
      <c r="H976" t="s">
        <v>32</v>
      </c>
      <c r="I976" t="s">
        <v>45</v>
      </c>
      <c r="J976">
        <v>78</v>
      </c>
      <c r="K976">
        <v>853.35</v>
      </c>
      <c r="L976">
        <v>66561.05</v>
      </c>
      <c r="M976">
        <v>38599.910000000003</v>
      </c>
      <c r="N976">
        <v>5081.54</v>
      </c>
      <c r="O976">
        <v>1994.28</v>
      </c>
      <c r="P976">
        <v>2191.73</v>
      </c>
      <c r="Q976">
        <v>744.98</v>
      </c>
      <c r="R976">
        <v>2861.56</v>
      </c>
      <c r="S976">
        <v>1652.82</v>
      </c>
      <c r="T976">
        <v>53126.82</v>
      </c>
      <c r="U976">
        <v>27961.14</v>
      </c>
      <c r="V976">
        <v>13434.23</v>
      </c>
      <c r="W976">
        <v>12499.4</v>
      </c>
      <c r="X976">
        <v>63649.26</v>
      </c>
      <c r="Y976">
        <v>53385.29</v>
      </c>
    </row>
    <row r="977" spans="1:25" x14ac:dyDescent="0.25">
      <c r="A977" t="s">
        <v>1031</v>
      </c>
      <c r="B977" s="1">
        <v>45203</v>
      </c>
      <c r="C977">
        <v>2023</v>
      </c>
      <c r="D977">
        <v>10</v>
      </c>
      <c r="E977" t="s">
        <v>1017</v>
      </c>
      <c r="F977" t="s">
        <v>1018</v>
      </c>
      <c r="G977" t="s">
        <v>44</v>
      </c>
      <c r="H977" t="s">
        <v>36</v>
      </c>
      <c r="I977" t="s">
        <v>56</v>
      </c>
      <c r="J977">
        <v>35</v>
      </c>
      <c r="K977">
        <v>839.58</v>
      </c>
      <c r="L977">
        <v>29385.29</v>
      </c>
      <c r="M977">
        <v>17275.61</v>
      </c>
      <c r="N977">
        <v>2558.62</v>
      </c>
      <c r="O977">
        <v>1381.22</v>
      </c>
      <c r="P977">
        <v>516.97</v>
      </c>
      <c r="Q977">
        <v>355.54</v>
      </c>
      <c r="R977">
        <v>947.43</v>
      </c>
      <c r="S977">
        <v>361.76</v>
      </c>
      <c r="T977">
        <v>23397.14</v>
      </c>
      <c r="U977">
        <v>12109.69</v>
      </c>
      <c r="V977">
        <v>5988.15</v>
      </c>
      <c r="W977">
        <v>5544.27</v>
      </c>
      <c r="X977">
        <v>32420.58</v>
      </c>
      <c r="Y977">
        <v>24283.27</v>
      </c>
    </row>
    <row r="978" spans="1:25" x14ac:dyDescent="0.25">
      <c r="A978" t="s">
        <v>1032</v>
      </c>
      <c r="B978" s="1">
        <v>45203</v>
      </c>
      <c r="C978">
        <v>2023</v>
      </c>
      <c r="D978">
        <v>10</v>
      </c>
      <c r="E978" t="s">
        <v>1017</v>
      </c>
      <c r="F978" t="s">
        <v>1018</v>
      </c>
      <c r="G978" t="s">
        <v>44</v>
      </c>
      <c r="H978" t="s">
        <v>53</v>
      </c>
      <c r="I978" t="s">
        <v>39</v>
      </c>
      <c r="J978">
        <v>33</v>
      </c>
      <c r="K978">
        <v>1029.1300000000001</v>
      </c>
      <c r="L978">
        <v>33961.26</v>
      </c>
      <c r="M978">
        <v>22239.02</v>
      </c>
      <c r="N978">
        <v>3264.13</v>
      </c>
      <c r="O978">
        <v>1153.68</v>
      </c>
      <c r="P978">
        <v>622.96</v>
      </c>
      <c r="Q978">
        <v>420.31</v>
      </c>
      <c r="R978">
        <v>1660.11</v>
      </c>
      <c r="S978">
        <v>594.96</v>
      </c>
      <c r="T978">
        <v>29955.15</v>
      </c>
      <c r="U978">
        <v>11722.24</v>
      </c>
      <c r="V978">
        <v>4006.1</v>
      </c>
      <c r="W978">
        <v>3787.54</v>
      </c>
      <c r="X978">
        <v>34254.089999999997</v>
      </c>
      <c r="Y978">
        <v>30861.64</v>
      </c>
    </row>
    <row r="979" spans="1:25" x14ac:dyDescent="0.25">
      <c r="A979" t="s">
        <v>1033</v>
      </c>
      <c r="B979" s="1">
        <v>45203</v>
      </c>
      <c r="C979">
        <v>2023</v>
      </c>
      <c r="D979">
        <v>10</v>
      </c>
      <c r="E979" t="s">
        <v>1017</v>
      </c>
      <c r="F979" t="s">
        <v>1018</v>
      </c>
      <c r="G979" t="s">
        <v>35</v>
      </c>
      <c r="H979" t="s">
        <v>36</v>
      </c>
      <c r="I979" t="s">
        <v>33</v>
      </c>
      <c r="J979">
        <v>48</v>
      </c>
      <c r="K979">
        <v>1262.6500000000001</v>
      </c>
      <c r="L979">
        <v>60607.15</v>
      </c>
      <c r="M979">
        <v>33014.379999999997</v>
      </c>
      <c r="N979">
        <v>6162.65</v>
      </c>
      <c r="O979">
        <v>3394.24</v>
      </c>
      <c r="P979">
        <v>2608.48</v>
      </c>
      <c r="Q979">
        <v>404.46</v>
      </c>
      <c r="R979">
        <v>3292.56</v>
      </c>
      <c r="S979">
        <v>1166.23</v>
      </c>
      <c r="T979">
        <v>50042.99</v>
      </c>
      <c r="U979">
        <v>27592.77</v>
      </c>
      <c r="V979">
        <v>10564.17</v>
      </c>
      <c r="W979">
        <v>9516.7199999999993</v>
      </c>
      <c r="X979">
        <v>62812.53</v>
      </c>
      <c r="Y979">
        <v>51365.97</v>
      </c>
    </row>
    <row r="980" spans="1:25" x14ac:dyDescent="0.25">
      <c r="A980" t="s">
        <v>1034</v>
      </c>
      <c r="B980" s="1">
        <v>45203</v>
      </c>
      <c r="C980">
        <v>2023</v>
      </c>
      <c r="D980">
        <v>10</v>
      </c>
      <c r="E980" t="s">
        <v>1017</v>
      </c>
      <c r="F980" t="s">
        <v>1018</v>
      </c>
      <c r="G980" t="s">
        <v>55</v>
      </c>
      <c r="H980" t="s">
        <v>36</v>
      </c>
      <c r="I980" t="s">
        <v>56</v>
      </c>
      <c r="J980">
        <v>36</v>
      </c>
      <c r="K980">
        <v>1108.25</v>
      </c>
      <c r="L980">
        <v>39896.870000000003</v>
      </c>
      <c r="M980">
        <v>22412.71</v>
      </c>
      <c r="N980">
        <v>4179.66</v>
      </c>
      <c r="O980">
        <v>2185.73</v>
      </c>
      <c r="P980">
        <v>1381.37</v>
      </c>
      <c r="Q980">
        <v>219.48</v>
      </c>
      <c r="R980">
        <v>1058.94</v>
      </c>
      <c r="S980">
        <v>947.22</v>
      </c>
      <c r="T980">
        <v>32385.11</v>
      </c>
      <c r="U980">
        <v>17484.16</v>
      </c>
      <c r="V980">
        <v>7511.77</v>
      </c>
      <c r="W980">
        <v>7023.45</v>
      </c>
      <c r="X980">
        <v>44290.98</v>
      </c>
      <c r="Y980">
        <v>34770.71</v>
      </c>
    </row>
    <row r="981" spans="1:25" x14ac:dyDescent="0.25">
      <c r="A981" t="s">
        <v>1035</v>
      </c>
      <c r="B981" s="1">
        <v>45203</v>
      </c>
      <c r="C981">
        <v>2023</v>
      </c>
      <c r="D981">
        <v>10</v>
      </c>
      <c r="E981" t="s">
        <v>1017</v>
      </c>
      <c r="F981" t="s">
        <v>1018</v>
      </c>
      <c r="G981" t="s">
        <v>28</v>
      </c>
      <c r="H981" t="s">
        <v>32</v>
      </c>
      <c r="I981" t="s">
        <v>30</v>
      </c>
      <c r="J981">
        <v>69</v>
      </c>
      <c r="K981">
        <v>1748.04</v>
      </c>
      <c r="L981">
        <v>120614.99</v>
      </c>
      <c r="M981">
        <v>75969.55</v>
      </c>
      <c r="N981">
        <v>12736.27</v>
      </c>
      <c r="O981">
        <v>6046.32</v>
      </c>
      <c r="P981">
        <v>4441.8999999999996</v>
      </c>
      <c r="Q981">
        <v>1065.73</v>
      </c>
      <c r="R981">
        <v>4943.6499999999996</v>
      </c>
      <c r="S981">
        <v>2758.34</v>
      </c>
      <c r="T981">
        <v>107961.74</v>
      </c>
      <c r="U981">
        <v>44645.440000000002</v>
      </c>
      <c r="V981">
        <v>12653.25</v>
      </c>
      <c r="W981">
        <v>12677.5</v>
      </c>
      <c r="X981">
        <v>127819.72</v>
      </c>
      <c r="Y981">
        <v>103138.3</v>
      </c>
    </row>
    <row r="982" spans="1:25" x14ac:dyDescent="0.25">
      <c r="A982" t="s">
        <v>1036</v>
      </c>
      <c r="B982" s="1">
        <v>45203</v>
      </c>
      <c r="C982">
        <v>2023</v>
      </c>
      <c r="D982">
        <v>10</v>
      </c>
      <c r="E982" t="s">
        <v>1017</v>
      </c>
      <c r="F982" t="s">
        <v>1018</v>
      </c>
      <c r="G982" t="s">
        <v>44</v>
      </c>
      <c r="H982" t="s">
        <v>32</v>
      </c>
      <c r="I982" t="s">
        <v>33</v>
      </c>
      <c r="J982">
        <v>54</v>
      </c>
      <c r="K982">
        <v>1260.95</v>
      </c>
      <c r="L982">
        <v>68091.350000000006</v>
      </c>
      <c r="M982">
        <v>40259.75</v>
      </c>
      <c r="N982">
        <v>7953.15</v>
      </c>
      <c r="O982">
        <v>3691.45</v>
      </c>
      <c r="P982">
        <v>2596.6999999999998</v>
      </c>
      <c r="Q982">
        <v>498.78</v>
      </c>
      <c r="R982">
        <v>1878.89</v>
      </c>
      <c r="S982">
        <v>1259.8</v>
      </c>
      <c r="T982">
        <v>58138.53</v>
      </c>
      <c r="U982">
        <v>27831.61</v>
      </c>
      <c r="V982">
        <v>9952.82</v>
      </c>
      <c r="W982">
        <v>9719.48</v>
      </c>
      <c r="X982">
        <v>65364.93</v>
      </c>
      <c r="Y982">
        <v>57254.23</v>
      </c>
    </row>
    <row r="983" spans="1:25" x14ac:dyDescent="0.25">
      <c r="A983" t="s">
        <v>1037</v>
      </c>
      <c r="B983" s="1">
        <v>45204</v>
      </c>
      <c r="C983">
        <v>2023</v>
      </c>
      <c r="D983">
        <v>10</v>
      </c>
      <c r="E983" t="s">
        <v>1017</v>
      </c>
      <c r="F983" t="s">
        <v>1018</v>
      </c>
      <c r="G983" t="s">
        <v>55</v>
      </c>
      <c r="H983" t="s">
        <v>29</v>
      </c>
      <c r="I983" t="s">
        <v>45</v>
      </c>
      <c r="J983">
        <v>79</v>
      </c>
      <c r="K983">
        <v>826.61</v>
      </c>
      <c r="L983">
        <v>65302.44</v>
      </c>
      <c r="M983">
        <v>37579.78</v>
      </c>
      <c r="N983">
        <v>5503.74</v>
      </c>
      <c r="O983">
        <v>2551.29</v>
      </c>
      <c r="P983">
        <v>1514.99</v>
      </c>
      <c r="Q983">
        <v>460.78</v>
      </c>
      <c r="R983">
        <v>2196.75</v>
      </c>
      <c r="S983">
        <v>1223.81</v>
      </c>
      <c r="T983">
        <v>51031.15</v>
      </c>
      <c r="U983">
        <v>27722.66</v>
      </c>
      <c r="V983">
        <v>14271.29</v>
      </c>
      <c r="W983">
        <v>13759.78</v>
      </c>
      <c r="X983">
        <v>70943.710000000006</v>
      </c>
      <c r="Y983">
        <v>53729.04</v>
      </c>
    </row>
    <row r="984" spans="1:25" x14ac:dyDescent="0.25">
      <c r="A984" t="s">
        <v>1038</v>
      </c>
      <c r="B984" s="1">
        <v>45204</v>
      </c>
      <c r="C984">
        <v>2023</v>
      </c>
      <c r="D984">
        <v>10</v>
      </c>
      <c r="E984" t="s">
        <v>1017</v>
      </c>
      <c r="F984" t="s">
        <v>1018</v>
      </c>
      <c r="G984" t="s">
        <v>28</v>
      </c>
      <c r="H984" t="s">
        <v>32</v>
      </c>
      <c r="I984" t="s">
        <v>30</v>
      </c>
      <c r="J984">
        <v>128</v>
      </c>
      <c r="K984">
        <v>909.39</v>
      </c>
      <c r="L984">
        <v>116401.96</v>
      </c>
      <c r="M984">
        <v>62775.86</v>
      </c>
      <c r="N984">
        <v>13525.27</v>
      </c>
      <c r="O984">
        <v>4923.6499999999996</v>
      </c>
      <c r="P984">
        <v>3717.17</v>
      </c>
      <c r="Q984">
        <v>667.07</v>
      </c>
      <c r="R984">
        <v>5478.18</v>
      </c>
      <c r="S984">
        <v>1546.94</v>
      </c>
      <c r="T984">
        <v>92634.15</v>
      </c>
      <c r="U984">
        <v>53626.1</v>
      </c>
      <c r="V984">
        <v>23767.81</v>
      </c>
      <c r="W984">
        <v>23870.32</v>
      </c>
      <c r="X984">
        <v>122164.95</v>
      </c>
      <c r="Y984">
        <v>92673.76</v>
      </c>
    </row>
    <row r="985" spans="1:25" x14ac:dyDescent="0.25">
      <c r="A985" t="s">
        <v>1039</v>
      </c>
      <c r="B985" s="1">
        <v>45204</v>
      </c>
      <c r="C985">
        <v>2023</v>
      </c>
      <c r="D985">
        <v>10</v>
      </c>
      <c r="E985" t="s">
        <v>1017</v>
      </c>
      <c r="F985" t="s">
        <v>1018</v>
      </c>
      <c r="G985" t="s">
        <v>35</v>
      </c>
      <c r="H985" t="s">
        <v>32</v>
      </c>
      <c r="I985" t="s">
        <v>45</v>
      </c>
      <c r="J985">
        <v>35</v>
      </c>
      <c r="K985">
        <v>1542.1</v>
      </c>
      <c r="L985">
        <v>53973.38</v>
      </c>
      <c r="M985">
        <v>31320.07</v>
      </c>
      <c r="N985">
        <v>6152.01</v>
      </c>
      <c r="O985">
        <v>2880.74</v>
      </c>
      <c r="P985">
        <v>1487.07</v>
      </c>
      <c r="Q985">
        <v>685.38</v>
      </c>
      <c r="R985">
        <v>2471.2399999999998</v>
      </c>
      <c r="S985">
        <v>1157.8900000000001</v>
      </c>
      <c r="T985">
        <v>46154.400000000001</v>
      </c>
      <c r="U985">
        <v>22653.3</v>
      </c>
      <c r="V985">
        <v>7818.97</v>
      </c>
      <c r="W985">
        <v>7806.91</v>
      </c>
      <c r="X985">
        <v>50104.98</v>
      </c>
      <c r="Y985">
        <v>49629.68</v>
      </c>
    </row>
    <row r="986" spans="1:25" x14ac:dyDescent="0.25">
      <c r="A986" t="s">
        <v>1040</v>
      </c>
      <c r="B986" s="1">
        <v>45205</v>
      </c>
      <c r="C986">
        <v>2023</v>
      </c>
      <c r="D986">
        <v>10</v>
      </c>
      <c r="E986" t="s">
        <v>1017</v>
      </c>
      <c r="F986" t="s">
        <v>1018</v>
      </c>
      <c r="G986" t="s">
        <v>55</v>
      </c>
      <c r="H986" t="s">
        <v>36</v>
      </c>
      <c r="I986" t="s">
        <v>50</v>
      </c>
      <c r="J986">
        <v>37</v>
      </c>
      <c r="K986">
        <v>1785.8</v>
      </c>
      <c r="L986">
        <v>66074.77</v>
      </c>
      <c r="M986">
        <v>40536.86</v>
      </c>
      <c r="N986">
        <v>5309.21</v>
      </c>
      <c r="O986">
        <v>4598.9799999999996</v>
      </c>
      <c r="P986">
        <v>1631.17</v>
      </c>
      <c r="Q986">
        <v>567.62</v>
      </c>
      <c r="R986">
        <v>2765.24</v>
      </c>
      <c r="S986">
        <v>1415.78</v>
      </c>
      <c r="T986">
        <v>56824.85</v>
      </c>
      <c r="U986">
        <v>25537.91</v>
      </c>
      <c r="V986">
        <v>9249.92</v>
      </c>
      <c r="W986">
        <v>9433.33</v>
      </c>
      <c r="X986">
        <v>66159.08</v>
      </c>
      <c r="Y986">
        <v>53592.76</v>
      </c>
    </row>
    <row r="987" spans="1:25" x14ac:dyDescent="0.25">
      <c r="A987" t="s">
        <v>1041</v>
      </c>
      <c r="B987" s="1">
        <v>45205</v>
      </c>
      <c r="C987">
        <v>2023</v>
      </c>
      <c r="D987">
        <v>10</v>
      </c>
      <c r="E987" t="s">
        <v>1017</v>
      </c>
      <c r="F987" t="s">
        <v>1018</v>
      </c>
      <c r="G987" t="s">
        <v>28</v>
      </c>
      <c r="H987" t="s">
        <v>53</v>
      </c>
      <c r="I987" t="s">
        <v>45</v>
      </c>
      <c r="J987">
        <v>39</v>
      </c>
      <c r="K987">
        <v>909.54</v>
      </c>
      <c r="L987">
        <v>35472.01</v>
      </c>
      <c r="M987">
        <v>23609.85</v>
      </c>
      <c r="N987">
        <v>3674.12</v>
      </c>
      <c r="O987">
        <v>1606.69</v>
      </c>
      <c r="P987">
        <v>1423.29</v>
      </c>
      <c r="Q987">
        <v>610.24</v>
      </c>
      <c r="R987">
        <v>1507.6</v>
      </c>
      <c r="S987">
        <v>306.83999999999997</v>
      </c>
      <c r="T987">
        <v>32738.62</v>
      </c>
      <c r="U987">
        <v>11862.17</v>
      </c>
      <c r="V987">
        <v>2733.39</v>
      </c>
      <c r="W987">
        <v>2559.4699999999998</v>
      </c>
      <c r="X987">
        <v>36035.31</v>
      </c>
      <c r="Y987">
        <v>31927.16</v>
      </c>
    </row>
    <row r="988" spans="1:25" x14ac:dyDescent="0.25">
      <c r="A988" t="s">
        <v>1042</v>
      </c>
      <c r="B988" s="1">
        <v>45205</v>
      </c>
      <c r="C988">
        <v>2023</v>
      </c>
      <c r="D988">
        <v>10</v>
      </c>
      <c r="E988" t="s">
        <v>1017</v>
      </c>
      <c r="F988" t="s">
        <v>1018</v>
      </c>
      <c r="G988" t="s">
        <v>44</v>
      </c>
      <c r="H988" t="s">
        <v>29</v>
      </c>
      <c r="I988" t="s">
        <v>45</v>
      </c>
      <c r="J988">
        <v>33</v>
      </c>
      <c r="K988">
        <v>1327.53</v>
      </c>
      <c r="L988">
        <v>43808.46</v>
      </c>
      <c r="M988">
        <v>22785.75</v>
      </c>
      <c r="N988">
        <v>4659.59</v>
      </c>
      <c r="O988">
        <v>2681.23</v>
      </c>
      <c r="P988">
        <v>1827.92</v>
      </c>
      <c r="Q988">
        <v>711.48</v>
      </c>
      <c r="R988">
        <v>2541.15</v>
      </c>
      <c r="S988">
        <v>889.71</v>
      </c>
      <c r="T988">
        <v>36096.83</v>
      </c>
      <c r="U988">
        <v>21022.7</v>
      </c>
      <c r="V988">
        <v>7711.62</v>
      </c>
      <c r="W988">
        <v>7774.78</v>
      </c>
      <c r="X988">
        <v>41699.19</v>
      </c>
      <c r="Y988">
        <v>34235.519999999997</v>
      </c>
    </row>
    <row r="989" spans="1:25" x14ac:dyDescent="0.25">
      <c r="A989" t="s">
        <v>1043</v>
      </c>
      <c r="B989" s="1">
        <v>45206</v>
      </c>
      <c r="C989">
        <v>2023</v>
      </c>
      <c r="D989">
        <v>10</v>
      </c>
      <c r="E989" t="s">
        <v>1017</v>
      </c>
      <c r="F989" t="s">
        <v>1018</v>
      </c>
      <c r="G989" t="s">
        <v>55</v>
      </c>
      <c r="H989" t="s">
        <v>36</v>
      </c>
      <c r="I989" t="s">
        <v>56</v>
      </c>
      <c r="J989">
        <v>40</v>
      </c>
      <c r="K989">
        <v>1009.57</v>
      </c>
      <c r="L989">
        <v>40382.81</v>
      </c>
      <c r="M989">
        <v>22731.8</v>
      </c>
      <c r="N989">
        <v>4407.18</v>
      </c>
      <c r="O989">
        <v>2810.38</v>
      </c>
      <c r="P989">
        <v>1458.15</v>
      </c>
      <c r="Q989">
        <v>321.39</v>
      </c>
      <c r="R989">
        <v>2270.08</v>
      </c>
      <c r="S989">
        <v>823.41</v>
      </c>
      <c r="T989">
        <v>34822.39</v>
      </c>
      <c r="U989">
        <v>17651.02</v>
      </c>
      <c r="V989">
        <v>5560.43</v>
      </c>
      <c r="W989">
        <v>5418.65</v>
      </c>
      <c r="X989">
        <v>40456.22</v>
      </c>
      <c r="Y989">
        <v>34787.839999999997</v>
      </c>
    </row>
    <row r="990" spans="1:25" x14ac:dyDescent="0.25">
      <c r="A990" t="s">
        <v>1044</v>
      </c>
      <c r="B990" s="1">
        <v>45206</v>
      </c>
      <c r="C990">
        <v>2023</v>
      </c>
      <c r="D990">
        <v>10</v>
      </c>
      <c r="E990" t="s">
        <v>1017</v>
      </c>
      <c r="F990" t="s">
        <v>1018</v>
      </c>
      <c r="G990" t="s">
        <v>55</v>
      </c>
      <c r="H990" t="s">
        <v>29</v>
      </c>
      <c r="I990" t="s">
        <v>45</v>
      </c>
      <c r="J990">
        <v>61</v>
      </c>
      <c r="K990">
        <v>926.32</v>
      </c>
      <c r="L990">
        <v>56505.36</v>
      </c>
      <c r="M990">
        <v>28114.07</v>
      </c>
      <c r="N990">
        <v>4557.3900000000003</v>
      </c>
      <c r="O990">
        <v>2018.14</v>
      </c>
      <c r="P990">
        <v>1457.99</v>
      </c>
      <c r="Q990">
        <v>470.89</v>
      </c>
      <c r="R990">
        <v>2388.54</v>
      </c>
      <c r="S990">
        <v>575.37</v>
      </c>
      <c r="T990">
        <v>39582.379999999997</v>
      </c>
      <c r="U990">
        <v>28391.29</v>
      </c>
      <c r="V990">
        <v>16922.98</v>
      </c>
      <c r="W990">
        <v>16431.36</v>
      </c>
      <c r="X990">
        <v>54087.01</v>
      </c>
      <c r="Y990">
        <v>39224.080000000002</v>
      </c>
    </row>
    <row r="991" spans="1:25" x14ac:dyDescent="0.25">
      <c r="A991" t="s">
        <v>1045</v>
      </c>
      <c r="B991" s="1">
        <v>45207</v>
      </c>
      <c r="C991">
        <v>2023</v>
      </c>
      <c r="D991">
        <v>10</v>
      </c>
      <c r="E991" t="s">
        <v>1017</v>
      </c>
      <c r="F991" t="s">
        <v>1018</v>
      </c>
      <c r="G991" t="s">
        <v>35</v>
      </c>
      <c r="H991" t="s">
        <v>29</v>
      </c>
      <c r="I991" t="s">
        <v>56</v>
      </c>
      <c r="J991">
        <v>23</v>
      </c>
      <c r="K991">
        <v>1511.33</v>
      </c>
      <c r="L991">
        <v>34760.58</v>
      </c>
      <c r="M991">
        <v>22878.38</v>
      </c>
      <c r="N991">
        <v>4311.88</v>
      </c>
      <c r="O991">
        <v>1993.76</v>
      </c>
      <c r="P991">
        <v>628.14</v>
      </c>
      <c r="Q991">
        <v>404.38</v>
      </c>
      <c r="R991">
        <v>1431.73</v>
      </c>
      <c r="S991">
        <v>822.34</v>
      </c>
      <c r="T991">
        <v>32470.6</v>
      </c>
      <c r="U991">
        <v>11882.2</v>
      </c>
      <c r="V991">
        <v>2289.9699999999998</v>
      </c>
      <c r="W991">
        <v>2031.53</v>
      </c>
      <c r="X991">
        <v>34987.61</v>
      </c>
      <c r="Y991">
        <v>31478.22</v>
      </c>
    </row>
    <row r="992" spans="1:25" x14ac:dyDescent="0.25">
      <c r="A992" t="s">
        <v>1046</v>
      </c>
      <c r="B992" s="1">
        <v>45207</v>
      </c>
      <c r="C992">
        <v>2023</v>
      </c>
      <c r="D992">
        <v>10</v>
      </c>
      <c r="E992" t="s">
        <v>1017</v>
      </c>
      <c r="F992" t="s">
        <v>1018</v>
      </c>
      <c r="G992" t="s">
        <v>55</v>
      </c>
      <c r="H992" t="s">
        <v>32</v>
      </c>
      <c r="I992" t="s">
        <v>37</v>
      </c>
      <c r="J992">
        <v>58</v>
      </c>
      <c r="K992">
        <v>1608.25</v>
      </c>
      <c r="L992">
        <v>93278.21</v>
      </c>
      <c r="M992">
        <v>56007.97</v>
      </c>
      <c r="N992">
        <v>10338.790000000001</v>
      </c>
      <c r="O992">
        <v>2576.85</v>
      </c>
      <c r="P992">
        <v>3837.17</v>
      </c>
      <c r="Q992">
        <v>1414.96</v>
      </c>
      <c r="R992">
        <v>2805.09</v>
      </c>
      <c r="S992">
        <v>1245.03</v>
      </c>
      <c r="T992">
        <v>78225.86</v>
      </c>
      <c r="U992">
        <v>37270.239999999998</v>
      </c>
      <c r="V992">
        <v>15052.35</v>
      </c>
      <c r="W992">
        <v>13807.7</v>
      </c>
      <c r="X992">
        <v>95697.86</v>
      </c>
      <c r="Y992">
        <v>80987.17</v>
      </c>
    </row>
    <row r="993" spans="1:25" x14ac:dyDescent="0.25">
      <c r="A993" t="s">
        <v>1047</v>
      </c>
      <c r="B993" s="1">
        <v>45208</v>
      </c>
      <c r="C993">
        <v>2023</v>
      </c>
      <c r="D993">
        <v>10</v>
      </c>
      <c r="E993" t="s">
        <v>1017</v>
      </c>
      <c r="F993" t="s">
        <v>1018</v>
      </c>
      <c r="G993" t="s">
        <v>55</v>
      </c>
      <c r="H993" t="s">
        <v>29</v>
      </c>
      <c r="I993" t="s">
        <v>56</v>
      </c>
      <c r="J993">
        <v>42</v>
      </c>
      <c r="K993">
        <v>861.03</v>
      </c>
      <c r="L993">
        <v>36163.32</v>
      </c>
      <c r="M993">
        <v>18538.03</v>
      </c>
      <c r="N993">
        <v>3593.64</v>
      </c>
      <c r="O993">
        <v>1376.14</v>
      </c>
      <c r="P993">
        <v>1225.52</v>
      </c>
      <c r="Q993">
        <v>320.91000000000003</v>
      </c>
      <c r="R993">
        <v>1423.96</v>
      </c>
      <c r="S993">
        <v>891.31</v>
      </c>
      <c r="T993">
        <v>27369.5</v>
      </c>
      <c r="U993">
        <v>17625.29</v>
      </c>
      <c r="V993">
        <v>8793.82</v>
      </c>
      <c r="W993">
        <v>7916.73</v>
      </c>
      <c r="X993">
        <v>34275.96</v>
      </c>
      <c r="Y993">
        <v>29656.12</v>
      </c>
    </row>
    <row r="994" spans="1:25" x14ac:dyDescent="0.25">
      <c r="A994" t="s">
        <v>1048</v>
      </c>
      <c r="B994" s="1">
        <v>45208</v>
      </c>
      <c r="C994">
        <v>2023</v>
      </c>
      <c r="D994">
        <v>10</v>
      </c>
      <c r="E994" t="s">
        <v>1017</v>
      </c>
      <c r="F994" t="s">
        <v>1018</v>
      </c>
      <c r="G994" t="s">
        <v>55</v>
      </c>
      <c r="H994" t="s">
        <v>36</v>
      </c>
      <c r="I994" t="s">
        <v>45</v>
      </c>
      <c r="J994">
        <v>28</v>
      </c>
      <c r="K994">
        <v>1294.8399999999999</v>
      </c>
      <c r="L994">
        <v>36255.56</v>
      </c>
      <c r="M994">
        <v>22662.45</v>
      </c>
      <c r="N994">
        <v>3765.08</v>
      </c>
      <c r="O994">
        <v>1373.66</v>
      </c>
      <c r="P994">
        <v>1446.93</v>
      </c>
      <c r="Q994">
        <v>383.92</v>
      </c>
      <c r="R994">
        <v>1599.8</v>
      </c>
      <c r="S994">
        <v>842.99</v>
      </c>
      <c r="T994">
        <v>32074.83</v>
      </c>
      <c r="U994">
        <v>13593.11</v>
      </c>
      <c r="V994">
        <v>4180.72</v>
      </c>
      <c r="W994">
        <v>3739.65</v>
      </c>
      <c r="X994">
        <v>35732.92</v>
      </c>
      <c r="Y994">
        <v>31730.23</v>
      </c>
    </row>
    <row r="995" spans="1:25" x14ac:dyDescent="0.25">
      <c r="A995" t="s">
        <v>1049</v>
      </c>
      <c r="B995" s="1">
        <v>45209</v>
      </c>
      <c r="C995">
        <v>2023</v>
      </c>
      <c r="D995">
        <v>10</v>
      </c>
      <c r="E995" t="s">
        <v>1017</v>
      </c>
      <c r="F995" t="s">
        <v>1018</v>
      </c>
      <c r="G995" t="s">
        <v>44</v>
      </c>
      <c r="H995" t="s">
        <v>58</v>
      </c>
      <c r="I995" t="s">
        <v>45</v>
      </c>
      <c r="J995">
        <v>34</v>
      </c>
      <c r="K995">
        <v>1360.41</v>
      </c>
      <c r="L995">
        <v>46253.86</v>
      </c>
      <c r="M995">
        <v>29609.06</v>
      </c>
      <c r="N995">
        <v>4945.63</v>
      </c>
      <c r="O995">
        <v>2152.86</v>
      </c>
      <c r="P995">
        <v>1082.3</v>
      </c>
      <c r="Q995">
        <v>448.5</v>
      </c>
      <c r="R995">
        <v>1668.23</v>
      </c>
      <c r="S995">
        <v>520.39</v>
      </c>
      <c r="T995">
        <v>40426.959999999999</v>
      </c>
      <c r="U995">
        <v>16644.8</v>
      </c>
      <c r="V995">
        <v>5826.9</v>
      </c>
      <c r="W995">
        <v>5329.95</v>
      </c>
      <c r="X995">
        <v>42874.94</v>
      </c>
      <c r="Y995">
        <v>42918.37</v>
      </c>
    </row>
    <row r="996" spans="1:25" x14ac:dyDescent="0.25">
      <c r="A996" t="s">
        <v>1050</v>
      </c>
      <c r="B996" s="1">
        <v>45209</v>
      </c>
      <c r="C996">
        <v>2023</v>
      </c>
      <c r="D996">
        <v>10</v>
      </c>
      <c r="E996" t="s">
        <v>1017</v>
      </c>
      <c r="F996" t="s">
        <v>1018</v>
      </c>
      <c r="G996" t="s">
        <v>35</v>
      </c>
      <c r="H996" t="s">
        <v>32</v>
      </c>
      <c r="I996" t="s">
        <v>65</v>
      </c>
      <c r="J996">
        <v>57</v>
      </c>
      <c r="K996">
        <v>1286.29</v>
      </c>
      <c r="L996">
        <v>73318.66</v>
      </c>
      <c r="M996">
        <v>44839.53</v>
      </c>
      <c r="N996">
        <v>8010.82</v>
      </c>
      <c r="O996">
        <v>2380.46</v>
      </c>
      <c r="P996">
        <v>3280.66</v>
      </c>
      <c r="Q996">
        <v>1039.8599999999999</v>
      </c>
      <c r="R996">
        <v>2643.84</v>
      </c>
      <c r="S996">
        <v>1088.73</v>
      </c>
      <c r="T996">
        <v>63283.89</v>
      </c>
      <c r="U996">
        <v>28479.13</v>
      </c>
      <c r="V996">
        <v>10034.76</v>
      </c>
      <c r="W996">
        <v>9905.81</v>
      </c>
      <c r="X996">
        <v>81422.09</v>
      </c>
      <c r="Y996">
        <v>66551.929999999993</v>
      </c>
    </row>
    <row r="997" spans="1:25" x14ac:dyDescent="0.25">
      <c r="A997" t="s">
        <v>1051</v>
      </c>
      <c r="B997" s="1">
        <v>45209</v>
      </c>
      <c r="C997">
        <v>2023</v>
      </c>
      <c r="D997">
        <v>10</v>
      </c>
      <c r="E997" t="s">
        <v>1017</v>
      </c>
      <c r="F997" t="s">
        <v>1018</v>
      </c>
      <c r="G997" t="s">
        <v>55</v>
      </c>
      <c r="H997" t="s">
        <v>32</v>
      </c>
      <c r="I997" t="s">
        <v>37</v>
      </c>
      <c r="J997">
        <v>61</v>
      </c>
      <c r="K997">
        <v>1252.47</v>
      </c>
      <c r="L997">
        <v>76400.61</v>
      </c>
      <c r="M997">
        <v>50912.66</v>
      </c>
      <c r="N997">
        <v>7649.93</v>
      </c>
      <c r="O997">
        <v>3635.99</v>
      </c>
      <c r="P997">
        <v>1706.99</v>
      </c>
      <c r="Q997">
        <v>1084.02</v>
      </c>
      <c r="R997">
        <v>4710.46</v>
      </c>
      <c r="S997">
        <v>1748.88</v>
      </c>
      <c r="T997">
        <v>71448.94</v>
      </c>
      <c r="U997">
        <v>25487.95</v>
      </c>
      <c r="V997">
        <v>4951.67</v>
      </c>
      <c r="W997">
        <v>4443.17</v>
      </c>
      <c r="X997">
        <v>84403.57</v>
      </c>
      <c r="Y997">
        <v>70596.070000000007</v>
      </c>
    </row>
    <row r="998" spans="1:25" x14ac:dyDescent="0.25">
      <c r="A998" t="s">
        <v>1052</v>
      </c>
      <c r="B998" s="1">
        <v>45209</v>
      </c>
      <c r="C998">
        <v>2023</v>
      </c>
      <c r="D998">
        <v>10</v>
      </c>
      <c r="E998" t="s">
        <v>1017</v>
      </c>
      <c r="F998" t="s">
        <v>1018</v>
      </c>
      <c r="G998" t="s">
        <v>28</v>
      </c>
      <c r="H998" t="s">
        <v>53</v>
      </c>
      <c r="I998" t="s">
        <v>33</v>
      </c>
      <c r="J998">
        <v>56</v>
      </c>
      <c r="K998">
        <v>1218.43</v>
      </c>
      <c r="L998">
        <v>68232.08</v>
      </c>
      <c r="M998">
        <v>39209.21</v>
      </c>
      <c r="N998">
        <v>8098.75</v>
      </c>
      <c r="O998">
        <v>4256.45</v>
      </c>
      <c r="P998">
        <v>1128.24</v>
      </c>
      <c r="Q998">
        <v>1049.54</v>
      </c>
      <c r="R998">
        <v>4384.1899999999996</v>
      </c>
      <c r="S998">
        <v>1288.69</v>
      </c>
      <c r="T998">
        <v>59415.08</v>
      </c>
      <c r="U998">
        <v>29022.87</v>
      </c>
      <c r="V998">
        <v>8817</v>
      </c>
      <c r="W998">
        <v>8459.7800000000007</v>
      </c>
      <c r="X998">
        <v>75193.37</v>
      </c>
      <c r="Y998">
        <v>63622.96</v>
      </c>
    </row>
    <row r="999" spans="1:25" x14ac:dyDescent="0.25">
      <c r="A999" t="s">
        <v>1053</v>
      </c>
      <c r="B999" s="1">
        <v>45209</v>
      </c>
      <c r="C999">
        <v>2023</v>
      </c>
      <c r="D999">
        <v>10</v>
      </c>
      <c r="E999" t="s">
        <v>1017</v>
      </c>
      <c r="F999" t="s">
        <v>1018</v>
      </c>
      <c r="G999" t="s">
        <v>44</v>
      </c>
      <c r="H999" t="s">
        <v>36</v>
      </c>
      <c r="I999" t="s">
        <v>30</v>
      </c>
      <c r="J999">
        <v>91</v>
      </c>
      <c r="K999">
        <v>1147.07</v>
      </c>
      <c r="L999">
        <v>104383.4</v>
      </c>
      <c r="M999">
        <v>50693.72</v>
      </c>
      <c r="N999">
        <v>10357.83</v>
      </c>
      <c r="O999">
        <v>6015.87</v>
      </c>
      <c r="P999">
        <v>1961.44</v>
      </c>
      <c r="Q999">
        <v>1464.97</v>
      </c>
      <c r="R999">
        <v>2914.25</v>
      </c>
      <c r="S999">
        <v>2264.23</v>
      </c>
      <c r="T999">
        <v>75672.31</v>
      </c>
      <c r="U999">
        <v>53689.68</v>
      </c>
      <c r="V999">
        <v>28711.09</v>
      </c>
      <c r="W999">
        <v>25951.9</v>
      </c>
      <c r="X999">
        <v>114833.74</v>
      </c>
      <c r="Y999">
        <v>80239.67</v>
      </c>
    </row>
    <row r="1000" spans="1:25" x14ac:dyDescent="0.25">
      <c r="A1000" t="s">
        <v>1054</v>
      </c>
      <c r="B1000" s="1">
        <v>45210</v>
      </c>
      <c r="C1000">
        <v>2023</v>
      </c>
      <c r="D1000">
        <v>10</v>
      </c>
      <c r="E1000" t="s">
        <v>1017</v>
      </c>
      <c r="F1000" t="s">
        <v>1018</v>
      </c>
      <c r="G1000" t="s">
        <v>55</v>
      </c>
      <c r="H1000" t="s">
        <v>53</v>
      </c>
      <c r="I1000" t="s">
        <v>56</v>
      </c>
      <c r="J1000">
        <v>25</v>
      </c>
      <c r="K1000">
        <v>1359.56</v>
      </c>
      <c r="L1000">
        <v>33988.89</v>
      </c>
      <c r="M1000">
        <v>21966.62</v>
      </c>
      <c r="N1000">
        <v>4142.4399999999996</v>
      </c>
      <c r="O1000">
        <v>1194.3699999999999</v>
      </c>
      <c r="P1000">
        <v>1418.19</v>
      </c>
      <c r="Q1000">
        <v>397.53</v>
      </c>
      <c r="R1000">
        <v>1124.67</v>
      </c>
      <c r="S1000">
        <v>571.71</v>
      </c>
      <c r="T1000">
        <v>30815.52</v>
      </c>
      <c r="U1000">
        <v>12022.27</v>
      </c>
      <c r="V1000">
        <v>3173.36</v>
      </c>
      <c r="W1000">
        <v>3040.03</v>
      </c>
      <c r="X1000">
        <v>36633.82</v>
      </c>
      <c r="Y1000">
        <v>29936.41</v>
      </c>
    </row>
    <row r="1001" spans="1:25" x14ac:dyDescent="0.25">
      <c r="A1001" t="s">
        <v>1055</v>
      </c>
      <c r="B1001" s="1">
        <v>45210</v>
      </c>
      <c r="C1001">
        <v>2023</v>
      </c>
      <c r="D1001">
        <v>10</v>
      </c>
      <c r="E1001" t="s">
        <v>1017</v>
      </c>
      <c r="F1001" t="s">
        <v>1018</v>
      </c>
      <c r="G1001" t="s">
        <v>28</v>
      </c>
      <c r="H1001" t="s">
        <v>36</v>
      </c>
      <c r="I1001" t="s">
        <v>37</v>
      </c>
      <c r="J1001">
        <v>54</v>
      </c>
      <c r="K1001">
        <v>1652.58</v>
      </c>
      <c r="L1001">
        <v>89239.17</v>
      </c>
      <c r="M1001">
        <v>44463.38</v>
      </c>
      <c r="N1001">
        <v>7020.69</v>
      </c>
      <c r="O1001">
        <v>4581.22</v>
      </c>
      <c r="P1001">
        <v>1709.93</v>
      </c>
      <c r="Q1001">
        <v>577.32000000000005</v>
      </c>
      <c r="R1001">
        <v>4200.03</v>
      </c>
      <c r="S1001">
        <v>1519.51</v>
      </c>
      <c r="T1001">
        <v>64072.09</v>
      </c>
      <c r="U1001">
        <v>44775.79</v>
      </c>
      <c r="V1001">
        <v>25167.08</v>
      </c>
      <c r="W1001">
        <v>24888.69</v>
      </c>
      <c r="X1001">
        <v>85872.01</v>
      </c>
      <c r="Y1001">
        <v>61656.07</v>
      </c>
    </row>
    <row r="1002" spans="1:25" x14ac:dyDescent="0.25">
      <c r="A1002" t="s">
        <v>1056</v>
      </c>
      <c r="B1002" s="1">
        <v>45210</v>
      </c>
      <c r="C1002">
        <v>2023</v>
      </c>
      <c r="D1002">
        <v>10</v>
      </c>
      <c r="E1002" t="s">
        <v>1017</v>
      </c>
      <c r="F1002" t="s">
        <v>1018</v>
      </c>
      <c r="G1002" t="s">
        <v>28</v>
      </c>
      <c r="H1002" t="s">
        <v>32</v>
      </c>
      <c r="I1002" t="s">
        <v>56</v>
      </c>
      <c r="J1002">
        <v>33</v>
      </c>
      <c r="K1002">
        <v>1387.27</v>
      </c>
      <c r="L1002">
        <v>45780.02</v>
      </c>
      <c r="M1002">
        <v>26177.17</v>
      </c>
      <c r="N1002">
        <v>3741.42</v>
      </c>
      <c r="O1002">
        <v>2352.62</v>
      </c>
      <c r="P1002">
        <v>1161.81</v>
      </c>
      <c r="Q1002">
        <v>477.21</v>
      </c>
      <c r="R1002">
        <v>1429.83</v>
      </c>
      <c r="S1002">
        <v>1005.73</v>
      </c>
      <c r="T1002">
        <v>36345.79</v>
      </c>
      <c r="U1002">
        <v>19602.849999999999</v>
      </c>
      <c r="V1002">
        <v>9434.23</v>
      </c>
      <c r="W1002">
        <v>8417.2099999999991</v>
      </c>
      <c r="X1002">
        <v>45415.17</v>
      </c>
      <c r="Y1002">
        <v>34222.519999999997</v>
      </c>
    </row>
    <row r="1003" spans="1:25" x14ac:dyDescent="0.25">
      <c r="A1003" t="s">
        <v>1057</v>
      </c>
      <c r="B1003" s="1">
        <v>45211</v>
      </c>
      <c r="C1003">
        <v>2023</v>
      </c>
      <c r="D1003">
        <v>10</v>
      </c>
      <c r="E1003" t="s">
        <v>1017</v>
      </c>
      <c r="F1003" t="s">
        <v>1018</v>
      </c>
      <c r="G1003" t="s">
        <v>44</v>
      </c>
      <c r="H1003" t="s">
        <v>32</v>
      </c>
      <c r="I1003" t="s">
        <v>30</v>
      </c>
      <c r="J1003">
        <v>58</v>
      </c>
      <c r="K1003">
        <v>1332.77</v>
      </c>
      <c r="L1003">
        <v>77300.87</v>
      </c>
      <c r="M1003">
        <v>45857.58</v>
      </c>
      <c r="N1003">
        <v>6425.09</v>
      </c>
      <c r="O1003">
        <v>2758.65</v>
      </c>
      <c r="P1003">
        <v>2547.31</v>
      </c>
      <c r="Q1003">
        <v>1207.46</v>
      </c>
      <c r="R1003">
        <v>3971.15</v>
      </c>
      <c r="S1003">
        <v>1150.28</v>
      </c>
      <c r="T1003">
        <v>63917.51</v>
      </c>
      <c r="U1003">
        <v>31443.3</v>
      </c>
      <c r="V1003">
        <v>13383.36</v>
      </c>
      <c r="W1003">
        <v>13316.05</v>
      </c>
      <c r="X1003">
        <v>72689.63</v>
      </c>
      <c r="Y1003">
        <v>59453.18</v>
      </c>
    </row>
    <row r="1004" spans="1:25" x14ac:dyDescent="0.25">
      <c r="A1004" t="s">
        <v>1058</v>
      </c>
      <c r="B1004" s="1">
        <v>45211</v>
      </c>
      <c r="C1004">
        <v>2023</v>
      </c>
      <c r="D1004">
        <v>10</v>
      </c>
      <c r="E1004" t="s">
        <v>1017</v>
      </c>
      <c r="F1004" t="s">
        <v>1018</v>
      </c>
      <c r="G1004" t="s">
        <v>55</v>
      </c>
      <c r="H1004" t="s">
        <v>36</v>
      </c>
      <c r="I1004" t="s">
        <v>37</v>
      </c>
      <c r="J1004">
        <v>44</v>
      </c>
      <c r="K1004">
        <v>1485.92</v>
      </c>
      <c r="L1004">
        <v>65380.59</v>
      </c>
      <c r="M1004">
        <v>44329.33</v>
      </c>
      <c r="N1004">
        <v>7332.22</v>
      </c>
      <c r="O1004">
        <v>3646.15</v>
      </c>
      <c r="P1004">
        <v>2933.92</v>
      </c>
      <c r="Q1004">
        <v>521.62</v>
      </c>
      <c r="R1004">
        <v>2276.06</v>
      </c>
      <c r="S1004">
        <v>627.33000000000004</v>
      </c>
      <c r="T1004">
        <v>61666.64</v>
      </c>
      <c r="U1004">
        <v>21051.27</v>
      </c>
      <c r="V1004">
        <v>3713.95</v>
      </c>
      <c r="W1004">
        <v>3680.61</v>
      </c>
      <c r="X1004">
        <v>66582.37</v>
      </c>
      <c r="Y1004">
        <v>65423.94</v>
      </c>
    </row>
    <row r="1005" spans="1:25" x14ac:dyDescent="0.25">
      <c r="A1005" t="s">
        <v>1059</v>
      </c>
      <c r="B1005" s="1">
        <v>45211</v>
      </c>
      <c r="C1005">
        <v>2023</v>
      </c>
      <c r="D1005">
        <v>10</v>
      </c>
      <c r="E1005" t="s">
        <v>1017</v>
      </c>
      <c r="F1005" t="s">
        <v>1018</v>
      </c>
      <c r="G1005" t="s">
        <v>55</v>
      </c>
      <c r="H1005" t="s">
        <v>36</v>
      </c>
      <c r="I1005" t="s">
        <v>50</v>
      </c>
      <c r="J1005">
        <v>33</v>
      </c>
      <c r="K1005">
        <v>1775.1</v>
      </c>
      <c r="L1005">
        <v>58578.25</v>
      </c>
      <c r="M1005">
        <v>37590.129999999997</v>
      </c>
      <c r="N1005">
        <v>7444.67</v>
      </c>
      <c r="O1005">
        <v>2991.52</v>
      </c>
      <c r="P1005">
        <v>1425.77</v>
      </c>
      <c r="Q1005">
        <v>326.76</v>
      </c>
      <c r="R1005">
        <v>1471.61</v>
      </c>
      <c r="S1005">
        <v>703.7</v>
      </c>
      <c r="T1005">
        <v>51954.14</v>
      </c>
      <c r="U1005">
        <v>20988.12</v>
      </c>
      <c r="V1005">
        <v>6624.1</v>
      </c>
      <c r="W1005">
        <v>5955.48</v>
      </c>
      <c r="X1005">
        <v>58922.42</v>
      </c>
      <c r="Y1005">
        <v>56722.7</v>
      </c>
    </row>
    <row r="1006" spans="1:25" x14ac:dyDescent="0.25">
      <c r="A1006" t="s">
        <v>1060</v>
      </c>
      <c r="B1006" s="1">
        <v>45211</v>
      </c>
      <c r="C1006">
        <v>2023</v>
      </c>
      <c r="D1006">
        <v>10</v>
      </c>
      <c r="E1006" t="s">
        <v>1017</v>
      </c>
      <c r="F1006" t="s">
        <v>1018</v>
      </c>
      <c r="G1006" t="s">
        <v>35</v>
      </c>
      <c r="H1006" t="s">
        <v>32</v>
      </c>
      <c r="I1006" t="s">
        <v>56</v>
      </c>
      <c r="J1006">
        <v>40</v>
      </c>
      <c r="K1006">
        <v>858.12</v>
      </c>
      <c r="L1006">
        <v>34324.82</v>
      </c>
      <c r="M1006">
        <v>16989.88</v>
      </c>
      <c r="N1006">
        <v>2897.28</v>
      </c>
      <c r="O1006">
        <v>1364.82</v>
      </c>
      <c r="P1006">
        <v>1522.94</v>
      </c>
      <c r="Q1006">
        <v>460.63</v>
      </c>
      <c r="R1006">
        <v>1080.6300000000001</v>
      </c>
      <c r="S1006">
        <v>577.91</v>
      </c>
      <c r="T1006">
        <v>24894.09</v>
      </c>
      <c r="U1006">
        <v>17334.93</v>
      </c>
      <c r="V1006">
        <v>9430.7199999999993</v>
      </c>
      <c r="W1006">
        <v>8868.17</v>
      </c>
      <c r="X1006">
        <v>34841.599999999999</v>
      </c>
      <c r="Y1006">
        <v>26281.99</v>
      </c>
    </row>
    <row r="1007" spans="1:25" x14ac:dyDescent="0.25">
      <c r="A1007" t="s">
        <v>1061</v>
      </c>
      <c r="B1007" s="1">
        <v>45212</v>
      </c>
      <c r="C1007">
        <v>2023</v>
      </c>
      <c r="D1007">
        <v>10</v>
      </c>
      <c r="E1007" t="s">
        <v>1017</v>
      </c>
      <c r="F1007" t="s">
        <v>1018</v>
      </c>
      <c r="G1007" t="s">
        <v>44</v>
      </c>
      <c r="H1007" t="s">
        <v>36</v>
      </c>
      <c r="I1007" t="s">
        <v>65</v>
      </c>
      <c r="J1007">
        <v>58</v>
      </c>
      <c r="K1007">
        <v>1045.17</v>
      </c>
      <c r="L1007">
        <v>60619.57</v>
      </c>
      <c r="M1007">
        <v>40229.68</v>
      </c>
      <c r="N1007">
        <v>7821.98</v>
      </c>
      <c r="O1007">
        <v>3310.58</v>
      </c>
      <c r="P1007">
        <v>1697.88</v>
      </c>
      <c r="Q1007">
        <v>981.81</v>
      </c>
      <c r="R1007">
        <v>2618.79</v>
      </c>
      <c r="S1007">
        <v>811.61</v>
      </c>
      <c r="T1007">
        <v>57472.33</v>
      </c>
      <c r="U1007">
        <v>20389.89</v>
      </c>
      <c r="V1007">
        <v>3147.24</v>
      </c>
      <c r="W1007">
        <v>3205</v>
      </c>
      <c r="X1007">
        <v>57662.53</v>
      </c>
      <c r="Y1007">
        <v>55735.51</v>
      </c>
    </row>
    <row r="1008" spans="1:25" x14ac:dyDescent="0.25">
      <c r="A1008" t="s">
        <v>1062</v>
      </c>
      <c r="B1008" s="1">
        <v>45212</v>
      </c>
      <c r="C1008">
        <v>2023</v>
      </c>
      <c r="D1008">
        <v>10</v>
      </c>
      <c r="E1008" t="s">
        <v>1017</v>
      </c>
      <c r="F1008" t="s">
        <v>1018</v>
      </c>
      <c r="G1008" t="s">
        <v>55</v>
      </c>
      <c r="H1008" t="s">
        <v>36</v>
      </c>
      <c r="I1008" t="s">
        <v>37</v>
      </c>
      <c r="J1008">
        <v>60</v>
      </c>
      <c r="K1008">
        <v>1247.5999999999999</v>
      </c>
      <c r="L1008">
        <v>74855.820000000007</v>
      </c>
      <c r="M1008">
        <v>43543.91</v>
      </c>
      <c r="N1008">
        <v>6515.54</v>
      </c>
      <c r="O1008">
        <v>4979.8500000000004</v>
      </c>
      <c r="P1008">
        <v>1314.47</v>
      </c>
      <c r="Q1008">
        <v>1323.95</v>
      </c>
      <c r="R1008">
        <v>3158.42</v>
      </c>
      <c r="S1008">
        <v>659.93</v>
      </c>
      <c r="T1008">
        <v>61496.07</v>
      </c>
      <c r="U1008">
        <v>31311.9</v>
      </c>
      <c r="V1008">
        <v>13359.74</v>
      </c>
      <c r="W1008">
        <v>13398.77</v>
      </c>
      <c r="X1008">
        <v>70393.100000000006</v>
      </c>
      <c r="Y1008">
        <v>65698.42</v>
      </c>
    </row>
    <row r="1009" spans="1:25" x14ac:dyDescent="0.25">
      <c r="A1009" t="s">
        <v>1063</v>
      </c>
      <c r="B1009" s="1">
        <v>45212</v>
      </c>
      <c r="C1009">
        <v>2023</v>
      </c>
      <c r="D1009">
        <v>10</v>
      </c>
      <c r="E1009" t="s">
        <v>1017</v>
      </c>
      <c r="F1009" t="s">
        <v>1018</v>
      </c>
      <c r="G1009" t="s">
        <v>44</v>
      </c>
      <c r="H1009" t="s">
        <v>32</v>
      </c>
      <c r="I1009" t="s">
        <v>65</v>
      </c>
      <c r="J1009">
        <v>59</v>
      </c>
      <c r="K1009">
        <v>1250.8800000000001</v>
      </c>
      <c r="L1009">
        <v>73801.740000000005</v>
      </c>
      <c r="M1009">
        <v>42817.21</v>
      </c>
      <c r="N1009">
        <v>5933.77</v>
      </c>
      <c r="O1009">
        <v>2132.5500000000002</v>
      </c>
      <c r="P1009">
        <v>1418.91</v>
      </c>
      <c r="Q1009">
        <v>838.56</v>
      </c>
      <c r="R1009">
        <v>3387.1</v>
      </c>
      <c r="S1009">
        <v>1469.93</v>
      </c>
      <c r="T1009">
        <v>57998.02</v>
      </c>
      <c r="U1009">
        <v>30984.52</v>
      </c>
      <c r="V1009">
        <v>15803.71</v>
      </c>
      <c r="W1009">
        <v>14299.56</v>
      </c>
      <c r="X1009">
        <v>74929.84</v>
      </c>
      <c r="Y1009">
        <v>61862.44</v>
      </c>
    </row>
    <row r="1010" spans="1:25" x14ac:dyDescent="0.25">
      <c r="A1010" t="s">
        <v>1064</v>
      </c>
      <c r="B1010" s="1">
        <v>45213</v>
      </c>
      <c r="C1010">
        <v>2023</v>
      </c>
      <c r="D1010">
        <v>10</v>
      </c>
      <c r="E1010" t="s">
        <v>1017</v>
      </c>
      <c r="F1010" t="s">
        <v>1018</v>
      </c>
      <c r="G1010" t="s">
        <v>35</v>
      </c>
      <c r="H1010" t="s">
        <v>58</v>
      </c>
      <c r="I1010" t="s">
        <v>50</v>
      </c>
      <c r="J1010">
        <v>23</v>
      </c>
      <c r="K1010">
        <v>1682.6</v>
      </c>
      <c r="L1010">
        <v>38699.910000000003</v>
      </c>
      <c r="M1010">
        <v>23623.96</v>
      </c>
      <c r="N1010">
        <v>4022.91</v>
      </c>
      <c r="O1010">
        <v>2358.4</v>
      </c>
      <c r="P1010">
        <v>1726.09</v>
      </c>
      <c r="Q1010">
        <v>211.49</v>
      </c>
      <c r="R1010">
        <v>2479.67</v>
      </c>
      <c r="S1010">
        <v>565.08000000000004</v>
      </c>
      <c r="T1010">
        <v>34987.61</v>
      </c>
      <c r="U1010">
        <v>15075.95</v>
      </c>
      <c r="V1010">
        <v>3712.31</v>
      </c>
      <c r="W1010">
        <v>3735.4</v>
      </c>
      <c r="X1010">
        <v>39630.5</v>
      </c>
      <c r="Y1010">
        <v>37132.300000000003</v>
      </c>
    </row>
    <row r="1011" spans="1:25" x14ac:dyDescent="0.25">
      <c r="A1011" t="s">
        <v>1065</v>
      </c>
      <c r="B1011" s="1">
        <v>45213</v>
      </c>
      <c r="C1011">
        <v>2023</v>
      </c>
      <c r="D1011">
        <v>10</v>
      </c>
      <c r="E1011" t="s">
        <v>1017</v>
      </c>
      <c r="F1011" t="s">
        <v>1018</v>
      </c>
      <c r="G1011" t="s">
        <v>28</v>
      </c>
      <c r="H1011" t="s">
        <v>58</v>
      </c>
      <c r="I1011" t="s">
        <v>56</v>
      </c>
      <c r="J1011">
        <v>43</v>
      </c>
      <c r="K1011">
        <v>892.16</v>
      </c>
      <c r="L1011">
        <v>38363.089999999997</v>
      </c>
      <c r="M1011">
        <v>18464.849999999999</v>
      </c>
      <c r="N1011">
        <v>4561.33</v>
      </c>
      <c r="O1011">
        <v>1238.8</v>
      </c>
      <c r="P1011">
        <v>1077.9000000000001</v>
      </c>
      <c r="Q1011">
        <v>206.78</v>
      </c>
      <c r="R1011">
        <v>2455.14</v>
      </c>
      <c r="S1011">
        <v>354.22</v>
      </c>
      <c r="T1011">
        <v>28359.01</v>
      </c>
      <c r="U1011">
        <v>19898.240000000002</v>
      </c>
      <c r="V1011">
        <v>10004.08</v>
      </c>
      <c r="W1011">
        <v>9239.7199999999993</v>
      </c>
      <c r="X1011">
        <v>35533</v>
      </c>
      <c r="Y1011">
        <v>29811.08</v>
      </c>
    </row>
    <row r="1012" spans="1:25" x14ac:dyDescent="0.25">
      <c r="A1012" t="s">
        <v>1066</v>
      </c>
      <c r="B1012" s="1">
        <v>45213</v>
      </c>
      <c r="C1012">
        <v>2023</v>
      </c>
      <c r="D1012">
        <v>10</v>
      </c>
      <c r="E1012" t="s">
        <v>1017</v>
      </c>
      <c r="F1012" t="s">
        <v>1018</v>
      </c>
      <c r="G1012" t="s">
        <v>28</v>
      </c>
      <c r="H1012" t="s">
        <v>53</v>
      </c>
      <c r="I1012" t="s">
        <v>39</v>
      </c>
      <c r="J1012">
        <v>33</v>
      </c>
      <c r="K1012">
        <v>903.34</v>
      </c>
      <c r="L1012">
        <v>29810.35</v>
      </c>
      <c r="M1012">
        <v>15256.09</v>
      </c>
      <c r="N1012">
        <v>3123.76</v>
      </c>
      <c r="O1012">
        <v>1503.64</v>
      </c>
      <c r="P1012">
        <v>598.03</v>
      </c>
      <c r="Q1012">
        <v>360.69</v>
      </c>
      <c r="R1012">
        <v>1578.56</v>
      </c>
      <c r="S1012">
        <v>405.38</v>
      </c>
      <c r="T1012">
        <v>22826.14</v>
      </c>
      <c r="U1012">
        <v>14554.26</v>
      </c>
      <c r="V1012">
        <v>6984.21</v>
      </c>
      <c r="W1012">
        <v>6534.66</v>
      </c>
      <c r="X1012">
        <v>32587.599999999999</v>
      </c>
      <c r="Y1012">
        <v>21501.85</v>
      </c>
    </row>
    <row r="1013" spans="1:25" x14ac:dyDescent="0.25">
      <c r="A1013" t="s">
        <v>1067</v>
      </c>
      <c r="B1013" s="1">
        <v>45213</v>
      </c>
      <c r="C1013">
        <v>2023</v>
      </c>
      <c r="D1013">
        <v>10</v>
      </c>
      <c r="E1013" t="s">
        <v>1017</v>
      </c>
      <c r="F1013" t="s">
        <v>1018</v>
      </c>
      <c r="G1013" t="s">
        <v>28</v>
      </c>
      <c r="H1013" t="s">
        <v>32</v>
      </c>
      <c r="I1013" t="s">
        <v>56</v>
      </c>
      <c r="J1013">
        <v>31</v>
      </c>
      <c r="K1013">
        <v>1305.44</v>
      </c>
      <c r="L1013">
        <v>40468.699999999997</v>
      </c>
      <c r="M1013">
        <v>26165.31</v>
      </c>
      <c r="N1013">
        <v>3208.95</v>
      </c>
      <c r="O1013">
        <v>1852.23</v>
      </c>
      <c r="P1013">
        <v>673.89</v>
      </c>
      <c r="Q1013">
        <v>563.84</v>
      </c>
      <c r="R1013">
        <v>2382</v>
      </c>
      <c r="S1013">
        <v>535.12</v>
      </c>
      <c r="T1013">
        <v>35381.339999999997</v>
      </c>
      <c r="U1013">
        <v>14303.39</v>
      </c>
      <c r="V1013">
        <v>5087.3599999999997</v>
      </c>
      <c r="W1013">
        <v>4927.41</v>
      </c>
      <c r="X1013">
        <v>37734.78</v>
      </c>
      <c r="Y1013">
        <v>37410.629999999997</v>
      </c>
    </row>
    <row r="1014" spans="1:25" x14ac:dyDescent="0.25">
      <c r="A1014" t="s">
        <v>1068</v>
      </c>
      <c r="B1014" s="1">
        <v>45213</v>
      </c>
      <c r="C1014">
        <v>2023</v>
      </c>
      <c r="D1014">
        <v>10</v>
      </c>
      <c r="E1014" t="s">
        <v>1017</v>
      </c>
      <c r="F1014" t="s">
        <v>1018</v>
      </c>
      <c r="G1014" t="s">
        <v>44</v>
      </c>
      <c r="H1014" t="s">
        <v>36</v>
      </c>
      <c r="I1014" t="s">
        <v>37</v>
      </c>
      <c r="J1014">
        <v>39</v>
      </c>
      <c r="K1014">
        <v>1357.17</v>
      </c>
      <c r="L1014">
        <v>52929.48</v>
      </c>
      <c r="M1014">
        <v>28162.95</v>
      </c>
      <c r="N1014">
        <v>6127.78</v>
      </c>
      <c r="O1014">
        <v>2322.0700000000002</v>
      </c>
      <c r="P1014">
        <v>2305.19</v>
      </c>
      <c r="Q1014">
        <v>487.94</v>
      </c>
      <c r="R1014">
        <v>1558.08</v>
      </c>
      <c r="S1014">
        <v>661.43</v>
      </c>
      <c r="T1014">
        <v>41625.43</v>
      </c>
      <c r="U1014">
        <v>24766.53</v>
      </c>
      <c r="V1014">
        <v>11304.05</v>
      </c>
      <c r="W1014">
        <v>10089.23</v>
      </c>
      <c r="X1014">
        <v>49966.85</v>
      </c>
      <c r="Y1014">
        <v>40391.949999999997</v>
      </c>
    </row>
    <row r="1015" spans="1:25" x14ac:dyDescent="0.25">
      <c r="A1015" t="s">
        <v>1069</v>
      </c>
      <c r="B1015" s="1">
        <v>45214</v>
      </c>
      <c r="C1015">
        <v>2023</v>
      </c>
      <c r="D1015">
        <v>10</v>
      </c>
      <c r="E1015" t="s">
        <v>1017</v>
      </c>
      <c r="F1015" t="s">
        <v>1018</v>
      </c>
      <c r="G1015" t="s">
        <v>55</v>
      </c>
      <c r="H1015" t="s">
        <v>36</v>
      </c>
      <c r="I1015" t="s">
        <v>65</v>
      </c>
      <c r="J1015">
        <v>48</v>
      </c>
      <c r="K1015">
        <v>1612.85</v>
      </c>
      <c r="L1015">
        <v>77416.710000000006</v>
      </c>
      <c r="M1015">
        <v>37809.620000000003</v>
      </c>
      <c r="N1015">
        <v>9931.98</v>
      </c>
      <c r="O1015">
        <v>4108.83</v>
      </c>
      <c r="P1015">
        <v>2857.66</v>
      </c>
      <c r="Q1015">
        <v>835.36</v>
      </c>
      <c r="R1015">
        <v>4161.17</v>
      </c>
      <c r="S1015">
        <v>851.31</v>
      </c>
      <c r="T1015">
        <v>60555.93</v>
      </c>
      <c r="U1015">
        <v>39607.089999999997</v>
      </c>
      <c r="V1015">
        <v>16860.79</v>
      </c>
      <c r="W1015">
        <v>15484.09</v>
      </c>
      <c r="X1015">
        <v>78550.62</v>
      </c>
      <c r="Y1015">
        <v>58212.72</v>
      </c>
    </row>
    <row r="1016" spans="1:25" x14ac:dyDescent="0.25">
      <c r="A1016" t="s">
        <v>1070</v>
      </c>
      <c r="B1016" s="1">
        <v>45214</v>
      </c>
      <c r="C1016">
        <v>2023</v>
      </c>
      <c r="D1016">
        <v>10</v>
      </c>
      <c r="E1016" t="s">
        <v>1017</v>
      </c>
      <c r="F1016" t="s">
        <v>1018</v>
      </c>
      <c r="G1016" t="s">
        <v>44</v>
      </c>
      <c r="H1016" t="s">
        <v>36</v>
      </c>
      <c r="I1016" t="s">
        <v>50</v>
      </c>
      <c r="J1016">
        <v>45</v>
      </c>
      <c r="K1016">
        <v>1123.8</v>
      </c>
      <c r="L1016">
        <v>50571.12</v>
      </c>
      <c r="M1016">
        <v>24377.69</v>
      </c>
      <c r="N1016">
        <v>5219.03</v>
      </c>
      <c r="O1016">
        <v>2570.75</v>
      </c>
      <c r="P1016">
        <v>1453.2</v>
      </c>
      <c r="Q1016">
        <v>356.69</v>
      </c>
      <c r="R1016">
        <v>2707.05</v>
      </c>
      <c r="S1016">
        <v>1004.31</v>
      </c>
      <c r="T1016">
        <v>37688.71</v>
      </c>
      <c r="U1016">
        <v>26193.43</v>
      </c>
      <c r="V1016">
        <v>12882.41</v>
      </c>
      <c r="W1016">
        <v>12572.76</v>
      </c>
      <c r="X1016">
        <v>48781.65</v>
      </c>
      <c r="Y1016">
        <v>36894.93</v>
      </c>
    </row>
    <row r="1017" spans="1:25" x14ac:dyDescent="0.25">
      <c r="A1017" t="s">
        <v>1071</v>
      </c>
      <c r="B1017" s="1">
        <v>45214</v>
      </c>
      <c r="C1017">
        <v>2023</v>
      </c>
      <c r="D1017">
        <v>10</v>
      </c>
      <c r="E1017" t="s">
        <v>1017</v>
      </c>
      <c r="F1017" t="s">
        <v>1018</v>
      </c>
      <c r="G1017" t="s">
        <v>35</v>
      </c>
      <c r="H1017" t="s">
        <v>32</v>
      </c>
      <c r="I1017" t="s">
        <v>33</v>
      </c>
      <c r="J1017">
        <v>55</v>
      </c>
      <c r="K1017">
        <v>1474.85</v>
      </c>
      <c r="L1017">
        <v>81116.679999999993</v>
      </c>
      <c r="M1017">
        <v>49544.08</v>
      </c>
      <c r="N1017">
        <v>8552.39</v>
      </c>
      <c r="O1017">
        <v>3245.48</v>
      </c>
      <c r="P1017">
        <v>1688.48</v>
      </c>
      <c r="Q1017">
        <v>426.45</v>
      </c>
      <c r="R1017">
        <v>4661.07</v>
      </c>
      <c r="S1017">
        <v>1545.46</v>
      </c>
      <c r="T1017">
        <v>69663.41</v>
      </c>
      <c r="U1017">
        <v>31572.6</v>
      </c>
      <c r="V1017">
        <v>11453.28</v>
      </c>
      <c r="W1017">
        <v>10107.89</v>
      </c>
      <c r="X1017">
        <v>83546.36</v>
      </c>
      <c r="Y1017">
        <v>73386.33</v>
      </c>
    </row>
    <row r="1018" spans="1:25" x14ac:dyDescent="0.25">
      <c r="A1018" t="s">
        <v>1072</v>
      </c>
      <c r="B1018" s="1">
        <v>45215</v>
      </c>
      <c r="C1018">
        <v>2023</v>
      </c>
      <c r="D1018">
        <v>10</v>
      </c>
      <c r="E1018" t="s">
        <v>1017</v>
      </c>
      <c r="F1018" t="s">
        <v>1018</v>
      </c>
      <c r="G1018" t="s">
        <v>55</v>
      </c>
      <c r="H1018" t="s">
        <v>36</v>
      </c>
      <c r="I1018" t="s">
        <v>33</v>
      </c>
      <c r="J1018">
        <v>106</v>
      </c>
      <c r="K1018">
        <v>889.28</v>
      </c>
      <c r="L1018">
        <v>94263.92</v>
      </c>
      <c r="M1018">
        <v>52164.84</v>
      </c>
      <c r="N1018">
        <v>7731.11</v>
      </c>
      <c r="O1018">
        <v>5161.5</v>
      </c>
      <c r="P1018">
        <v>2582.5700000000002</v>
      </c>
      <c r="Q1018">
        <v>1054.6199999999999</v>
      </c>
      <c r="R1018">
        <v>4475.2299999999996</v>
      </c>
      <c r="S1018">
        <v>1460.27</v>
      </c>
      <c r="T1018">
        <v>74630.14</v>
      </c>
      <c r="U1018">
        <v>42099.07</v>
      </c>
      <c r="V1018">
        <v>19633.78</v>
      </c>
      <c r="W1018">
        <v>17724.759999999998</v>
      </c>
      <c r="X1018">
        <v>88753.57</v>
      </c>
      <c r="Y1018">
        <v>77447.08</v>
      </c>
    </row>
    <row r="1019" spans="1:25" x14ac:dyDescent="0.25">
      <c r="A1019" t="s">
        <v>1073</v>
      </c>
      <c r="B1019" s="1">
        <v>45215</v>
      </c>
      <c r="C1019">
        <v>2023</v>
      </c>
      <c r="D1019">
        <v>10</v>
      </c>
      <c r="E1019" t="s">
        <v>1017</v>
      </c>
      <c r="F1019" t="s">
        <v>1018</v>
      </c>
      <c r="G1019" t="s">
        <v>55</v>
      </c>
      <c r="H1019" t="s">
        <v>32</v>
      </c>
      <c r="I1019" t="s">
        <v>45</v>
      </c>
      <c r="J1019">
        <v>73</v>
      </c>
      <c r="K1019">
        <v>845.96</v>
      </c>
      <c r="L1019">
        <v>61755.41</v>
      </c>
      <c r="M1019">
        <v>35358.519999999997</v>
      </c>
      <c r="N1019">
        <v>4876.4799999999996</v>
      </c>
      <c r="O1019">
        <v>2744.99</v>
      </c>
      <c r="P1019">
        <v>941.29</v>
      </c>
      <c r="Q1019">
        <v>1073.48</v>
      </c>
      <c r="R1019">
        <v>4005.13</v>
      </c>
      <c r="S1019">
        <v>675.38</v>
      </c>
      <c r="T1019">
        <v>49675.26</v>
      </c>
      <c r="U1019">
        <v>26396.89</v>
      </c>
      <c r="V1019">
        <v>12080.15</v>
      </c>
      <c r="W1019">
        <v>10855.67</v>
      </c>
      <c r="X1019">
        <v>67727.72</v>
      </c>
      <c r="Y1019">
        <v>50913.15</v>
      </c>
    </row>
    <row r="1020" spans="1:25" x14ac:dyDescent="0.25">
      <c r="A1020" t="s">
        <v>1074</v>
      </c>
      <c r="B1020" s="1">
        <v>45215</v>
      </c>
      <c r="C1020">
        <v>2023</v>
      </c>
      <c r="D1020">
        <v>10</v>
      </c>
      <c r="E1020" t="s">
        <v>1017</v>
      </c>
      <c r="F1020" t="s">
        <v>1018</v>
      </c>
      <c r="G1020" t="s">
        <v>35</v>
      </c>
      <c r="H1020" t="s">
        <v>32</v>
      </c>
      <c r="I1020" t="s">
        <v>39</v>
      </c>
      <c r="J1020">
        <v>39</v>
      </c>
      <c r="K1020">
        <v>1193.69</v>
      </c>
      <c r="L1020">
        <v>46553.82</v>
      </c>
      <c r="M1020">
        <v>22656.720000000001</v>
      </c>
      <c r="N1020">
        <v>4096.99</v>
      </c>
      <c r="O1020">
        <v>2997.24</v>
      </c>
      <c r="P1020">
        <v>1107.23</v>
      </c>
      <c r="Q1020">
        <v>664.78</v>
      </c>
      <c r="R1020">
        <v>2422.13</v>
      </c>
      <c r="S1020">
        <v>1002.76</v>
      </c>
      <c r="T1020">
        <v>34947.86</v>
      </c>
      <c r="U1020">
        <v>23897.09</v>
      </c>
      <c r="V1020">
        <v>11605.95</v>
      </c>
      <c r="W1020">
        <v>11505.22</v>
      </c>
      <c r="X1020">
        <v>43317.55</v>
      </c>
      <c r="Y1020">
        <v>36318.04</v>
      </c>
    </row>
    <row r="1021" spans="1:25" x14ac:dyDescent="0.25">
      <c r="A1021" t="s">
        <v>1075</v>
      </c>
      <c r="B1021" s="1">
        <v>45215</v>
      </c>
      <c r="C1021">
        <v>2023</v>
      </c>
      <c r="D1021">
        <v>10</v>
      </c>
      <c r="E1021" t="s">
        <v>1017</v>
      </c>
      <c r="F1021" t="s">
        <v>1018</v>
      </c>
      <c r="G1021" t="s">
        <v>55</v>
      </c>
      <c r="H1021" t="s">
        <v>36</v>
      </c>
      <c r="I1021" t="s">
        <v>45</v>
      </c>
      <c r="J1021">
        <v>26</v>
      </c>
      <c r="K1021">
        <v>1748.27</v>
      </c>
      <c r="L1021">
        <v>45455.02</v>
      </c>
      <c r="M1021">
        <v>21940.01</v>
      </c>
      <c r="N1021">
        <v>3789.97</v>
      </c>
      <c r="O1021">
        <v>3059.46</v>
      </c>
      <c r="P1021">
        <v>1927.07</v>
      </c>
      <c r="Q1021">
        <v>798.99</v>
      </c>
      <c r="R1021">
        <v>1394.74</v>
      </c>
      <c r="S1021">
        <v>800.11</v>
      </c>
      <c r="T1021">
        <v>33710.339999999997</v>
      </c>
      <c r="U1021">
        <v>23515.01</v>
      </c>
      <c r="V1021">
        <v>11744.68</v>
      </c>
      <c r="W1021">
        <v>11482.49</v>
      </c>
      <c r="X1021">
        <v>42915.360000000001</v>
      </c>
      <c r="Y1021">
        <v>34651.129999999997</v>
      </c>
    </row>
    <row r="1022" spans="1:25" x14ac:dyDescent="0.25">
      <c r="A1022" t="s">
        <v>1076</v>
      </c>
      <c r="B1022" s="1">
        <v>45215</v>
      </c>
      <c r="C1022">
        <v>2023</v>
      </c>
      <c r="D1022">
        <v>10</v>
      </c>
      <c r="E1022" t="s">
        <v>1017</v>
      </c>
      <c r="F1022" t="s">
        <v>1018</v>
      </c>
      <c r="G1022" t="s">
        <v>44</v>
      </c>
      <c r="H1022" t="s">
        <v>32</v>
      </c>
      <c r="I1022" t="s">
        <v>56</v>
      </c>
      <c r="J1022">
        <v>25</v>
      </c>
      <c r="K1022">
        <v>1472.31</v>
      </c>
      <c r="L1022">
        <v>36807.68</v>
      </c>
      <c r="M1022">
        <v>19147.59</v>
      </c>
      <c r="N1022">
        <v>3754.53</v>
      </c>
      <c r="O1022">
        <v>1165.3399999999999</v>
      </c>
      <c r="P1022">
        <v>1196.2</v>
      </c>
      <c r="Q1022">
        <v>599.41</v>
      </c>
      <c r="R1022">
        <v>931.33</v>
      </c>
      <c r="S1022">
        <v>570.58000000000004</v>
      </c>
      <c r="T1022">
        <v>27364.98</v>
      </c>
      <c r="U1022">
        <v>17660.09</v>
      </c>
      <c r="V1022">
        <v>9442.7000000000007</v>
      </c>
      <c r="W1022">
        <v>8517.61</v>
      </c>
      <c r="X1022">
        <v>33907.129999999997</v>
      </c>
      <c r="Y1022">
        <v>28699.74</v>
      </c>
    </row>
    <row r="1023" spans="1:25" x14ac:dyDescent="0.25">
      <c r="A1023" t="s">
        <v>1077</v>
      </c>
      <c r="B1023" s="1">
        <v>45215</v>
      </c>
      <c r="C1023">
        <v>2023</v>
      </c>
      <c r="D1023">
        <v>10</v>
      </c>
      <c r="E1023" t="s">
        <v>1017</v>
      </c>
      <c r="F1023" t="s">
        <v>1018</v>
      </c>
      <c r="G1023" t="s">
        <v>35</v>
      </c>
      <c r="H1023" t="s">
        <v>32</v>
      </c>
      <c r="I1023" t="s">
        <v>30</v>
      </c>
      <c r="J1023">
        <v>128</v>
      </c>
      <c r="K1023">
        <v>920.73</v>
      </c>
      <c r="L1023">
        <v>117852.98</v>
      </c>
      <c r="M1023">
        <v>70986.03</v>
      </c>
      <c r="N1023">
        <v>11418.05</v>
      </c>
      <c r="O1023">
        <v>4419.63</v>
      </c>
      <c r="P1023">
        <v>3142.51</v>
      </c>
      <c r="Q1023">
        <v>1679.38</v>
      </c>
      <c r="R1023">
        <v>4408.6000000000004</v>
      </c>
      <c r="S1023">
        <v>2071.7600000000002</v>
      </c>
      <c r="T1023">
        <v>98125.96</v>
      </c>
      <c r="U1023">
        <v>46866.95</v>
      </c>
      <c r="V1023">
        <v>19727.02</v>
      </c>
      <c r="W1023">
        <v>17756.34</v>
      </c>
      <c r="X1023">
        <v>123601.51</v>
      </c>
      <c r="Y1023">
        <v>104914.3</v>
      </c>
    </row>
    <row r="1024" spans="1:25" x14ac:dyDescent="0.25">
      <c r="A1024" t="s">
        <v>1078</v>
      </c>
      <c r="B1024" s="1">
        <v>45216</v>
      </c>
      <c r="C1024">
        <v>2023</v>
      </c>
      <c r="D1024">
        <v>10</v>
      </c>
      <c r="E1024" t="s">
        <v>1017</v>
      </c>
      <c r="F1024" t="s">
        <v>1018</v>
      </c>
      <c r="G1024" t="s">
        <v>44</v>
      </c>
      <c r="H1024" t="s">
        <v>58</v>
      </c>
      <c r="I1024" t="s">
        <v>39</v>
      </c>
      <c r="J1024">
        <v>27</v>
      </c>
      <c r="K1024">
        <v>1579.88</v>
      </c>
      <c r="L1024">
        <v>42656.87</v>
      </c>
      <c r="M1024">
        <v>24221.279999999999</v>
      </c>
      <c r="N1024">
        <v>4964.79</v>
      </c>
      <c r="O1024">
        <v>2484.54</v>
      </c>
      <c r="P1024">
        <v>1647.5</v>
      </c>
      <c r="Q1024">
        <v>275.33999999999997</v>
      </c>
      <c r="R1024">
        <v>1980.38</v>
      </c>
      <c r="S1024">
        <v>453.2</v>
      </c>
      <c r="T1024">
        <v>36027.040000000001</v>
      </c>
      <c r="U1024">
        <v>18435.59</v>
      </c>
      <c r="V1024">
        <v>6629.83</v>
      </c>
      <c r="W1024">
        <v>6285.78</v>
      </c>
      <c r="X1024">
        <v>41007.19</v>
      </c>
      <c r="Y1024">
        <v>35848.82</v>
      </c>
    </row>
    <row r="1025" spans="1:25" x14ac:dyDescent="0.25">
      <c r="A1025" t="s">
        <v>1079</v>
      </c>
      <c r="B1025" s="1">
        <v>45217</v>
      </c>
      <c r="C1025">
        <v>2023</v>
      </c>
      <c r="D1025">
        <v>10</v>
      </c>
      <c r="E1025" t="s">
        <v>1017</v>
      </c>
      <c r="F1025" t="s">
        <v>1018</v>
      </c>
      <c r="G1025" t="s">
        <v>35</v>
      </c>
      <c r="H1025" t="s">
        <v>29</v>
      </c>
      <c r="I1025" t="s">
        <v>33</v>
      </c>
      <c r="J1025">
        <v>60</v>
      </c>
      <c r="K1025">
        <v>1461.85</v>
      </c>
      <c r="L1025">
        <v>87710.76</v>
      </c>
      <c r="M1025">
        <v>51172.51</v>
      </c>
      <c r="N1025">
        <v>6637.04</v>
      </c>
      <c r="O1025">
        <v>4528.57</v>
      </c>
      <c r="P1025">
        <v>1624.65</v>
      </c>
      <c r="Q1025">
        <v>1000.72</v>
      </c>
      <c r="R1025">
        <v>2783.69</v>
      </c>
      <c r="S1025">
        <v>1738.96</v>
      </c>
      <c r="T1025">
        <v>69486.149999999994</v>
      </c>
      <c r="U1025">
        <v>36538.239999999998</v>
      </c>
      <c r="V1025">
        <v>18224.61</v>
      </c>
      <c r="W1025">
        <v>17278.900000000001</v>
      </c>
      <c r="X1025">
        <v>86676.95</v>
      </c>
      <c r="Y1025">
        <v>65370.93</v>
      </c>
    </row>
    <row r="1026" spans="1:25" x14ac:dyDescent="0.25">
      <c r="A1026" t="s">
        <v>1080</v>
      </c>
      <c r="B1026" s="1">
        <v>45217</v>
      </c>
      <c r="C1026">
        <v>2023</v>
      </c>
      <c r="D1026">
        <v>10</v>
      </c>
      <c r="E1026" t="s">
        <v>1017</v>
      </c>
      <c r="F1026" t="s">
        <v>1018</v>
      </c>
      <c r="G1026" t="s">
        <v>55</v>
      </c>
      <c r="H1026" t="s">
        <v>32</v>
      </c>
      <c r="I1026" t="s">
        <v>37</v>
      </c>
      <c r="J1026">
        <v>48</v>
      </c>
      <c r="K1026">
        <v>1778.38</v>
      </c>
      <c r="L1026">
        <v>85362.02</v>
      </c>
      <c r="M1026">
        <v>46551.81</v>
      </c>
      <c r="N1026">
        <v>6971.32</v>
      </c>
      <c r="O1026">
        <v>3120.69</v>
      </c>
      <c r="P1026">
        <v>3674.27</v>
      </c>
      <c r="Q1026">
        <v>427.43</v>
      </c>
      <c r="R1026">
        <v>5529.34</v>
      </c>
      <c r="S1026">
        <v>1236.04</v>
      </c>
      <c r="T1026">
        <v>67510.92</v>
      </c>
      <c r="U1026">
        <v>38810.21</v>
      </c>
      <c r="V1026">
        <v>17851.099999999999</v>
      </c>
      <c r="W1026">
        <v>15809.61</v>
      </c>
      <c r="X1026">
        <v>93024.55</v>
      </c>
      <c r="Y1026">
        <v>72355.69</v>
      </c>
    </row>
    <row r="1027" spans="1:25" x14ac:dyDescent="0.25">
      <c r="A1027" t="s">
        <v>1081</v>
      </c>
      <c r="B1027" s="1">
        <v>45218</v>
      </c>
      <c r="C1027">
        <v>2023</v>
      </c>
      <c r="D1027">
        <v>10</v>
      </c>
      <c r="E1027" t="s">
        <v>1017</v>
      </c>
      <c r="F1027" t="s">
        <v>1018</v>
      </c>
      <c r="G1027" t="s">
        <v>28</v>
      </c>
      <c r="H1027" t="s">
        <v>32</v>
      </c>
      <c r="I1027" t="s">
        <v>50</v>
      </c>
      <c r="J1027">
        <v>52</v>
      </c>
      <c r="K1027">
        <v>1515.51</v>
      </c>
      <c r="L1027">
        <v>78806.63</v>
      </c>
      <c r="M1027">
        <v>44829.97</v>
      </c>
      <c r="N1027">
        <v>9479.2900000000009</v>
      </c>
      <c r="O1027">
        <v>5247.66</v>
      </c>
      <c r="P1027">
        <v>1884.95</v>
      </c>
      <c r="Q1027">
        <v>1267.1600000000001</v>
      </c>
      <c r="R1027">
        <v>4581.29</v>
      </c>
      <c r="S1027">
        <v>1787.57</v>
      </c>
      <c r="T1027">
        <v>69077.899999999994</v>
      </c>
      <c r="U1027">
        <v>33976.67</v>
      </c>
      <c r="V1027">
        <v>9728.73</v>
      </c>
      <c r="W1027">
        <v>9570.39</v>
      </c>
      <c r="X1027">
        <v>81161.100000000006</v>
      </c>
      <c r="Y1027">
        <v>71771.39</v>
      </c>
    </row>
    <row r="1028" spans="1:25" x14ac:dyDescent="0.25">
      <c r="A1028" t="s">
        <v>1082</v>
      </c>
      <c r="B1028" s="1">
        <v>45219</v>
      </c>
      <c r="C1028">
        <v>2023</v>
      </c>
      <c r="D1028">
        <v>10</v>
      </c>
      <c r="E1028" t="s">
        <v>1017</v>
      </c>
      <c r="F1028" t="s">
        <v>1018</v>
      </c>
      <c r="G1028" t="s">
        <v>35</v>
      </c>
      <c r="H1028" t="s">
        <v>53</v>
      </c>
      <c r="I1028" t="s">
        <v>45</v>
      </c>
      <c r="J1028">
        <v>28</v>
      </c>
      <c r="K1028">
        <v>950.31</v>
      </c>
      <c r="L1028">
        <v>26608.76</v>
      </c>
      <c r="M1028">
        <v>16681.12</v>
      </c>
      <c r="N1028">
        <v>3413.83</v>
      </c>
      <c r="O1028">
        <v>963.97</v>
      </c>
      <c r="P1028">
        <v>1132.5999999999999</v>
      </c>
      <c r="Q1028">
        <v>396.69</v>
      </c>
      <c r="R1028">
        <v>1475.15</v>
      </c>
      <c r="S1028">
        <v>399.9</v>
      </c>
      <c r="T1028">
        <v>24463.26</v>
      </c>
      <c r="U1028">
        <v>9927.64</v>
      </c>
      <c r="V1028">
        <v>2145.5</v>
      </c>
      <c r="W1028">
        <v>2177.25</v>
      </c>
      <c r="X1028">
        <v>25072.84</v>
      </c>
      <c r="Y1028">
        <v>24184.97</v>
      </c>
    </row>
    <row r="1029" spans="1:25" x14ac:dyDescent="0.25">
      <c r="A1029" t="s">
        <v>1083</v>
      </c>
      <c r="B1029" s="1">
        <v>45219</v>
      </c>
      <c r="C1029">
        <v>2023</v>
      </c>
      <c r="D1029">
        <v>10</v>
      </c>
      <c r="E1029" t="s">
        <v>1017</v>
      </c>
      <c r="F1029" t="s">
        <v>1018</v>
      </c>
      <c r="G1029" t="s">
        <v>44</v>
      </c>
      <c r="H1029" t="s">
        <v>32</v>
      </c>
      <c r="I1029" t="s">
        <v>65</v>
      </c>
      <c r="J1029">
        <v>33</v>
      </c>
      <c r="K1029">
        <v>1558.62</v>
      </c>
      <c r="L1029">
        <v>51434.36</v>
      </c>
      <c r="M1029">
        <v>27882.34</v>
      </c>
      <c r="N1029">
        <v>5656.92</v>
      </c>
      <c r="O1029">
        <v>3376.62</v>
      </c>
      <c r="P1029">
        <v>965.3</v>
      </c>
      <c r="Q1029">
        <v>673.2</v>
      </c>
      <c r="R1029">
        <v>2367.1799999999998</v>
      </c>
      <c r="S1029">
        <v>463.78</v>
      </c>
      <c r="T1029">
        <v>41385.33</v>
      </c>
      <c r="U1029">
        <v>23552.02</v>
      </c>
      <c r="V1029">
        <v>10049.030000000001</v>
      </c>
      <c r="W1029">
        <v>9230.08</v>
      </c>
      <c r="X1029">
        <v>57289.120000000003</v>
      </c>
      <c r="Y1029">
        <v>43238.14</v>
      </c>
    </row>
    <row r="1030" spans="1:25" x14ac:dyDescent="0.25">
      <c r="A1030" t="s">
        <v>1084</v>
      </c>
      <c r="B1030" s="1">
        <v>45219</v>
      </c>
      <c r="C1030">
        <v>2023</v>
      </c>
      <c r="D1030">
        <v>10</v>
      </c>
      <c r="E1030" t="s">
        <v>1017</v>
      </c>
      <c r="F1030" t="s">
        <v>1018</v>
      </c>
      <c r="G1030" t="s">
        <v>35</v>
      </c>
      <c r="H1030" t="s">
        <v>32</v>
      </c>
      <c r="I1030" t="s">
        <v>50</v>
      </c>
      <c r="J1030">
        <v>40</v>
      </c>
      <c r="K1030">
        <v>1084.81</v>
      </c>
      <c r="L1030">
        <v>43392.27</v>
      </c>
      <c r="M1030">
        <v>24295.4</v>
      </c>
      <c r="N1030">
        <v>4754.3599999999997</v>
      </c>
      <c r="O1030">
        <v>2184.63</v>
      </c>
      <c r="P1030">
        <v>1751.15</v>
      </c>
      <c r="Q1030">
        <v>477.59</v>
      </c>
      <c r="R1030">
        <v>2515.12</v>
      </c>
      <c r="S1030">
        <v>640.73</v>
      </c>
      <c r="T1030">
        <v>36619</v>
      </c>
      <c r="U1030">
        <v>19096.86</v>
      </c>
      <c r="V1030">
        <v>6773.27</v>
      </c>
      <c r="W1030">
        <v>6643.38</v>
      </c>
      <c r="X1030">
        <v>43456.39</v>
      </c>
      <c r="Y1030">
        <v>37686.629999999997</v>
      </c>
    </row>
    <row r="1031" spans="1:25" x14ac:dyDescent="0.25">
      <c r="A1031" t="s">
        <v>1085</v>
      </c>
      <c r="B1031" s="1">
        <v>45220</v>
      </c>
      <c r="C1031">
        <v>2023</v>
      </c>
      <c r="D1031">
        <v>10</v>
      </c>
      <c r="E1031" t="s">
        <v>1017</v>
      </c>
      <c r="F1031" t="s">
        <v>1018</v>
      </c>
      <c r="G1031" t="s">
        <v>35</v>
      </c>
      <c r="H1031" t="s">
        <v>29</v>
      </c>
      <c r="I1031" t="s">
        <v>39</v>
      </c>
      <c r="J1031">
        <v>28</v>
      </c>
      <c r="K1031">
        <v>1624.67</v>
      </c>
      <c r="L1031">
        <v>45490.84</v>
      </c>
      <c r="M1031">
        <v>23084.799999999999</v>
      </c>
      <c r="N1031">
        <v>5078.63</v>
      </c>
      <c r="O1031">
        <v>1563.55</v>
      </c>
      <c r="P1031">
        <v>1536.76</v>
      </c>
      <c r="Q1031">
        <v>287.13</v>
      </c>
      <c r="R1031">
        <v>1438.01</v>
      </c>
      <c r="S1031">
        <v>898.88</v>
      </c>
      <c r="T1031">
        <v>33887.769999999997</v>
      </c>
      <c r="U1031">
        <v>22406.03</v>
      </c>
      <c r="V1031">
        <v>11603.07</v>
      </c>
      <c r="W1031">
        <v>10900.89</v>
      </c>
      <c r="X1031">
        <v>47664.18</v>
      </c>
      <c r="Y1031">
        <v>34795.46</v>
      </c>
    </row>
    <row r="1032" spans="1:25" x14ac:dyDescent="0.25">
      <c r="A1032" t="s">
        <v>1086</v>
      </c>
      <c r="B1032" s="1">
        <v>45220</v>
      </c>
      <c r="C1032">
        <v>2023</v>
      </c>
      <c r="D1032">
        <v>10</v>
      </c>
      <c r="E1032" t="s">
        <v>1017</v>
      </c>
      <c r="F1032" t="s">
        <v>1018</v>
      </c>
      <c r="G1032" t="s">
        <v>55</v>
      </c>
      <c r="H1032" t="s">
        <v>32</v>
      </c>
      <c r="I1032" t="s">
        <v>45</v>
      </c>
      <c r="J1032">
        <v>90</v>
      </c>
      <c r="K1032">
        <v>833.14</v>
      </c>
      <c r="L1032">
        <v>74982.19</v>
      </c>
      <c r="M1032">
        <v>45368.17</v>
      </c>
      <c r="N1032">
        <v>9276.2800000000007</v>
      </c>
      <c r="O1032">
        <v>3970.2</v>
      </c>
      <c r="P1032">
        <v>3160.96</v>
      </c>
      <c r="Q1032">
        <v>785.41</v>
      </c>
      <c r="R1032">
        <v>2996.41</v>
      </c>
      <c r="S1032">
        <v>1781.06</v>
      </c>
      <c r="T1032">
        <v>67338.490000000005</v>
      </c>
      <c r="U1032">
        <v>29614.02</v>
      </c>
      <c r="V1032">
        <v>7643.7</v>
      </c>
      <c r="W1032">
        <v>6878.02</v>
      </c>
      <c r="X1032">
        <v>78777.600000000006</v>
      </c>
      <c r="Y1032">
        <v>70472.25</v>
      </c>
    </row>
    <row r="1033" spans="1:25" x14ac:dyDescent="0.25">
      <c r="A1033" t="s">
        <v>1087</v>
      </c>
      <c r="B1033" s="1">
        <v>45221</v>
      </c>
      <c r="C1033">
        <v>2023</v>
      </c>
      <c r="D1033">
        <v>10</v>
      </c>
      <c r="E1033" t="s">
        <v>1017</v>
      </c>
      <c r="F1033" t="s">
        <v>1018</v>
      </c>
      <c r="G1033" t="s">
        <v>35</v>
      </c>
      <c r="H1033" t="s">
        <v>36</v>
      </c>
      <c r="I1033" t="s">
        <v>39</v>
      </c>
      <c r="J1033">
        <v>35</v>
      </c>
      <c r="K1033">
        <v>1217.52</v>
      </c>
      <c r="L1033">
        <v>42613.19</v>
      </c>
      <c r="M1033">
        <v>25927.26</v>
      </c>
      <c r="N1033">
        <v>3234.67</v>
      </c>
      <c r="O1033">
        <v>3003.56</v>
      </c>
      <c r="P1033">
        <v>986.04</v>
      </c>
      <c r="Q1033">
        <v>447.29</v>
      </c>
      <c r="R1033">
        <v>1733.99</v>
      </c>
      <c r="S1033">
        <v>1062.53</v>
      </c>
      <c r="T1033">
        <v>36395.339999999997</v>
      </c>
      <c r="U1033">
        <v>16685.93</v>
      </c>
      <c r="V1033">
        <v>6217.85</v>
      </c>
      <c r="W1033">
        <v>5557.55</v>
      </c>
      <c r="X1033">
        <v>47140.89</v>
      </c>
      <c r="Y1033">
        <v>37780.410000000003</v>
      </c>
    </row>
    <row r="1034" spans="1:25" x14ac:dyDescent="0.25">
      <c r="A1034" t="s">
        <v>1088</v>
      </c>
      <c r="B1034" s="1">
        <v>45221</v>
      </c>
      <c r="C1034">
        <v>2023</v>
      </c>
      <c r="D1034">
        <v>10</v>
      </c>
      <c r="E1034" t="s">
        <v>1017</v>
      </c>
      <c r="F1034" t="s">
        <v>1018</v>
      </c>
      <c r="G1034" t="s">
        <v>55</v>
      </c>
      <c r="H1034" t="s">
        <v>53</v>
      </c>
      <c r="I1034" t="s">
        <v>33</v>
      </c>
      <c r="J1034">
        <v>56</v>
      </c>
      <c r="K1034">
        <v>1290.3599999999999</v>
      </c>
      <c r="L1034">
        <v>72260.02</v>
      </c>
      <c r="M1034">
        <v>42220.05</v>
      </c>
      <c r="N1034">
        <v>6596.92</v>
      </c>
      <c r="O1034">
        <v>3210.78</v>
      </c>
      <c r="P1034">
        <v>2154.69</v>
      </c>
      <c r="Q1034">
        <v>377.8</v>
      </c>
      <c r="R1034">
        <v>4282.57</v>
      </c>
      <c r="S1034">
        <v>919.3</v>
      </c>
      <c r="T1034">
        <v>59762.13</v>
      </c>
      <c r="U1034">
        <v>30039.97</v>
      </c>
      <c r="V1034">
        <v>12497.89</v>
      </c>
      <c r="W1034">
        <v>11340.41</v>
      </c>
      <c r="X1034">
        <v>68664.37</v>
      </c>
      <c r="Y1034">
        <v>56589.18</v>
      </c>
    </row>
    <row r="1035" spans="1:25" x14ac:dyDescent="0.25">
      <c r="A1035" t="s">
        <v>1089</v>
      </c>
      <c r="B1035" s="1">
        <v>45221</v>
      </c>
      <c r="C1035">
        <v>2023</v>
      </c>
      <c r="D1035">
        <v>10</v>
      </c>
      <c r="E1035" t="s">
        <v>1017</v>
      </c>
      <c r="F1035" t="s">
        <v>1018</v>
      </c>
      <c r="G1035" t="s">
        <v>35</v>
      </c>
      <c r="H1035" t="s">
        <v>36</v>
      </c>
      <c r="I1035" t="s">
        <v>39</v>
      </c>
      <c r="J1035">
        <v>34</v>
      </c>
      <c r="K1035">
        <v>1138.46</v>
      </c>
      <c r="L1035">
        <v>38707.68</v>
      </c>
      <c r="M1035">
        <v>19036.53</v>
      </c>
      <c r="N1035">
        <v>3930.56</v>
      </c>
      <c r="O1035">
        <v>1371.26</v>
      </c>
      <c r="P1035">
        <v>1721.58</v>
      </c>
      <c r="Q1035">
        <v>540.54999999999995</v>
      </c>
      <c r="R1035">
        <v>1356.99</v>
      </c>
      <c r="S1035">
        <v>876.68</v>
      </c>
      <c r="T1035">
        <v>28834.15</v>
      </c>
      <c r="U1035">
        <v>19671.14</v>
      </c>
      <c r="V1035">
        <v>9873.52</v>
      </c>
      <c r="W1035">
        <v>9586.41</v>
      </c>
      <c r="X1035">
        <v>40512.050000000003</v>
      </c>
      <c r="Y1035">
        <v>28930.71</v>
      </c>
    </row>
    <row r="1036" spans="1:25" x14ac:dyDescent="0.25">
      <c r="A1036" t="s">
        <v>1090</v>
      </c>
      <c r="B1036" s="1">
        <v>45221</v>
      </c>
      <c r="C1036">
        <v>2023</v>
      </c>
      <c r="D1036">
        <v>10</v>
      </c>
      <c r="E1036" t="s">
        <v>1017</v>
      </c>
      <c r="F1036" t="s">
        <v>1018</v>
      </c>
      <c r="G1036" t="s">
        <v>55</v>
      </c>
      <c r="H1036" t="s">
        <v>36</v>
      </c>
      <c r="I1036" t="s">
        <v>30</v>
      </c>
      <c r="J1036">
        <v>62</v>
      </c>
      <c r="K1036">
        <v>1737.5</v>
      </c>
      <c r="L1036">
        <v>107725.27</v>
      </c>
      <c r="M1036">
        <v>57834.36</v>
      </c>
      <c r="N1036">
        <v>8103.13</v>
      </c>
      <c r="O1036">
        <v>7403.88</v>
      </c>
      <c r="P1036">
        <v>2282.64</v>
      </c>
      <c r="Q1036">
        <v>760.58</v>
      </c>
      <c r="R1036">
        <v>3407.59</v>
      </c>
      <c r="S1036">
        <v>1282.98</v>
      </c>
      <c r="T1036">
        <v>81075.16</v>
      </c>
      <c r="U1036">
        <v>49890.91</v>
      </c>
      <c r="V1036">
        <v>26650.12</v>
      </c>
      <c r="W1036">
        <v>26720.9</v>
      </c>
      <c r="X1036">
        <v>116821.8</v>
      </c>
      <c r="Y1036">
        <v>79702.05</v>
      </c>
    </row>
    <row r="1037" spans="1:25" x14ac:dyDescent="0.25">
      <c r="A1037" t="s">
        <v>1091</v>
      </c>
      <c r="B1037" s="1">
        <v>45221</v>
      </c>
      <c r="C1037">
        <v>2023</v>
      </c>
      <c r="D1037">
        <v>10</v>
      </c>
      <c r="E1037" t="s">
        <v>1017</v>
      </c>
      <c r="F1037" t="s">
        <v>1018</v>
      </c>
      <c r="G1037" t="s">
        <v>44</v>
      </c>
      <c r="H1037" t="s">
        <v>32</v>
      </c>
      <c r="I1037" t="s">
        <v>45</v>
      </c>
      <c r="J1037">
        <v>42</v>
      </c>
      <c r="K1037">
        <v>951.73</v>
      </c>
      <c r="L1037">
        <v>39972.78</v>
      </c>
      <c r="M1037">
        <v>24201.54</v>
      </c>
      <c r="N1037">
        <v>4725.5600000000004</v>
      </c>
      <c r="O1037">
        <v>1199.96</v>
      </c>
      <c r="P1037">
        <v>673.48</v>
      </c>
      <c r="Q1037">
        <v>562.04</v>
      </c>
      <c r="R1037">
        <v>1157.95</v>
      </c>
      <c r="S1037">
        <v>938.66</v>
      </c>
      <c r="T1037">
        <v>33459.19</v>
      </c>
      <c r="U1037">
        <v>15771.24</v>
      </c>
      <c r="V1037">
        <v>6513.59</v>
      </c>
      <c r="W1037">
        <v>5823.69</v>
      </c>
      <c r="X1037">
        <v>43345.4</v>
      </c>
      <c r="Y1037">
        <v>34559.839999999997</v>
      </c>
    </row>
    <row r="1038" spans="1:25" x14ac:dyDescent="0.25">
      <c r="A1038" t="s">
        <v>1092</v>
      </c>
      <c r="B1038" s="1">
        <v>45222</v>
      </c>
      <c r="C1038">
        <v>2023</v>
      </c>
      <c r="D1038">
        <v>10</v>
      </c>
      <c r="E1038" t="s">
        <v>1017</v>
      </c>
      <c r="F1038" t="s">
        <v>1018</v>
      </c>
      <c r="G1038" t="s">
        <v>28</v>
      </c>
      <c r="H1038" t="s">
        <v>32</v>
      </c>
      <c r="I1038" t="s">
        <v>50</v>
      </c>
      <c r="J1038">
        <v>55</v>
      </c>
      <c r="K1038">
        <v>1059.29</v>
      </c>
      <c r="L1038">
        <v>58260.84</v>
      </c>
      <c r="M1038">
        <v>33242.480000000003</v>
      </c>
      <c r="N1038">
        <v>4629.66</v>
      </c>
      <c r="O1038">
        <v>3228.41</v>
      </c>
      <c r="P1038">
        <v>2547.48</v>
      </c>
      <c r="Q1038">
        <v>482.27</v>
      </c>
      <c r="R1038">
        <v>2375.86</v>
      </c>
      <c r="S1038">
        <v>652.79999999999995</v>
      </c>
      <c r="T1038">
        <v>47158.98</v>
      </c>
      <c r="U1038">
        <v>25018.35</v>
      </c>
      <c r="V1038">
        <v>11101.86</v>
      </c>
      <c r="W1038">
        <v>10110.43</v>
      </c>
      <c r="X1038">
        <v>64607.76</v>
      </c>
      <c r="Y1038">
        <v>49637.74</v>
      </c>
    </row>
    <row r="1039" spans="1:25" x14ac:dyDescent="0.25">
      <c r="A1039" t="s">
        <v>1093</v>
      </c>
      <c r="B1039" s="1">
        <v>45222</v>
      </c>
      <c r="C1039">
        <v>2023</v>
      </c>
      <c r="D1039">
        <v>10</v>
      </c>
      <c r="E1039" t="s">
        <v>1017</v>
      </c>
      <c r="F1039" t="s">
        <v>1018</v>
      </c>
      <c r="G1039" t="s">
        <v>28</v>
      </c>
      <c r="H1039" t="s">
        <v>32</v>
      </c>
      <c r="I1039" t="s">
        <v>39</v>
      </c>
      <c r="J1039">
        <v>40</v>
      </c>
      <c r="K1039">
        <v>1118.8800000000001</v>
      </c>
      <c r="L1039">
        <v>44755.11</v>
      </c>
      <c r="M1039">
        <v>29240.47</v>
      </c>
      <c r="N1039">
        <v>5150.34</v>
      </c>
      <c r="O1039">
        <v>2868.56</v>
      </c>
      <c r="P1039">
        <v>1246.9100000000001</v>
      </c>
      <c r="Q1039">
        <v>553.08000000000004</v>
      </c>
      <c r="R1039">
        <v>1932.37</v>
      </c>
      <c r="S1039">
        <v>1074.32</v>
      </c>
      <c r="T1039">
        <v>42066.05</v>
      </c>
      <c r="U1039">
        <v>15514.64</v>
      </c>
      <c r="V1039">
        <v>2689.06</v>
      </c>
      <c r="W1039">
        <v>2612.6799999999998</v>
      </c>
      <c r="X1039">
        <v>46397.95</v>
      </c>
      <c r="Y1039">
        <v>42160.7</v>
      </c>
    </row>
    <row r="1040" spans="1:25" x14ac:dyDescent="0.25">
      <c r="A1040" t="s">
        <v>1094</v>
      </c>
      <c r="B1040" s="1">
        <v>45222</v>
      </c>
      <c r="C1040">
        <v>2023</v>
      </c>
      <c r="D1040">
        <v>10</v>
      </c>
      <c r="E1040" t="s">
        <v>1017</v>
      </c>
      <c r="F1040" t="s">
        <v>1018</v>
      </c>
      <c r="G1040" t="s">
        <v>28</v>
      </c>
      <c r="H1040" t="s">
        <v>36</v>
      </c>
      <c r="I1040" t="s">
        <v>39</v>
      </c>
      <c r="J1040">
        <v>37</v>
      </c>
      <c r="K1040">
        <v>1467.68</v>
      </c>
      <c r="L1040">
        <v>54304.01</v>
      </c>
      <c r="M1040">
        <v>26651.88</v>
      </c>
      <c r="N1040">
        <v>4288.72</v>
      </c>
      <c r="O1040">
        <v>4028.2</v>
      </c>
      <c r="P1040">
        <v>2317.86</v>
      </c>
      <c r="Q1040">
        <v>833.05</v>
      </c>
      <c r="R1040">
        <v>1879.52</v>
      </c>
      <c r="S1040">
        <v>1275.6400000000001</v>
      </c>
      <c r="T1040">
        <v>41274.870000000003</v>
      </c>
      <c r="U1040">
        <v>27652.13</v>
      </c>
      <c r="V1040">
        <v>13029.15</v>
      </c>
      <c r="W1040">
        <v>12055.15</v>
      </c>
      <c r="X1040">
        <v>58099.03</v>
      </c>
      <c r="Y1040">
        <v>40245.699999999997</v>
      </c>
    </row>
    <row r="1041" spans="1:25" x14ac:dyDescent="0.25">
      <c r="A1041" t="s">
        <v>1095</v>
      </c>
      <c r="B1041" s="1">
        <v>45222</v>
      </c>
      <c r="C1041">
        <v>2023</v>
      </c>
      <c r="D1041">
        <v>10</v>
      </c>
      <c r="E1041" t="s">
        <v>1017</v>
      </c>
      <c r="F1041" t="s">
        <v>1018</v>
      </c>
      <c r="G1041" t="s">
        <v>35</v>
      </c>
      <c r="H1041" t="s">
        <v>29</v>
      </c>
      <c r="I1041" t="s">
        <v>50</v>
      </c>
      <c r="J1041">
        <v>59</v>
      </c>
      <c r="K1041">
        <v>971.99</v>
      </c>
      <c r="L1041">
        <v>57347.32</v>
      </c>
      <c r="M1041">
        <v>30343.42</v>
      </c>
      <c r="N1041">
        <v>6533.59</v>
      </c>
      <c r="O1041">
        <v>2233.61</v>
      </c>
      <c r="P1041">
        <v>2493.35</v>
      </c>
      <c r="Q1041">
        <v>983</v>
      </c>
      <c r="R1041">
        <v>1544.99</v>
      </c>
      <c r="S1041">
        <v>471.98</v>
      </c>
      <c r="T1041">
        <v>44603.93</v>
      </c>
      <c r="U1041">
        <v>27003.9</v>
      </c>
      <c r="V1041">
        <v>12743.38</v>
      </c>
      <c r="W1041">
        <v>12599.59</v>
      </c>
      <c r="X1041">
        <v>60118.23</v>
      </c>
      <c r="Y1041">
        <v>41750.42</v>
      </c>
    </row>
    <row r="1042" spans="1:25" x14ac:dyDescent="0.25">
      <c r="A1042" t="s">
        <v>1096</v>
      </c>
      <c r="B1042" s="1">
        <v>45222</v>
      </c>
      <c r="C1042">
        <v>2023</v>
      </c>
      <c r="D1042">
        <v>10</v>
      </c>
      <c r="E1042" t="s">
        <v>1017</v>
      </c>
      <c r="F1042" t="s">
        <v>1018</v>
      </c>
      <c r="G1042" t="s">
        <v>28</v>
      </c>
      <c r="H1042" t="s">
        <v>32</v>
      </c>
      <c r="I1042" t="s">
        <v>45</v>
      </c>
      <c r="J1042">
        <v>46</v>
      </c>
      <c r="K1042">
        <v>1295.44</v>
      </c>
      <c r="L1042">
        <v>59590.03</v>
      </c>
      <c r="M1042">
        <v>38421.46</v>
      </c>
      <c r="N1042">
        <v>5955.49</v>
      </c>
      <c r="O1042">
        <v>2109.5100000000002</v>
      </c>
      <c r="P1042">
        <v>1149.95</v>
      </c>
      <c r="Q1042">
        <v>1028.23</v>
      </c>
      <c r="R1042">
        <v>3000.83</v>
      </c>
      <c r="S1042">
        <v>575.54999999999995</v>
      </c>
      <c r="T1042">
        <v>52241.01</v>
      </c>
      <c r="U1042">
        <v>21168.560000000001</v>
      </c>
      <c r="V1042">
        <v>7349.01</v>
      </c>
      <c r="W1042">
        <v>7197.47</v>
      </c>
      <c r="X1042">
        <v>61212.7</v>
      </c>
      <c r="Y1042">
        <v>48756.67</v>
      </c>
    </row>
    <row r="1043" spans="1:25" x14ac:dyDescent="0.25">
      <c r="A1043" t="s">
        <v>1097</v>
      </c>
      <c r="B1043" s="1">
        <v>45222</v>
      </c>
      <c r="C1043">
        <v>2023</v>
      </c>
      <c r="D1043">
        <v>10</v>
      </c>
      <c r="E1043" t="s">
        <v>1017</v>
      </c>
      <c r="F1043" t="s">
        <v>1018</v>
      </c>
      <c r="G1043" t="s">
        <v>28</v>
      </c>
      <c r="H1043" t="s">
        <v>36</v>
      </c>
      <c r="I1043" t="s">
        <v>37</v>
      </c>
      <c r="J1043">
        <v>36</v>
      </c>
      <c r="K1043">
        <v>1514.14</v>
      </c>
      <c r="L1043">
        <v>54508.91</v>
      </c>
      <c r="M1043">
        <v>29637.13</v>
      </c>
      <c r="N1043">
        <v>5430.86</v>
      </c>
      <c r="O1043">
        <v>1746.44</v>
      </c>
      <c r="P1043">
        <v>2448.87</v>
      </c>
      <c r="Q1043">
        <v>587.45000000000005</v>
      </c>
      <c r="R1043">
        <v>3446.21</v>
      </c>
      <c r="S1043">
        <v>777.9</v>
      </c>
      <c r="T1043">
        <v>44074.85</v>
      </c>
      <c r="U1043">
        <v>24871.78</v>
      </c>
      <c r="V1043">
        <v>10434.06</v>
      </c>
      <c r="W1043">
        <v>9788.64</v>
      </c>
      <c r="X1043">
        <v>53750</v>
      </c>
      <c r="Y1043">
        <v>42212.69</v>
      </c>
    </row>
    <row r="1044" spans="1:25" x14ac:dyDescent="0.25">
      <c r="A1044" t="s">
        <v>1098</v>
      </c>
      <c r="B1044" s="1">
        <v>45224</v>
      </c>
      <c r="C1044">
        <v>2023</v>
      </c>
      <c r="D1044">
        <v>10</v>
      </c>
      <c r="E1044" t="s">
        <v>1017</v>
      </c>
      <c r="F1044" t="s">
        <v>1018</v>
      </c>
      <c r="G1044" t="s">
        <v>55</v>
      </c>
      <c r="H1044" t="s">
        <v>36</v>
      </c>
      <c r="I1044" t="s">
        <v>33</v>
      </c>
      <c r="J1044">
        <v>77</v>
      </c>
      <c r="K1044">
        <v>1215.08</v>
      </c>
      <c r="L1044">
        <v>93561.47</v>
      </c>
      <c r="M1044">
        <v>54384.97</v>
      </c>
      <c r="N1044">
        <v>9222.32</v>
      </c>
      <c r="O1044">
        <v>6797.04</v>
      </c>
      <c r="P1044">
        <v>3009.19</v>
      </c>
      <c r="Q1044">
        <v>634.29</v>
      </c>
      <c r="R1044">
        <v>3442.28</v>
      </c>
      <c r="S1044">
        <v>2029.71</v>
      </c>
      <c r="T1044">
        <v>79519.8</v>
      </c>
      <c r="U1044">
        <v>39176.5</v>
      </c>
      <c r="V1044">
        <v>14041.67</v>
      </c>
      <c r="W1044">
        <v>12665.41</v>
      </c>
      <c r="X1044">
        <v>97244.1</v>
      </c>
      <c r="Y1044">
        <v>84543</v>
      </c>
    </row>
    <row r="1045" spans="1:25" x14ac:dyDescent="0.25">
      <c r="A1045" t="s">
        <v>1099</v>
      </c>
      <c r="B1045" s="1">
        <v>45225</v>
      </c>
      <c r="C1045">
        <v>2023</v>
      </c>
      <c r="D1045">
        <v>10</v>
      </c>
      <c r="E1045" t="s">
        <v>1017</v>
      </c>
      <c r="F1045" t="s">
        <v>1018</v>
      </c>
      <c r="G1045" t="s">
        <v>44</v>
      </c>
      <c r="H1045" t="s">
        <v>32</v>
      </c>
      <c r="I1045" t="s">
        <v>56</v>
      </c>
      <c r="J1045">
        <v>31</v>
      </c>
      <c r="K1045">
        <v>1347.54</v>
      </c>
      <c r="L1045">
        <v>41773.75</v>
      </c>
      <c r="M1045">
        <v>23033.83</v>
      </c>
      <c r="N1045">
        <v>5369.48</v>
      </c>
      <c r="O1045">
        <v>1813.51</v>
      </c>
      <c r="P1045">
        <v>1342.72</v>
      </c>
      <c r="Q1045">
        <v>250.86</v>
      </c>
      <c r="R1045">
        <v>1860.81</v>
      </c>
      <c r="S1045">
        <v>833.63</v>
      </c>
      <c r="T1045">
        <v>34504.839999999997</v>
      </c>
      <c r="U1045">
        <v>18739.919999999998</v>
      </c>
      <c r="V1045">
        <v>7268.91</v>
      </c>
      <c r="W1045">
        <v>6677.08</v>
      </c>
      <c r="X1045">
        <v>42346.15</v>
      </c>
      <c r="Y1045">
        <v>33967.72</v>
      </c>
    </row>
    <row r="1046" spans="1:25" x14ac:dyDescent="0.25">
      <c r="A1046" t="s">
        <v>1100</v>
      </c>
      <c r="B1046" s="1">
        <v>45225</v>
      </c>
      <c r="C1046">
        <v>2023</v>
      </c>
      <c r="D1046">
        <v>10</v>
      </c>
      <c r="E1046" t="s">
        <v>1017</v>
      </c>
      <c r="F1046" t="s">
        <v>1018</v>
      </c>
      <c r="G1046" t="s">
        <v>44</v>
      </c>
      <c r="H1046" t="s">
        <v>32</v>
      </c>
      <c r="I1046" t="s">
        <v>50</v>
      </c>
      <c r="J1046">
        <v>58</v>
      </c>
      <c r="K1046">
        <v>1025.5999999999999</v>
      </c>
      <c r="L1046">
        <v>59484.61</v>
      </c>
      <c r="M1046">
        <v>32934.870000000003</v>
      </c>
      <c r="N1046">
        <v>5069.42</v>
      </c>
      <c r="O1046">
        <v>4236.1000000000004</v>
      </c>
      <c r="P1046">
        <v>1330.07</v>
      </c>
      <c r="Q1046">
        <v>894.85</v>
      </c>
      <c r="R1046">
        <v>3534.99</v>
      </c>
      <c r="S1046">
        <v>1287.73</v>
      </c>
      <c r="T1046">
        <v>49288.03</v>
      </c>
      <c r="U1046">
        <v>26549.74</v>
      </c>
      <c r="V1046">
        <v>10196.58</v>
      </c>
      <c r="W1046">
        <v>10231.58</v>
      </c>
      <c r="X1046">
        <v>65266.39</v>
      </c>
      <c r="Y1046">
        <v>52439.93</v>
      </c>
    </row>
    <row r="1047" spans="1:25" x14ac:dyDescent="0.25">
      <c r="A1047" t="s">
        <v>1101</v>
      </c>
      <c r="B1047" s="1">
        <v>45226</v>
      </c>
      <c r="C1047">
        <v>2023</v>
      </c>
      <c r="D1047">
        <v>10</v>
      </c>
      <c r="E1047" t="s">
        <v>1017</v>
      </c>
      <c r="F1047" t="s">
        <v>1018</v>
      </c>
      <c r="G1047" t="s">
        <v>44</v>
      </c>
      <c r="H1047" t="s">
        <v>29</v>
      </c>
      <c r="I1047" t="s">
        <v>30</v>
      </c>
      <c r="J1047">
        <v>71</v>
      </c>
      <c r="K1047">
        <v>1416.31</v>
      </c>
      <c r="L1047">
        <v>100558.29</v>
      </c>
      <c r="M1047">
        <v>51549.55</v>
      </c>
      <c r="N1047">
        <v>8774.58</v>
      </c>
      <c r="O1047">
        <v>3671.96</v>
      </c>
      <c r="P1047">
        <v>3440.34</v>
      </c>
      <c r="Q1047">
        <v>1180.19</v>
      </c>
      <c r="R1047">
        <v>4556.91</v>
      </c>
      <c r="S1047">
        <v>1429.97</v>
      </c>
      <c r="T1047">
        <v>74603.5</v>
      </c>
      <c r="U1047">
        <v>49008.74</v>
      </c>
      <c r="V1047">
        <v>25954.79</v>
      </c>
      <c r="W1047">
        <v>24361.96</v>
      </c>
      <c r="X1047">
        <v>92902.77</v>
      </c>
      <c r="Y1047">
        <v>71167.8</v>
      </c>
    </row>
    <row r="1048" spans="1:25" x14ac:dyDescent="0.25">
      <c r="A1048" t="s">
        <v>1102</v>
      </c>
      <c r="B1048" s="1">
        <v>45226</v>
      </c>
      <c r="C1048">
        <v>2023</v>
      </c>
      <c r="D1048">
        <v>10</v>
      </c>
      <c r="E1048" t="s">
        <v>1017</v>
      </c>
      <c r="F1048" t="s">
        <v>1018</v>
      </c>
      <c r="G1048" t="s">
        <v>55</v>
      </c>
      <c r="H1048" t="s">
        <v>32</v>
      </c>
      <c r="I1048" t="s">
        <v>50</v>
      </c>
      <c r="J1048">
        <v>41</v>
      </c>
      <c r="K1048">
        <v>1753.01</v>
      </c>
      <c r="L1048">
        <v>71873.210000000006</v>
      </c>
      <c r="M1048">
        <v>43078.46</v>
      </c>
      <c r="N1048">
        <v>5135.78</v>
      </c>
      <c r="O1048">
        <v>5109.21</v>
      </c>
      <c r="P1048">
        <v>1443.34</v>
      </c>
      <c r="Q1048">
        <v>923.32</v>
      </c>
      <c r="R1048">
        <v>1933.25</v>
      </c>
      <c r="S1048">
        <v>1139.32</v>
      </c>
      <c r="T1048">
        <v>58762.68</v>
      </c>
      <c r="U1048">
        <v>28794.76</v>
      </c>
      <c r="V1048">
        <v>13110.53</v>
      </c>
      <c r="W1048">
        <v>12025.96</v>
      </c>
      <c r="X1048">
        <v>71947.88</v>
      </c>
      <c r="Y1048">
        <v>63575.32</v>
      </c>
    </row>
    <row r="1049" spans="1:25" x14ac:dyDescent="0.25">
      <c r="A1049" t="s">
        <v>1103</v>
      </c>
      <c r="B1049" s="1">
        <v>45227</v>
      </c>
      <c r="C1049">
        <v>2023</v>
      </c>
      <c r="D1049">
        <v>10</v>
      </c>
      <c r="E1049" t="s">
        <v>1017</v>
      </c>
      <c r="F1049" t="s">
        <v>1018</v>
      </c>
      <c r="G1049" t="s">
        <v>55</v>
      </c>
      <c r="H1049" t="s">
        <v>53</v>
      </c>
      <c r="I1049" t="s">
        <v>37</v>
      </c>
      <c r="J1049">
        <v>70</v>
      </c>
      <c r="K1049">
        <v>1003.06</v>
      </c>
      <c r="L1049">
        <v>70214.240000000005</v>
      </c>
      <c r="M1049">
        <v>37679.54</v>
      </c>
      <c r="N1049">
        <v>7266.88</v>
      </c>
      <c r="O1049">
        <v>4397.66</v>
      </c>
      <c r="P1049">
        <v>1609.29</v>
      </c>
      <c r="Q1049">
        <v>405.55</v>
      </c>
      <c r="R1049">
        <v>4245.68</v>
      </c>
      <c r="S1049">
        <v>1298.49</v>
      </c>
      <c r="T1049">
        <v>56903.07</v>
      </c>
      <c r="U1049">
        <v>32534.71</v>
      </c>
      <c r="V1049">
        <v>13311.17</v>
      </c>
      <c r="W1049">
        <v>12621.2</v>
      </c>
      <c r="X1049">
        <v>71596.67</v>
      </c>
      <c r="Y1049">
        <v>55003.18</v>
      </c>
    </row>
    <row r="1050" spans="1:25" x14ac:dyDescent="0.25">
      <c r="A1050" t="s">
        <v>1104</v>
      </c>
      <c r="B1050" s="1">
        <v>45227</v>
      </c>
      <c r="C1050">
        <v>2023</v>
      </c>
      <c r="D1050">
        <v>10</v>
      </c>
      <c r="E1050" t="s">
        <v>1017</v>
      </c>
      <c r="F1050" t="s">
        <v>1018</v>
      </c>
      <c r="G1050" t="s">
        <v>35</v>
      </c>
      <c r="H1050" t="s">
        <v>53</v>
      </c>
      <c r="I1050" t="s">
        <v>39</v>
      </c>
      <c r="J1050">
        <v>34</v>
      </c>
      <c r="K1050">
        <v>1218.75</v>
      </c>
      <c r="L1050">
        <v>41437.56</v>
      </c>
      <c r="M1050">
        <v>23664.17</v>
      </c>
      <c r="N1050">
        <v>3007.79</v>
      </c>
      <c r="O1050">
        <v>3091.01</v>
      </c>
      <c r="P1050">
        <v>1179.83</v>
      </c>
      <c r="Q1050">
        <v>701.43</v>
      </c>
      <c r="R1050">
        <v>1113.98</v>
      </c>
      <c r="S1050">
        <v>649.05999999999995</v>
      </c>
      <c r="T1050">
        <v>33407.26</v>
      </c>
      <c r="U1050">
        <v>17773.39</v>
      </c>
      <c r="V1050">
        <v>8030.3</v>
      </c>
      <c r="W1050">
        <v>7735</v>
      </c>
      <c r="X1050">
        <v>38509.49</v>
      </c>
      <c r="Y1050">
        <v>36720.53</v>
      </c>
    </row>
    <row r="1051" spans="1:25" x14ac:dyDescent="0.25">
      <c r="A1051" t="s">
        <v>1105</v>
      </c>
      <c r="B1051" s="1">
        <v>45228</v>
      </c>
      <c r="C1051">
        <v>2023</v>
      </c>
      <c r="D1051">
        <v>10</v>
      </c>
      <c r="E1051" t="s">
        <v>1017</v>
      </c>
      <c r="F1051" t="s">
        <v>1018</v>
      </c>
      <c r="G1051" t="s">
        <v>55</v>
      </c>
      <c r="H1051" t="s">
        <v>32</v>
      </c>
      <c r="I1051" t="s">
        <v>30</v>
      </c>
      <c r="J1051">
        <v>96</v>
      </c>
      <c r="K1051">
        <v>1066.26</v>
      </c>
      <c r="L1051">
        <v>102360.64</v>
      </c>
      <c r="M1051">
        <v>53567.64</v>
      </c>
      <c r="N1051">
        <v>8601.07</v>
      </c>
      <c r="O1051">
        <v>3187.61</v>
      </c>
      <c r="P1051">
        <v>1898.72</v>
      </c>
      <c r="Q1051">
        <v>1108.6099999999999</v>
      </c>
      <c r="R1051">
        <v>5090.1899999999996</v>
      </c>
      <c r="S1051">
        <v>2223.81</v>
      </c>
      <c r="T1051">
        <v>75677.66</v>
      </c>
      <c r="U1051">
        <v>48793</v>
      </c>
      <c r="V1051">
        <v>26682.98</v>
      </c>
      <c r="W1051">
        <v>26979.51</v>
      </c>
      <c r="X1051">
        <v>109974.63</v>
      </c>
      <c r="Y1051">
        <v>76889.34</v>
      </c>
    </row>
    <row r="1052" spans="1:25" x14ac:dyDescent="0.25">
      <c r="A1052" t="s">
        <v>1106</v>
      </c>
      <c r="B1052" s="1">
        <v>45228</v>
      </c>
      <c r="C1052">
        <v>2023</v>
      </c>
      <c r="D1052">
        <v>10</v>
      </c>
      <c r="E1052" t="s">
        <v>1017</v>
      </c>
      <c r="F1052" t="s">
        <v>1018</v>
      </c>
      <c r="G1052" t="s">
        <v>55</v>
      </c>
      <c r="H1052" t="s">
        <v>32</v>
      </c>
      <c r="I1052" t="s">
        <v>50</v>
      </c>
      <c r="J1052">
        <v>35</v>
      </c>
      <c r="K1052">
        <v>1682.41</v>
      </c>
      <c r="L1052">
        <v>58884.21</v>
      </c>
      <c r="M1052">
        <v>36513.919999999998</v>
      </c>
      <c r="N1052">
        <v>5180.3599999999997</v>
      </c>
      <c r="O1052">
        <v>3630.42</v>
      </c>
      <c r="P1052">
        <v>2317.85</v>
      </c>
      <c r="Q1052">
        <v>359.2</v>
      </c>
      <c r="R1052">
        <v>3367.52</v>
      </c>
      <c r="S1052">
        <v>570.24</v>
      </c>
      <c r="T1052">
        <v>51939.51</v>
      </c>
      <c r="U1052">
        <v>22370.29</v>
      </c>
      <c r="V1052">
        <v>6944.7</v>
      </c>
      <c r="W1052">
        <v>6821.16</v>
      </c>
      <c r="X1052">
        <v>62072.31</v>
      </c>
      <c r="Y1052">
        <v>56580.78</v>
      </c>
    </row>
    <row r="1053" spans="1:25" x14ac:dyDescent="0.25">
      <c r="A1053" t="s">
        <v>1107</v>
      </c>
      <c r="B1053" s="1">
        <v>45228</v>
      </c>
      <c r="C1053">
        <v>2023</v>
      </c>
      <c r="D1053">
        <v>10</v>
      </c>
      <c r="E1053" t="s">
        <v>1017</v>
      </c>
      <c r="F1053" t="s">
        <v>1018</v>
      </c>
      <c r="G1053" t="s">
        <v>44</v>
      </c>
      <c r="H1053" t="s">
        <v>32</v>
      </c>
      <c r="I1053" t="s">
        <v>45</v>
      </c>
      <c r="J1053">
        <v>43</v>
      </c>
      <c r="K1053">
        <v>1224.74</v>
      </c>
      <c r="L1053">
        <v>52663.92</v>
      </c>
      <c r="M1053">
        <v>32598.74</v>
      </c>
      <c r="N1053">
        <v>4822.53</v>
      </c>
      <c r="O1053">
        <v>3709.8</v>
      </c>
      <c r="P1053">
        <v>1569.46</v>
      </c>
      <c r="Q1053">
        <v>283.5</v>
      </c>
      <c r="R1053">
        <v>1965.4</v>
      </c>
      <c r="S1053">
        <v>639.1</v>
      </c>
      <c r="T1053">
        <v>45588.53</v>
      </c>
      <c r="U1053">
        <v>20065.169999999998</v>
      </c>
      <c r="V1053">
        <v>7075.39</v>
      </c>
      <c r="W1053">
        <v>7043.98</v>
      </c>
      <c r="X1053">
        <v>53376.87</v>
      </c>
      <c r="Y1053">
        <v>44251.01</v>
      </c>
    </row>
    <row r="1054" spans="1:25" x14ac:dyDescent="0.25">
      <c r="A1054" t="s">
        <v>1108</v>
      </c>
      <c r="B1054" s="1">
        <v>45228</v>
      </c>
      <c r="C1054">
        <v>2023</v>
      </c>
      <c r="D1054">
        <v>10</v>
      </c>
      <c r="E1054" t="s">
        <v>1017</v>
      </c>
      <c r="F1054" t="s">
        <v>1018</v>
      </c>
      <c r="G1054" t="s">
        <v>28</v>
      </c>
      <c r="H1054" t="s">
        <v>29</v>
      </c>
      <c r="I1054" t="s">
        <v>45</v>
      </c>
      <c r="J1054">
        <v>32</v>
      </c>
      <c r="K1054">
        <v>1631.43</v>
      </c>
      <c r="L1054">
        <v>52205.82</v>
      </c>
      <c r="M1054">
        <v>28217.47</v>
      </c>
      <c r="N1054">
        <v>4956.51</v>
      </c>
      <c r="O1054">
        <v>3493.72</v>
      </c>
      <c r="P1054">
        <v>2109.48</v>
      </c>
      <c r="Q1054">
        <v>411.08</v>
      </c>
      <c r="R1054">
        <v>2768.33</v>
      </c>
      <c r="S1054">
        <v>586.96</v>
      </c>
      <c r="T1054">
        <v>42543.55</v>
      </c>
      <c r="U1054">
        <v>23988.34</v>
      </c>
      <c r="V1054">
        <v>9662.27</v>
      </c>
      <c r="W1054">
        <v>9543.59</v>
      </c>
      <c r="X1054">
        <v>54403.199999999997</v>
      </c>
      <c r="Y1054">
        <v>44219.94</v>
      </c>
    </row>
    <row r="1055" spans="1:25" x14ac:dyDescent="0.25">
      <c r="A1055" t="s">
        <v>1109</v>
      </c>
      <c r="B1055" s="1">
        <v>45228</v>
      </c>
      <c r="C1055">
        <v>2023</v>
      </c>
      <c r="D1055">
        <v>10</v>
      </c>
      <c r="E1055" t="s">
        <v>1017</v>
      </c>
      <c r="F1055" t="s">
        <v>1018</v>
      </c>
      <c r="G1055" t="s">
        <v>55</v>
      </c>
      <c r="H1055" t="s">
        <v>32</v>
      </c>
      <c r="I1055" t="s">
        <v>56</v>
      </c>
      <c r="J1055">
        <v>53</v>
      </c>
      <c r="K1055">
        <v>1019.44</v>
      </c>
      <c r="L1055">
        <v>54030.559999999998</v>
      </c>
      <c r="M1055">
        <v>36408.97</v>
      </c>
      <c r="N1055">
        <v>5129.84</v>
      </c>
      <c r="O1055">
        <v>2629.94</v>
      </c>
      <c r="P1055">
        <v>1542.64</v>
      </c>
      <c r="Q1055">
        <v>901.54</v>
      </c>
      <c r="R1055">
        <v>3454.89</v>
      </c>
      <c r="S1055">
        <v>1062.68</v>
      </c>
      <c r="T1055">
        <v>51130.5</v>
      </c>
      <c r="U1055">
        <v>17621.59</v>
      </c>
      <c r="V1055">
        <v>2900.06</v>
      </c>
      <c r="W1055">
        <v>2558.15</v>
      </c>
      <c r="X1055">
        <v>59957.87</v>
      </c>
      <c r="Y1055">
        <v>48860.35</v>
      </c>
    </row>
    <row r="1056" spans="1:25" x14ac:dyDescent="0.25">
      <c r="A1056" t="s">
        <v>1110</v>
      </c>
      <c r="B1056" s="1">
        <v>45228</v>
      </c>
      <c r="C1056">
        <v>2023</v>
      </c>
      <c r="D1056">
        <v>10</v>
      </c>
      <c r="E1056" t="s">
        <v>1017</v>
      </c>
      <c r="F1056" t="s">
        <v>1018</v>
      </c>
      <c r="G1056" t="s">
        <v>35</v>
      </c>
      <c r="H1056" t="s">
        <v>32</v>
      </c>
      <c r="I1056" t="s">
        <v>56</v>
      </c>
      <c r="J1056">
        <v>33</v>
      </c>
      <c r="K1056">
        <v>1372</v>
      </c>
      <c r="L1056">
        <v>45276</v>
      </c>
      <c r="M1056">
        <v>25691.59</v>
      </c>
      <c r="N1056">
        <v>4882.47</v>
      </c>
      <c r="O1056">
        <v>2150.9899999999998</v>
      </c>
      <c r="P1056">
        <v>1450.71</v>
      </c>
      <c r="Q1056">
        <v>633.57000000000005</v>
      </c>
      <c r="R1056">
        <v>2222.65</v>
      </c>
      <c r="S1056">
        <v>1002.55</v>
      </c>
      <c r="T1056">
        <v>38034.519999999997</v>
      </c>
      <c r="U1056">
        <v>19584.400000000001</v>
      </c>
      <c r="V1056">
        <v>7241.47</v>
      </c>
      <c r="W1056">
        <v>6710.57</v>
      </c>
      <c r="X1056">
        <v>49639.91</v>
      </c>
      <c r="Y1056">
        <v>39839.43</v>
      </c>
    </row>
    <row r="1057" spans="1:25" x14ac:dyDescent="0.25">
      <c r="A1057" t="s">
        <v>1111</v>
      </c>
      <c r="B1057" s="1">
        <v>45229</v>
      </c>
      <c r="C1057">
        <v>2023</v>
      </c>
      <c r="D1057">
        <v>10</v>
      </c>
      <c r="E1057" t="s">
        <v>1017</v>
      </c>
      <c r="F1057" t="s">
        <v>1018</v>
      </c>
      <c r="G1057" t="s">
        <v>44</v>
      </c>
      <c r="H1057" t="s">
        <v>32</v>
      </c>
      <c r="I1057" t="s">
        <v>30</v>
      </c>
      <c r="J1057">
        <v>70</v>
      </c>
      <c r="K1057">
        <v>1581.17</v>
      </c>
      <c r="L1057">
        <v>110682.23</v>
      </c>
      <c r="M1057">
        <v>70434.36</v>
      </c>
      <c r="N1057">
        <v>13832.33</v>
      </c>
      <c r="O1057">
        <v>5844.62</v>
      </c>
      <c r="P1057">
        <v>4894.6899999999996</v>
      </c>
      <c r="Q1057">
        <v>1256.55</v>
      </c>
      <c r="R1057">
        <v>2817.94</v>
      </c>
      <c r="S1057">
        <v>2259.77</v>
      </c>
      <c r="T1057">
        <v>101340.26</v>
      </c>
      <c r="U1057">
        <v>40247.870000000003</v>
      </c>
      <c r="V1057">
        <v>9341.9699999999993</v>
      </c>
      <c r="W1057">
        <v>8648.6200000000008</v>
      </c>
      <c r="X1057">
        <v>108520.92</v>
      </c>
      <c r="Y1057">
        <v>109336.05</v>
      </c>
    </row>
    <row r="1058" spans="1:25" x14ac:dyDescent="0.25">
      <c r="A1058" t="s">
        <v>1112</v>
      </c>
      <c r="B1058" s="1">
        <v>45229</v>
      </c>
      <c r="C1058">
        <v>2023</v>
      </c>
      <c r="D1058">
        <v>10</v>
      </c>
      <c r="E1058" t="s">
        <v>1017</v>
      </c>
      <c r="F1058" t="s">
        <v>1018</v>
      </c>
      <c r="G1058" t="s">
        <v>55</v>
      </c>
      <c r="H1058" t="s">
        <v>32</v>
      </c>
      <c r="I1058" t="s">
        <v>45</v>
      </c>
      <c r="J1058">
        <v>47</v>
      </c>
      <c r="K1058">
        <v>1049.6300000000001</v>
      </c>
      <c r="L1058">
        <v>49332.75</v>
      </c>
      <c r="M1058">
        <v>24753.439999999999</v>
      </c>
      <c r="N1058">
        <v>5068.4799999999996</v>
      </c>
      <c r="O1058">
        <v>2619.54</v>
      </c>
      <c r="P1058">
        <v>1346.88</v>
      </c>
      <c r="Q1058">
        <v>409.67</v>
      </c>
      <c r="R1058">
        <v>3182.32</v>
      </c>
      <c r="S1058">
        <v>459.78</v>
      </c>
      <c r="T1058">
        <v>37840.11</v>
      </c>
      <c r="U1058">
        <v>24579.31</v>
      </c>
      <c r="V1058">
        <v>11492.64</v>
      </c>
      <c r="W1058">
        <v>11528.44</v>
      </c>
      <c r="X1058">
        <v>46466.07</v>
      </c>
      <c r="Y1058">
        <v>36585.82</v>
      </c>
    </row>
    <row r="1059" spans="1:25" x14ac:dyDescent="0.25">
      <c r="A1059" t="s">
        <v>1113</v>
      </c>
      <c r="B1059" s="1">
        <v>45229</v>
      </c>
      <c r="C1059">
        <v>2023</v>
      </c>
      <c r="D1059">
        <v>10</v>
      </c>
      <c r="E1059" t="s">
        <v>1017</v>
      </c>
      <c r="F1059" t="s">
        <v>1018</v>
      </c>
      <c r="G1059" t="s">
        <v>35</v>
      </c>
      <c r="H1059" t="s">
        <v>32</v>
      </c>
      <c r="I1059" t="s">
        <v>30</v>
      </c>
      <c r="J1059">
        <v>107</v>
      </c>
      <c r="K1059">
        <v>874.58</v>
      </c>
      <c r="L1059">
        <v>93579.94</v>
      </c>
      <c r="M1059">
        <v>63409.66</v>
      </c>
      <c r="N1059">
        <v>10300.15</v>
      </c>
      <c r="O1059">
        <v>3311.85</v>
      </c>
      <c r="P1059">
        <v>3901.82</v>
      </c>
      <c r="Q1059">
        <v>879.65</v>
      </c>
      <c r="R1059">
        <v>5043.8100000000004</v>
      </c>
      <c r="S1059">
        <v>1271.03</v>
      </c>
      <c r="T1059">
        <v>88117.96</v>
      </c>
      <c r="U1059">
        <v>30170.28</v>
      </c>
      <c r="V1059">
        <v>5461.97</v>
      </c>
      <c r="W1059">
        <v>5160.24</v>
      </c>
      <c r="X1059">
        <v>101590.06</v>
      </c>
      <c r="Y1059">
        <v>95268.14</v>
      </c>
    </row>
    <row r="1060" spans="1:25" x14ac:dyDescent="0.25">
      <c r="A1060" t="s">
        <v>1114</v>
      </c>
      <c r="B1060" s="1">
        <v>45229</v>
      </c>
      <c r="C1060">
        <v>2023</v>
      </c>
      <c r="D1060">
        <v>10</v>
      </c>
      <c r="E1060" t="s">
        <v>1017</v>
      </c>
      <c r="F1060" t="s">
        <v>1018</v>
      </c>
      <c r="G1060" t="s">
        <v>44</v>
      </c>
      <c r="H1060" t="s">
        <v>29</v>
      </c>
      <c r="I1060" t="s">
        <v>56</v>
      </c>
      <c r="J1060">
        <v>30</v>
      </c>
      <c r="K1060">
        <v>1374.57</v>
      </c>
      <c r="L1060">
        <v>41237.019999999997</v>
      </c>
      <c r="M1060">
        <v>20619.330000000002</v>
      </c>
      <c r="N1060">
        <v>3392.14</v>
      </c>
      <c r="O1060">
        <v>2210.2800000000002</v>
      </c>
      <c r="P1060">
        <v>988.73</v>
      </c>
      <c r="Q1060">
        <v>473.32</v>
      </c>
      <c r="R1060">
        <v>1696.1</v>
      </c>
      <c r="S1060">
        <v>515.42999999999995</v>
      </c>
      <c r="T1060">
        <v>29895.32</v>
      </c>
      <c r="U1060">
        <v>20617.689999999999</v>
      </c>
      <c r="V1060">
        <v>11341.7</v>
      </c>
      <c r="W1060">
        <v>11190.88</v>
      </c>
      <c r="X1060">
        <v>43166.39</v>
      </c>
      <c r="Y1060">
        <v>28731.599999999999</v>
      </c>
    </row>
    <row r="1061" spans="1:25" x14ac:dyDescent="0.25">
      <c r="A1061" t="s">
        <v>1115</v>
      </c>
      <c r="B1061" s="1">
        <v>45230</v>
      </c>
      <c r="C1061">
        <v>2023</v>
      </c>
      <c r="D1061">
        <v>10</v>
      </c>
      <c r="E1061" t="s">
        <v>1017</v>
      </c>
      <c r="F1061" t="s">
        <v>1018</v>
      </c>
      <c r="G1061" t="s">
        <v>35</v>
      </c>
      <c r="H1061" t="s">
        <v>53</v>
      </c>
      <c r="I1061" t="s">
        <v>37</v>
      </c>
      <c r="J1061">
        <v>63</v>
      </c>
      <c r="K1061">
        <v>1051.9000000000001</v>
      </c>
      <c r="L1061">
        <v>66269.440000000002</v>
      </c>
      <c r="M1061">
        <v>37727.949999999997</v>
      </c>
      <c r="N1061">
        <v>6626.4</v>
      </c>
      <c r="O1061">
        <v>2097.3200000000002</v>
      </c>
      <c r="P1061">
        <v>1742.43</v>
      </c>
      <c r="Q1061">
        <v>567.53</v>
      </c>
      <c r="R1061">
        <v>3507.19</v>
      </c>
      <c r="S1061">
        <v>699.99</v>
      </c>
      <c r="T1061">
        <v>52968.81</v>
      </c>
      <c r="U1061">
        <v>28541.49</v>
      </c>
      <c r="V1061">
        <v>13300.63</v>
      </c>
      <c r="W1061">
        <v>11733.11</v>
      </c>
      <c r="X1061">
        <v>66482.17</v>
      </c>
      <c r="Y1061">
        <v>54533.64</v>
      </c>
    </row>
    <row r="1062" spans="1:25" x14ac:dyDescent="0.25">
      <c r="A1062" t="s">
        <v>1116</v>
      </c>
      <c r="B1062" s="1">
        <v>45231</v>
      </c>
      <c r="C1062">
        <v>2023</v>
      </c>
      <c r="D1062">
        <v>11</v>
      </c>
      <c r="E1062" t="s">
        <v>1117</v>
      </c>
      <c r="F1062" t="s">
        <v>1018</v>
      </c>
      <c r="G1062" t="s">
        <v>44</v>
      </c>
      <c r="H1062" t="s">
        <v>53</v>
      </c>
      <c r="I1062" t="s">
        <v>65</v>
      </c>
      <c r="J1062">
        <v>25</v>
      </c>
      <c r="K1062">
        <v>1743</v>
      </c>
      <c r="L1062">
        <v>43574.93</v>
      </c>
      <c r="M1062">
        <v>20998.959999999999</v>
      </c>
      <c r="N1062">
        <v>4736.6400000000003</v>
      </c>
      <c r="O1062">
        <v>2615.61</v>
      </c>
      <c r="P1062">
        <v>1164.83</v>
      </c>
      <c r="Q1062">
        <v>218.91</v>
      </c>
      <c r="R1062">
        <v>1692.04</v>
      </c>
      <c r="S1062">
        <v>1035.98</v>
      </c>
      <c r="T1062">
        <v>32462.97</v>
      </c>
      <c r="U1062">
        <v>22575.97</v>
      </c>
      <c r="V1062">
        <v>11111.96</v>
      </c>
      <c r="W1062">
        <v>10543.1</v>
      </c>
      <c r="X1062">
        <v>47019.53</v>
      </c>
      <c r="Y1062">
        <v>34248.29</v>
      </c>
    </row>
    <row r="1063" spans="1:25" x14ac:dyDescent="0.25">
      <c r="A1063" t="s">
        <v>1118</v>
      </c>
      <c r="B1063" s="1">
        <v>45231</v>
      </c>
      <c r="C1063">
        <v>2023</v>
      </c>
      <c r="D1063">
        <v>11</v>
      </c>
      <c r="E1063" t="s">
        <v>1117</v>
      </c>
      <c r="F1063" t="s">
        <v>1018</v>
      </c>
      <c r="G1063" t="s">
        <v>35</v>
      </c>
      <c r="H1063" t="s">
        <v>36</v>
      </c>
      <c r="I1063" t="s">
        <v>45</v>
      </c>
      <c r="J1063">
        <v>51</v>
      </c>
      <c r="K1063">
        <v>899.53</v>
      </c>
      <c r="L1063">
        <v>45876.11</v>
      </c>
      <c r="M1063">
        <v>26377.759999999998</v>
      </c>
      <c r="N1063">
        <v>5569.86</v>
      </c>
      <c r="O1063">
        <v>2659.28</v>
      </c>
      <c r="P1063">
        <v>1037.45</v>
      </c>
      <c r="Q1063">
        <v>293.76</v>
      </c>
      <c r="R1063">
        <v>1422.49</v>
      </c>
      <c r="S1063">
        <v>489.29</v>
      </c>
      <c r="T1063">
        <v>37849.89</v>
      </c>
      <c r="U1063">
        <v>19498.34</v>
      </c>
      <c r="V1063">
        <v>8026.21</v>
      </c>
      <c r="W1063">
        <v>8087.17</v>
      </c>
      <c r="X1063">
        <v>50152.42</v>
      </c>
      <c r="Y1063">
        <v>36864.69</v>
      </c>
    </row>
    <row r="1064" spans="1:25" x14ac:dyDescent="0.25">
      <c r="A1064" t="s">
        <v>1119</v>
      </c>
      <c r="B1064" s="1">
        <v>45231</v>
      </c>
      <c r="C1064">
        <v>2023</v>
      </c>
      <c r="D1064">
        <v>11</v>
      </c>
      <c r="E1064" t="s">
        <v>1117</v>
      </c>
      <c r="F1064" t="s">
        <v>1018</v>
      </c>
      <c r="G1064" t="s">
        <v>28</v>
      </c>
      <c r="H1064" t="s">
        <v>36</v>
      </c>
      <c r="I1064" t="s">
        <v>50</v>
      </c>
      <c r="J1064">
        <v>49</v>
      </c>
      <c r="K1064">
        <v>1160.7</v>
      </c>
      <c r="L1064">
        <v>56874.31</v>
      </c>
      <c r="M1064">
        <v>36577</v>
      </c>
      <c r="N1064">
        <v>6310.07</v>
      </c>
      <c r="O1064">
        <v>4195.97</v>
      </c>
      <c r="P1064">
        <v>1724.97</v>
      </c>
      <c r="Q1064">
        <v>938.58</v>
      </c>
      <c r="R1064">
        <v>3610.34</v>
      </c>
      <c r="S1064">
        <v>1129.6199999999999</v>
      </c>
      <c r="T1064">
        <v>54486.559999999998</v>
      </c>
      <c r="U1064">
        <v>20297.310000000001</v>
      </c>
      <c r="V1064">
        <v>2387.75</v>
      </c>
      <c r="W1064">
        <v>2153.2800000000002</v>
      </c>
      <c r="X1064">
        <v>53592.15</v>
      </c>
      <c r="Y1064">
        <v>58250.86</v>
      </c>
    </row>
    <row r="1065" spans="1:25" x14ac:dyDescent="0.25">
      <c r="A1065" t="s">
        <v>1120</v>
      </c>
      <c r="B1065" s="1">
        <v>45231</v>
      </c>
      <c r="C1065">
        <v>2023</v>
      </c>
      <c r="D1065">
        <v>11</v>
      </c>
      <c r="E1065" t="s">
        <v>1117</v>
      </c>
      <c r="F1065" t="s">
        <v>1018</v>
      </c>
      <c r="G1065" t="s">
        <v>55</v>
      </c>
      <c r="H1065" t="s">
        <v>58</v>
      </c>
      <c r="I1065" t="s">
        <v>33</v>
      </c>
      <c r="J1065">
        <v>58</v>
      </c>
      <c r="K1065">
        <v>1211.98</v>
      </c>
      <c r="L1065">
        <v>70294.929999999993</v>
      </c>
      <c r="M1065">
        <v>42002.29</v>
      </c>
      <c r="N1065">
        <v>8845.99</v>
      </c>
      <c r="O1065">
        <v>4570.0200000000004</v>
      </c>
      <c r="P1065">
        <v>2003.95</v>
      </c>
      <c r="Q1065">
        <v>1095.3399999999999</v>
      </c>
      <c r="R1065">
        <v>3853.5</v>
      </c>
      <c r="S1065">
        <v>1016.83</v>
      </c>
      <c r="T1065">
        <v>63387.91</v>
      </c>
      <c r="U1065">
        <v>28292.639999999999</v>
      </c>
      <c r="V1065">
        <v>6907.02</v>
      </c>
      <c r="W1065">
        <v>6092.22</v>
      </c>
      <c r="X1065">
        <v>75119.12</v>
      </c>
      <c r="Y1065">
        <v>64687.46</v>
      </c>
    </row>
    <row r="1066" spans="1:25" x14ac:dyDescent="0.25">
      <c r="A1066" t="s">
        <v>1121</v>
      </c>
      <c r="B1066" s="1">
        <v>45231</v>
      </c>
      <c r="C1066">
        <v>2023</v>
      </c>
      <c r="D1066">
        <v>11</v>
      </c>
      <c r="E1066" t="s">
        <v>1117</v>
      </c>
      <c r="F1066" t="s">
        <v>1018</v>
      </c>
      <c r="G1066" t="s">
        <v>44</v>
      </c>
      <c r="H1066" t="s">
        <v>32</v>
      </c>
      <c r="I1066" t="s">
        <v>37</v>
      </c>
      <c r="J1066">
        <v>40</v>
      </c>
      <c r="K1066">
        <v>1622.5</v>
      </c>
      <c r="L1066">
        <v>64899.92</v>
      </c>
      <c r="M1066">
        <v>43358.29</v>
      </c>
      <c r="N1066">
        <v>5297.83</v>
      </c>
      <c r="O1066">
        <v>3084.1</v>
      </c>
      <c r="P1066">
        <v>2750.18</v>
      </c>
      <c r="Q1066">
        <v>877.13</v>
      </c>
      <c r="R1066">
        <v>3578.27</v>
      </c>
      <c r="S1066">
        <v>595.51</v>
      </c>
      <c r="T1066">
        <v>59541.3</v>
      </c>
      <c r="U1066">
        <v>21541.63</v>
      </c>
      <c r="V1066">
        <v>5358.62</v>
      </c>
      <c r="W1066">
        <v>5232.09</v>
      </c>
      <c r="X1066">
        <v>61485.41</v>
      </c>
      <c r="Y1066">
        <v>65395.18</v>
      </c>
    </row>
    <row r="1067" spans="1:25" x14ac:dyDescent="0.25">
      <c r="A1067" t="s">
        <v>1122</v>
      </c>
      <c r="B1067" s="1">
        <v>45231</v>
      </c>
      <c r="C1067">
        <v>2023</v>
      </c>
      <c r="D1067">
        <v>11</v>
      </c>
      <c r="E1067" t="s">
        <v>1117</v>
      </c>
      <c r="F1067" t="s">
        <v>1018</v>
      </c>
      <c r="G1067" t="s">
        <v>28</v>
      </c>
      <c r="H1067" t="s">
        <v>32</v>
      </c>
      <c r="I1067" t="s">
        <v>30</v>
      </c>
      <c r="J1067">
        <v>140</v>
      </c>
      <c r="K1067">
        <v>935.14</v>
      </c>
      <c r="L1067">
        <v>130919.67999999999</v>
      </c>
      <c r="M1067">
        <v>74755.44</v>
      </c>
      <c r="N1067">
        <v>14702.75</v>
      </c>
      <c r="O1067">
        <v>9511.02</v>
      </c>
      <c r="P1067">
        <v>3353.1</v>
      </c>
      <c r="Q1067">
        <v>1701.08</v>
      </c>
      <c r="R1067">
        <v>5763.21</v>
      </c>
      <c r="S1067">
        <v>1667.71</v>
      </c>
      <c r="T1067">
        <v>111454.32</v>
      </c>
      <c r="U1067">
        <v>56164.23</v>
      </c>
      <c r="V1067">
        <v>19465.36</v>
      </c>
      <c r="W1067">
        <v>17653.54</v>
      </c>
      <c r="X1067">
        <v>131799.01999999999</v>
      </c>
      <c r="Y1067">
        <v>121611.28</v>
      </c>
    </row>
    <row r="1068" spans="1:25" x14ac:dyDescent="0.25">
      <c r="A1068" t="s">
        <v>1123</v>
      </c>
      <c r="B1068" s="1">
        <v>45232</v>
      </c>
      <c r="C1068">
        <v>2023</v>
      </c>
      <c r="D1068">
        <v>11</v>
      </c>
      <c r="E1068" t="s">
        <v>1117</v>
      </c>
      <c r="F1068" t="s">
        <v>1018</v>
      </c>
      <c r="G1068" t="s">
        <v>44</v>
      </c>
      <c r="H1068" t="s">
        <v>29</v>
      </c>
      <c r="I1068" t="s">
        <v>39</v>
      </c>
      <c r="J1068">
        <v>42</v>
      </c>
      <c r="K1068">
        <v>924.78</v>
      </c>
      <c r="L1068">
        <v>38840.699999999997</v>
      </c>
      <c r="M1068">
        <v>25862.66</v>
      </c>
      <c r="N1068">
        <v>4984.38</v>
      </c>
      <c r="O1068">
        <v>1849.94</v>
      </c>
      <c r="P1068">
        <v>1136.99</v>
      </c>
      <c r="Q1068">
        <v>483.76</v>
      </c>
      <c r="R1068">
        <v>1265.94</v>
      </c>
      <c r="S1068">
        <v>590.37</v>
      </c>
      <c r="T1068">
        <v>36174.04</v>
      </c>
      <c r="U1068">
        <v>12978.04</v>
      </c>
      <c r="V1068">
        <v>2666.66</v>
      </c>
      <c r="W1068">
        <v>2557.08</v>
      </c>
      <c r="X1068">
        <v>35865.440000000002</v>
      </c>
      <c r="Y1068">
        <v>35647.839999999997</v>
      </c>
    </row>
    <row r="1069" spans="1:25" x14ac:dyDescent="0.25">
      <c r="A1069" t="s">
        <v>1124</v>
      </c>
      <c r="B1069" s="1">
        <v>45232</v>
      </c>
      <c r="C1069">
        <v>2023</v>
      </c>
      <c r="D1069">
        <v>11</v>
      </c>
      <c r="E1069" t="s">
        <v>1117</v>
      </c>
      <c r="F1069" t="s">
        <v>1018</v>
      </c>
      <c r="G1069" t="s">
        <v>28</v>
      </c>
      <c r="H1069" t="s">
        <v>32</v>
      </c>
      <c r="I1069" t="s">
        <v>30</v>
      </c>
      <c r="J1069">
        <v>89</v>
      </c>
      <c r="K1069">
        <v>1426.8</v>
      </c>
      <c r="L1069">
        <v>126985.47</v>
      </c>
      <c r="M1069">
        <v>63041.78</v>
      </c>
      <c r="N1069">
        <v>14361.71</v>
      </c>
      <c r="O1069">
        <v>7432.89</v>
      </c>
      <c r="P1069">
        <v>5245.69</v>
      </c>
      <c r="Q1069">
        <v>1325.75</v>
      </c>
      <c r="R1069">
        <v>4212.18</v>
      </c>
      <c r="S1069">
        <v>2700.26</v>
      </c>
      <c r="T1069">
        <v>98320.25</v>
      </c>
      <c r="U1069">
        <v>63943.69</v>
      </c>
      <c r="V1069">
        <v>28665.22</v>
      </c>
      <c r="W1069">
        <v>28683.54</v>
      </c>
      <c r="X1069">
        <v>121317.25</v>
      </c>
      <c r="Y1069">
        <v>104719.94</v>
      </c>
    </row>
    <row r="1070" spans="1:25" x14ac:dyDescent="0.25">
      <c r="A1070" t="s">
        <v>1125</v>
      </c>
      <c r="B1070" s="1">
        <v>45233</v>
      </c>
      <c r="C1070">
        <v>2023</v>
      </c>
      <c r="D1070">
        <v>11</v>
      </c>
      <c r="E1070" t="s">
        <v>1117</v>
      </c>
      <c r="F1070" t="s">
        <v>1018</v>
      </c>
      <c r="G1070" t="s">
        <v>44</v>
      </c>
      <c r="H1070" t="s">
        <v>53</v>
      </c>
      <c r="I1070" t="s">
        <v>37</v>
      </c>
      <c r="J1070">
        <v>52</v>
      </c>
      <c r="K1070">
        <v>1285.2</v>
      </c>
      <c r="L1070">
        <v>66830.539999999994</v>
      </c>
      <c r="M1070">
        <v>35892.519999999997</v>
      </c>
      <c r="N1070">
        <v>7586.33</v>
      </c>
      <c r="O1070">
        <v>4631.21</v>
      </c>
      <c r="P1070">
        <v>1727.37</v>
      </c>
      <c r="Q1070">
        <v>1102.8599999999999</v>
      </c>
      <c r="R1070">
        <v>3650.13</v>
      </c>
      <c r="S1070">
        <v>1046.76</v>
      </c>
      <c r="T1070">
        <v>55637.17</v>
      </c>
      <c r="U1070">
        <v>30938.01</v>
      </c>
      <c r="V1070">
        <v>11193.36</v>
      </c>
      <c r="W1070">
        <v>11081.96</v>
      </c>
      <c r="X1070">
        <v>70658.929999999993</v>
      </c>
      <c r="Y1070">
        <v>61105.09</v>
      </c>
    </row>
    <row r="1071" spans="1:25" x14ac:dyDescent="0.25">
      <c r="A1071" t="s">
        <v>1126</v>
      </c>
      <c r="B1071" s="1">
        <v>45233</v>
      </c>
      <c r="C1071">
        <v>2023</v>
      </c>
      <c r="D1071">
        <v>11</v>
      </c>
      <c r="E1071" t="s">
        <v>1117</v>
      </c>
      <c r="F1071" t="s">
        <v>1018</v>
      </c>
      <c r="G1071" t="s">
        <v>55</v>
      </c>
      <c r="H1071" t="s">
        <v>36</v>
      </c>
      <c r="I1071" t="s">
        <v>56</v>
      </c>
      <c r="J1071">
        <v>41</v>
      </c>
      <c r="K1071">
        <v>1038.69</v>
      </c>
      <c r="L1071">
        <v>42586.3</v>
      </c>
      <c r="M1071">
        <v>23930.55</v>
      </c>
      <c r="N1071">
        <v>3410.36</v>
      </c>
      <c r="O1071">
        <v>2251.17</v>
      </c>
      <c r="P1071">
        <v>984.47</v>
      </c>
      <c r="Q1071">
        <v>302.20999999999998</v>
      </c>
      <c r="R1071">
        <v>1203.3699999999999</v>
      </c>
      <c r="S1071">
        <v>780.06</v>
      </c>
      <c r="T1071">
        <v>32862.199999999997</v>
      </c>
      <c r="U1071">
        <v>18655.740000000002</v>
      </c>
      <c r="V1071">
        <v>9724.1</v>
      </c>
      <c r="W1071">
        <v>9719.1</v>
      </c>
      <c r="X1071">
        <v>46337.89</v>
      </c>
      <c r="Y1071">
        <v>35784.5</v>
      </c>
    </row>
    <row r="1072" spans="1:25" x14ac:dyDescent="0.25">
      <c r="A1072" t="s">
        <v>1127</v>
      </c>
      <c r="B1072" s="1">
        <v>45233</v>
      </c>
      <c r="C1072">
        <v>2023</v>
      </c>
      <c r="D1072">
        <v>11</v>
      </c>
      <c r="E1072" t="s">
        <v>1117</v>
      </c>
      <c r="F1072" t="s">
        <v>1018</v>
      </c>
      <c r="G1072" t="s">
        <v>35</v>
      </c>
      <c r="H1072" t="s">
        <v>32</v>
      </c>
      <c r="I1072" t="s">
        <v>39</v>
      </c>
      <c r="J1072">
        <v>37</v>
      </c>
      <c r="K1072">
        <v>924.17</v>
      </c>
      <c r="L1072">
        <v>34194.14</v>
      </c>
      <c r="M1072">
        <v>18803.75</v>
      </c>
      <c r="N1072">
        <v>3432.66</v>
      </c>
      <c r="O1072">
        <v>2222.5300000000002</v>
      </c>
      <c r="P1072">
        <v>513.01</v>
      </c>
      <c r="Q1072">
        <v>542.59</v>
      </c>
      <c r="R1072">
        <v>2101.6999999999998</v>
      </c>
      <c r="S1072">
        <v>319.64999999999998</v>
      </c>
      <c r="T1072">
        <v>27935.89</v>
      </c>
      <c r="U1072">
        <v>15390.38</v>
      </c>
      <c r="V1072">
        <v>6258.25</v>
      </c>
      <c r="W1072">
        <v>5737.23</v>
      </c>
      <c r="X1072">
        <v>34658.99</v>
      </c>
      <c r="Y1072">
        <v>28334.46</v>
      </c>
    </row>
    <row r="1073" spans="1:25" x14ac:dyDescent="0.25">
      <c r="A1073" t="s">
        <v>1128</v>
      </c>
      <c r="B1073" s="1">
        <v>45233</v>
      </c>
      <c r="C1073">
        <v>2023</v>
      </c>
      <c r="D1073">
        <v>11</v>
      </c>
      <c r="E1073" t="s">
        <v>1117</v>
      </c>
      <c r="F1073" t="s">
        <v>1018</v>
      </c>
      <c r="G1073" t="s">
        <v>44</v>
      </c>
      <c r="H1073" t="s">
        <v>53</v>
      </c>
      <c r="I1073" t="s">
        <v>39</v>
      </c>
      <c r="J1073">
        <v>18</v>
      </c>
      <c r="K1073">
        <v>1662.9</v>
      </c>
      <c r="L1073">
        <v>29932.240000000002</v>
      </c>
      <c r="M1073">
        <v>16722.04</v>
      </c>
      <c r="N1073">
        <v>3074.59</v>
      </c>
      <c r="O1073">
        <v>1434.12</v>
      </c>
      <c r="P1073">
        <v>867.62</v>
      </c>
      <c r="Q1073">
        <v>359.2</v>
      </c>
      <c r="R1073">
        <v>1326.85</v>
      </c>
      <c r="S1073">
        <v>695.09</v>
      </c>
      <c r="T1073">
        <v>24479.5</v>
      </c>
      <c r="U1073">
        <v>13210.19</v>
      </c>
      <c r="V1073">
        <v>5452.74</v>
      </c>
      <c r="W1073">
        <v>5560.67</v>
      </c>
      <c r="X1073">
        <v>29692.959999999999</v>
      </c>
      <c r="Y1073">
        <v>23612.29</v>
      </c>
    </row>
    <row r="1074" spans="1:25" x14ac:dyDescent="0.25">
      <c r="A1074" t="s">
        <v>1129</v>
      </c>
      <c r="B1074" s="1">
        <v>45234</v>
      </c>
      <c r="C1074">
        <v>2023</v>
      </c>
      <c r="D1074">
        <v>11</v>
      </c>
      <c r="E1074" t="s">
        <v>1117</v>
      </c>
      <c r="F1074" t="s">
        <v>1018</v>
      </c>
      <c r="G1074" t="s">
        <v>28</v>
      </c>
      <c r="H1074" t="s">
        <v>53</v>
      </c>
      <c r="I1074" t="s">
        <v>39</v>
      </c>
      <c r="J1074">
        <v>25</v>
      </c>
      <c r="K1074">
        <v>1675.47</v>
      </c>
      <c r="L1074">
        <v>41886.85</v>
      </c>
      <c r="M1074">
        <v>25088.79</v>
      </c>
      <c r="N1074">
        <v>3487.8</v>
      </c>
      <c r="O1074">
        <v>3050.57</v>
      </c>
      <c r="P1074">
        <v>709.34</v>
      </c>
      <c r="Q1074">
        <v>454.71</v>
      </c>
      <c r="R1074">
        <v>2573.2199999999998</v>
      </c>
      <c r="S1074">
        <v>342.36</v>
      </c>
      <c r="T1074">
        <v>35706.79</v>
      </c>
      <c r="U1074">
        <v>16798.060000000001</v>
      </c>
      <c r="V1074">
        <v>6180.06</v>
      </c>
      <c r="W1074">
        <v>6187.42</v>
      </c>
      <c r="X1074">
        <v>42318.17</v>
      </c>
      <c r="Y1074">
        <v>36188.21</v>
      </c>
    </row>
    <row r="1075" spans="1:25" x14ac:dyDescent="0.25">
      <c r="A1075" t="s">
        <v>1130</v>
      </c>
      <c r="B1075" s="1">
        <v>45234</v>
      </c>
      <c r="C1075">
        <v>2023</v>
      </c>
      <c r="D1075">
        <v>11</v>
      </c>
      <c r="E1075" t="s">
        <v>1117</v>
      </c>
      <c r="F1075" t="s">
        <v>1018</v>
      </c>
      <c r="G1075" t="s">
        <v>44</v>
      </c>
      <c r="H1075" t="s">
        <v>32</v>
      </c>
      <c r="I1075" t="s">
        <v>65</v>
      </c>
      <c r="J1075">
        <v>77</v>
      </c>
      <c r="K1075">
        <v>952.46</v>
      </c>
      <c r="L1075">
        <v>73339.520000000004</v>
      </c>
      <c r="M1075">
        <v>42209.29</v>
      </c>
      <c r="N1075">
        <v>8489.18</v>
      </c>
      <c r="O1075">
        <v>2347.5300000000002</v>
      </c>
      <c r="P1075">
        <v>1529.18</v>
      </c>
      <c r="Q1075">
        <v>906.95</v>
      </c>
      <c r="R1075">
        <v>4747.25</v>
      </c>
      <c r="S1075">
        <v>1830.77</v>
      </c>
      <c r="T1075">
        <v>62060.14</v>
      </c>
      <c r="U1075">
        <v>31130.22</v>
      </c>
      <c r="V1075">
        <v>11279.37</v>
      </c>
      <c r="W1075">
        <v>11241.16</v>
      </c>
      <c r="X1075">
        <v>75300.800000000003</v>
      </c>
      <c r="Y1075">
        <v>59158.16</v>
      </c>
    </row>
    <row r="1076" spans="1:25" x14ac:dyDescent="0.25">
      <c r="A1076" t="s">
        <v>1131</v>
      </c>
      <c r="B1076" s="1">
        <v>45234</v>
      </c>
      <c r="C1076">
        <v>2023</v>
      </c>
      <c r="D1076">
        <v>11</v>
      </c>
      <c r="E1076" t="s">
        <v>1117</v>
      </c>
      <c r="F1076" t="s">
        <v>1018</v>
      </c>
      <c r="G1076" t="s">
        <v>28</v>
      </c>
      <c r="H1076" t="s">
        <v>58</v>
      </c>
      <c r="I1076" t="s">
        <v>45</v>
      </c>
      <c r="J1076">
        <v>41</v>
      </c>
      <c r="K1076">
        <v>1337.03</v>
      </c>
      <c r="L1076">
        <v>54818.239999999998</v>
      </c>
      <c r="M1076">
        <v>32937.21</v>
      </c>
      <c r="N1076">
        <v>3844.38</v>
      </c>
      <c r="O1076">
        <v>1380.04</v>
      </c>
      <c r="P1076">
        <v>2110.0100000000002</v>
      </c>
      <c r="Q1076">
        <v>313.89</v>
      </c>
      <c r="R1076">
        <v>1510.48</v>
      </c>
      <c r="S1076">
        <v>785.36</v>
      </c>
      <c r="T1076">
        <v>42881.37</v>
      </c>
      <c r="U1076">
        <v>21881.03</v>
      </c>
      <c r="V1076">
        <v>11936.87</v>
      </c>
      <c r="W1076">
        <v>11020.15</v>
      </c>
      <c r="X1076">
        <v>50622.16</v>
      </c>
      <c r="Y1076">
        <v>41571.71</v>
      </c>
    </row>
    <row r="1077" spans="1:25" x14ac:dyDescent="0.25">
      <c r="A1077" t="s">
        <v>1132</v>
      </c>
      <c r="B1077" s="1">
        <v>45234</v>
      </c>
      <c r="C1077">
        <v>2023</v>
      </c>
      <c r="D1077">
        <v>11</v>
      </c>
      <c r="E1077" t="s">
        <v>1117</v>
      </c>
      <c r="F1077" t="s">
        <v>1018</v>
      </c>
      <c r="G1077" t="s">
        <v>28</v>
      </c>
      <c r="H1077" t="s">
        <v>32</v>
      </c>
      <c r="I1077" t="s">
        <v>56</v>
      </c>
      <c r="J1077">
        <v>28</v>
      </c>
      <c r="K1077">
        <v>1176.1099999999999</v>
      </c>
      <c r="L1077">
        <v>32931.089999999997</v>
      </c>
      <c r="M1077">
        <v>22133.93</v>
      </c>
      <c r="N1077">
        <v>3965.61</v>
      </c>
      <c r="O1077">
        <v>1438.58</v>
      </c>
      <c r="P1077">
        <v>1125.54</v>
      </c>
      <c r="Q1077">
        <v>392.43</v>
      </c>
      <c r="R1077">
        <v>1273.3599999999999</v>
      </c>
      <c r="S1077">
        <v>779.61</v>
      </c>
      <c r="T1077">
        <v>31109.08</v>
      </c>
      <c r="U1077">
        <v>10797.16</v>
      </c>
      <c r="V1077">
        <v>1822.02</v>
      </c>
      <c r="W1077">
        <v>1651.33</v>
      </c>
      <c r="X1077">
        <v>36681.300000000003</v>
      </c>
      <c r="Y1077">
        <v>29118.19</v>
      </c>
    </row>
    <row r="1078" spans="1:25" x14ac:dyDescent="0.25">
      <c r="A1078" t="s">
        <v>1133</v>
      </c>
      <c r="B1078" s="1">
        <v>45234</v>
      </c>
      <c r="C1078">
        <v>2023</v>
      </c>
      <c r="D1078">
        <v>11</v>
      </c>
      <c r="E1078" t="s">
        <v>1117</v>
      </c>
      <c r="F1078" t="s">
        <v>1018</v>
      </c>
      <c r="G1078" t="s">
        <v>28</v>
      </c>
      <c r="H1078" t="s">
        <v>58</v>
      </c>
      <c r="I1078" t="s">
        <v>37</v>
      </c>
      <c r="J1078">
        <v>39</v>
      </c>
      <c r="K1078">
        <v>1712.12</v>
      </c>
      <c r="L1078">
        <v>66772.87</v>
      </c>
      <c r="M1078">
        <v>40100.129999999997</v>
      </c>
      <c r="N1078">
        <v>6935.55</v>
      </c>
      <c r="O1078">
        <v>3238.7</v>
      </c>
      <c r="P1078">
        <v>2479.3200000000002</v>
      </c>
      <c r="Q1078">
        <v>1133.53</v>
      </c>
      <c r="R1078">
        <v>2481.92</v>
      </c>
      <c r="S1078">
        <v>1299.21</v>
      </c>
      <c r="T1078">
        <v>57668.37</v>
      </c>
      <c r="U1078">
        <v>26672.75</v>
      </c>
      <c r="V1078">
        <v>9104.51</v>
      </c>
      <c r="W1078">
        <v>8489.4699999999993</v>
      </c>
      <c r="X1078">
        <v>67119.42</v>
      </c>
      <c r="Y1078">
        <v>62000.01</v>
      </c>
    </row>
    <row r="1079" spans="1:25" x14ac:dyDescent="0.25">
      <c r="A1079" t="s">
        <v>1134</v>
      </c>
      <c r="B1079" s="1">
        <v>45235</v>
      </c>
      <c r="C1079">
        <v>2023</v>
      </c>
      <c r="D1079">
        <v>11</v>
      </c>
      <c r="E1079" t="s">
        <v>1117</v>
      </c>
      <c r="F1079" t="s">
        <v>1018</v>
      </c>
      <c r="G1079" t="s">
        <v>55</v>
      </c>
      <c r="H1079" t="s">
        <v>58</v>
      </c>
      <c r="I1079" t="s">
        <v>30</v>
      </c>
      <c r="J1079">
        <v>43</v>
      </c>
      <c r="K1079">
        <v>1653.23</v>
      </c>
      <c r="L1079">
        <v>71088.789999999994</v>
      </c>
      <c r="M1079">
        <v>44271.12</v>
      </c>
      <c r="N1079">
        <v>8090.59</v>
      </c>
      <c r="O1079">
        <v>3684.57</v>
      </c>
      <c r="P1079">
        <v>1277.1300000000001</v>
      </c>
      <c r="Q1079">
        <v>1017.98</v>
      </c>
      <c r="R1079">
        <v>4619.7700000000004</v>
      </c>
      <c r="S1079">
        <v>1660.56</v>
      </c>
      <c r="T1079">
        <v>64621.73</v>
      </c>
      <c r="U1079">
        <v>26817.67</v>
      </c>
      <c r="V1079">
        <v>6467.07</v>
      </c>
      <c r="W1079">
        <v>5871.18</v>
      </c>
      <c r="X1079">
        <v>72799.399999999994</v>
      </c>
      <c r="Y1079">
        <v>66602.41</v>
      </c>
    </row>
    <row r="1080" spans="1:25" x14ac:dyDescent="0.25">
      <c r="A1080" t="s">
        <v>1135</v>
      </c>
      <c r="B1080" s="1">
        <v>45236</v>
      </c>
      <c r="C1080">
        <v>2023</v>
      </c>
      <c r="D1080">
        <v>11</v>
      </c>
      <c r="E1080" t="s">
        <v>1117</v>
      </c>
      <c r="F1080" t="s">
        <v>1018</v>
      </c>
      <c r="G1080" t="s">
        <v>55</v>
      </c>
      <c r="H1080" t="s">
        <v>58</v>
      </c>
      <c r="I1080" t="s">
        <v>65</v>
      </c>
      <c r="J1080">
        <v>58</v>
      </c>
      <c r="K1080">
        <v>898.9</v>
      </c>
      <c r="L1080">
        <v>52135.99</v>
      </c>
      <c r="M1080">
        <v>28736.59</v>
      </c>
      <c r="N1080">
        <v>4667.53</v>
      </c>
      <c r="O1080">
        <v>3288.58</v>
      </c>
      <c r="P1080">
        <v>1222.52</v>
      </c>
      <c r="Q1080">
        <v>280.97000000000003</v>
      </c>
      <c r="R1080">
        <v>2657.38</v>
      </c>
      <c r="S1080">
        <v>566.98</v>
      </c>
      <c r="T1080">
        <v>41420.550000000003</v>
      </c>
      <c r="U1080">
        <v>23399.39</v>
      </c>
      <c r="V1080">
        <v>10715.43</v>
      </c>
      <c r="W1080">
        <v>9540.56</v>
      </c>
      <c r="X1080">
        <v>50908.47</v>
      </c>
      <c r="Y1080">
        <v>44499.21</v>
      </c>
    </row>
    <row r="1081" spans="1:25" x14ac:dyDescent="0.25">
      <c r="A1081" t="s">
        <v>1136</v>
      </c>
      <c r="B1081" s="1">
        <v>45236</v>
      </c>
      <c r="C1081">
        <v>2023</v>
      </c>
      <c r="D1081">
        <v>11</v>
      </c>
      <c r="E1081" t="s">
        <v>1117</v>
      </c>
      <c r="F1081" t="s">
        <v>1018</v>
      </c>
      <c r="G1081" t="s">
        <v>35</v>
      </c>
      <c r="H1081" t="s">
        <v>32</v>
      </c>
      <c r="I1081" t="s">
        <v>30</v>
      </c>
      <c r="J1081">
        <v>47</v>
      </c>
      <c r="K1081">
        <v>1688.88</v>
      </c>
      <c r="L1081">
        <v>79377.460000000006</v>
      </c>
      <c r="M1081">
        <v>51059.27</v>
      </c>
      <c r="N1081">
        <v>9373.02</v>
      </c>
      <c r="O1081">
        <v>2635.89</v>
      </c>
      <c r="P1081">
        <v>2276.06</v>
      </c>
      <c r="Q1081">
        <v>815.38</v>
      </c>
      <c r="R1081">
        <v>4492.96</v>
      </c>
      <c r="S1081">
        <v>878.95</v>
      </c>
      <c r="T1081">
        <v>71531.53</v>
      </c>
      <c r="U1081">
        <v>28318.19</v>
      </c>
      <c r="V1081">
        <v>7845.93</v>
      </c>
      <c r="W1081">
        <v>7375.77</v>
      </c>
      <c r="X1081">
        <v>81522.039999999994</v>
      </c>
      <c r="Y1081">
        <v>75514.66</v>
      </c>
    </row>
    <row r="1082" spans="1:25" x14ac:dyDescent="0.25">
      <c r="A1082" t="s">
        <v>1137</v>
      </c>
      <c r="B1082" s="1">
        <v>45237</v>
      </c>
      <c r="C1082">
        <v>2023</v>
      </c>
      <c r="D1082">
        <v>11</v>
      </c>
      <c r="E1082" t="s">
        <v>1117</v>
      </c>
      <c r="F1082" t="s">
        <v>1018</v>
      </c>
      <c r="G1082" t="s">
        <v>55</v>
      </c>
      <c r="H1082" t="s">
        <v>53</v>
      </c>
      <c r="I1082" t="s">
        <v>37</v>
      </c>
      <c r="J1082">
        <v>66</v>
      </c>
      <c r="K1082">
        <v>978.37</v>
      </c>
      <c r="L1082">
        <v>64572.72</v>
      </c>
      <c r="M1082">
        <v>40410.93</v>
      </c>
      <c r="N1082">
        <v>8349.14</v>
      </c>
      <c r="O1082">
        <v>2273.15</v>
      </c>
      <c r="P1082">
        <v>1698.89</v>
      </c>
      <c r="Q1082">
        <v>447.15</v>
      </c>
      <c r="R1082">
        <v>1640.05</v>
      </c>
      <c r="S1082">
        <v>547.58000000000004</v>
      </c>
      <c r="T1082">
        <v>55366.89</v>
      </c>
      <c r="U1082">
        <v>24161.79</v>
      </c>
      <c r="V1082">
        <v>9205.83</v>
      </c>
      <c r="W1082">
        <v>8778.08</v>
      </c>
      <c r="X1082">
        <v>66739.22</v>
      </c>
      <c r="Y1082">
        <v>57241.15</v>
      </c>
    </row>
    <row r="1083" spans="1:25" x14ac:dyDescent="0.25">
      <c r="A1083" t="s">
        <v>1138</v>
      </c>
      <c r="B1083" s="1">
        <v>45237</v>
      </c>
      <c r="C1083">
        <v>2023</v>
      </c>
      <c r="D1083">
        <v>11</v>
      </c>
      <c r="E1083" t="s">
        <v>1117</v>
      </c>
      <c r="F1083" t="s">
        <v>1018</v>
      </c>
      <c r="G1083" t="s">
        <v>35</v>
      </c>
      <c r="H1083" t="s">
        <v>36</v>
      </c>
      <c r="I1083" t="s">
        <v>37</v>
      </c>
      <c r="J1083">
        <v>71</v>
      </c>
      <c r="K1083">
        <v>1014.65</v>
      </c>
      <c r="L1083">
        <v>72039.81</v>
      </c>
      <c r="M1083">
        <v>45255.31</v>
      </c>
      <c r="N1083">
        <v>7163.1</v>
      </c>
      <c r="O1083">
        <v>4419.78</v>
      </c>
      <c r="P1083">
        <v>1154.6199999999999</v>
      </c>
      <c r="Q1083">
        <v>1268.08</v>
      </c>
      <c r="R1083">
        <v>4039.61</v>
      </c>
      <c r="S1083">
        <v>989.28</v>
      </c>
      <c r="T1083">
        <v>64289.78</v>
      </c>
      <c r="U1083">
        <v>26784.5</v>
      </c>
      <c r="V1083">
        <v>7750.03</v>
      </c>
      <c r="W1083">
        <v>7363.87</v>
      </c>
      <c r="X1083">
        <v>66289.649999999994</v>
      </c>
      <c r="Y1083">
        <v>64389.25</v>
      </c>
    </row>
    <row r="1084" spans="1:25" x14ac:dyDescent="0.25">
      <c r="A1084" t="s">
        <v>1139</v>
      </c>
      <c r="B1084" s="1">
        <v>45237</v>
      </c>
      <c r="C1084">
        <v>2023</v>
      </c>
      <c r="D1084">
        <v>11</v>
      </c>
      <c r="E1084" t="s">
        <v>1117</v>
      </c>
      <c r="F1084" t="s">
        <v>1018</v>
      </c>
      <c r="G1084" t="s">
        <v>28</v>
      </c>
      <c r="H1084" t="s">
        <v>36</v>
      </c>
      <c r="I1084" t="s">
        <v>65</v>
      </c>
      <c r="J1084">
        <v>37</v>
      </c>
      <c r="K1084">
        <v>1541.21</v>
      </c>
      <c r="L1084">
        <v>57024.67</v>
      </c>
      <c r="M1084">
        <v>36684.6</v>
      </c>
      <c r="N1084">
        <v>4562.8100000000004</v>
      </c>
      <c r="O1084">
        <v>1455.89</v>
      </c>
      <c r="P1084">
        <v>1737.4</v>
      </c>
      <c r="Q1084">
        <v>640.47</v>
      </c>
      <c r="R1084">
        <v>3447.79</v>
      </c>
      <c r="S1084">
        <v>1045.99</v>
      </c>
      <c r="T1084">
        <v>49574.95</v>
      </c>
      <c r="U1084">
        <v>20340.07</v>
      </c>
      <c r="V1084">
        <v>7449.72</v>
      </c>
      <c r="W1084">
        <v>7048.36</v>
      </c>
      <c r="X1084">
        <v>58390.89</v>
      </c>
      <c r="Y1084">
        <v>47875</v>
      </c>
    </row>
    <row r="1085" spans="1:25" x14ac:dyDescent="0.25">
      <c r="A1085" t="s">
        <v>1140</v>
      </c>
      <c r="B1085" s="1">
        <v>45237</v>
      </c>
      <c r="C1085">
        <v>2023</v>
      </c>
      <c r="D1085">
        <v>11</v>
      </c>
      <c r="E1085" t="s">
        <v>1117</v>
      </c>
      <c r="F1085" t="s">
        <v>1018</v>
      </c>
      <c r="G1085" t="s">
        <v>55</v>
      </c>
      <c r="H1085" t="s">
        <v>32</v>
      </c>
      <c r="I1085" t="s">
        <v>65</v>
      </c>
      <c r="J1085">
        <v>85</v>
      </c>
      <c r="K1085">
        <v>1180.17</v>
      </c>
      <c r="L1085">
        <v>100314.76</v>
      </c>
      <c r="M1085">
        <v>61982.23</v>
      </c>
      <c r="N1085">
        <v>9974.56</v>
      </c>
      <c r="O1085">
        <v>5490.17</v>
      </c>
      <c r="P1085">
        <v>1510.33</v>
      </c>
      <c r="Q1085">
        <v>1247.72</v>
      </c>
      <c r="R1085">
        <v>4358.6899999999996</v>
      </c>
      <c r="S1085">
        <v>1142.22</v>
      </c>
      <c r="T1085">
        <v>85705.91</v>
      </c>
      <c r="U1085">
        <v>38332.54</v>
      </c>
      <c r="V1085">
        <v>14608.85</v>
      </c>
      <c r="W1085">
        <v>13088.49</v>
      </c>
      <c r="X1085">
        <v>102230.5</v>
      </c>
      <c r="Y1085">
        <v>86894.62</v>
      </c>
    </row>
    <row r="1086" spans="1:25" x14ac:dyDescent="0.25">
      <c r="A1086" t="s">
        <v>1141</v>
      </c>
      <c r="B1086" s="1">
        <v>45237</v>
      </c>
      <c r="C1086">
        <v>2023</v>
      </c>
      <c r="D1086">
        <v>11</v>
      </c>
      <c r="E1086" t="s">
        <v>1117</v>
      </c>
      <c r="F1086" t="s">
        <v>1018</v>
      </c>
      <c r="G1086" t="s">
        <v>28</v>
      </c>
      <c r="H1086" t="s">
        <v>36</v>
      </c>
      <c r="I1086" t="s">
        <v>30</v>
      </c>
      <c r="J1086">
        <v>77</v>
      </c>
      <c r="K1086">
        <v>1541.38</v>
      </c>
      <c r="L1086">
        <v>118686.35</v>
      </c>
      <c r="M1086">
        <v>65869.240000000005</v>
      </c>
      <c r="N1086">
        <v>9942.2000000000007</v>
      </c>
      <c r="O1086">
        <v>6709.46</v>
      </c>
      <c r="P1086">
        <v>4827.21</v>
      </c>
      <c r="Q1086">
        <v>2099.36</v>
      </c>
      <c r="R1086">
        <v>5314.3</v>
      </c>
      <c r="S1086">
        <v>1649.53</v>
      </c>
      <c r="T1086">
        <v>96411.31</v>
      </c>
      <c r="U1086">
        <v>52817.11</v>
      </c>
      <c r="V1086">
        <v>22275.040000000001</v>
      </c>
      <c r="W1086">
        <v>19670.04</v>
      </c>
      <c r="X1086">
        <v>122930.26</v>
      </c>
      <c r="Y1086">
        <v>103870.42</v>
      </c>
    </row>
    <row r="1087" spans="1:25" x14ac:dyDescent="0.25">
      <c r="A1087" t="s">
        <v>1142</v>
      </c>
      <c r="B1087" s="1">
        <v>45238</v>
      </c>
      <c r="C1087">
        <v>2023</v>
      </c>
      <c r="D1087">
        <v>11</v>
      </c>
      <c r="E1087" t="s">
        <v>1117</v>
      </c>
      <c r="F1087" t="s">
        <v>1018</v>
      </c>
      <c r="G1087" t="s">
        <v>28</v>
      </c>
      <c r="H1087" t="s">
        <v>32</v>
      </c>
      <c r="I1087" t="s">
        <v>30</v>
      </c>
      <c r="J1087">
        <v>84</v>
      </c>
      <c r="K1087">
        <v>1314.24</v>
      </c>
      <c r="L1087">
        <v>110396.55</v>
      </c>
      <c r="M1087">
        <v>57110.48</v>
      </c>
      <c r="N1087">
        <v>7893.16</v>
      </c>
      <c r="O1087">
        <v>7556.14</v>
      </c>
      <c r="P1087">
        <v>3469.49</v>
      </c>
      <c r="Q1087">
        <v>1006.64</v>
      </c>
      <c r="R1087">
        <v>7124.33</v>
      </c>
      <c r="S1087">
        <v>1873.04</v>
      </c>
      <c r="T1087">
        <v>86033.29</v>
      </c>
      <c r="U1087">
        <v>53286.07</v>
      </c>
      <c r="V1087">
        <v>24363.27</v>
      </c>
      <c r="W1087">
        <v>23065.14</v>
      </c>
      <c r="X1087">
        <v>120725.11</v>
      </c>
      <c r="Y1087">
        <v>89455.82</v>
      </c>
    </row>
    <row r="1088" spans="1:25" x14ac:dyDescent="0.25">
      <c r="A1088" t="s">
        <v>1143</v>
      </c>
      <c r="B1088" s="1">
        <v>45238</v>
      </c>
      <c r="C1088">
        <v>2023</v>
      </c>
      <c r="D1088">
        <v>11</v>
      </c>
      <c r="E1088" t="s">
        <v>1117</v>
      </c>
      <c r="F1088" t="s">
        <v>1018</v>
      </c>
      <c r="G1088" t="s">
        <v>44</v>
      </c>
      <c r="H1088" t="s">
        <v>29</v>
      </c>
      <c r="I1088" t="s">
        <v>33</v>
      </c>
      <c r="J1088">
        <v>53</v>
      </c>
      <c r="K1088">
        <v>1604.67</v>
      </c>
      <c r="L1088">
        <v>85047.55</v>
      </c>
      <c r="M1088">
        <v>54283.519999999997</v>
      </c>
      <c r="N1088">
        <v>7273.01</v>
      </c>
      <c r="O1088">
        <v>5590.14</v>
      </c>
      <c r="P1088">
        <v>3637.36</v>
      </c>
      <c r="Q1088">
        <v>1057.22</v>
      </c>
      <c r="R1088">
        <v>2504.11</v>
      </c>
      <c r="S1088">
        <v>2006.09</v>
      </c>
      <c r="T1088">
        <v>76351.460000000006</v>
      </c>
      <c r="U1088">
        <v>30764.04</v>
      </c>
      <c r="V1088">
        <v>8696.09</v>
      </c>
      <c r="W1088">
        <v>8369.7800000000007</v>
      </c>
      <c r="X1088">
        <v>91089.87</v>
      </c>
      <c r="Y1088">
        <v>81650.710000000006</v>
      </c>
    </row>
    <row r="1089" spans="1:25" x14ac:dyDescent="0.25">
      <c r="A1089" t="s">
        <v>1144</v>
      </c>
      <c r="B1089" s="1">
        <v>45238</v>
      </c>
      <c r="C1089">
        <v>2023</v>
      </c>
      <c r="D1089">
        <v>11</v>
      </c>
      <c r="E1089" t="s">
        <v>1117</v>
      </c>
      <c r="F1089" t="s">
        <v>1018</v>
      </c>
      <c r="G1089" t="s">
        <v>28</v>
      </c>
      <c r="H1089" t="s">
        <v>36</v>
      </c>
      <c r="I1089" t="s">
        <v>30</v>
      </c>
      <c r="J1089">
        <v>50</v>
      </c>
      <c r="K1089">
        <v>1535.15</v>
      </c>
      <c r="L1089">
        <v>76757.679999999993</v>
      </c>
      <c r="M1089">
        <v>40521.17</v>
      </c>
      <c r="N1089">
        <v>9531.02</v>
      </c>
      <c r="O1089">
        <v>3494.65</v>
      </c>
      <c r="P1089">
        <v>1779.98</v>
      </c>
      <c r="Q1089">
        <v>1147.02</v>
      </c>
      <c r="R1089">
        <v>2085.09</v>
      </c>
      <c r="S1089">
        <v>1030.75</v>
      </c>
      <c r="T1089">
        <v>59589.68</v>
      </c>
      <c r="U1089">
        <v>36236.51</v>
      </c>
      <c r="V1089">
        <v>17168</v>
      </c>
      <c r="W1089">
        <v>16848.759999999998</v>
      </c>
      <c r="X1089">
        <v>79914.84</v>
      </c>
      <c r="Y1089">
        <v>63918.44</v>
      </c>
    </row>
    <row r="1090" spans="1:25" x14ac:dyDescent="0.25">
      <c r="A1090" t="s">
        <v>1145</v>
      </c>
      <c r="B1090" s="1">
        <v>45239</v>
      </c>
      <c r="C1090">
        <v>2023</v>
      </c>
      <c r="D1090">
        <v>11</v>
      </c>
      <c r="E1090" t="s">
        <v>1117</v>
      </c>
      <c r="F1090" t="s">
        <v>1018</v>
      </c>
      <c r="G1090" t="s">
        <v>44</v>
      </c>
      <c r="H1090" t="s">
        <v>53</v>
      </c>
      <c r="I1090" t="s">
        <v>39</v>
      </c>
      <c r="J1090">
        <v>33</v>
      </c>
      <c r="K1090">
        <v>1122.28</v>
      </c>
      <c r="L1090">
        <v>37035.29</v>
      </c>
      <c r="M1090">
        <v>23435.75</v>
      </c>
      <c r="N1090">
        <v>4752.76</v>
      </c>
      <c r="O1090">
        <v>2234.1999999999998</v>
      </c>
      <c r="P1090">
        <v>1179.1600000000001</v>
      </c>
      <c r="Q1090">
        <v>589.79</v>
      </c>
      <c r="R1090">
        <v>1285.73</v>
      </c>
      <c r="S1090">
        <v>358.66</v>
      </c>
      <c r="T1090">
        <v>33836.050000000003</v>
      </c>
      <c r="U1090">
        <v>13599.54</v>
      </c>
      <c r="V1090">
        <v>3199.24</v>
      </c>
      <c r="W1090">
        <v>3171.23</v>
      </c>
      <c r="X1090">
        <v>34436.769999999997</v>
      </c>
      <c r="Y1090">
        <v>33556.620000000003</v>
      </c>
    </row>
    <row r="1091" spans="1:25" x14ac:dyDescent="0.25">
      <c r="A1091" t="s">
        <v>1146</v>
      </c>
      <c r="B1091" s="1">
        <v>45239</v>
      </c>
      <c r="C1091">
        <v>2023</v>
      </c>
      <c r="D1091">
        <v>11</v>
      </c>
      <c r="E1091" t="s">
        <v>1117</v>
      </c>
      <c r="F1091" t="s">
        <v>1018</v>
      </c>
      <c r="G1091" t="s">
        <v>28</v>
      </c>
      <c r="H1091" t="s">
        <v>36</v>
      </c>
      <c r="I1091" t="s">
        <v>56</v>
      </c>
      <c r="J1091">
        <v>23</v>
      </c>
      <c r="K1091">
        <v>1485.96</v>
      </c>
      <c r="L1091">
        <v>34177.18</v>
      </c>
      <c r="M1091">
        <v>20324.12</v>
      </c>
      <c r="N1091">
        <v>3673.33</v>
      </c>
      <c r="O1091">
        <v>2294.2600000000002</v>
      </c>
      <c r="P1091">
        <v>1176.08</v>
      </c>
      <c r="Q1091">
        <v>608.09</v>
      </c>
      <c r="R1091">
        <v>1507.47</v>
      </c>
      <c r="S1091">
        <v>770.44</v>
      </c>
      <c r="T1091">
        <v>30353.77</v>
      </c>
      <c r="U1091">
        <v>13853.07</v>
      </c>
      <c r="V1091">
        <v>3823.42</v>
      </c>
      <c r="W1091">
        <v>3616.73</v>
      </c>
      <c r="X1091">
        <v>37126.959999999999</v>
      </c>
      <c r="Y1091">
        <v>29900.01</v>
      </c>
    </row>
    <row r="1092" spans="1:25" x14ac:dyDescent="0.25">
      <c r="A1092" t="s">
        <v>1147</v>
      </c>
      <c r="B1092" s="1">
        <v>45239</v>
      </c>
      <c r="C1092">
        <v>2023</v>
      </c>
      <c r="D1092">
        <v>11</v>
      </c>
      <c r="E1092" t="s">
        <v>1117</v>
      </c>
      <c r="F1092" t="s">
        <v>1018</v>
      </c>
      <c r="G1092" t="s">
        <v>44</v>
      </c>
      <c r="H1092" t="s">
        <v>58</v>
      </c>
      <c r="I1092" t="s">
        <v>50</v>
      </c>
      <c r="J1092">
        <v>31</v>
      </c>
      <c r="K1092">
        <v>1206.98</v>
      </c>
      <c r="L1092">
        <v>37416.269999999997</v>
      </c>
      <c r="M1092">
        <v>18749.66</v>
      </c>
      <c r="N1092">
        <v>4262.42</v>
      </c>
      <c r="O1092">
        <v>1568.18</v>
      </c>
      <c r="P1092">
        <v>683.55</v>
      </c>
      <c r="Q1092">
        <v>361.89</v>
      </c>
      <c r="R1092">
        <v>1585.67</v>
      </c>
      <c r="S1092">
        <v>601.33000000000004</v>
      </c>
      <c r="T1092">
        <v>27812.69</v>
      </c>
      <c r="U1092">
        <v>18666.61</v>
      </c>
      <c r="V1092">
        <v>9603.57</v>
      </c>
      <c r="W1092">
        <v>9437.5300000000007</v>
      </c>
      <c r="X1092">
        <v>38017.57</v>
      </c>
      <c r="Y1092">
        <v>26686.27</v>
      </c>
    </row>
    <row r="1093" spans="1:25" x14ac:dyDescent="0.25">
      <c r="A1093" t="s">
        <v>1148</v>
      </c>
      <c r="B1093" s="1">
        <v>45239</v>
      </c>
      <c r="C1093">
        <v>2023</v>
      </c>
      <c r="D1093">
        <v>11</v>
      </c>
      <c r="E1093" t="s">
        <v>1117</v>
      </c>
      <c r="F1093" t="s">
        <v>1018</v>
      </c>
      <c r="G1093" t="s">
        <v>28</v>
      </c>
      <c r="H1093" t="s">
        <v>53</v>
      </c>
      <c r="I1093" t="s">
        <v>65</v>
      </c>
      <c r="J1093">
        <v>37</v>
      </c>
      <c r="K1093">
        <v>1706.55</v>
      </c>
      <c r="L1093">
        <v>63142.17</v>
      </c>
      <c r="M1093">
        <v>37152.410000000003</v>
      </c>
      <c r="N1093">
        <v>7324.32</v>
      </c>
      <c r="O1093">
        <v>3101.75</v>
      </c>
      <c r="P1093">
        <v>1760.73</v>
      </c>
      <c r="Q1093">
        <v>504.7</v>
      </c>
      <c r="R1093">
        <v>2119.04</v>
      </c>
      <c r="S1093">
        <v>766.72</v>
      </c>
      <c r="T1093">
        <v>52729.67</v>
      </c>
      <c r="U1093">
        <v>25989.759999999998</v>
      </c>
      <c r="V1093">
        <v>10412.5</v>
      </c>
      <c r="W1093">
        <v>10349.27</v>
      </c>
      <c r="X1093">
        <v>64495.99</v>
      </c>
      <c r="Y1093">
        <v>57088.58</v>
      </c>
    </row>
    <row r="1094" spans="1:25" x14ac:dyDescent="0.25">
      <c r="A1094" t="s">
        <v>1149</v>
      </c>
      <c r="B1094" s="1">
        <v>45239</v>
      </c>
      <c r="C1094">
        <v>2023</v>
      </c>
      <c r="D1094">
        <v>11</v>
      </c>
      <c r="E1094" t="s">
        <v>1117</v>
      </c>
      <c r="F1094" t="s">
        <v>1018</v>
      </c>
      <c r="G1094" t="s">
        <v>55</v>
      </c>
      <c r="H1094" t="s">
        <v>32</v>
      </c>
      <c r="I1094" t="s">
        <v>56</v>
      </c>
      <c r="J1094">
        <v>59</v>
      </c>
      <c r="K1094">
        <v>825.13</v>
      </c>
      <c r="L1094">
        <v>48682.46</v>
      </c>
      <c r="M1094">
        <v>24698.86</v>
      </c>
      <c r="N1094">
        <v>5225.83</v>
      </c>
      <c r="O1094">
        <v>1901.46</v>
      </c>
      <c r="P1094">
        <v>1119.3499999999999</v>
      </c>
      <c r="Q1094">
        <v>376.58</v>
      </c>
      <c r="R1094">
        <v>2520.59</v>
      </c>
      <c r="S1094">
        <v>438.04</v>
      </c>
      <c r="T1094">
        <v>36280.720000000001</v>
      </c>
      <c r="U1094">
        <v>23983.599999999999</v>
      </c>
      <c r="V1094">
        <v>12401.75</v>
      </c>
      <c r="W1094">
        <v>11830.48</v>
      </c>
      <c r="X1094">
        <v>51488.959999999999</v>
      </c>
      <c r="Y1094">
        <v>34088.67</v>
      </c>
    </row>
    <row r="1095" spans="1:25" x14ac:dyDescent="0.25">
      <c r="A1095" t="s">
        <v>1150</v>
      </c>
      <c r="B1095" s="1">
        <v>45240</v>
      </c>
      <c r="C1095">
        <v>2023</v>
      </c>
      <c r="D1095">
        <v>11</v>
      </c>
      <c r="E1095" t="s">
        <v>1117</v>
      </c>
      <c r="F1095" t="s">
        <v>1018</v>
      </c>
      <c r="G1095" t="s">
        <v>28</v>
      </c>
      <c r="H1095" t="s">
        <v>36</v>
      </c>
      <c r="I1095" t="s">
        <v>39</v>
      </c>
      <c r="J1095">
        <v>25</v>
      </c>
      <c r="K1095">
        <v>1556.84</v>
      </c>
      <c r="L1095">
        <v>38921.1</v>
      </c>
      <c r="M1095">
        <v>25794.11</v>
      </c>
      <c r="N1095">
        <v>4230.3500000000004</v>
      </c>
      <c r="O1095">
        <v>1719.16</v>
      </c>
      <c r="P1095">
        <v>1026.45</v>
      </c>
      <c r="Q1095">
        <v>421.12</v>
      </c>
      <c r="R1095">
        <v>1101.71</v>
      </c>
      <c r="S1095">
        <v>404.55</v>
      </c>
      <c r="T1095">
        <v>34697.440000000002</v>
      </c>
      <c r="U1095">
        <v>13127</v>
      </c>
      <c r="V1095">
        <v>4223.67</v>
      </c>
      <c r="W1095">
        <v>4052.99</v>
      </c>
      <c r="X1095">
        <v>36316.480000000003</v>
      </c>
      <c r="Y1095">
        <v>32976.17</v>
      </c>
    </row>
    <row r="1096" spans="1:25" x14ac:dyDescent="0.25">
      <c r="A1096" t="s">
        <v>1151</v>
      </c>
      <c r="B1096" s="1">
        <v>45240</v>
      </c>
      <c r="C1096">
        <v>2023</v>
      </c>
      <c r="D1096">
        <v>11</v>
      </c>
      <c r="E1096" t="s">
        <v>1117</v>
      </c>
      <c r="F1096" t="s">
        <v>1018</v>
      </c>
      <c r="G1096" t="s">
        <v>28</v>
      </c>
      <c r="H1096" t="s">
        <v>32</v>
      </c>
      <c r="I1096" t="s">
        <v>30</v>
      </c>
      <c r="J1096">
        <v>103</v>
      </c>
      <c r="K1096">
        <v>1262.55</v>
      </c>
      <c r="L1096">
        <v>130042.92</v>
      </c>
      <c r="M1096">
        <v>80021.86</v>
      </c>
      <c r="N1096">
        <v>10722.81</v>
      </c>
      <c r="O1096">
        <v>5865.12</v>
      </c>
      <c r="P1096">
        <v>3455.9</v>
      </c>
      <c r="Q1096">
        <v>1181.3900000000001</v>
      </c>
      <c r="R1096">
        <v>7727.95</v>
      </c>
      <c r="S1096">
        <v>1990.59</v>
      </c>
      <c r="T1096">
        <v>110965.62</v>
      </c>
      <c r="U1096">
        <v>50021.06</v>
      </c>
      <c r="V1096">
        <v>19077.3</v>
      </c>
      <c r="W1096">
        <v>19202.2</v>
      </c>
      <c r="X1096">
        <v>139662.79</v>
      </c>
      <c r="Y1096">
        <v>117532.95</v>
      </c>
    </row>
    <row r="1097" spans="1:25" x14ac:dyDescent="0.25">
      <c r="A1097" t="s">
        <v>1152</v>
      </c>
      <c r="B1097" s="1">
        <v>45240</v>
      </c>
      <c r="C1097">
        <v>2023</v>
      </c>
      <c r="D1097">
        <v>11</v>
      </c>
      <c r="E1097" t="s">
        <v>1117</v>
      </c>
      <c r="F1097" t="s">
        <v>1018</v>
      </c>
      <c r="G1097" t="s">
        <v>35</v>
      </c>
      <c r="H1097" t="s">
        <v>29</v>
      </c>
      <c r="I1097" t="s">
        <v>65</v>
      </c>
      <c r="J1097">
        <v>76</v>
      </c>
      <c r="K1097">
        <v>871.07</v>
      </c>
      <c r="L1097">
        <v>66201.66</v>
      </c>
      <c r="M1097">
        <v>37968.019999999997</v>
      </c>
      <c r="N1097">
        <v>8442.2000000000007</v>
      </c>
      <c r="O1097">
        <v>3348.35</v>
      </c>
      <c r="P1097">
        <v>2504.89</v>
      </c>
      <c r="Q1097">
        <v>1044.8800000000001</v>
      </c>
      <c r="R1097">
        <v>4242.33</v>
      </c>
      <c r="S1097">
        <v>1403.01</v>
      </c>
      <c r="T1097">
        <v>58953.69</v>
      </c>
      <c r="U1097">
        <v>28233.64</v>
      </c>
      <c r="V1097">
        <v>7247.97</v>
      </c>
      <c r="W1097">
        <v>6925.06</v>
      </c>
      <c r="X1097">
        <v>73687.399999999994</v>
      </c>
      <c r="Y1097">
        <v>63061.74</v>
      </c>
    </row>
    <row r="1098" spans="1:25" x14ac:dyDescent="0.25">
      <c r="A1098" t="s">
        <v>1153</v>
      </c>
      <c r="B1098" s="1">
        <v>45240</v>
      </c>
      <c r="C1098">
        <v>2023</v>
      </c>
      <c r="D1098">
        <v>11</v>
      </c>
      <c r="E1098" t="s">
        <v>1117</v>
      </c>
      <c r="F1098" t="s">
        <v>1018</v>
      </c>
      <c r="G1098" t="s">
        <v>55</v>
      </c>
      <c r="H1098" t="s">
        <v>36</v>
      </c>
      <c r="I1098" t="s">
        <v>65</v>
      </c>
      <c r="J1098">
        <v>75</v>
      </c>
      <c r="K1098">
        <v>826.16</v>
      </c>
      <c r="L1098">
        <v>61962.35</v>
      </c>
      <c r="M1098">
        <v>36875.410000000003</v>
      </c>
      <c r="N1098">
        <v>6484.42</v>
      </c>
      <c r="O1098">
        <v>2911.94</v>
      </c>
      <c r="P1098">
        <v>1310.45</v>
      </c>
      <c r="Q1098">
        <v>357.5</v>
      </c>
      <c r="R1098">
        <v>3113.37</v>
      </c>
      <c r="S1098">
        <v>694.29</v>
      </c>
      <c r="T1098">
        <v>51747.39</v>
      </c>
      <c r="U1098">
        <v>25086.93</v>
      </c>
      <c r="V1098">
        <v>10214.950000000001</v>
      </c>
      <c r="W1098">
        <v>9228.42</v>
      </c>
      <c r="X1098">
        <v>67197.87</v>
      </c>
      <c r="Y1098">
        <v>54258.3</v>
      </c>
    </row>
    <row r="1099" spans="1:25" x14ac:dyDescent="0.25">
      <c r="A1099" t="s">
        <v>1154</v>
      </c>
      <c r="B1099" s="1">
        <v>45240</v>
      </c>
      <c r="C1099">
        <v>2023</v>
      </c>
      <c r="D1099">
        <v>11</v>
      </c>
      <c r="E1099" t="s">
        <v>1117</v>
      </c>
      <c r="F1099" t="s">
        <v>1018</v>
      </c>
      <c r="G1099" t="s">
        <v>35</v>
      </c>
      <c r="H1099" t="s">
        <v>36</v>
      </c>
      <c r="I1099" t="s">
        <v>56</v>
      </c>
      <c r="J1099">
        <v>19</v>
      </c>
      <c r="K1099">
        <v>1607.27</v>
      </c>
      <c r="L1099">
        <v>30538.06</v>
      </c>
      <c r="M1099">
        <v>20008.669999999998</v>
      </c>
      <c r="N1099">
        <v>2442.83</v>
      </c>
      <c r="O1099">
        <v>1271.43</v>
      </c>
      <c r="P1099">
        <v>700.17</v>
      </c>
      <c r="Q1099">
        <v>347.93</v>
      </c>
      <c r="R1099">
        <v>1966.65</v>
      </c>
      <c r="S1099">
        <v>757.81</v>
      </c>
      <c r="T1099">
        <v>27495.49</v>
      </c>
      <c r="U1099">
        <v>10529.4</v>
      </c>
      <c r="V1099">
        <v>3042.57</v>
      </c>
      <c r="W1099">
        <v>3032.46</v>
      </c>
      <c r="X1099">
        <v>32088.12</v>
      </c>
      <c r="Y1099">
        <v>27891.98</v>
      </c>
    </row>
    <row r="1100" spans="1:25" x14ac:dyDescent="0.25">
      <c r="A1100" t="s">
        <v>1155</v>
      </c>
      <c r="B1100" s="1">
        <v>45241</v>
      </c>
      <c r="C1100">
        <v>2023</v>
      </c>
      <c r="D1100">
        <v>11</v>
      </c>
      <c r="E1100" t="s">
        <v>1117</v>
      </c>
      <c r="F1100" t="s">
        <v>1018</v>
      </c>
      <c r="G1100" t="s">
        <v>55</v>
      </c>
      <c r="H1100" t="s">
        <v>29</v>
      </c>
      <c r="I1100" t="s">
        <v>37</v>
      </c>
      <c r="J1100">
        <v>74</v>
      </c>
      <c r="K1100">
        <v>1151.0899999999999</v>
      </c>
      <c r="L1100">
        <v>85180.39</v>
      </c>
      <c r="M1100">
        <v>51699.14</v>
      </c>
      <c r="N1100">
        <v>7195.96</v>
      </c>
      <c r="O1100">
        <v>6145.49</v>
      </c>
      <c r="P1100">
        <v>2381.66</v>
      </c>
      <c r="Q1100">
        <v>1121.1500000000001</v>
      </c>
      <c r="R1100">
        <v>2144.5700000000002</v>
      </c>
      <c r="S1100">
        <v>1137.71</v>
      </c>
      <c r="T1100">
        <v>71825.67</v>
      </c>
      <c r="U1100">
        <v>33481.25</v>
      </c>
      <c r="V1100">
        <v>13354.72</v>
      </c>
      <c r="W1100">
        <v>11958.34</v>
      </c>
      <c r="X1100">
        <v>82146.429999999993</v>
      </c>
      <c r="Y1100">
        <v>75573.94</v>
      </c>
    </row>
    <row r="1101" spans="1:25" x14ac:dyDescent="0.25">
      <c r="A1101" t="s">
        <v>1156</v>
      </c>
      <c r="B1101" s="1">
        <v>45241</v>
      </c>
      <c r="C1101">
        <v>2023</v>
      </c>
      <c r="D1101">
        <v>11</v>
      </c>
      <c r="E1101" t="s">
        <v>1117</v>
      </c>
      <c r="F1101" t="s">
        <v>1018</v>
      </c>
      <c r="G1101" t="s">
        <v>44</v>
      </c>
      <c r="H1101" t="s">
        <v>32</v>
      </c>
      <c r="I1101" t="s">
        <v>45</v>
      </c>
      <c r="J1101">
        <v>43</v>
      </c>
      <c r="K1101">
        <v>1351.39</v>
      </c>
      <c r="L1101">
        <v>58109.82</v>
      </c>
      <c r="M1101">
        <v>35233.61</v>
      </c>
      <c r="N1101">
        <v>6943.78</v>
      </c>
      <c r="O1101">
        <v>2762.32</v>
      </c>
      <c r="P1101">
        <v>2438.4699999999998</v>
      </c>
      <c r="Q1101">
        <v>780.72</v>
      </c>
      <c r="R1101">
        <v>1999.65</v>
      </c>
      <c r="S1101">
        <v>616.65</v>
      </c>
      <c r="T1101">
        <v>50775.21</v>
      </c>
      <c r="U1101">
        <v>22876.21</v>
      </c>
      <c r="V1101">
        <v>7334.61</v>
      </c>
      <c r="W1101">
        <v>7047.86</v>
      </c>
      <c r="X1101">
        <v>62285.58</v>
      </c>
      <c r="Y1101">
        <v>54696.75</v>
      </c>
    </row>
    <row r="1102" spans="1:25" x14ac:dyDescent="0.25">
      <c r="A1102" t="s">
        <v>1157</v>
      </c>
      <c r="B1102" s="1">
        <v>45241</v>
      </c>
      <c r="C1102">
        <v>2023</v>
      </c>
      <c r="D1102">
        <v>11</v>
      </c>
      <c r="E1102" t="s">
        <v>1117</v>
      </c>
      <c r="F1102" t="s">
        <v>1018</v>
      </c>
      <c r="G1102" t="s">
        <v>55</v>
      </c>
      <c r="H1102" t="s">
        <v>36</v>
      </c>
      <c r="I1102" t="s">
        <v>45</v>
      </c>
      <c r="J1102">
        <v>47</v>
      </c>
      <c r="K1102">
        <v>1274.8</v>
      </c>
      <c r="L1102">
        <v>59915.37</v>
      </c>
      <c r="M1102">
        <v>38810.85</v>
      </c>
      <c r="N1102">
        <v>4235.5200000000004</v>
      </c>
      <c r="O1102">
        <v>3872.76</v>
      </c>
      <c r="P1102">
        <v>1919.45</v>
      </c>
      <c r="Q1102">
        <v>988.51</v>
      </c>
      <c r="R1102">
        <v>1864.73</v>
      </c>
      <c r="S1102">
        <v>1179.8900000000001</v>
      </c>
      <c r="T1102">
        <v>52871.72</v>
      </c>
      <c r="U1102">
        <v>21104.51</v>
      </c>
      <c r="V1102">
        <v>7043.64</v>
      </c>
      <c r="W1102">
        <v>7153</v>
      </c>
      <c r="X1102">
        <v>56652.21</v>
      </c>
      <c r="Y1102">
        <v>57833.18</v>
      </c>
    </row>
    <row r="1103" spans="1:25" x14ac:dyDescent="0.25">
      <c r="A1103" t="s">
        <v>1158</v>
      </c>
      <c r="B1103" s="1">
        <v>45242</v>
      </c>
      <c r="C1103">
        <v>2023</v>
      </c>
      <c r="D1103">
        <v>11</v>
      </c>
      <c r="E1103" t="s">
        <v>1117</v>
      </c>
      <c r="F1103" t="s">
        <v>1018</v>
      </c>
      <c r="G1103" t="s">
        <v>55</v>
      </c>
      <c r="H1103" t="s">
        <v>53</v>
      </c>
      <c r="I1103" t="s">
        <v>45</v>
      </c>
      <c r="J1103">
        <v>25</v>
      </c>
      <c r="K1103">
        <v>1605.34</v>
      </c>
      <c r="L1103">
        <v>40133.5</v>
      </c>
      <c r="M1103">
        <v>21281.31</v>
      </c>
      <c r="N1103">
        <v>4727.24</v>
      </c>
      <c r="O1103">
        <v>2398</v>
      </c>
      <c r="P1103">
        <v>1438.5</v>
      </c>
      <c r="Q1103">
        <v>661.53</v>
      </c>
      <c r="R1103">
        <v>2347.88</v>
      </c>
      <c r="S1103">
        <v>489.28</v>
      </c>
      <c r="T1103">
        <v>33343.730000000003</v>
      </c>
      <c r="U1103">
        <v>18852.189999999999</v>
      </c>
      <c r="V1103">
        <v>6789.78</v>
      </c>
      <c r="W1103">
        <v>6485.2</v>
      </c>
      <c r="X1103">
        <v>40890.300000000003</v>
      </c>
      <c r="Y1103">
        <v>35446</v>
      </c>
    </row>
    <row r="1104" spans="1:25" x14ac:dyDescent="0.25">
      <c r="A1104" t="s">
        <v>1159</v>
      </c>
      <c r="B1104" s="1">
        <v>45243</v>
      </c>
      <c r="C1104">
        <v>2023</v>
      </c>
      <c r="D1104">
        <v>11</v>
      </c>
      <c r="E1104" t="s">
        <v>1117</v>
      </c>
      <c r="F1104" t="s">
        <v>1018</v>
      </c>
      <c r="G1104" t="s">
        <v>28</v>
      </c>
      <c r="H1104" t="s">
        <v>29</v>
      </c>
      <c r="I1104" t="s">
        <v>37</v>
      </c>
      <c r="J1104">
        <v>69</v>
      </c>
      <c r="K1104">
        <v>1074.51</v>
      </c>
      <c r="L1104">
        <v>74141.350000000006</v>
      </c>
      <c r="M1104">
        <v>45287.7</v>
      </c>
      <c r="N1104">
        <v>9334.5</v>
      </c>
      <c r="O1104">
        <v>3230.18</v>
      </c>
      <c r="P1104">
        <v>1671.82</v>
      </c>
      <c r="Q1104">
        <v>640.91</v>
      </c>
      <c r="R1104">
        <v>3898.7</v>
      </c>
      <c r="S1104">
        <v>1842.33</v>
      </c>
      <c r="T1104">
        <v>65906.14</v>
      </c>
      <c r="U1104">
        <v>28853.66</v>
      </c>
      <c r="V1104">
        <v>8235.2099999999991</v>
      </c>
      <c r="W1104">
        <v>8069.01</v>
      </c>
      <c r="X1104">
        <v>70202.210000000006</v>
      </c>
      <c r="Y1104">
        <v>65436.21</v>
      </c>
    </row>
    <row r="1105" spans="1:25" x14ac:dyDescent="0.25">
      <c r="A1105" t="s">
        <v>1160</v>
      </c>
      <c r="B1105" s="1">
        <v>45243</v>
      </c>
      <c r="C1105">
        <v>2023</v>
      </c>
      <c r="D1105">
        <v>11</v>
      </c>
      <c r="E1105" t="s">
        <v>1117</v>
      </c>
      <c r="F1105" t="s">
        <v>1018</v>
      </c>
      <c r="G1105" t="s">
        <v>28</v>
      </c>
      <c r="H1105" t="s">
        <v>32</v>
      </c>
      <c r="I1105" t="s">
        <v>45</v>
      </c>
      <c r="J1105">
        <v>45</v>
      </c>
      <c r="K1105">
        <v>1511.23</v>
      </c>
      <c r="L1105">
        <v>68005.490000000005</v>
      </c>
      <c r="M1105">
        <v>45050.94</v>
      </c>
      <c r="N1105">
        <v>6929.51</v>
      </c>
      <c r="O1105">
        <v>4813.16</v>
      </c>
      <c r="P1105">
        <v>2439.7600000000002</v>
      </c>
      <c r="Q1105">
        <v>1065.5999999999999</v>
      </c>
      <c r="R1105">
        <v>3414.73</v>
      </c>
      <c r="S1105">
        <v>1463.62</v>
      </c>
      <c r="T1105">
        <v>65177.32</v>
      </c>
      <c r="U1105">
        <v>22954.55</v>
      </c>
      <c r="V1105">
        <v>2828.16</v>
      </c>
      <c r="W1105">
        <v>2627.41</v>
      </c>
      <c r="X1105">
        <v>75392.08</v>
      </c>
      <c r="Y1105">
        <v>64322.1</v>
      </c>
    </row>
    <row r="1106" spans="1:25" x14ac:dyDescent="0.25">
      <c r="A1106" t="s">
        <v>1161</v>
      </c>
      <c r="B1106" s="1">
        <v>45244</v>
      </c>
      <c r="C1106">
        <v>2023</v>
      </c>
      <c r="D1106">
        <v>11</v>
      </c>
      <c r="E1106" t="s">
        <v>1117</v>
      </c>
      <c r="F1106" t="s">
        <v>1018</v>
      </c>
      <c r="G1106" t="s">
        <v>55</v>
      </c>
      <c r="H1106" t="s">
        <v>32</v>
      </c>
      <c r="I1106" t="s">
        <v>30</v>
      </c>
      <c r="J1106">
        <v>60</v>
      </c>
      <c r="K1106">
        <v>1534.35</v>
      </c>
      <c r="L1106">
        <v>92061.08</v>
      </c>
      <c r="M1106">
        <v>58756.82</v>
      </c>
      <c r="N1106">
        <v>8960.7999999999993</v>
      </c>
      <c r="O1106">
        <v>6002.36</v>
      </c>
      <c r="P1106">
        <v>4110.95</v>
      </c>
      <c r="Q1106">
        <v>1221.9000000000001</v>
      </c>
      <c r="R1106">
        <v>3356.39</v>
      </c>
      <c r="S1106">
        <v>1024.9100000000001</v>
      </c>
      <c r="T1106">
        <v>83434.12</v>
      </c>
      <c r="U1106">
        <v>33304.26</v>
      </c>
      <c r="V1106">
        <v>8626.9599999999991</v>
      </c>
      <c r="W1106">
        <v>7775.7</v>
      </c>
      <c r="X1106">
        <v>88704.59</v>
      </c>
      <c r="Y1106">
        <v>84358.61</v>
      </c>
    </row>
    <row r="1107" spans="1:25" x14ac:dyDescent="0.25">
      <c r="A1107" t="s">
        <v>1162</v>
      </c>
      <c r="B1107" s="1">
        <v>45244</v>
      </c>
      <c r="C1107">
        <v>2023</v>
      </c>
      <c r="D1107">
        <v>11</v>
      </c>
      <c r="E1107" t="s">
        <v>1117</v>
      </c>
      <c r="F1107" t="s">
        <v>1018</v>
      </c>
      <c r="G1107" t="s">
        <v>55</v>
      </c>
      <c r="H1107" t="s">
        <v>32</v>
      </c>
      <c r="I1107" t="s">
        <v>33</v>
      </c>
      <c r="J1107">
        <v>68</v>
      </c>
      <c r="K1107">
        <v>1443.81</v>
      </c>
      <c r="L1107">
        <v>98178.76</v>
      </c>
      <c r="M1107">
        <v>61621.94</v>
      </c>
      <c r="N1107">
        <v>12198.96</v>
      </c>
      <c r="O1107">
        <v>6004.3</v>
      </c>
      <c r="P1107">
        <v>3976.64</v>
      </c>
      <c r="Q1107">
        <v>1680.98</v>
      </c>
      <c r="R1107">
        <v>5786.39</v>
      </c>
      <c r="S1107">
        <v>1559.17</v>
      </c>
      <c r="T1107">
        <v>92828.39</v>
      </c>
      <c r="U1107">
        <v>36556.82</v>
      </c>
      <c r="V1107">
        <v>5350.37</v>
      </c>
      <c r="W1107">
        <v>4918.3100000000004</v>
      </c>
      <c r="X1107">
        <v>101500.73</v>
      </c>
      <c r="Y1107">
        <v>88975.49</v>
      </c>
    </row>
    <row r="1108" spans="1:25" x14ac:dyDescent="0.25">
      <c r="A1108" t="s">
        <v>1163</v>
      </c>
      <c r="B1108" s="1">
        <v>45244</v>
      </c>
      <c r="C1108">
        <v>2023</v>
      </c>
      <c r="D1108">
        <v>11</v>
      </c>
      <c r="E1108" t="s">
        <v>1117</v>
      </c>
      <c r="F1108" t="s">
        <v>1018</v>
      </c>
      <c r="G1108" t="s">
        <v>28</v>
      </c>
      <c r="H1108" t="s">
        <v>32</v>
      </c>
      <c r="I1108" t="s">
        <v>33</v>
      </c>
      <c r="J1108">
        <v>75</v>
      </c>
      <c r="K1108">
        <v>1092.69</v>
      </c>
      <c r="L1108">
        <v>81952.12</v>
      </c>
      <c r="M1108">
        <v>49178.91</v>
      </c>
      <c r="N1108">
        <v>9277.4699999999993</v>
      </c>
      <c r="O1108">
        <v>3133.48</v>
      </c>
      <c r="P1108">
        <v>2011.59</v>
      </c>
      <c r="Q1108">
        <v>618.17999999999995</v>
      </c>
      <c r="R1108">
        <v>3161.96</v>
      </c>
      <c r="S1108">
        <v>870.13</v>
      </c>
      <c r="T1108">
        <v>68251.72</v>
      </c>
      <c r="U1108">
        <v>32773.21</v>
      </c>
      <c r="V1108">
        <v>13700.39</v>
      </c>
      <c r="W1108">
        <v>13708.16</v>
      </c>
      <c r="X1108">
        <v>88593.33</v>
      </c>
      <c r="Y1108">
        <v>69799.22</v>
      </c>
    </row>
    <row r="1109" spans="1:25" x14ac:dyDescent="0.25">
      <c r="A1109" t="s">
        <v>1164</v>
      </c>
      <c r="B1109" s="1">
        <v>45244</v>
      </c>
      <c r="C1109">
        <v>2023</v>
      </c>
      <c r="D1109">
        <v>11</v>
      </c>
      <c r="E1109" t="s">
        <v>1117</v>
      </c>
      <c r="F1109" t="s">
        <v>1018</v>
      </c>
      <c r="G1109" t="s">
        <v>55</v>
      </c>
      <c r="H1109" t="s">
        <v>32</v>
      </c>
      <c r="I1109" t="s">
        <v>45</v>
      </c>
      <c r="J1109">
        <v>63</v>
      </c>
      <c r="K1109">
        <v>953.83</v>
      </c>
      <c r="L1109">
        <v>60091.02</v>
      </c>
      <c r="M1109">
        <v>38638.519999999997</v>
      </c>
      <c r="N1109">
        <v>6003.81</v>
      </c>
      <c r="O1109">
        <v>4398.28</v>
      </c>
      <c r="P1109">
        <v>1120.07</v>
      </c>
      <c r="Q1109">
        <v>597.85</v>
      </c>
      <c r="R1109">
        <v>2922.58</v>
      </c>
      <c r="S1109">
        <v>1424.93</v>
      </c>
      <c r="T1109">
        <v>55106.04</v>
      </c>
      <c r="U1109">
        <v>21452.5</v>
      </c>
      <c r="V1109">
        <v>4984.9799999999996</v>
      </c>
      <c r="W1109">
        <v>4473.05</v>
      </c>
      <c r="X1109">
        <v>65286.1</v>
      </c>
      <c r="Y1109">
        <v>53121.79</v>
      </c>
    </row>
    <row r="1110" spans="1:25" x14ac:dyDescent="0.25">
      <c r="A1110" t="s">
        <v>1165</v>
      </c>
      <c r="B1110" s="1">
        <v>45244</v>
      </c>
      <c r="C1110">
        <v>2023</v>
      </c>
      <c r="D1110">
        <v>11</v>
      </c>
      <c r="E1110" t="s">
        <v>1117</v>
      </c>
      <c r="F1110" t="s">
        <v>1018</v>
      </c>
      <c r="G1110" t="s">
        <v>55</v>
      </c>
      <c r="H1110" t="s">
        <v>53</v>
      </c>
      <c r="I1110" t="s">
        <v>56</v>
      </c>
      <c r="J1110">
        <v>19</v>
      </c>
      <c r="K1110">
        <v>1617.48</v>
      </c>
      <c r="L1110">
        <v>30732.05</v>
      </c>
      <c r="M1110">
        <v>17247.2</v>
      </c>
      <c r="N1110">
        <v>3700.32</v>
      </c>
      <c r="O1110">
        <v>1181.51</v>
      </c>
      <c r="P1110">
        <v>484.04</v>
      </c>
      <c r="Q1110">
        <v>481.51</v>
      </c>
      <c r="R1110">
        <v>1422.67</v>
      </c>
      <c r="S1110">
        <v>596.69000000000005</v>
      </c>
      <c r="T1110">
        <v>25113.94</v>
      </c>
      <c r="U1110">
        <v>13484.84</v>
      </c>
      <c r="V1110">
        <v>5618.11</v>
      </c>
      <c r="W1110">
        <v>5590.67</v>
      </c>
      <c r="X1110">
        <v>32069.9</v>
      </c>
      <c r="Y1110">
        <v>26497.97</v>
      </c>
    </row>
    <row r="1111" spans="1:25" x14ac:dyDescent="0.25">
      <c r="A1111" t="s">
        <v>1166</v>
      </c>
      <c r="B1111" s="1">
        <v>45244</v>
      </c>
      <c r="C1111">
        <v>2023</v>
      </c>
      <c r="D1111">
        <v>11</v>
      </c>
      <c r="E1111" t="s">
        <v>1117</v>
      </c>
      <c r="F1111" t="s">
        <v>1018</v>
      </c>
      <c r="G1111" t="s">
        <v>55</v>
      </c>
      <c r="H1111" t="s">
        <v>58</v>
      </c>
      <c r="I1111" t="s">
        <v>50</v>
      </c>
      <c r="J1111">
        <v>49</v>
      </c>
      <c r="K1111">
        <v>1157.5</v>
      </c>
      <c r="L1111">
        <v>56717.53</v>
      </c>
      <c r="M1111">
        <v>29124.26</v>
      </c>
      <c r="N1111">
        <v>4475.2700000000004</v>
      </c>
      <c r="O1111">
        <v>4143.1400000000003</v>
      </c>
      <c r="P1111">
        <v>1200.48</v>
      </c>
      <c r="Q1111">
        <v>840.88</v>
      </c>
      <c r="R1111">
        <v>2567.2199999999998</v>
      </c>
      <c r="S1111">
        <v>1058.32</v>
      </c>
      <c r="T1111">
        <v>43409.57</v>
      </c>
      <c r="U1111">
        <v>27593.27</v>
      </c>
      <c r="V1111">
        <v>13307.96</v>
      </c>
      <c r="W1111">
        <v>12824.72</v>
      </c>
      <c r="X1111">
        <v>62015.839999999997</v>
      </c>
      <c r="Y1111">
        <v>44235.54</v>
      </c>
    </row>
    <row r="1112" spans="1:25" x14ac:dyDescent="0.25">
      <c r="A1112" t="s">
        <v>1167</v>
      </c>
      <c r="B1112" s="1">
        <v>45245</v>
      </c>
      <c r="C1112">
        <v>2023</v>
      </c>
      <c r="D1112">
        <v>11</v>
      </c>
      <c r="E1112" t="s">
        <v>1117</v>
      </c>
      <c r="F1112" t="s">
        <v>1018</v>
      </c>
      <c r="G1112" t="s">
        <v>28</v>
      </c>
      <c r="H1112" t="s">
        <v>32</v>
      </c>
      <c r="I1112" t="s">
        <v>50</v>
      </c>
      <c r="J1112">
        <v>40</v>
      </c>
      <c r="K1112">
        <v>1462.47</v>
      </c>
      <c r="L1112">
        <v>58498.65</v>
      </c>
      <c r="M1112">
        <v>35850.9</v>
      </c>
      <c r="N1112">
        <v>6910.5</v>
      </c>
      <c r="O1112">
        <v>1582.08</v>
      </c>
      <c r="P1112">
        <v>2035.06</v>
      </c>
      <c r="Q1112">
        <v>782.9</v>
      </c>
      <c r="R1112">
        <v>1924.36</v>
      </c>
      <c r="S1112">
        <v>836.76</v>
      </c>
      <c r="T1112">
        <v>49922.55</v>
      </c>
      <c r="U1112">
        <v>22647.759999999998</v>
      </c>
      <c r="V1112">
        <v>8576.1</v>
      </c>
      <c r="W1112">
        <v>7576.58</v>
      </c>
      <c r="X1112">
        <v>61551.64</v>
      </c>
      <c r="Y1112">
        <v>48489.01</v>
      </c>
    </row>
    <row r="1113" spans="1:25" x14ac:dyDescent="0.25">
      <c r="A1113" t="s">
        <v>1168</v>
      </c>
      <c r="B1113" s="1">
        <v>45246</v>
      </c>
      <c r="C1113">
        <v>2023</v>
      </c>
      <c r="D1113">
        <v>11</v>
      </c>
      <c r="E1113" t="s">
        <v>1117</v>
      </c>
      <c r="F1113" t="s">
        <v>1018</v>
      </c>
      <c r="G1113" t="s">
        <v>35</v>
      </c>
      <c r="H1113" t="s">
        <v>32</v>
      </c>
      <c r="I1113" t="s">
        <v>45</v>
      </c>
      <c r="J1113">
        <v>40</v>
      </c>
      <c r="K1113">
        <v>1217.23</v>
      </c>
      <c r="L1113">
        <v>48689.08</v>
      </c>
      <c r="M1113">
        <v>30616.11</v>
      </c>
      <c r="N1113">
        <v>4534.3999999999996</v>
      </c>
      <c r="O1113">
        <v>2406.5</v>
      </c>
      <c r="P1113">
        <v>1929.85</v>
      </c>
      <c r="Q1113">
        <v>554.58000000000004</v>
      </c>
      <c r="R1113">
        <v>1775.11</v>
      </c>
      <c r="S1113">
        <v>1001.77</v>
      </c>
      <c r="T1113">
        <v>42818.31</v>
      </c>
      <c r="U1113">
        <v>18072.97</v>
      </c>
      <c r="V1113">
        <v>5870.76</v>
      </c>
      <c r="W1113">
        <v>5680.42</v>
      </c>
      <c r="X1113">
        <v>53721.35</v>
      </c>
      <c r="Y1113">
        <v>44731.79</v>
      </c>
    </row>
    <row r="1114" spans="1:25" x14ac:dyDescent="0.25">
      <c r="A1114" t="s">
        <v>1169</v>
      </c>
      <c r="B1114" s="1">
        <v>45246</v>
      </c>
      <c r="C1114">
        <v>2023</v>
      </c>
      <c r="D1114">
        <v>11</v>
      </c>
      <c r="E1114" t="s">
        <v>1117</v>
      </c>
      <c r="F1114" t="s">
        <v>1018</v>
      </c>
      <c r="G1114" t="s">
        <v>28</v>
      </c>
      <c r="H1114" t="s">
        <v>36</v>
      </c>
      <c r="I1114" t="s">
        <v>56</v>
      </c>
      <c r="J1114">
        <v>29</v>
      </c>
      <c r="K1114">
        <v>1029.93</v>
      </c>
      <c r="L1114">
        <v>29867.9</v>
      </c>
      <c r="M1114">
        <v>17792.32</v>
      </c>
      <c r="N1114">
        <v>2821.03</v>
      </c>
      <c r="O1114">
        <v>1265.1500000000001</v>
      </c>
      <c r="P1114">
        <v>869.64</v>
      </c>
      <c r="Q1114">
        <v>177.94</v>
      </c>
      <c r="R1114">
        <v>1654.18</v>
      </c>
      <c r="S1114">
        <v>264.93</v>
      </c>
      <c r="T1114">
        <v>24845.18</v>
      </c>
      <c r="U1114">
        <v>12075.59</v>
      </c>
      <c r="V1114">
        <v>5022.72</v>
      </c>
      <c r="W1114">
        <v>4804.95</v>
      </c>
      <c r="X1114">
        <v>29223.97</v>
      </c>
      <c r="Y1114">
        <v>25396.94</v>
      </c>
    </row>
    <row r="1115" spans="1:25" x14ac:dyDescent="0.25">
      <c r="A1115" t="s">
        <v>1170</v>
      </c>
      <c r="B1115" s="1">
        <v>45246</v>
      </c>
      <c r="C1115">
        <v>2023</v>
      </c>
      <c r="D1115">
        <v>11</v>
      </c>
      <c r="E1115" t="s">
        <v>1117</v>
      </c>
      <c r="F1115" t="s">
        <v>1018</v>
      </c>
      <c r="G1115" t="s">
        <v>28</v>
      </c>
      <c r="H1115" t="s">
        <v>32</v>
      </c>
      <c r="I1115" t="s">
        <v>45</v>
      </c>
      <c r="J1115">
        <v>41</v>
      </c>
      <c r="K1115">
        <v>1308.73</v>
      </c>
      <c r="L1115">
        <v>53657.91</v>
      </c>
      <c r="M1115">
        <v>32324.47</v>
      </c>
      <c r="N1115">
        <v>5944.92</v>
      </c>
      <c r="O1115">
        <v>3865.31</v>
      </c>
      <c r="P1115">
        <v>1773.44</v>
      </c>
      <c r="Q1115">
        <v>339.22</v>
      </c>
      <c r="R1115">
        <v>2831.07</v>
      </c>
      <c r="S1115">
        <v>529.54</v>
      </c>
      <c r="T1115">
        <v>47607.96</v>
      </c>
      <c r="U1115">
        <v>21333.45</v>
      </c>
      <c r="V1115">
        <v>6049.95</v>
      </c>
      <c r="W1115">
        <v>6075.69</v>
      </c>
      <c r="X1115">
        <v>56604.06</v>
      </c>
      <c r="Y1115">
        <v>46572.31</v>
      </c>
    </row>
    <row r="1116" spans="1:25" x14ac:dyDescent="0.25">
      <c r="A1116" t="s">
        <v>1171</v>
      </c>
      <c r="B1116" s="1">
        <v>45247</v>
      </c>
      <c r="C1116">
        <v>2023</v>
      </c>
      <c r="D1116">
        <v>11</v>
      </c>
      <c r="E1116" t="s">
        <v>1117</v>
      </c>
      <c r="F1116" t="s">
        <v>1018</v>
      </c>
      <c r="G1116" t="s">
        <v>35</v>
      </c>
      <c r="H1116" t="s">
        <v>53</v>
      </c>
      <c r="I1116" t="s">
        <v>39</v>
      </c>
      <c r="J1116">
        <v>20</v>
      </c>
      <c r="K1116">
        <v>1510.76</v>
      </c>
      <c r="L1116">
        <v>30215.11</v>
      </c>
      <c r="M1116">
        <v>18891.849999999999</v>
      </c>
      <c r="N1116">
        <v>3322.81</v>
      </c>
      <c r="O1116">
        <v>918.39</v>
      </c>
      <c r="P1116">
        <v>652.84</v>
      </c>
      <c r="Q1116">
        <v>424.95</v>
      </c>
      <c r="R1116">
        <v>1724.72</v>
      </c>
      <c r="S1116">
        <v>290.99</v>
      </c>
      <c r="T1116">
        <v>26226.560000000001</v>
      </c>
      <c r="U1116">
        <v>11323.26</v>
      </c>
      <c r="V1116">
        <v>3988.56</v>
      </c>
      <c r="W1116">
        <v>4027.48</v>
      </c>
      <c r="X1116">
        <v>30945.38</v>
      </c>
      <c r="Y1116">
        <v>24432.73</v>
      </c>
    </row>
    <row r="1117" spans="1:25" x14ac:dyDescent="0.25">
      <c r="A1117" t="s">
        <v>1172</v>
      </c>
      <c r="B1117" s="1">
        <v>45247</v>
      </c>
      <c r="C1117">
        <v>2023</v>
      </c>
      <c r="D1117">
        <v>11</v>
      </c>
      <c r="E1117" t="s">
        <v>1117</v>
      </c>
      <c r="F1117" t="s">
        <v>1018</v>
      </c>
      <c r="G1117" t="s">
        <v>55</v>
      </c>
      <c r="H1117" t="s">
        <v>32</v>
      </c>
      <c r="I1117" t="s">
        <v>56</v>
      </c>
      <c r="J1117">
        <v>39</v>
      </c>
      <c r="K1117">
        <v>1194.01</v>
      </c>
      <c r="L1117">
        <v>46566.57</v>
      </c>
      <c r="M1117">
        <v>30919.09</v>
      </c>
      <c r="N1117">
        <v>5783.36</v>
      </c>
      <c r="O1117">
        <v>2812.09</v>
      </c>
      <c r="P1117">
        <v>1006.69</v>
      </c>
      <c r="Q1117">
        <v>357.4</v>
      </c>
      <c r="R1117">
        <v>2104.5300000000002</v>
      </c>
      <c r="S1117">
        <v>921.22</v>
      </c>
      <c r="T1117">
        <v>43904.38</v>
      </c>
      <c r="U1117">
        <v>15647.47</v>
      </c>
      <c r="V1117">
        <v>2662.19</v>
      </c>
      <c r="W1117">
        <v>2441.9299999999998</v>
      </c>
      <c r="X1117">
        <v>51485.19</v>
      </c>
      <c r="Y1117">
        <v>45422.48</v>
      </c>
    </row>
    <row r="1118" spans="1:25" x14ac:dyDescent="0.25">
      <c r="A1118" t="s">
        <v>1173</v>
      </c>
      <c r="B1118" s="1">
        <v>45247</v>
      </c>
      <c r="C1118">
        <v>2023</v>
      </c>
      <c r="D1118">
        <v>11</v>
      </c>
      <c r="E1118" t="s">
        <v>1117</v>
      </c>
      <c r="F1118" t="s">
        <v>1018</v>
      </c>
      <c r="G1118" t="s">
        <v>44</v>
      </c>
      <c r="H1118" t="s">
        <v>29</v>
      </c>
      <c r="I1118" t="s">
        <v>39</v>
      </c>
      <c r="J1118">
        <v>32</v>
      </c>
      <c r="K1118">
        <v>1074.32</v>
      </c>
      <c r="L1118">
        <v>34378.21</v>
      </c>
      <c r="M1118">
        <v>18343.490000000002</v>
      </c>
      <c r="N1118">
        <v>4031.3</v>
      </c>
      <c r="O1118">
        <v>1128.53</v>
      </c>
      <c r="P1118">
        <v>1219.51</v>
      </c>
      <c r="Q1118">
        <v>453.32</v>
      </c>
      <c r="R1118">
        <v>893.32</v>
      </c>
      <c r="S1118">
        <v>718.73</v>
      </c>
      <c r="T1118">
        <v>26788.19</v>
      </c>
      <c r="U1118">
        <v>16034.71</v>
      </c>
      <c r="V1118">
        <v>7590.01</v>
      </c>
      <c r="W1118">
        <v>7418.42</v>
      </c>
      <c r="X1118">
        <v>37969.96</v>
      </c>
      <c r="Y1118">
        <v>29211.79</v>
      </c>
    </row>
    <row r="1119" spans="1:25" x14ac:dyDescent="0.25">
      <c r="A1119" t="s">
        <v>1174</v>
      </c>
      <c r="B1119" s="1">
        <v>45247</v>
      </c>
      <c r="C1119">
        <v>2023</v>
      </c>
      <c r="D1119">
        <v>11</v>
      </c>
      <c r="E1119" t="s">
        <v>1117</v>
      </c>
      <c r="F1119" t="s">
        <v>1018</v>
      </c>
      <c r="G1119" t="s">
        <v>55</v>
      </c>
      <c r="H1119" t="s">
        <v>32</v>
      </c>
      <c r="I1119" t="s">
        <v>50</v>
      </c>
      <c r="J1119">
        <v>54</v>
      </c>
      <c r="K1119">
        <v>1053.6300000000001</v>
      </c>
      <c r="L1119">
        <v>56896.24</v>
      </c>
      <c r="M1119">
        <v>28538.36</v>
      </c>
      <c r="N1119">
        <v>5998.01</v>
      </c>
      <c r="O1119">
        <v>3146.01</v>
      </c>
      <c r="P1119">
        <v>1080.04</v>
      </c>
      <c r="Q1119">
        <v>728</v>
      </c>
      <c r="R1119">
        <v>1811.65</v>
      </c>
      <c r="S1119">
        <v>919.38</v>
      </c>
      <c r="T1119">
        <v>42221.45</v>
      </c>
      <c r="U1119">
        <v>28357.87</v>
      </c>
      <c r="V1119">
        <v>14674.79</v>
      </c>
      <c r="W1119">
        <v>13539.12</v>
      </c>
      <c r="X1119">
        <v>54247.53</v>
      </c>
      <c r="Y1119">
        <v>45106.38</v>
      </c>
    </row>
    <row r="1120" spans="1:25" x14ac:dyDescent="0.25">
      <c r="A1120" t="s">
        <v>1175</v>
      </c>
      <c r="B1120" s="1">
        <v>45248</v>
      </c>
      <c r="C1120">
        <v>2023</v>
      </c>
      <c r="D1120">
        <v>11</v>
      </c>
      <c r="E1120" t="s">
        <v>1117</v>
      </c>
      <c r="F1120" t="s">
        <v>1018</v>
      </c>
      <c r="G1120" t="s">
        <v>35</v>
      </c>
      <c r="H1120" t="s">
        <v>32</v>
      </c>
      <c r="I1120" t="s">
        <v>56</v>
      </c>
      <c r="J1120">
        <v>37</v>
      </c>
      <c r="K1120">
        <v>999.58</v>
      </c>
      <c r="L1120">
        <v>36984.47</v>
      </c>
      <c r="M1120">
        <v>18664.61</v>
      </c>
      <c r="N1120">
        <v>3349.43</v>
      </c>
      <c r="O1120">
        <v>1761.16</v>
      </c>
      <c r="P1120">
        <v>695.8</v>
      </c>
      <c r="Q1120">
        <v>300.89999999999998</v>
      </c>
      <c r="R1120">
        <v>1660.93</v>
      </c>
      <c r="S1120">
        <v>906.04</v>
      </c>
      <c r="T1120">
        <v>27338.89</v>
      </c>
      <c r="U1120">
        <v>18319.86</v>
      </c>
      <c r="V1120">
        <v>9645.58</v>
      </c>
      <c r="W1120">
        <v>8870.85</v>
      </c>
      <c r="X1120">
        <v>38496.97</v>
      </c>
      <c r="Y1120">
        <v>28538.18</v>
      </c>
    </row>
    <row r="1121" spans="1:25" x14ac:dyDescent="0.25">
      <c r="A1121" t="s">
        <v>1176</v>
      </c>
      <c r="B1121" s="1">
        <v>45248</v>
      </c>
      <c r="C1121">
        <v>2023</v>
      </c>
      <c r="D1121">
        <v>11</v>
      </c>
      <c r="E1121" t="s">
        <v>1117</v>
      </c>
      <c r="F1121" t="s">
        <v>1018</v>
      </c>
      <c r="G1121" t="s">
        <v>28</v>
      </c>
      <c r="H1121" t="s">
        <v>32</v>
      </c>
      <c r="I1121" t="s">
        <v>39</v>
      </c>
      <c r="J1121">
        <v>41</v>
      </c>
      <c r="K1121">
        <v>1139.2</v>
      </c>
      <c r="L1121">
        <v>46707.11</v>
      </c>
      <c r="M1121">
        <v>25665.919999999998</v>
      </c>
      <c r="N1121">
        <v>4841.1400000000003</v>
      </c>
      <c r="O1121">
        <v>3214.76</v>
      </c>
      <c r="P1121">
        <v>1457.33</v>
      </c>
      <c r="Q1121">
        <v>678.88</v>
      </c>
      <c r="R1121">
        <v>2209.6999999999998</v>
      </c>
      <c r="S1121">
        <v>611.59</v>
      </c>
      <c r="T1121">
        <v>38679.31</v>
      </c>
      <c r="U1121">
        <v>21041.19</v>
      </c>
      <c r="V1121">
        <v>8027.81</v>
      </c>
      <c r="W1121">
        <v>8013.16</v>
      </c>
      <c r="X1121">
        <v>49258.57</v>
      </c>
      <c r="Y1121">
        <v>40044.82</v>
      </c>
    </row>
    <row r="1122" spans="1:25" x14ac:dyDescent="0.25">
      <c r="A1122" t="s">
        <v>1177</v>
      </c>
      <c r="B1122" s="1">
        <v>45248</v>
      </c>
      <c r="C1122">
        <v>2023</v>
      </c>
      <c r="D1122">
        <v>11</v>
      </c>
      <c r="E1122" t="s">
        <v>1117</v>
      </c>
      <c r="F1122" t="s">
        <v>1018</v>
      </c>
      <c r="G1122" t="s">
        <v>35</v>
      </c>
      <c r="H1122" t="s">
        <v>32</v>
      </c>
      <c r="I1122" t="s">
        <v>37</v>
      </c>
      <c r="J1122">
        <v>77</v>
      </c>
      <c r="K1122">
        <v>922.14</v>
      </c>
      <c r="L1122">
        <v>71004.990000000005</v>
      </c>
      <c r="M1122">
        <v>43174.14</v>
      </c>
      <c r="N1122">
        <v>7437.51</v>
      </c>
      <c r="O1122">
        <v>2060.67</v>
      </c>
      <c r="P1122">
        <v>2165.3000000000002</v>
      </c>
      <c r="Q1122">
        <v>510.07</v>
      </c>
      <c r="R1122">
        <v>3788.02</v>
      </c>
      <c r="S1122">
        <v>1478.79</v>
      </c>
      <c r="T1122">
        <v>60614.5</v>
      </c>
      <c r="U1122">
        <v>27830.85</v>
      </c>
      <c r="V1122">
        <v>10390.49</v>
      </c>
      <c r="W1122">
        <v>10370.35</v>
      </c>
      <c r="X1122">
        <v>77271.72</v>
      </c>
      <c r="Y1122">
        <v>63403.24</v>
      </c>
    </row>
    <row r="1123" spans="1:25" x14ac:dyDescent="0.25">
      <c r="A1123" t="s">
        <v>1178</v>
      </c>
      <c r="B1123" s="1">
        <v>45249</v>
      </c>
      <c r="C1123">
        <v>2023</v>
      </c>
      <c r="D1123">
        <v>11</v>
      </c>
      <c r="E1123" t="s">
        <v>1117</v>
      </c>
      <c r="F1123" t="s">
        <v>1018</v>
      </c>
      <c r="G1123" t="s">
        <v>55</v>
      </c>
      <c r="H1123" t="s">
        <v>32</v>
      </c>
      <c r="I1123" t="s">
        <v>30</v>
      </c>
      <c r="J1123">
        <v>76</v>
      </c>
      <c r="K1123">
        <v>1305.99</v>
      </c>
      <c r="L1123">
        <v>99255.44</v>
      </c>
      <c r="M1123">
        <v>60477.89</v>
      </c>
      <c r="N1123">
        <v>10912.63</v>
      </c>
      <c r="O1123">
        <v>5034.74</v>
      </c>
      <c r="P1123">
        <v>1845.65</v>
      </c>
      <c r="Q1123">
        <v>1639.93</v>
      </c>
      <c r="R1123">
        <v>3712.74</v>
      </c>
      <c r="S1123">
        <v>1337.27</v>
      </c>
      <c r="T1123">
        <v>84960.86</v>
      </c>
      <c r="U1123">
        <v>38777.550000000003</v>
      </c>
      <c r="V1123">
        <v>14294.58</v>
      </c>
      <c r="W1123">
        <v>13060.24</v>
      </c>
      <c r="X1123">
        <v>110236.12</v>
      </c>
      <c r="Y1123">
        <v>79336.89</v>
      </c>
    </row>
    <row r="1124" spans="1:25" x14ac:dyDescent="0.25">
      <c r="A1124" t="s">
        <v>1179</v>
      </c>
      <c r="B1124" s="1">
        <v>45250</v>
      </c>
      <c r="C1124">
        <v>2023</v>
      </c>
      <c r="D1124">
        <v>11</v>
      </c>
      <c r="E1124" t="s">
        <v>1117</v>
      </c>
      <c r="F1124" t="s">
        <v>1018</v>
      </c>
      <c r="G1124" t="s">
        <v>55</v>
      </c>
      <c r="H1124" t="s">
        <v>32</v>
      </c>
      <c r="I1124" t="s">
        <v>30</v>
      </c>
      <c r="J1124">
        <v>91</v>
      </c>
      <c r="K1124">
        <v>1590.16</v>
      </c>
      <c r="L1124">
        <v>144704.18</v>
      </c>
      <c r="M1124">
        <v>86476.84</v>
      </c>
      <c r="N1124">
        <v>18782.09</v>
      </c>
      <c r="O1124">
        <v>8211.9500000000007</v>
      </c>
      <c r="P1124">
        <v>3172.37</v>
      </c>
      <c r="Q1124">
        <v>1160.3499999999999</v>
      </c>
      <c r="R1124">
        <v>7918.57</v>
      </c>
      <c r="S1124">
        <v>2779.02</v>
      </c>
      <c r="T1124">
        <v>128501.18</v>
      </c>
      <c r="U1124">
        <v>58227.34</v>
      </c>
      <c r="V1124">
        <v>16203</v>
      </c>
      <c r="W1124">
        <v>15811.28</v>
      </c>
      <c r="X1124">
        <v>151708.57999999999</v>
      </c>
      <c r="Y1124">
        <v>132665.45000000001</v>
      </c>
    </row>
    <row r="1125" spans="1:25" x14ac:dyDescent="0.25">
      <c r="A1125" t="s">
        <v>1180</v>
      </c>
      <c r="B1125" s="1">
        <v>45250</v>
      </c>
      <c r="C1125">
        <v>2023</v>
      </c>
      <c r="D1125">
        <v>11</v>
      </c>
      <c r="E1125" t="s">
        <v>1117</v>
      </c>
      <c r="F1125" t="s">
        <v>1018</v>
      </c>
      <c r="G1125" t="s">
        <v>28</v>
      </c>
      <c r="H1125" t="s">
        <v>32</v>
      </c>
      <c r="I1125" t="s">
        <v>39</v>
      </c>
      <c r="J1125">
        <v>50</v>
      </c>
      <c r="K1125">
        <v>1087.04</v>
      </c>
      <c r="L1125">
        <v>54351.99</v>
      </c>
      <c r="M1125">
        <v>34432.730000000003</v>
      </c>
      <c r="N1125">
        <v>4968.92</v>
      </c>
      <c r="O1125">
        <v>1778.96</v>
      </c>
      <c r="P1125">
        <v>1645.21</v>
      </c>
      <c r="Q1125">
        <v>383.62</v>
      </c>
      <c r="R1125">
        <v>1625.13</v>
      </c>
      <c r="S1125">
        <v>903.28</v>
      </c>
      <c r="T1125">
        <v>45737.85</v>
      </c>
      <c r="U1125">
        <v>19919.259999999998</v>
      </c>
      <c r="V1125">
        <v>8614.1299999999992</v>
      </c>
      <c r="W1125">
        <v>8094.86</v>
      </c>
      <c r="X1125">
        <v>50403.82</v>
      </c>
      <c r="Y1125">
        <v>46254.080000000002</v>
      </c>
    </row>
    <row r="1126" spans="1:25" x14ac:dyDescent="0.25">
      <c r="A1126" t="s">
        <v>1181</v>
      </c>
      <c r="B1126" s="1">
        <v>45250</v>
      </c>
      <c r="C1126">
        <v>2023</v>
      </c>
      <c r="D1126">
        <v>11</v>
      </c>
      <c r="E1126" t="s">
        <v>1117</v>
      </c>
      <c r="F1126" t="s">
        <v>1018</v>
      </c>
      <c r="G1126" t="s">
        <v>55</v>
      </c>
      <c r="H1126" t="s">
        <v>36</v>
      </c>
      <c r="I1126" t="s">
        <v>33</v>
      </c>
      <c r="J1126">
        <v>58</v>
      </c>
      <c r="K1126">
        <v>1644.68</v>
      </c>
      <c r="L1126">
        <v>95391.42</v>
      </c>
      <c r="M1126">
        <v>61513.919999999998</v>
      </c>
      <c r="N1126">
        <v>9641.67</v>
      </c>
      <c r="O1126">
        <v>2447.23</v>
      </c>
      <c r="P1126">
        <v>1684.42</v>
      </c>
      <c r="Q1126">
        <v>1670.43</v>
      </c>
      <c r="R1126">
        <v>6043.39</v>
      </c>
      <c r="S1126">
        <v>2016.81</v>
      </c>
      <c r="T1126">
        <v>85017.87</v>
      </c>
      <c r="U1126">
        <v>33877.5</v>
      </c>
      <c r="V1126">
        <v>10373.549999999999</v>
      </c>
      <c r="W1126">
        <v>10002.65</v>
      </c>
      <c r="X1126">
        <v>103607.93</v>
      </c>
      <c r="Y1126">
        <v>90019.839999999997</v>
      </c>
    </row>
    <row r="1127" spans="1:25" x14ac:dyDescent="0.25">
      <c r="A1127" t="s">
        <v>1182</v>
      </c>
      <c r="B1127" s="1">
        <v>45250</v>
      </c>
      <c r="C1127">
        <v>2023</v>
      </c>
      <c r="D1127">
        <v>11</v>
      </c>
      <c r="E1127" t="s">
        <v>1117</v>
      </c>
      <c r="F1127" t="s">
        <v>1018</v>
      </c>
      <c r="G1127" t="s">
        <v>44</v>
      </c>
      <c r="H1127" t="s">
        <v>32</v>
      </c>
      <c r="I1127" t="s">
        <v>50</v>
      </c>
      <c r="J1127">
        <v>49</v>
      </c>
      <c r="K1127">
        <v>1237.44</v>
      </c>
      <c r="L1127">
        <v>60634.68</v>
      </c>
      <c r="M1127">
        <v>39906.160000000003</v>
      </c>
      <c r="N1127">
        <v>6545.28</v>
      </c>
      <c r="O1127">
        <v>2966.2</v>
      </c>
      <c r="P1127">
        <v>1052.71</v>
      </c>
      <c r="Q1127">
        <v>800.7</v>
      </c>
      <c r="R1127">
        <v>2231.86</v>
      </c>
      <c r="S1127">
        <v>663.51</v>
      </c>
      <c r="T1127">
        <v>54166.42</v>
      </c>
      <c r="U1127">
        <v>20728.52</v>
      </c>
      <c r="V1127">
        <v>6468.26</v>
      </c>
      <c r="W1127">
        <v>6107.35</v>
      </c>
      <c r="X1127">
        <v>66688.2</v>
      </c>
      <c r="Y1127">
        <v>54906.37</v>
      </c>
    </row>
    <row r="1128" spans="1:25" x14ac:dyDescent="0.25">
      <c r="A1128" t="s">
        <v>1183</v>
      </c>
      <c r="B1128" s="1">
        <v>45251</v>
      </c>
      <c r="C1128">
        <v>2023</v>
      </c>
      <c r="D1128">
        <v>11</v>
      </c>
      <c r="E1128" t="s">
        <v>1117</v>
      </c>
      <c r="F1128" t="s">
        <v>1018</v>
      </c>
      <c r="G1128" t="s">
        <v>28</v>
      </c>
      <c r="H1128" t="s">
        <v>36</v>
      </c>
      <c r="I1128" t="s">
        <v>30</v>
      </c>
      <c r="J1128">
        <v>95</v>
      </c>
      <c r="K1128">
        <v>1184.75</v>
      </c>
      <c r="L1128">
        <v>112550.93</v>
      </c>
      <c r="M1128">
        <v>54957.07</v>
      </c>
      <c r="N1128">
        <v>12863.38</v>
      </c>
      <c r="O1128">
        <v>5178.24</v>
      </c>
      <c r="P1128">
        <v>2395.62</v>
      </c>
      <c r="Q1128">
        <v>812.82</v>
      </c>
      <c r="R1128">
        <v>3972.74</v>
      </c>
      <c r="S1128">
        <v>945.88</v>
      </c>
      <c r="T1128">
        <v>81125.759999999995</v>
      </c>
      <c r="U1128">
        <v>57593.86</v>
      </c>
      <c r="V1128">
        <v>31425.17</v>
      </c>
      <c r="W1128">
        <v>31845.17</v>
      </c>
      <c r="X1128">
        <v>114867.9</v>
      </c>
      <c r="Y1128">
        <v>81838.740000000005</v>
      </c>
    </row>
    <row r="1129" spans="1:25" x14ac:dyDescent="0.25">
      <c r="A1129" t="s">
        <v>1184</v>
      </c>
      <c r="B1129" s="1">
        <v>45251</v>
      </c>
      <c r="C1129">
        <v>2023</v>
      </c>
      <c r="D1129">
        <v>11</v>
      </c>
      <c r="E1129" t="s">
        <v>1117</v>
      </c>
      <c r="F1129" t="s">
        <v>1018</v>
      </c>
      <c r="G1129" t="s">
        <v>28</v>
      </c>
      <c r="H1129" t="s">
        <v>36</v>
      </c>
      <c r="I1129" t="s">
        <v>37</v>
      </c>
      <c r="J1129">
        <v>57</v>
      </c>
      <c r="K1129">
        <v>1211.94</v>
      </c>
      <c r="L1129">
        <v>69080.59</v>
      </c>
      <c r="M1129">
        <v>33834.589999999997</v>
      </c>
      <c r="N1129">
        <v>6656.27</v>
      </c>
      <c r="O1129">
        <v>2313.2600000000002</v>
      </c>
      <c r="P1129">
        <v>1487.18</v>
      </c>
      <c r="Q1129">
        <v>956.7</v>
      </c>
      <c r="R1129">
        <v>3900.34</v>
      </c>
      <c r="S1129">
        <v>890.08</v>
      </c>
      <c r="T1129">
        <v>50038.42</v>
      </c>
      <c r="U1129">
        <v>35246</v>
      </c>
      <c r="V1129">
        <v>19042.169999999998</v>
      </c>
      <c r="W1129">
        <v>17174.2</v>
      </c>
      <c r="X1129">
        <v>73183.520000000004</v>
      </c>
      <c r="Y1129">
        <v>54940.6</v>
      </c>
    </row>
    <row r="1130" spans="1:25" x14ac:dyDescent="0.25">
      <c r="A1130" t="s">
        <v>1185</v>
      </c>
      <c r="B1130" s="1">
        <v>45252</v>
      </c>
      <c r="C1130">
        <v>2023</v>
      </c>
      <c r="D1130">
        <v>11</v>
      </c>
      <c r="E1130" t="s">
        <v>1117</v>
      </c>
      <c r="F1130" t="s">
        <v>1018</v>
      </c>
      <c r="G1130" t="s">
        <v>55</v>
      </c>
      <c r="H1130" t="s">
        <v>32</v>
      </c>
      <c r="I1130" t="s">
        <v>45</v>
      </c>
      <c r="J1130">
        <v>51</v>
      </c>
      <c r="K1130">
        <v>1140.8399999999999</v>
      </c>
      <c r="L1130">
        <v>58182.62</v>
      </c>
      <c r="M1130">
        <v>28611.99</v>
      </c>
      <c r="N1130">
        <v>6319.52</v>
      </c>
      <c r="O1130">
        <v>4244.07</v>
      </c>
      <c r="P1130">
        <v>1944.33</v>
      </c>
      <c r="Q1130">
        <v>864.2</v>
      </c>
      <c r="R1130">
        <v>1859.77</v>
      </c>
      <c r="S1130">
        <v>1366.49</v>
      </c>
      <c r="T1130">
        <v>45210.38</v>
      </c>
      <c r="U1130">
        <v>29570.63</v>
      </c>
      <c r="V1130">
        <v>12972.24</v>
      </c>
      <c r="W1130">
        <v>12374.12</v>
      </c>
      <c r="X1130">
        <v>63373.65</v>
      </c>
      <c r="Y1130">
        <v>44285.77</v>
      </c>
    </row>
    <row r="1131" spans="1:25" x14ac:dyDescent="0.25">
      <c r="A1131" t="s">
        <v>1186</v>
      </c>
      <c r="B1131" s="1">
        <v>45252</v>
      </c>
      <c r="C1131">
        <v>2023</v>
      </c>
      <c r="D1131">
        <v>11</v>
      </c>
      <c r="E1131" t="s">
        <v>1117</v>
      </c>
      <c r="F1131" t="s">
        <v>1018</v>
      </c>
      <c r="G1131" t="s">
        <v>44</v>
      </c>
      <c r="H1131" t="s">
        <v>53</v>
      </c>
      <c r="I1131" t="s">
        <v>65</v>
      </c>
      <c r="J1131">
        <v>32</v>
      </c>
      <c r="K1131">
        <v>1549.63</v>
      </c>
      <c r="L1131">
        <v>49588.08</v>
      </c>
      <c r="M1131">
        <v>31280</v>
      </c>
      <c r="N1131">
        <v>5520.28</v>
      </c>
      <c r="O1131">
        <v>1267.3699999999999</v>
      </c>
      <c r="P1131">
        <v>2167.1</v>
      </c>
      <c r="Q1131">
        <v>632.96</v>
      </c>
      <c r="R1131">
        <v>2216.9899999999998</v>
      </c>
      <c r="S1131">
        <v>924.56</v>
      </c>
      <c r="T1131">
        <v>44009.26</v>
      </c>
      <c r="U1131">
        <v>18308.09</v>
      </c>
      <c r="V1131">
        <v>5578.83</v>
      </c>
      <c r="W1131">
        <v>5569.14</v>
      </c>
      <c r="X1131">
        <v>49326.239999999998</v>
      </c>
      <c r="Y1131">
        <v>41076.81</v>
      </c>
    </row>
    <row r="1132" spans="1:25" x14ac:dyDescent="0.25">
      <c r="A1132" t="s">
        <v>1187</v>
      </c>
      <c r="B1132" s="1">
        <v>45253</v>
      </c>
      <c r="C1132">
        <v>2023</v>
      </c>
      <c r="D1132">
        <v>11</v>
      </c>
      <c r="E1132" t="s">
        <v>1117</v>
      </c>
      <c r="F1132" t="s">
        <v>1018</v>
      </c>
      <c r="G1132" t="s">
        <v>44</v>
      </c>
      <c r="H1132" t="s">
        <v>36</v>
      </c>
      <c r="I1132" t="s">
        <v>33</v>
      </c>
      <c r="J1132">
        <v>51</v>
      </c>
      <c r="K1132">
        <v>1184.74</v>
      </c>
      <c r="L1132">
        <v>60421.86</v>
      </c>
      <c r="M1132">
        <v>38828.83</v>
      </c>
      <c r="N1132">
        <v>5393.18</v>
      </c>
      <c r="O1132">
        <v>3793.01</v>
      </c>
      <c r="P1132">
        <v>993.64</v>
      </c>
      <c r="Q1132">
        <v>609.9</v>
      </c>
      <c r="R1132">
        <v>3783.52</v>
      </c>
      <c r="S1132">
        <v>1368.54</v>
      </c>
      <c r="T1132">
        <v>54770.62</v>
      </c>
      <c r="U1132">
        <v>21593.02</v>
      </c>
      <c r="V1132">
        <v>5651.24</v>
      </c>
      <c r="W1132">
        <v>5132.5</v>
      </c>
      <c r="X1132">
        <v>60672.95</v>
      </c>
      <c r="Y1132">
        <v>51496.41</v>
      </c>
    </row>
    <row r="1133" spans="1:25" x14ac:dyDescent="0.25">
      <c r="A1133" t="s">
        <v>1188</v>
      </c>
      <c r="B1133" s="1">
        <v>45253</v>
      </c>
      <c r="C1133">
        <v>2023</v>
      </c>
      <c r="D1133">
        <v>11</v>
      </c>
      <c r="E1133" t="s">
        <v>1117</v>
      </c>
      <c r="F1133" t="s">
        <v>1018</v>
      </c>
      <c r="G1133" t="s">
        <v>35</v>
      </c>
      <c r="H1133" t="s">
        <v>58</v>
      </c>
      <c r="I1133" t="s">
        <v>33</v>
      </c>
      <c r="J1133">
        <v>58</v>
      </c>
      <c r="K1133">
        <v>1291.71</v>
      </c>
      <c r="L1133">
        <v>74919.44</v>
      </c>
      <c r="M1133">
        <v>48499.34</v>
      </c>
      <c r="N1133">
        <v>8940.01</v>
      </c>
      <c r="O1133">
        <v>1918.81</v>
      </c>
      <c r="P1133">
        <v>3046.08</v>
      </c>
      <c r="Q1133">
        <v>1029.8</v>
      </c>
      <c r="R1133">
        <v>3536.53</v>
      </c>
      <c r="S1133">
        <v>1515.48</v>
      </c>
      <c r="T1133">
        <v>68486.06</v>
      </c>
      <c r="U1133">
        <v>26420.1</v>
      </c>
      <c r="V1133">
        <v>6433.38</v>
      </c>
      <c r="W1133">
        <v>5969.96</v>
      </c>
      <c r="X1133">
        <v>71876.73</v>
      </c>
      <c r="Y1133">
        <v>67401.149999999994</v>
      </c>
    </row>
    <row r="1134" spans="1:25" x14ac:dyDescent="0.25">
      <c r="A1134" t="s">
        <v>1189</v>
      </c>
      <c r="B1134" s="1">
        <v>45253</v>
      </c>
      <c r="C1134">
        <v>2023</v>
      </c>
      <c r="D1134">
        <v>11</v>
      </c>
      <c r="E1134" t="s">
        <v>1117</v>
      </c>
      <c r="F1134" t="s">
        <v>1018</v>
      </c>
      <c r="G1134" t="s">
        <v>55</v>
      </c>
      <c r="H1134" t="s">
        <v>53</v>
      </c>
      <c r="I1134" t="s">
        <v>56</v>
      </c>
      <c r="J1134">
        <v>19</v>
      </c>
      <c r="K1134">
        <v>1346.96</v>
      </c>
      <c r="L1134">
        <v>25592.240000000002</v>
      </c>
      <c r="M1134">
        <v>16868.5</v>
      </c>
      <c r="N1134">
        <v>2094.16</v>
      </c>
      <c r="O1134">
        <v>1347.61</v>
      </c>
      <c r="P1134">
        <v>968.33</v>
      </c>
      <c r="Q1134">
        <v>271.83</v>
      </c>
      <c r="R1134">
        <v>1167.4100000000001</v>
      </c>
      <c r="S1134">
        <v>265.93</v>
      </c>
      <c r="T1134">
        <v>22983.77</v>
      </c>
      <c r="U1134">
        <v>8723.74</v>
      </c>
      <c r="V1134">
        <v>2608.4699999999998</v>
      </c>
      <c r="W1134">
        <v>2498.27</v>
      </c>
      <c r="X1134">
        <v>27238.22</v>
      </c>
      <c r="Y1134">
        <v>23562.15</v>
      </c>
    </row>
    <row r="1135" spans="1:25" x14ac:dyDescent="0.25">
      <c r="A1135" t="s">
        <v>1190</v>
      </c>
      <c r="B1135" s="1">
        <v>45253</v>
      </c>
      <c r="C1135">
        <v>2023</v>
      </c>
      <c r="D1135">
        <v>11</v>
      </c>
      <c r="E1135" t="s">
        <v>1117</v>
      </c>
      <c r="F1135" t="s">
        <v>1018</v>
      </c>
      <c r="G1135" t="s">
        <v>35</v>
      </c>
      <c r="H1135" t="s">
        <v>32</v>
      </c>
      <c r="I1135" t="s">
        <v>39</v>
      </c>
      <c r="J1135">
        <v>36</v>
      </c>
      <c r="K1135">
        <v>1285.82</v>
      </c>
      <c r="L1135">
        <v>46289.48</v>
      </c>
      <c r="M1135">
        <v>27549.9</v>
      </c>
      <c r="N1135">
        <v>4534.45</v>
      </c>
      <c r="O1135">
        <v>3402.12</v>
      </c>
      <c r="P1135">
        <v>989.99</v>
      </c>
      <c r="Q1135">
        <v>386.73</v>
      </c>
      <c r="R1135">
        <v>1609.12</v>
      </c>
      <c r="S1135">
        <v>694.41</v>
      </c>
      <c r="T1135">
        <v>39166.720000000001</v>
      </c>
      <c r="U1135">
        <v>18739.580000000002</v>
      </c>
      <c r="V1135">
        <v>7122.75</v>
      </c>
      <c r="W1135">
        <v>6742.8</v>
      </c>
      <c r="X1135">
        <v>42854.83</v>
      </c>
      <c r="Y1135">
        <v>39892.730000000003</v>
      </c>
    </row>
    <row r="1136" spans="1:25" x14ac:dyDescent="0.25">
      <c r="A1136" t="s">
        <v>1191</v>
      </c>
      <c r="B1136" s="1">
        <v>45254</v>
      </c>
      <c r="C1136">
        <v>2023</v>
      </c>
      <c r="D1136">
        <v>11</v>
      </c>
      <c r="E1136" t="s">
        <v>1117</v>
      </c>
      <c r="F1136" t="s">
        <v>1018</v>
      </c>
      <c r="G1136" t="s">
        <v>55</v>
      </c>
      <c r="H1136" t="s">
        <v>29</v>
      </c>
      <c r="I1136" t="s">
        <v>56</v>
      </c>
      <c r="J1136">
        <v>45</v>
      </c>
      <c r="K1136">
        <v>851.87</v>
      </c>
      <c r="L1136">
        <v>38334.1</v>
      </c>
      <c r="M1136">
        <v>20257.41</v>
      </c>
      <c r="N1136">
        <v>2811.24</v>
      </c>
      <c r="O1136">
        <v>2825.44</v>
      </c>
      <c r="P1136">
        <v>1131.19</v>
      </c>
      <c r="Q1136">
        <v>539.84</v>
      </c>
      <c r="R1136">
        <v>2406.63</v>
      </c>
      <c r="S1136">
        <v>768.14</v>
      </c>
      <c r="T1136">
        <v>30739.89</v>
      </c>
      <c r="U1136">
        <v>18076.689999999999</v>
      </c>
      <c r="V1136">
        <v>7594.21</v>
      </c>
      <c r="W1136">
        <v>7495.81</v>
      </c>
      <c r="X1136">
        <v>36675.82</v>
      </c>
      <c r="Y1136">
        <v>32854.47</v>
      </c>
    </row>
    <row r="1137" spans="1:25" x14ac:dyDescent="0.25">
      <c r="A1137" t="s">
        <v>1192</v>
      </c>
      <c r="B1137" s="1">
        <v>45254</v>
      </c>
      <c r="C1137">
        <v>2023</v>
      </c>
      <c r="D1137">
        <v>11</v>
      </c>
      <c r="E1137" t="s">
        <v>1117</v>
      </c>
      <c r="F1137" t="s">
        <v>1018</v>
      </c>
      <c r="G1137" t="s">
        <v>28</v>
      </c>
      <c r="H1137" t="s">
        <v>32</v>
      </c>
      <c r="I1137" t="s">
        <v>33</v>
      </c>
      <c r="J1137">
        <v>56</v>
      </c>
      <c r="K1137">
        <v>1688.13</v>
      </c>
      <c r="L1137">
        <v>94535.51</v>
      </c>
      <c r="M1137">
        <v>51709.63</v>
      </c>
      <c r="N1137">
        <v>8243.4500000000007</v>
      </c>
      <c r="O1137">
        <v>5031.59</v>
      </c>
      <c r="P1137">
        <v>2302.9299999999998</v>
      </c>
      <c r="Q1137">
        <v>582.65</v>
      </c>
      <c r="R1137">
        <v>3640.76</v>
      </c>
      <c r="S1137">
        <v>1072.6400000000001</v>
      </c>
      <c r="T1137">
        <v>72583.649999999994</v>
      </c>
      <c r="U1137">
        <v>42825.88</v>
      </c>
      <c r="V1137">
        <v>21951.86</v>
      </c>
      <c r="W1137">
        <v>20562.78</v>
      </c>
      <c r="X1137">
        <v>87926.8</v>
      </c>
      <c r="Y1137">
        <v>76405.919999999998</v>
      </c>
    </row>
    <row r="1138" spans="1:25" x14ac:dyDescent="0.25">
      <c r="A1138" t="s">
        <v>1193</v>
      </c>
      <c r="B1138" s="1">
        <v>45254</v>
      </c>
      <c r="C1138">
        <v>2023</v>
      </c>
      <c r="D1138">
        <v>11</v>
      </c>
      <c r="E1138" t="s">
        <v>1117</v>
      </c>
      <c r="F1138" t="s">
        <v>1018</v>
      </c>
      <c r="G1138" t="s">
        <v>28</v>
      </c>
      <c r="H1138" t="s">
        <v>36</v>
      </c>
      <c r="I1138" t="s">
        <v>30</v>
      </c>
      <c r="J1138">
        <v>90</v>
      </c>
      <c r="K1138">
        <v>1230.04</v>
      </c>
      <c r="L1138">
        <v>110703.57</v>
      </c>
      <c r="M1138">
        <v>54544.800000000003</v>
      </c>
      <c r="N1138">
        <v>12988.76</v>
      </c>
      <c r="O1138">
        <v>5487.85</v>
      </c>
      <c r="P1138">
        <v>4426.25</v>
      </c>
      <c r="Q1138">
        <v>1754.87</v>
      </c>
      <c r="R1138">
        <v>3024.83</v>
      </c>
      <c r="S1138">
        <v>2176.14</v>
      </c>
      <c r="T1138">
        <v>84403.51</v>
      </c>
      <c r="U1138">
        <v>56158.77</v>
      </c>
      <c r="V1138">
        <v>26300.06</v>
      </c>
      <c r="W1138">
        <v>25364.9</v>
      </c>
      <c r="X1138">
        <v>103224.76</v>
      </c>
      <c r="Y1138">
        <v>80619.27</v>
      </c>
    </row>
    <row r="1139" spans="1:25" x14ac:dyDescent="0.25">
      <c r="A1139" t="s">
        <v>1194</v>
      </c>
      <c r="B1139" s="1">
        <v>45254</v>
      </c>
      <c r="C1139">
        <v>2023</v>
      </c>
      <c r="D1139">
        <v>11</v>
      </c>
      <c r="E1139" t="s">
        <v>1117</v>
      </c>
      <c r="F1139" t="s">
        <v>1018</v>
      </c>
      <c r="G1139" t="s">
        <v>55</v>
      </c>
      <c r="H1139" t="s">
        <v>53</v>
      </c>
      <c r="I1139" t="s">
        <v>50</v>
      </c>
      <c r="J1139">
        <v>27</v>
      </c>
      <c r="K1139">
        <v>1777.54</v>
      </c>
      <c r="L1139">
        <v>47993.62</v>
      </c>
      <c r="M1139">
        <v>23651.75</v>
      </c>
      <c r="N1139">
        <v>3570.6</v>
      </c>
      <c r="O1139">
        <v>2238.38</v>
      </c>
      <c r="P1139">
        <v>1983.65</v>
      </c>
      <c r="Q1139">
        <v>791.74</v>
      </c>
      <c r="R1139">
        <v>2730.13</v>
      </c>
      <c r="S1139">
        <v>1164.22</v>
      </c>
      <c r="T1139">
        <v>36130.46</v>
      </c>
      <c r="U1139">
        <v>24341.87</v>
      </c>
      <c r="V1139">
        <v>11863.16</v>
      </c>
      <c r="W1139">
        <v>10661.2</v>
      </c>
      <c r="X1139">
        <v>47381.72</v>
      </c>
      <c r="Y1139">
        <v>34279.9</v>
      </c>
    </row>
    <row r="1140" spans="1:25" x14ac:dyDescent="0.25">
      <c r="A1140" t="s">
        <v>1195</v>
      </c>
      <c r="B1140" s="1">
        <v>45255</v>
      </c>
      <c r="C1140">
        <v>2023</v>
      </c>
      <c r="D1140">
        <v>11</v>
      </c>
      <c r="E1140" t="s">
        <v>1117</v>
      </c>
      <c r="F1140" t="s">
        <v>1018</v>
      </c>
      <c r="G1140" t="s">
        <v>28</v>
      </c>
      <c r="H1140" t="s">
        <v>32</v>
      </c>
      <c r="I1140" t="s">
        <v>39</v>
      </c>
      <c r="J1140">
        <v>50</v>
      </c>
      <c r="K1140">
        <v>1255.75</v>
      </c>
      <c r="L1140">
        <v>62787.72</v>
      </c>
      <c r="M1140">
        <v>40386.660000000003</v>
      </c>
      <c r="N1140">
        <v>7691.43</v>
      </c>
      <c r="O1140">
        <v>2518.2399999999998</v>
      </c>
      <c r="P1140">
        <v>2199.62</v>
      </c>
      <c r="Q1140">
        <v>765.2</v>
      </c>
      <c r="R1140">
        <v>2309.36</v>
      </c>
      <c r="S1140">
        <v>760.67</v>
      </c>
      <c r="T1140">
        <v>56631.18</v>
      </c>
      <c r="U1140">
        <v>22401.06</v>
      </c>
      <c r="V1140">
        <v>6156.54</v>
      </c>
      <c r="W1140">
        <v>6003.95</v>
      </c>
      <c r="X1140">
        <v>70115.72</v>
      </c>
      <c r="Y1140">
        <v>54537.2</v>
      </c>
    </row>
    <row r="1141" spans="1:25" x14ac:dyDescent="0.25">
      <c r="A1141" t="s">
        <v>1196</v>
      </c>
      <c r="B1141" s="1">
        <v>45255</v>
      </c>
      <c r="C1141">
        <v>2023</v>
      </c>
      <c r="D1141">
        <v>11</v>
      </c>
      <c r="E1141" t="s">
        <v>1117</v>
      </c>
      <c r="F1141" t="s">
        <v>1018</v>
      </c>
      <c r="G1141" t="s">
        <v>28</v>
      </c>
      <c r="H1141" t="s">
        <v>53</v>
      </c>
      <c r="I1141" t="s">
        <v>37</v>
      </c>
      <c r="J1141">
        <v>43</v>
      </c>
      <c r="K1141">
        <v>1189.8900000000001</v>
      </c>
      <c r="L1141">
        <v>51165.31</v>
      </c>
      <c r="M1141">
        <v>33384.82</v>
      </c>
      <c r="N1141">
        <v>4710.13</v>
      </c>
      <c r="O1141">
        <v>1933.58</v>
      </c>
      <c r="P1141">
        <v>1592.2</v>
      </c>
      <c r="Q1141">
        <v>791.62</v>
      </c>
      <c r="R1141">
        <v>1814.33</v>
      </c>
      <c r="S1141">
        <v>720.64</v>
      </c>
      <c r="T1141">
        <v>44947.31</v>
      </c>
      <c r="U1141">
        <v>17780.490000000002</v>
      </c>
      <c r="V1141">
        <v>6218</v>
      </c>
      <c r="W1141">
        <v>5846.56</v>
      </c>
      <c r="X1141">
        <v>54255.47</v>
      </c>
      <c r="Y1141">
        <v>42305.13</v>
      </c>
    </row>
    <row r="1142" spans="1:25" x14ac:dyDescent="0.25">
      <c r="A1142" t="s">
        <v>1197</v>
      </c>
      <c r="B1142" s="1">
        <v>45255</v>
      </c>
      <c r="C1142">
        <v>2023</v>
      </c>
      <c r="D1142">
        <v>11</v>
      </c>
      <c r="E1142" t="s">
        <v>1117</v>
      </c>
      <c r="F1142" t="s">
        <v>1018</v>
      </c>
      <c r="G1142" t="s">
        <v>55</v>
      </c>
      <c r="H1142" t="s">
        <v>36</v>
      </c>
      <c r="I1142" t="s">
        <v>45</v>
      </c>
      <c r="J1142">
        <v>40</v>
      </c>
      <c r="K1142">
        <v>1385.27</v>
      </c>
      <c r="L1142">
        <v>55410.81</v>
      </c>
      <c r="M1142">
        <v>33143.1</v>
      </c>
      <c r="N1142">
        <v>4075.99</v>
      </c>
      <c r="O1142">
        <v>3274.79</v>
      </c>
      <c r="P1142">
        <v>1967.77</v>
      </c>
      <c r="Q1142">
        <v>786.47</v>
      </c>
      <c r="R1142">
        <v>2124.92</v>
      </c>
      <c r="S1142">
        <v>846.29</v>
      </c>
      <c r="T1142">
        <v>46219.33</v>
      </c>
      <c r="U1142">
        <v>22267.71</v>
      </c>
      <c r="V1142">
        <v>9191.48</v>
      </c>
      <c r="W1142">
        <v>8777.58</v>
      </c>
      <c r="X1142">
        <v>55407.839999999997</v>
      </c>
      <c r="Y1142">
        <v>47712.31</v>
      </c>
    </row>
    <row r="1143" spans="1:25" x14ac:dyDescent="0.25">
      <c r="A1143" t="s">
        <v>1198</v>
      </c>
      <c r="B1143" s="1">
        <v>45255</v>
      </c>
      <c r="C1143">
        <v>2023</v>
      </c>
      <c r="D1143">
        <v>11</v>
      </c>
      <c r="E1143" t="s">
        <v>1117</v>
      </c>
      <c r="F1143" t="s">
        <v>1018</v>
      </c>
      <c r="G1143" t="s">
        <v>35</v>
      </c>
      <c r="H1143" t="s">
        <v>36</v>
      </c>
      <c r="I1143" t="s">
        <v>45</v>
      </c>
      <c r="J1143">
        <v>22</v>
      </c>
      <c r="K1143">
        <v>1401.08</v>
      </c>
      <c r="L1143">
        <v>30823.83</v>
      </c>
      <c r="M1143">
        <v>18588.650000000001</v>
      </c>
      <c r="N1143">
        <v>2874.8</v>
      </c>
      <c r="O1143">
        <v>1059.22</v>
      </c>
      <c r="P1143">
        <v>1248.8900000000001</v>
      </c>
      <c r="Q1143">
        <v>319.47000000000003</v>
      </c>
      <c r="R1143">
        <v>1063.2</v>
      </c>
      <c r="S1143">
        <v>732.43</v>
      </c>
      <c r="T1143">
        <v>25886.66</v>
      </c>
      <c r="U1143">
        <v>12235.18</v>
      </c>
      <c r="V1143">
        <v>4937.17</v>
      </c>
      <c r="W1143">
        <v>4765.79</v>
      </c>
      <c r="X1143">
        <v>29523.49</v>
      </c>
      <c r="Y1143">
        <v>24255.82</v>
      </c>
    </row>
    <row r="1144" spans="1:25" x14ac:dyDescent="0.25">
      <c r="A1144" t="s">
        <v>1199</v>
      </c>
      <c r="B1144" s="1">
        <v>45256</v>
      </c>
      <c r="C1144">
        <v>2023</v>
      </c>
      <c r="D1144">
        <v>11</v>
      </c>
      <c r="E1144" t="s">
        <v>1117</v>
      </c>
      <c r="F1144" t="s">
        <v>1018</v>
      </c>
      <c r="G1144" t="s">
        <v>28</v>
      </c>
      <c r="H1144" t="s">
        <v>29</v>
      </c>
      <c r="I1144" t="s">
        <v>33</v>
      </c>
      <c r="J1144">
        <v>41</v>
      </c>
      <c r="K1144">
        <v>1608.02</v>
      </c>
      <c r="L1144">
        <v>65928.75</v>
      </c>
      <c r="M1144">
        <v>42742.86</v>
      </c>
      <c r="N1144">
        <v>7374.65</v>
      </c>
      <c r="O1144">
        <v>2409.17</v>
      </c>
      <c r="P1144">
        <v>1775.2</v>
      </c>
      <c r="Q1144">
        <v>877.44</v>
      </c>
      <c r="R1144">
        <v>3294.86</v>
      </c>
      <c r="S1144">
        <v>725.27</v>
      </c>
      <c r="T1144">
        <v>59199.46</v>
      </c>
      <c r="U1144">
        <v>23185.89</v>
      </c>
      <c r="V1144">
        <v>6729.29</v>
      </c>
      <c r="W1144">
        <v>6729.31</v>
      </c>
      <c r="X1144">
        <v>70183.460000000006</v>
      </c>
      <c r="Y1144">
        <v>55229.49</v>
      </c>
    </row>
    <row r="1145" spans="1:25" x14ac:dyDescent="0.25">
      <c r="A1145" t="s">
        <v>1200</v>
      </c>
      <c r="B1145" s="1">
        <v>45256</v>
      </c>
      <c r="C1145">
        <v>2023</v>
      </c>
      <c r="D1145">
        <v>11</v>
      </c>
      <c r="E1145" t="s">
        <v>1117</v>
      </c>
      <c r="F1145" t="s">
        <v>1018</v>
      </c>
      <c r="G1145" t="s">
        <v>28</v>
      </c>
      <c r="H1145" t="s">
        <v>32</v>
      </c>
      <c r="I1145" t="s">
        <v>50</v>
      </c>
      <c r="J1145">
        <v>62</v>
      </c>
      <c r="K1145">
        <v>1127.79</v>
      </c>
      <c r="L1145">
        <v>69922.7</v>
      </c>
      <c r="M1145">
        <v>44510.37</v>
      </c>
      <c r="N1145">
        <v>4924.1400000000003</v>
      </c>
      <c r="O1145">
        <v>3742.48</v>
      </c>
      <c r="P1145">
        <v>2773.27</v>
      </c>
      <c r="Q1145">
        <v>520.35</v>
      </c>
      <c r="R1145">
        <v>4394.75</v>
      </c>
      <c r="S1145">
        <v>803.25</v>
      </c>
      <c r="T1145">
        <v>61668.61</v>
      </c>
      <c r="U1145">
        <v>25412.33</v>
      </c>
      <c r="V1145">
        <v>8254.1</v>
      </c>
      <c r="W1145">
        <v>7555.64</v>
      </c>
      <c r="X1145">
        <v>71762.179999999993</v>
      </c>
      <c r="Y1145">
        <v>67481.570000000007</v>
      </c>
    </row>
    <row r="1146" spans="1:25" x14ac:dyDescent="0.25">
      <c r="A1146" t="s">
        <v>1201</v>
      </c>
      <c r="B1146" s="1">
        <v>45256</v>
      </c>
      <c r="C1146">
        <v>2023</v>
      </c>
      <c r="D1146">
        <v>11</v>
      </c>
      <c r="E1146" t="s">
        <v>1117</v>
      </c>
      <c r="F1146" t="s">
        <v>1018</v>
      </c>
      <c r="G1146" t="s">
        <v>35</v>
      </c>
      <c r="H1146" t="s">
        <v>36</v>
      </c>
      <c r="I1146" t="s">
        <v>33</v>
      </c>
      <c r="J1146">
        <v>39</v>
      </c>
      <c r="K1146">
        <v>1364.97</v>
      </c>
      <c r="L1146">
        <v>53233.86</v>
      </c>
      <c r="M1146">
        <v>28941.41</v>
      </c>
      <c r="N1146">
        <v>6160.93</v>
      </c>
      <c r="O1146">
        <v>2790.78</v>
      </c>
      <c r="P1146">
        <v>1710.67</v>
      </c>
      <c r="Q1146">
        <v>605.34</v>
      </c>
      <c r="R1146">
        <v>3368.27</v>
      </c>
      <c r="S1146">
        <v>1172.8800000000001</v>
      </c>
      <c r="T1146">
        <v>44750.28</v>
      </c>
      <c r="U1146">
        <v>24292.45</v>
      </c>
      <c r="V1146">
        <v>8483.58</v>
      </c>
      <c r="W1146">
        <v>8548.19</v>
      </c>
      <c r="X1146">
        <v>52081.64</v>
      </c>
      <c r="Y1146">
        <v>45665.29</v>
      </c>
    </row>
    <row r="1147" spans="1:25" x14ac:dyDescent="0.25">
      <c r="A1147" t="s">
        <v>1202</v>
      </c>
      <c r="B1147" s="1">
        <v>45257</v>
      </c>
      <c r="C1147">
        <v>2023</v>
      </c>
      <c r="D1147">
        <v>11</v>
      </c>
      <c r="E1147" t="s">
        <v>1117</v>
      </c>
      <c r="F1147" t="s">
        <v>1018</v>
      </c>
      <c r="G1147" t="s">
        <v>44</v>
      </c>
      <c r="H1147" t="s">
        <v>36</v>
      </c>
      <c r="I1147" t="s">
        <v>45</v>
      </c>
      <c r="J1147">
        <v>32</v>
      </c>
      <c r="K1147">
        <v>1142.6400000000001</v>
      </c>
      <c r="L1147">
        <v>36564.47</v>
      </c>
      <c r="M1147">
        <v>19464.349999999999</v>
      </c>
      <c r="N1147">
        <v>2856.86</v>
      </c>
      <c r="O1147">
        <v>1286.74</v>
      </c>
      <c r="P1147">
        <v>806.4</v>
      </c>
      <c r="Q1147">
        <v>353.09</v>
      </c>
      <c r="R1147">
        <v>1867.28</v>
      </c>
      <c r="S1147">
        <v>884.67</v>
      </c>
      <c r="T1147">
        <v>27519.39</v>
      </c>
      <c r="U1147">
        <v>17100.13</v>
      </c>
      <c r="V1147">
        <v>9045.08</v>
      </c>
      <c r="W1147">
        <v>9180.61</v>
      </c>
      <c r="X1147">
        <v>34694.160000000003</v>
      </c>
      <c r="Y1147">
        <v>26076.58</v>
      </c>
    </row>
    <row r="1148" spans="1:25" x14ac:dyDescent="0.25">
      <c r="A1148" t="s">
        <v>1203</v>
      </c>
      <c r="B1148" s="1">
        <v>45257</v>
      </c>
      <c r="C1148">
        <v>2023</v>
      </c>
      <c r="D1148">
        <v>11</v>
      </c>
      <c r="E1148" t="s">
        <v>1117</v>
      </c>
      <c r="F1148" t="s">
        <v>1018</v>
      </c>
      <c r="G1148" t="s">
        <v>35</v>
      </c>
      <c r="H1148" t="s">
        <v>53</v>
      </c>
      <c r="I1148" t="s">
        <v>50</v>
      </c>
      <c r="J1148">
        <v>50</v>
      </c>
      <c r="K1148">
        <v>925.73</v>
      </c>
      <c r="L1148">
        <v>46286.69</v>
      </c>
      <c r="M1148">
        <v>22399.93</v>
      </c>
      <c r="N1148">
        <v>3419.36</v>
      </c>
      <c r="O1148">
        <v>3293.38</v>
      </c>
      <c r="P1148">
        <v>1022.73</v>
      </c>
      <c r="Q1148">
        <v>759.91</v>
      </c>
      <c r="R1148">
        <v>2493.86</v>
      </c>
      <c r="S1148">
        <v>482.49</v>
      </c>
      <c r="T1148">
        <v>33871.660000000003</v>
      </c>
      <c r="U1148">
        <v>23886.77</v>
      </c>
      <c r="V1148">
        <v>12415.04</v>
      </c>
      <c r="W1148">
        <v>12263.29</v>
      </c>
      <c r="X1148">
        <v>44483.89</v>
      </c>
      <c r="Y1148">
        <v>34179.19</v>
      </c>
    </row>
    <row r="1149" spans="1:25" x14ac:dyDescent="0.25">
      <c r="A1149" t="s">
        <v>1204</v>
      </c>
      <c r="B1149" s="1">
        <v>45257</v>
      </c>
      <c r="C1149">
        <v>2023</v>
      </c>
      <c r="D1149">
        <v>11</v>
      </c>
      <c r="E1149" t="s">
        <v>1117</v>
      </c>
      <c r="F1149" t="s">
        <v>1018</v>
      </c>
      <c r="G1149" t="s">
        <v>35</v>
      </c>
      <c r="H1149" t="s">
        <v>32</v>
      </c>
      <c r="I1149" t="s">
        <v>45</v>
      </c>
      <c r="J1149">
        <v>66</v>
      </c>
      <c r="K1149">
        <v>890.75</v>
      </c>
      <c r="L1149">
        <v>58789.71</v>
      </c>
      <c r="M1149">
        <v>32795.96</v>
      </c>
      <c r="N1149">
        <v>6863.06</v>
      </c>
      <c r="O1149">
        <v>3277.68</v>
      </c>
      <c r="P1149">
        <v>2575.44</v>
      </c>
      <c r="Q1149">
        <v>695.43</v>
      </c>
      <c r="R1149">
        <v>1657.13</v>
      </c>
      <c r="S1149">
        <v>1437.34</v>
      </c>
      <c r="T1149">
        <v>49302.04</v>
      </c>
      <c r="U1149">
        <v>25993.75</v>
      </c>
      <c r="V1149">
        <v>9487.66</v>
      </c>
      <c r="W1149">
        <v>9578.2000000000007</v>
      </c>
      <c r="X1149">
        <v>63690.21</v>
      </c>
      <c r="Y1149">
        <v>52514.63</v>
      </c>
    </row>
    <row r="1150" spans="1:25" x14ac:dyDescent="0.25">
      <c r="A1150" t="s">
        <v>1205</v>
      </c>
      <c r="B1150" s="1">
        <v>45257</v>
      </c>
      <c r="C1150">
        <v>2023</v>
      </c>
      <c r="D1150">
        <v>11</v>
      </c>
      <c r="E1150" t="s">
        <v>1117</v>
      </c>
      <c r="F1150" t="s">
        <v>1018</v>
      </c>
      <c r="G1150" t="s">
        <v>28</v>
      </c>
      <c r="H1150" t="s">
        <v>36</v>
      </c>
      <c r="I1150" t="s">
        <v>50</v>
      </c>
      <c r="J1150">
        <v>34</v>
      </c>
      <c r="K1150">
        <v>1162</v>
      </c>
      <c r="L1150">
        <v>39507.94</v>
      </c>
      <c r="M1150">
        <v>23858.52</v>
      </c>
      <c r="N1150">
        <v>4452.8</v>
      </c>
      <c r="O1150">
        <v>2643.08</v>
      </c>
      <c r="P1150">
        <v>598.32000000000005</v>
      </c>
      <c r="Q1150">
        <v>661.36</v>
      </c>
      <c r="R1150">
        <v>1798.18</v>
      </c>
      <c r="S1150">
        <v>450.12</v>
      </c>
      <c r="T1150">
        <v>34462.370000000003</v>
      </c>
      <c r="U1150">
        <v>15649.43</v>
      </c>
      <c r="V1150">
        <v>5045.57</v>
      </c>
      <c r="W1150">
        <v>5049.55</v>
      </c>
      <c r="X1150">
        <v>41012.589999999997</v>
      </c>
      <c r="Y1150">
        <v>33221.980000000003</v>
      </c>
    </row>
    <row r="1151" spans="1:25" x14ac:dyDescent="0.25">
      <c r="A1151" t="s">
        <v>1206</v>
      </c>
      <c r="B1151" s="1">
        <v>45257</v>
      </c>
      <c r="C1151">
        <v>2023</v>
      </c>
      <c r="D1151">
        <v>11</v>
      </c>
      <c r="E1151" t="s">
        <v>1117</v>
      </c>
      <c r="F1151" t="s">
        <v>1018</v>
      </c>
      <c r="G1151" t="s">
        <v>28</v>
      </c>
      <c r="H1151" t="s">
        <v>53</v>
      </c>
      <c r="I1151" t="s">
        <v>65</v>
      </c>
      <c r="J1151">
        <v>35</v>
      </c>
      <c r="K1151">
        <v>1699.01</v>
      </c>
      <c r="L1151">
        <v>59465.21</v>
      </c>
      <c r="M1151">
        <v>36397.42</v>
      </c>
      <c r="N1151">
        <v>6577.92</v>
      </c>
      <c r="O1151">
        <v>3966.6</v>
      </c>
      <c r="P1151">
        <v>1420.94</v>
      </c>
      <c r="Q1151">
        <v>312.54000000000002</v>
      </c>
      <c r="R1151">
        <v>2573.6</v>
      </c>
      <c r="S1151">
        <v>532</v>
      </c>
      <c r="T1151">
        <v>51781.01</v>
      </c>
      <c r="U1151">
        <v>23067.79</v>
      </c>
      <c r="V1151">
        <v>7684.19</v>
      </c>
      <c r="W1151">
        <v>7263.93</v>
      </c>
      <c r="X1151">
        <v>59275.39</v>
      </c>
      <c r="Y1151">
        <v>51033.03</v>
      </c>
    </row>
    <row r="1152" spans="1:25" x14ac:dyDescent="0.25">
      <c r="A1152" t="s">
        <v>1207</v>
      </c>
      <c r="B1152" s="1">
        <v>45257</v>
      </c>
      <c r="C1152">
        <v>2023</v>
      </c>
      <c r="D1152">
        <v>11</v>
      </c>
      <c r="E1152" t="s">
        <v>1117</v>
      </c>
      <c r="F1152" t="s">
        <v>1018</v>
      </c>
      <c r="G1152" t="s">
        <v>28</v>
      </c>
      <c r="H1152" t="s">
        <v>32</v>
      </c>
      <c r="I1152" t="s">
        <v>33</v>
      </c>
      <c r="J1152">
        <v>91</v>
      </c>
      <c r="K1152">
        <v>969.6</v>
      </c>
      <c r="L1152">
        <v>88233.39</v>
      </c>
      <c r="M1152">
        <v>45658.8</v>
      </c>
      <c r="N1152">
        <v>7710.86</v>
      </c>
      <c r="O1152">
        <v>2789.38</v>
      </c>
      <c r="P1152">
        <v>3159.32</v>
      </c>
      <c r="Q1152">
        <v>1192.75</v>
      </c>
      <c r="R1152">
        <v>4195.95</v>
      </c>
      <c r="S1152">
        <v>1261.6300000000001</v>
      </c>
      <c r="T1152">
        <v>65968.7</v>
      </c>
      <c r="U1152">
        <v>42574.59</v>
      </c>
      <c r="V1152">
        <v>22264.7</v>
      </c>
      <c r="W1152">
        <v>21304.71</v>
      </c>
      <c r="X1152">
        <v>84032.16</v>
      </c>
      <c r="Y1152">
        <v>72334.55</v>
      </c>
    </row>
    <row r="1153" spans="1:25" x14ac:dyDescent="0.25">
      <c r="A1153" t="s">
        <v>1208</v>
      </c>
      <c r="B1153" s="1">
        <v>45258</v>
      </c>
      <c r="C1153">
        <v>2023</v>
      </c>
      <c r="D1153">
        <v>11</v>
      </c>
      <c r="E1153" t="s">
        <v>1117</v>
      </c>
      <c r="F1153" t="s">
        <v>1018</v>
      </c>
      <c r="G1153" t="s">
        <v>28</v>
      </c>
      <c r="H1153" t="s">
        <v>29</v>
      </c>
      <c r="I1153" t="s">
        <v>30</v>
      </c>
      <c r="J1153">
        <v>124</v>
      </c>
      <c r="K1153">
        <v>861.95</v>
      </c>
      <c r="L1153">
        <v>106881.91</v>
      </c>
      <c r="M1153">
        <v>51577.09</v>
      </c>
      <c r="N1153">
        <v>11236.26</v>
      </c>
      <c r="O1153">
        <v>7783.54</v>
      </c>
      <c r="P1153">
        <v>2633.89</v>
      </c>
      <c r="Q1153">
        <v>1128.72</v>
      </c>
      <c r="R1153">
        <v>2873.65</v>
      </c>
      <c r="S1153">
        <v>876.74</v>
      </c>
      <c r="T1153">
        <v>78109.899999999994</v>
      </c>
      <c r="U1153">
        <v>55304.82</v>
      </c>
      <c r="V1153">
        <v>28772.01</v>
      </c>
      <c r="W1153">
        <v>28289.61</v>
      </c>
      <c r="X1153">
        <v>114425.13</v>
      </c>
      <c r="Y1153">
        <v>73275.820000000007</v>
      </c>
    </row>
    <row r="1154" spans="1:25" x14ac:dyDescent="0.25">
      <c r="A1154" t="s">
        <v>1209</v>
      </c>
      <c r="B1154" s="1">
        <v>45258</v>
      </c>
      <c r="C1154">
        <v>2023</v>
      </c>
      <c r="D1154">
        <v>11</v>
      </c>
      <c r="E1154" t="s">
        <v>1117</v>
      </c>
      <c r="F1154" t="s">
        <v>1018</v>
      </c>
      <c r="G1154" t="s">
        <v>28</v>
      </c>
      <c r="H1154" t="s">
        <v>29</v>
      </c>
      <c r="I1154" t="s">
        <v>45</v>
      </c>
      <c r="J1154">
        <v>37</v>
      </c>
      <c r="K1154">
        <v>1631.82</v>
      </c>
      <c r="L1154">
        <v>60377.279999999999</v>
      </c>
      <c r="M1154">
        <v>31862.61</v>
      </c>
      <c r="N1154">
        <v>6720.32</v>
      </c>
      <c r="O1154">
        <v>2203.54</v>
      </c>
      <c r="P1154">
        <v>2108.87</v>
      </c>
      <c r="Q1154">
        <v>1019.7</v>
      </c>
      <c r="R1154">
        <v>2793.9</v>
      </c>
      <c r="S1154">
        <v>762.88</v>
      </c>
      <c r="T1154">
        <v>47471.82</v>
      </c>
      <c r="U1154">
        <v>28514.67</v>
      </c>
      <c r="V1154">
        <v>12905.46</v>
      </c>
      <c r="W1154">
        <v>12920.26</v>
      </c>
      <c r="X1154">
        <v>55615.68</v>
      </c>
      <c r="Y1154">
        <v>51939.24</v>
      </c>
    </row>
    <row r="1155" spans="1:25" x14ac:dyDescent="0.25">
      <c r="A1155" t="s">
        <v>1210</v>
      </c>
      <c r="B1155" s="1">
        <v>45259</v>
      </c>
      <c r="C1155">
        <v>2023</v>
      </c>
      <c r="D1155">
        <v>11</v>
      </c>
      <c r="E1155" t="s">
        <v>1117</v>
      </c>
      <c r="F1155" t="s">
        <v>1018</v>
      </c>
      <c r="G1155" t="s">
        <v>35</v>
      </c>
      <c r="H1155" t="s">
        <v>53</v>
      </c>
      <c r="I1155" t="s">
        <v>65</v>
      </c>
      <c r="J1155">
        <v>68</v>
      </c>
      <c r="K1155">
        <v>828.43</v>
      </c>
      <c r="L1155">
        <v>56333.32</v>
      </c>
      <c r="M1155">
        <v>27960.31</v>
      </c>
      <c r="N1155">
        <v>5081.63</v>
      </c>
      <c r="O1155">
        <v>2096.2199999999998</v>
      </c>
      <c r="P1155">
        <v>929.65</v>
      </c>
      <c r="Q1155">
        <v>1006.38</v>
      </c>
      <c r="R1155">
        <v>1917.8</v>
      </c>
      <c r="S1155">
        <v>472.17</v>
      </c>
      <c r="T1155">
        <v>39464.160000000003</v>
      </c>
      <c r="U1155">
        <v>28373.01</v>
      </c>
      <c r="V1155">
        <v>16869.150000000001</v>
      </c>
      <c r="W1155">
        <v>14947.41</v>
      </c>
      <c r="X1155">
        <v>62658.3</v>
      </c>
      <c r="Y1155">
        <v>39998.769999999997</v>
      </c>
    </row>
    <row r="1156" spans="1:25" x14ac:dyDescent="0.25">
      <c r="A1156" t="s">
        <v>1211</v>
      </c>
      <c r="B1156" s="1">
        <v>45259</v>
      </c>
      <c r="C1156">
        <v>2023</v>
      </c>
      <c r="D1156">
        <v>11</v>
      </c>
      <c r="E1156" t="s">
        <v>1117</v>
      </c>
      <c r="F1156" t="s">
        <v>1018</v>
      </c>
      <c r="G1156" t="s">
        <v>44</v>
      </c>
      <c r="H1156" t="s">
        <v>32</v>
      </c>
      <c r="I1156" t="s">
        <v>45</v>
      </c>
      <c r="J1156">
        <v>47</v>
      </c>
      <c r="K1156">
        <v>880.99</v>
      </c>
      <c r="L1156">
        <v>41406.449999999997</v>
      </c>
      <c r="M1156">
        <v>23180.84</v>
      </c>
      <c r="N1156">
        <v>4575.58</v>
      </c>
      <c r="O1156">
        <v>2879.32</v>
      </c>
      <c r="P1156">
        <v>1451.15</v>
      </c>
      <c r="Q1156">
        <v>597.72</v>
      </c>
      <c r="R1156">
        <v>1827.76</v>
      </c>
      <c r="S1156">
        <v>543.44000000000005</v>
      </c>
      <c r="T1156">
        <v>35055.81</v>
      </c>
      <c r="U1156">
        <v>18225.61</v>
      </c>
      <c r="V1156">
        <v>6350.65</v>
      </c>
      <c r="W1156">
        <v>5733.89</v>
      </c>
      <c r="X1156">
        <v>46055.05</v>
      </c>
      <c r="Y1156">
        <v>33762.32</v>
      </c>
    </row>
    <row r="1157" spans="1:25" x14ac:dyDescent="0.25">
      <c r="A1157" t="s">
        <v>1212</v>
      </c>
      <c r="B1157" s="1">
        <v>45260</v>
      </c>
      <c r="C1157">
        <v>2023</v>
      </c>
      <c r="D1157">
        <v>11</v>
      </c>
      <c r="E1157" t="s">
        <v>1117</v>
      </c>
      <c r="F1157" t="s">
        <v>1018</v>
      </c>
      <c r="G1157" t="s">
        <v>44</v>
      </c>
      <c r="H1157" t="s">
        <v>58</v>
      </c>
      <c r="I1157" t="s">
        <v>30</v>
      </c>
      <c r="J1157">
        <v>57</v>
      </c>
      <c r="K1157">
        <v>1333.68</v>
      </c>
      <c r="L1157">
        <v>76019.710000000006</v>
      </c>
      <c r="M1157">
        <v>40811.47</v>
      </c>
      <c r="N1157">
        <v>6273.16</v>
      </c>
      <c r="O1157">
        <v>2289.59</v>
      </c>
      <c r="P1157">
        <v>3017.91</v>
      </c>
      <c r="Q1157">
        <v>1017.72</v>
      </c>
      <c r="R1157">
        <v>3218.5</v>
      </c>
      <c r="S1157">
        <v>670.7</v>
      </c>
      <c r="T1157">
        <v>57299.040000000001</v>
      </c>
      <c r="U1157">
        <v>35208.239999999998</v>
      </c>
      <c r="V1157">
        <v>18720.669999999998</v>
      </c>
      <c r="W1157">
        <v>18423.169999999998</v>
      </c>
      <c r="X1157">
        <v>74209.63</v>
      </c>
      <c r="Y1157">
        <v>55751.71</v>
      </c>
    </row>
    <row r="1158" spans="1:25" x14ac:dyDescent="0.25">
      <c r="A1158" t="s">
        <v>1213</v>
      </c>
      <c r="B1158" s="1">
        <v>45260</v>
      </c>
      <c r="C1158">
        <v>2023</v>
      </c>
      <c r="D1158">
        <v>11</v>
      </c>
      <c r="E1158" t="s">
        <v>1117</v>
      </c>
      <c r="F1158" t="s">
        <v>1018</v>
      </c>
      <c r="G1158" t="s">
        <v>28</v>
      </c>
      <c r="H1158" t="s">
        <v>32</v>
      </c>
      <c r="I1158" t="s">
        <v>50</v>
      </c>
      <c r="J1158">
        <v>45</v>
      </c>
      <c r="K1158">
        <v>1500.01</v>
      </c>
      <c r="L1158">
        <v>67500.44</v>
      </c>
      <c r="M1158">
        <v>40935.33</v>
      </c>
      <c r="N1158">
        <v>8427.5499999999993</v>
      </c>
      <c r="O1158">
        <v>4205.3900000000003</v>
      </c>
      <c r="P1158">
        <v>1547.92</v>
      </c>
      <c r="Q1158">
        <v>1098.8800000000001</v>
      </c>
      <c r="R1158">
        <v>3087.36</v>
      </c>
      <c r="S1158">
        <v>1442.49</v>
      </c>
      <c r="T1158">
        <v>60744.92</v>
      </c>
      <c r="U1158">
        <v>26565.11</v>
      </c>
      <c r="V1158">
        <v>6755.52</v>
      </c>
      <c r="W1158">
        <v>6089.23</v>
      </c>
      <c r="X1158">
        <v>67979.17</v>
      </c>
      <c r="Y1158">
        <v>57624.959999999999</v>
      </c>
    </row>
    <row r="1159" spans="1:25" x14ac:dyDescent="0.25">
      <c r="A1159" t="s">
        <v>1214</v>
      </c>
      <c r="B1159" s="1">
        <v>45260</v>
      </c>
      <c r="C1159">
        <v>2023</v>
      </c>
      <c r="D1159">
        <v>11</v>
      </c>
      <c r="E1159" t="s">
        <v>1117</v>
      </c>
      <c r="F1159" t="s">
        <v>1018</v>
      </c>
      <c r="G1159" t="s">
        <v>28</v>
      </c>
      <c r="H1159" t="s">
        <v>36</v>
      </c>
      <c r="I1159" t="s">
        <v>45</v>
      </c>
      <c r="J1159">
        <v>25</v>
      </c>
      <c r="K1159">
        <v>1772.95</v>
      </c>
      <c r="L1159">
        <v>44323.73</v>
      </c>
      <c r="M1159">
        <v>28691.97</v>
      </c>
      <c r="N1159">
        <v>5470.14</v>
      </c>
      <c r="O1159">
        <v>2623.45</v>
      </c>
      <c r="P1159">
        <v>743.35</v>
      </c>
      <c r="Q1159">
        <v>616.04</v>
      </c>
      <c r="R1159">
        <v>2465.39</v>
      </c>
      <c r="S1159">
        <v>450.85</v>
      </c>
      <c r="T1159">
        <v>41061.19</v>
      </c>
      <c r="U1159">
        <v>15631.76</v>
      </c>
      <c r="V1159">
        <v>3262.54</v>
      </c>
      <c r="W1159">
        <v>2937.47</v>
      </c>
      <c r="X1159">
        <v>45255.66</v>
      </c>
      <c r="Y1159">
        <v>43602.91</v>
      </c>
    </row>
    <row r="1160" spans="1:25" x14ac:dyDescent="0.25">
      <c r="A1160" t="s">
        <v>1215</v>
      </c>
      <c r="B1160" s="1">
        <v>45260</v>
      </c>
      <c r="C1160">
        <v>2023</v>
      </c>
      <c r="D1160">
        <v>11</v>
      </c>
      <c r="E1160" t="s">
        <v>1117</v>
      </c>
      <c r="F1160" t="s">
        <v>1018</v>
      </c>
      <c r="G1160" t="s">
        <v>28</v>
      </c>
      <c r="H1160" t="s">
        <v>32</v>
      </c>
      <c r="I1160" t="s">
        <v>65</v>
      </c>
      <c r="J1160">
        <v>40</v>
      </c>
      <c r="K1160">
        <v>1475.58</v>
      </c>
      <c r="L1160">
        <v>59023.13</v>
      </c>
      <c r="M1160">
        <v>29990.36</v>
      </c>
      <c r="N1160">
        <v>4671.2</v>
      </c>
      <c r="O1160">
        <v>3374.08</v>
      </c>
      <c r="P1160">
        <v>1874.62</v>
      </c>
      <c r="Q1160">
        <v>707.37</v>
      </c>
      <c r="R1160">
        <v>2961.18</v>
      </c>
      <c r="S1160">
        <v>1188.46</v>
      </c>
      <c r="T1160">
        <v>44767.28</v>
      </c>
      <c r="U1160">
        <v>29032.77</v>
      </c>
      <c r="V1160">
        <v>14255.86</v>
      </c>
      <c r="W1160">
        <v>13573.66</v>
      </c>
      <c r="X1160">
        <v>56834.22</v>
      </c>
      <c r="Y1160">
        <v>43673.81</v>
      </c>
    </row>
    <row r="1161" spans="1:25" x14ac:dyDescent="0.25">
      <c r="A1161" t="s">
        <v>1216</v>
      </c>
      <c r="B1161" s="1">
        <v>45261</v>
      </c>
      <c r="C1161">
        <v>2023</v>
      </c>
      <c r="D1161">
        <v>12</v>
      </c>
      <c r="E1161" t="s">
        <v>1217</v>
      </c>
      <c r="F1161" t="s">
        <v>1018</v>
      </c>
      <c r="G1161" t="s">
        <v>44</v>
      </c>
      <c r="H1161" t="s">
        <v>53</v>
      </c>
      <c r="I1161" t="s">
        <v>65</v>
      </c>
      <c r="J1161">
        <v>59</v>
      </c>
      <c r="K1161">
        <v>1044.55</v>
      </c>
      <c r="L1161">
        <v>61628.56</v>
      </c>
      <c r="M1161">
        <v>30488.31</v>
      </c>
      <c r="N1161">
        <v>5371.31</v>
      </c>
      <c r="O1161">
        <v>2329.8000000000002</v>
      </c>
      <c r="P1161">
        <v>1353.68</v>
      </c>
      <c r="Q1161">
        <v>599.62</v>
      </c>
      <c r="R1161">
        <v>2154.19</v>
      </c>
      <c r="S1161">
        <v>1245.9000000000001</v>
      </c>
      <c r="T1161">
        <v>43542.82</v>
      </c>
      <c r="U1161">
        <v>31140.25</v>
      </c>
      <c r="V1161">
        <v>18085.740000000002</v>
      </c>
      <c r="W1161">
        <v>16948.38</v>
      </c>
      <c r="X1161">
        <v>60597.22</v>
      </c>
      <c r="Y1161">
        <v>41003.97</v>
      </c>
    </row>
    <row r="1162" spans="1:25" x14ac:dyDescent="0.25">
      <c r="A1162" t="s">
        <v>1218</v>
      </c>
      <c r="B1162" s="1">
        <v>45261</v>
      </c>
      <c r="C1162">
        <v>2023</v>
      </c>
      <c r="D1162">
        <v>12</v>
      </c>
      <c r="E1162" t="s">
        <v>1217</v>
      </c>
      <c r="F1162" t="s">
        <v>1018</v>
      </c>
      <c r="G1162" t="s">
        <v>44</v>
      </c>
      <c r="H1162" t="s">
        <v>36</v>
      </c>
      <c r="I1162" t="s">
        <v>37</v>
      </c>
      <c r="J1162">
        <v>40</v>
      </c>
      <c r="K1162">
        <v>1427.64</v>
      </c>
      <c r="L1162">
        <v>57105.46</v>
      </c>
      <c r="M1162">
        <v>30026.35</v>
      </c>
      <c r="N1162">
        <v>6418.36</v>
      </c>
      <c r="O1162">
        <v>3469.14</v>
      </c>
      <c r="P1162">
        <v>1938.98</v>
      </c>
      <c r="Q1162">
        <v>882.98</v>
      </c>
      <c r="R1162">
        <v>2662.5</v>
      </c>
      <c r="S1162">
        <v>531.34</v>
      </c>
      <c r="T1162">
        <v>45929.64</v>
      </c>
      <c r="U1162">
        <v>27079.11</v>
      </c>
      <c r="V1162">
        <v>11175.81</v>
      </c>
      <c r="W1162">
        <v>11370.19</v>
      </c>
      <c r="X1162">
        <v>55849.55</v>
      </c>
      <c r="Y1162">
        <v>50021.23</v>
      </c>
    </row>
    <row r="1163" spans="1:25" x14ac:dyDescent="0.25">
      <c r="A1163" t="s">
        <v>1219</v>
      </c>
      <c r="B1163" s="1">
        <v>45261</v>
      </c>
      <c r="C1163">
        <v>2023</v>
      </c>
      <c r="D1163">
        <v>12</v>
      </c>
      <c r="E1163" t="s">
        <v>1217</v>
      </c>
      <c r="F1163" t="s">
        <v>1018</v>
      </c>
      <c r="G1163" t="s">
        <v>44</v>
      </c>
      <c r="H1163" t="s">
        <v>53</v>
      </c>
      <c r="I1163" t="s">
        <v>30</v>
      </c>
      <c r="J1163">
        <v>77</v>
      </c>
      <c r="K1163">
        <v>881.35</v>
      </c>
      <c r="L1163">
        <v>67864</v>
      </c>
      <c r="M1163">
        <v>45965.82</v>
      </c>
      <c r="N1163">
        <v>7621.45</v>
      </c>
      <c r="O1163">
        <v>2025.49</v>
      </c>
      <c r="P1163">
        <v>2410.5500000000002</v>
      </c>
      <c r="Q1163">
        <v>571.94000000000005</v>
      </c>
      <c r="R1163">
        <v>3114.5</v>
      </c>
      <c r="S1163">
        <v>1602.69</v>
      </c>
      <c r="T1163">
        <v>63312.43</v>
      </c>
      <c r="U1163">
        <v>21898.18</v>
      </c>
      <c r="V1163">
        <v>4551.57</v>
      </c>
      <c r="W1163">
        <v>4572.05</v>
      </c>
      <c r="X1163">
        <v>70684.97</v>
      </c>
      <c r="Y1163">
        <v>69640.56</v>
      </c>
    </row>
    <row r="1164" spans="1:25" x14ac:dyDescent="0.25">
      <c r="A1164" t="s">
        <v>1220</v>
      </c>
      <c r="B1164" s="1">
        <v>45261</v>
      </c>
      <c r="C1164">
        <v>2023</v>
      </c>
      <c r="D1164">
        <v>12</v>
      </c>
      <c r="E1164" t="s">
        <v>1217</v>
      </c>
      <c r="F1164" t="s">
        <v>1018</v>
      </c>
      <c r="G1164" t="s">
        <v>28</v>
      </c>
      <c r="H1164" t="s">
        <v>53</v>
      </c>
      <c r="I1164" t="s">
        <v>37</v>
      </c>
      <c r="J1164">
        <v>59</v>
      </c>
      <c r="K1164">
        <v>999.48</v>
      </c>
      <c r="L1164">
        <v>58969.47</v>
      </c>
      <c r="M1164">
        <v>30083.53</v>
      </c>
      <c r="N1164">
        <v>6629.41</v>
      </c>
      <c r="O1164">
        <v>2314.7399999999998</v>
      </c>
      <c r="P1164">
        <v>1830.99</v>
      </c>
      <c r="Q1164">
        <v>998.78</v>
      </c>
      <c r="R1164">
        <v>3657.25</v>
      </c>
      <c r="S1164">
        <v>1059.72</v>
      </c>
      <c r="T1164">
        <v>46574.42</v>
      </c>
      <c r="U1164">
        <v>28885.94</v>
      </c>
      <c r="V1164">
        <v>12395.05</v>
      </c>
      <c r="W1164">
        <v>12463.72</v>
      </c>
      <c r="X1164">
        <v>57683.87</v>
      </c>
      <c r="Y1164">
        <v>44010.83</v>
      </c>
    </row>
    <row r="1165" spans="1:25" x14ac:dyDescent="0.25">
      <c r="A1165" t="s">
        <v>1221</v>
      </c>
      <c r="B1165" s="1">
        <v>45262</v>
      </c>
      <c r="C1165">
        <v>2023</v>
      </c>
      <c r="D1165">
        <v>12</v>
      </c>
      <c r="E1165" t="s">
        <v>1217</v>
      </c>
      <c r="F1165" t="s">
        <v>1018</v>
      </c>
      <c r="G1165" t="s">
        <v>28</v>
      </c>
      <c r="H1165" t="s">
        <v>32</v>
      </c>
      <c r="I1165" t="s">
        <v>39</v>
      </c>
      <c r="J1165">
        <v>36</v>
      </c>
      <c r="K1165">
        <v>1337.13</v>
      </c>
      <c r="L1165">
        <v>48136.53</v>
      </c>
      <c r="M1165">
        <v>31939.75</v>
      </c>
      <c r="N1165">
        <v>4230.62</v>
      </c>
      <c r="O1165">
        <v>2872.44</v>
      </c>
      <c r="P1165">
        <v>1310.93</v>
      </c>
      <c r="Q1165">
        <v>456.12</v>
      </c>
      <c r="R1165">
        <v>1961.61</v>
      </c>
      <c r="S1165">
        <v>973.68</v>
      </c>
      <c r="T1165">
        <v>43745.15</v>
      </c>
      <c r="U1165">
        <v>16196.77</v>
      </c>
      <c r="V1165">
        <v>4391.38</v>
      </c>
      <c r="W1165">
        <v>4289.6400000000003</v>
      </c>
      <c r="X1165">
        <v>47793.25</v>
      </c>
      <c r="Y1165">
        <v>46455.5</v>
      </c>
    </row>
    <row r="1166" spans="1:25" x14ac:dyDescent="0.25">
      <c r="A1166" t="s">
        <v>1222</v>
      </c>
      <c r="B1166" s="1">
        <v>45262</v>
      </c>
      <c r="C1166">
        <v>2023</v>
      </c>
      <c r="D1166">
        <v>12</v>
      </c>
      <c r="E1166" t="s">
        <v>1217</v>
      </c>
      <c r="F1166" t="s">
        <v>1018</v>
      </c>
      <c r="G1166" t="s">
        <v>28</v>
      </c>
      <c r="H1166" t="s">
        <v>32</v>
      </c>
      <c r="I1166" t="s">
        <v>39</v>
      </c>
      <c r="J1166">
        <v>47</v>
      </c>
      <c r="K1166">
        <v>1420.88</v>
      </c>
      <c r="L1166">
        <v>66781.16</v>
      </c>
      <c r="M1166">
        <v>42612.639999999999</v>
      </c>
      <c r="N1166">
        <v>7368.89</v>
      </c>
      <c r="O1166">
        <v>3395.44</v>
      </c>
      <c r="P1166">
        <v>1729.03</v>
      </c>
      <c r="Q1166">
        <v>1096.8</v>
      </c>
      <c r="R1166">
        <v>4018.35</v>
      </c>
      <c r="S1166">
        <v>1238.31</v>
      </c>
      <c r="T1166">
        <v>61459.46</v>
      </c>
      <c r="U1166">
        <v>24168.53</v>
      </c>
      <c r="V1166">
        <v>5321.71</v>
      </c>
      <c r="W1166">
        <v>5128.01</v>
      </c>
      <c r="X1166">
        <v>70442.179999999993</v>
      </c>
      <c r="Y1166">
        <v>64779.28</v>
      </c>
    </row>
    <row r="1167" spans="1:25" x14ac:dyDescent="0.25">
      <c r="A1167" t="s">
        <v>1223</v>
      </c>
      <c r="B1167" s="1">
        <v>45262</v>
      </c>
      <c r="C1167">
        <v>2023</v>
      </c>
      <c r="D1167">
        <v>12</v>
      </c>
      <c r="E1167" t="s">
        <v>1217</v>
      </c>
      <c r="F1167" t="s">
        <v>1018</v>
      </c>
      <c r="G1167" t="s">
        <v>55</v>
      </c>
      <c r="H1167" t="s">
        <v>36</v>
      </c>
      <c r="I1167" t="s">
        <v>45</v>
      </c>
      <c r="J1167">
        <v>46</v>
      </c>
      <c r="K1167">
        <v>1041.52</v>
      </c>
      <c r="L1167">
        <v>47909.97</v>
      </c>
      <c r="M1167">
        <v>32374.85</v>
      </c>
      <c r="N1167">
        <v>5627.64</v>
      </c>
      <c r="O1167">
        <v>1384.5</v>
      </c>
      <c r="P1167">
        <v>1050.68</v>
      </c>
      <c r="Q1167">
        <v>328.94</v>
      </c>
      <c r="R1167">
        <v>1583.82</v>
      </c>
      <c r="S1167">
        <v>1189.23</v>
      </c>
      <c r="T1167">
        <v>43539.66</v>
      </c>
      <c r="U1167">
        <v>15535.12</v>
      </c>
      <c r="V1167">
        <v>4370.32</v>
      </c>
      <c r="W1167">
        <v>4341.2700000000004</v>
      </c>
      <c r="X1167">
        <v>49266.11</v>
      </c>
      <c r="Y1167">
        <v>41320.550000000003</v>
      </c>
    </row>
    <row r="1168" spans="1:25" x14ac:dyDescent="0.25">
      <c r="A1168" t="s">
        <v>1224</v>
      </c>
      <c r="B1168" s="1">
        <v>45262</v>
      </c>
      <c r="C1168">
        <v>2023</v>
      </c>
      <c r="D1168">
        <v>12</v>
      </c>
      <c r="E1168" t="s">
        <v>1217</v>
      </c>
      <c r="F1168" t="s">
        <v>1018</v>
      </c>
      <c r="G1168" t="s">
        <v>55</v>
      </c>
      <c r="H1168" t="s">
        <v>58</v>
      </c>
      <c r="I1168" t="s">
        <v>33</v>
      </c>
      <c r="J1168">
        <v>60</v>
      </c>
      <c r="K1168">
        <v>1047.4100000000001</v>
      </c>
      <c r="L1168">
        <v>62844.86</v>
      </c>
      <c r="M1168">
        <v>31988.19</v>
      </c>
      <c r="N1168">
        <v>8146.5</v>
      </c>
      <c r="O1168">
        <v>4267.16</v>
      </c>
      <c r="P1168">
        <v>1000.39</v>
      </c>
      <c r="Q1168">
        <v>576.02</v>
      </c>
      <c r="R1168">
        <v>3552.36</v>
      </c>
      <c r="S1168">
        <v>1169.45</v>
      </c>
      <c r="T1168">
        <v>50700.08</v>
      </c>
      <c r="U1168">
        <v>30856.68</v>
      </c>
      <c r="V1168">
        <v>12144.78</v>
      </c>
      <c r="W1168">
        <v>11695.1</v>
      </c>
      <c r="X1168">
        <v>60921.919999999998</v>
      </c>
      <c r="Y1168">
        <v>53415.44</v>
      </c>
    </row>
    <row r="1169" spans="1:25" x14ac:dyDescent="0.25">
      <c r="A1169" t="s">
        <v>1225</v>
      </c>
      <c r="B1169" s="1">
        <v>45262</v>
      </c>
      <c r="C1169">
        <v>2023</v>
      </c>
      <c r="D1169">
        <v>12</v>
      </c>
      <c r="E1169" t="s">
        <v>1217</v>
      </c>
      <c r="F1169" t="s">
        <v>1018</v>
      </c>
      <c r="G1169" t="s">
        <v>35</v>
      </c>
      <c r="H1169" t="s">
        <v>32</v>
      </c>
      <c r="I1169" t="s">
        <v>65</v>
      </c>
      <c r="J1169">
        <v>32</v>
      </c>
      <c r="K1169">
        <v>1626.9</v>
      </c>
      <c r="L1169">
        <v>52060.77</v>
      </c>
      <c r="M1169">
        <v>31771.21</v>
      </c>
      <c r="N1169">
        <v>5838.68</v>
      </c>
      <c r="O1169">
        <v>3043.17</v>
      </c>
      <c r="P1169">
        <v>1449.59</v>
      </c>
      <c r="Q1169">
        <v>398.59</v>
      </c>
      <c r="R1169">
        <v>3383.04</v>
      </c>
      <c r="S1169">
        <v>1261.99</v>
      </c>
      <c r="T1169">
        <v>47146.27</v>
      </c>
      <c r="U1169">
        <v>20289.560000000001</v>
      </c>
      <c r="V1169">
        <v>4914.5</v>
      </c>
      <c r="W1169">
        <v>4361.7299999999996</v>
      </c>
      <c r="X1169">
        <v>49441.919999999998</v>
      </c>
      <c r="Y1169">
        <v>50688.57</v>
      </c>
    </row>
    <row r="1170" spans="1:25" x14ac:dyDescent="0.25">
      <c r="A1170" t="s">
        <v>1226</v>
      </c>
      <c r="B1170" s="1">
        <v>45262</v>
      </c>
      <c r="C1170">
        <v>2023</v>
      </c>
      <c r="D1170">
        <v>12</v>
      </c>
      <c r="E1170" t="s">
        <v>1217</v>
      </c>
      <c r="F1170" t="s">
        <v>1018</v>
      </c>
      <c r="G1170" t="s">
        <v>44</v>
      </c>
      <c r="H1170" t="s">
        <v>53</v>
      </c>
      <c r="I1170" t="s">
        <v>50</v>
      </c>
      <c r="J1170">
        <v>18</v>
      </c>
      <c r="K1170">
        <v>1713.18</v>
      </c>
      <c r="L1170">
        <v>30837.21</v>
      </c>
      <c r="M1170">
        <v>19876.740000000002</v>
      </c>
      <c r="N1170">
        <v>3919.63</v>
      </c>
      <c r="O1170">
        <v>2098.04</v>
      </c>
      <c r="P1170">
        <v>1382.3</v>
      </c>
      <c r="Q1170">
        <v>413.06</v>
      </c>
      <c r="R1170">
        <v>1752.25</v>
      </c>
      <c r="S1170">
        <v>300.11</v>
      </c>
      <c r="T1170">
        <v>29742.12</v>
      </c>
      <c r="U1170">
        <v>10960.48</v>
      </c>
      <c r="V1170">
        <v>1095.0999999999999</v>
      </c>
      <c r="W1170">
        <v>1018.52</v>
      </c>
      <c r="X1170">
        <v>31353.35</v>
      </c>
      <c r="Y1170">
        <v>32474.86</v>
      </c>
    </row>
    <row r="1171" spans="1:25" x14ac:dyDescent="0.25">
      <c r="A1171" t="s">
        <v>1227</v>
      </c>
      <c r="B1171" s="1">
        <v>45263</v>
      </c>
      <c r="C1171">
        <v>2023</v>
      </c>
      <c r="D1171">
        <v>12</v>
      </c>
      <c r="E1171" t="s">
        <v>1217</v>
      </c>
      <c r="F1171" t="s">
        <v>1018</v>
      </c>
      <c r="G1171" t="s">
        <v>44</v>
      </c>
      <c r="H1171" t="s">
        <v>32</v>
      </c>
      <c r="I1171" t="s">
        <v>65</v>
      </c>
      <c r="J1171">
        <v>63</v>
      </c>
      <c r="K1171">
        <v>1210.72</v>
      </c>
      <c r="L1171">
        <v>76275.58</v>
      </c>
      <c r="M1171">
        <v>37899.660000000003</v>
      </c>
      <c r="N1171">
        <v>5937.3</v>
      </c>
      <c r="O1171">
        <v>5128.6400000000003</v>
      </c>
      <c r="P1171">
        <v>1602.46</v>
      </c>
      <c r="Q1171">
        <v>748.46</v>
      </c>
      <c r="R1171">
        <v>3062.79</v>
      </c>
      <c r="S1171">
        <v>865.12</v>
      </c>
      <c r="T1171">
        <v>55244.44</v>
      </c>
      <c r="U1171">
        <v>38375.910000000003</v>
      </c>
      <c r="V1171">
        <v>21031.14</v>
      </c>
      <c r="W1171">
        <v>18631.32</v>
      </c>
      <c r="X1171">
        <v>85371.38</v>
      </c>
      <c r="Y1171">
        <v>54758.38</v>
      </c>
    </row>
    <row r="1172" spans="1:25" x14ac:dyDescent="0.25">
      <c r="A1172" t="s">
        <v>1228</v>
      </c>
      <c r="B1172" s="1">
        <v>45263</v>
      </c>
      <c r="C1172">
        <v>2023</v>
      </c>
      <c r="D1172">
        <v>12</v>
      </c>
      <c r="E1172" t="s">
        <v>1217</v>
      </c>
      <c r="F1172" t="s">
        <v>1018</v>
      </c>
      <c r="G1172" t="s">
        <v>28</v>
      </c>
      <c r="H1172" t="s">
        <v>32</v>
      </c>
      <c r="I1172" t="s">
        <v>39</v>
      </c>
      <c r="J1172">
        <v>42</v>
      </c>
      <c r="K1172">
        <v>997.09</v>
      </c>
      <c r="L1172">
        <v>41877.58</v>
      </c>
      <c r="M1172">
        <v>24933.119999999999</v>
      </c>
      <c r="N1172">
        <v>4888.1899999999996</v>
      </c>
      <c r="O1172">
        <v>2712.62</v>
      </c>
      <c r="P1172">
        <v>1230.69</v>
      </c>
      <c r="Q1172">
        <v>303.86</v>
      </c>
      <c r="R1172">
        <v>2411.2800000000002</v>
      </c>
      <c r="S1172">
        <v>541.6</v>
      </c>
      <c r="T1172">
        <v>37021.370000000003</v>
      </c>
      <c r="U1172">
        <v>16944.46</v>
      </c>
      <c r="V1172">
        <v>4856.2</v>
      </c>
      <c r="W1172">
        <v>4796.87</v>
      </c>
      <c r="X1172">
        <v>44966.559999999998</v>
      </c>
      <c r="Y1172">
        <v>39680.980000000003</v>
      </c>
    </row>
    <row r="1173" spans="1:25" x14ac:dyDescent="0.25">
      <c r="A1173" t="s">
        <v>1229</v>
      </c>
      <c r="B1173" s="1">
        <v>45263</v>
      </c>
      <c r="C1173">
        <v>2023</v>
      </c>
      <c r="D1173">
        <v>12</v>
      </c>
      <c r="E1173" t="s">
        <v>1217</v>
      </c>
      <c r="F1173" t="s">
        <v>1018</v>
      </c>
      <c r="G1173" t="s">
        <v>28</v>
      </c>
      <c r="H1173" t="s">
        <v>32</v>
      </c>
      <c r="I1173" t="s">
        <v>37</v>
      </c>
      <c r="J1173">
        <v>52</v>
      </c>
      <c r="K1173">
        <v>1512.58</v>
      </c>
      <c r="L1173">
        <v>78654.34</v>
      </c>
      <c r="M1173">
        <v>40600.949999999997</v>
      </c>
      <c r="N1173">
        <v>5506.65</v>
      </c>
      <c r="O1173">
        <v>2241.86</v>
      </c>
      <c r="P1173">
        <v>1185.51</v>
      </c>
      <c r="Q1173">
        <v>1043.8900000000001</v>
      </c>
      <c r="R1173">
        <v>4406.68</v>
      </c>
      <c r="S1173">
        <v>1895.12</v>
      </c>
      <c r="T1173">
        <v>56880.66</v>
      </c>
      <c r="U1173">
        <v>38053.39</v>
      </c>
      <c r="V1173">
        <v>21773.68</v>
      </c>
      <c r="W1173">
        <v>20385.009999999998</v>
      </c>
      <c r="X1173">
        <v>74789.06</v>
      </c>
      <c r="Y1173">
        <v>53282.71</v>
      </c>
    </row>
    <row r="1174" spans="1:25" x14ac:dyDescent="0.25">
      <c r="A1174" t="s">
        <v>1230</v>
      </c>
      <c r="B1174" s="1">
        <v>45263</v>
      </c>
      <c r="C1174">
        <v>2023</v>
      </c>
      <c r="D1174">
        <v>12</v>
      </c>
      <c r="E1174" t="s">
        <v>1217</v>
      </c>
      <c r="F1174" t="s">
        <v>1018</v>
      </c>
      <c r="G1174" t="s">
        <v>55</v>
      </c>
      <c r="H1174" t="s">
        <v>32</v>
      </c>
      <c r="I1174" t="s">
        <v>37</v>
      </c>
      <c r="J1174">
        <v>97</v>
      </c>
      <c r="K1174">
        <v>1126.3599999999999</v>
      </c>
      <c r="L1174">
        <v>109257.1</v>
      </c>
      <c r="M1174">
        <v>63526.67</v>
      </c>
      <c r="N1174">
        <v>10138.64</v>
      </c>
      <c r="O1174">
        <v>6812.22</v>
      </c>
      <c r="P1174">
        <v>4248.96</v>
      </c>
      <c r="Q1174">
        <v>1901.86</v>
      </c>
      <c r="R1174">
        <v>5200.18</v>
      </c>
      <c r="S1174">
        <v>1415.91</v>
      </c>
      <c r="T1174">
        <v>93244.43</v>
      </c>
      <c r="U1174">
        <v>45730.43</v>
      </c>
      <c r="V1174">
        <v>16012.67</v>
      </c>
      <c r="W1174">
        <v>14495.78</v>
      </c>
      <c r="X1174">
        <v>117143.76</v>
      </c>
      <c r="Y1174">
        <v>97531.86</v>
      </c>
    </row>
    <row r="1175" spans="1:25" x14ac:dyDescent="0.25">
      <c r="A1175" t="s">
        <v>1231</v>
      </c>
      <c r="B1175" s="1">
        <v>45264</v>
      </c>
      <c r="C1175">
        <v>2023</v>
      </c>
      <c r="D1175">
        <v>12</v>
      </c>
      <c r="E1175" t="s">
        <v>1217</v>
      </c>
      <c r="F1175" t="s">
        <v>1018</v>
      </c>
      <c r="G1175" t="s">
        <v>28</v>
      </c>
      <c r="H1175" t="s">
        <v>29</v>
      </c>
      <c r="I1175" t="s">
        <v>45</v>
      </c>
      <c r="J1175">
        <v>24</v>
      </c>
      <c r="K1175">
        <v>1642.99</v>
      </c>
      <c r="L1175">
        <v>39431.730000000003</v>
      </c>
      <c r="M1175">
        <v>21161.45</v>
      </c>
      <c r="N1175">
        <v>4132.21</v>
      </c>
      <c r="O1175">
        <v>1220.82</v>
      </c>
      <c r="P1175">
        <v>1295.8699999999999</v>
      </c>
      <c r="Q1175">
        <v>310.62</v>
      </c>
      <c r="R1175">
        <v>2326.46</v>
      </c>
      <c r="S1175">
        <v>834.9</v>
      </c>
      <c r="T1175">
        <v>31282.34</v>
      </c>
      <c r="U1175">
        <v>18270.27</v>
      </c>
      <c r="V1175">
        <v>8149.39</v>
      </c>
      <c r="W1175">
        <v>7306.89</v>
      </c>
      <c r="X1175">
        <v>40583.199999999997</v>
      </c>
      <c r="Y1175">
        <v>30045.31</v>
      </c>
    </row>
    <row r="1176" spans="1:25" x14ac:dyDescent="0.25">
      <c r="A1176" t="s">
        <v>1232</v>
      </c>
      <c r="B1176" s="1">
        <v>45264</v>
      </c>
      <c r="C1176">
        <v>2023</v>
      </c>
      <c r="D1176">
        <v>12</v>
      </c>
      <c r="E1176" t="s">
        <v>1217</v>
      </c>
      <c r="F1176" t="s">
        <v>1018</v>
      </c>
      <c r="G1176" t="s">
        <v>28</v>
      </c>
      <c r="H1176" t="s">
        <v>36</v>
      </c>
      <c r="I1176" t="s">
        <v>30</v>
      </c>
      <c r="J1176">
        <v>40</v>
      </c>
      <c r="K1176">
        <v>1742.92</v>
      </c>
      <c r="L1176">
        <v>69716.87</v>
      </c>
      <c r="M1176">
        <v>39398.18</v>
      </c>
      <c r="N1176">
        <v>7903.87</v>
      </c>
      <c r="O1176">
        <v>2107.9299999999998</v>
      </c>
      <c r="P1176">
        <v>2577.6999999999998</v>
      </c>
      <c r="Q1176">
        <v>725.57</v>
      </c>
      <c r="R1176">
        <v>2214.2199999999998</v>
      </c>
      <c r="S1176">
        <v>1028.23</v>
      </c>
      <c r="T1176">
        <v>55955.69</v>
      </c>
      <c r="U1176">
        <v>30318.69</v>
      </c>
      <c r="V1176">
        <v>13761.18</v>
      </c>
      <c r="W1176">
        <v>12930.97</v>
      </c>
      <c r="X1176">
        <v>68737.820000000007</v>
      </c>
      <c r="Y1176">
        <v>53116.28</v>
      </c>
    </row>
    <row r="1177" spans="1:25" x14ac:dyDescent="0.25">
      <c r="A1177" t="s">
        <v>1233</v>
      </c>
      <c r="B1177" s="1">
        <v>45264</v>
      </c>
      <c r="C1177">
        <v>2023</v>
      </c>
      <c r="D1177">
        <v>12</v>
      </c>
      <c r="E1177" t="s">
        <v>1217</v>
      </c>
      <c r="F1177" t="s">
        <v>1018</v>
      </c>
      <c r="G1177" t="s">
        <v>28</v>
      </c>
      <c r="H1177" t="s">
        <v>32</v>
      </c>
      <c r="I1177" t="s">
        <v>39</v>
      </c>
      <c r="J1177">
        <v>46</v>
      </c>
      <c r="K1177">
        <v>1455.67</v>
      </c>
      <c r="L1177">
        <v>66960.92</v>
      </c>
      <c r="M1177">
        <v>43077.42</v>
      </c>
      <c r="N1177">
        <v>5924.01</v>
      </c>
      <c r="O1177">
        <v>1753.58</v>
      </c>
      <c r="P1177">
        <v>1388.87</v>
      </c>
      <c r="Q1177">
        <v>710.76</v>
      </c>
      <c r="R1177">
        <v>4253.01</v>
      </c>
      <c r="S1177">
        <v>948.31</v>
      </c>
      <c r="T1177">
        <v>58055.97</v>
      </c>
      <c r="U1177">
        <v>23883.5</v>
      </c>
      <c r="V1177">
        <v>8904.9500000000007</v>
      </c>
      <c r="W1177">
        <v>8730.19</v>
      </c>
      <c r="X1177">
        <v>63869.46</v>
      </c>
      <c r="Y1177">
        <v>55106.09</v>
      </c>
    </row>
    <row r="1178" spans="1:25" x14ac:dyDescent="0.25">
      <c r="A1178" t="s">
        <v>1234</v>
      </c>
      <c r="B1178" s="1">
        <v>45264</v>
      </c>
      <c r="C1178">
        <v>2023</v>
      </c>
      <c r="D1178">
        <v>12</v>
      </c>
      <c r="E1178" t="s">
        <v>1217</v>
      </c>
      <c r="F1178" t="s">
        <v>1018</v>
      </c>
      <c r="G1178" t="s">
        <v>44</v>
      </c>
      <c r="H1178" t="s">
        <v>32</v>
      </c>
      <c r="I1178" t="s">
        <v>30</v>
      </c>
      <c r="J1178">
        <v>105</v>
      </c>
      <c r="K1178">
        <v>941.41</v>
      </c>
      <c r="L1178">
        <v>98848.47</v>
      </c>
      <c r="M1178">
        <v>64680.01</v>
      </c>
      <c r="N1178">
        <v>10605.17</v>
      </c>
      <c r="O1178">
        <v>3951.5</v>
      </c>
      <c r="P1178">
        <v>4406.34</v>
      </c>
      <c r="Q1178">
        <v>1460.26</v>
      </c>
      <c r="R1178">
        <v>3610.5</v>
      </c>
      <c r="S1178">
        <v>841.46</v>
      </c>
      <c r="T1178">
        <v>89555.24</v>
      </c>
      <c r="U1178">
        <v>34168.46</v>
      </c>
      <c r="V1178">
        <v>9293.23</v>
      </c>
      <c r="W1178">
        <v>8948.0499999999993</v>
      </c>
      <c r="X1178">
        <v>106427.75</v>
      </c>
      <c r="Y1178">
        <v>89492.42</v>
      </c>
    </row>
    <row r="1179" spans="1:25" x14ac:dyDescent="0.25">
      <c r="A1179" t="s">
        <v>1235</v>
      </c>
      <c r="B1179" s="1">
        <v>45264</v>
      </c>
      <c r="C1179">
        <v>2023</v>
      </c>
      <c r="D1179">
        <v>12</v>
      </c>
      <c r="E1179" t="s">
        <v>1217</v>
      </c>
      <c r="F1179" t="s">
        <v>1018</v>
      </c>
      <c r="G1179" t="s">
        <v>44</v>
      </c>
      <c r="H1179" t="s">
        <v>32</v>
      </c>
      <c r="I1179" t="s">
        <v>50</v>
      </c>
      <c r="J1179">
        <v>35</v>
      </c>
      <c r="K1179">
        <v>1401.47</v>
      </c>
      <c r="L1179">
        <v>49051.53</v>
      </c>
      <c r="M1179">
        <v>28716.55</v>
      </c>
      <c r="N1179">
        <v>3908.53</v>
      </c>
      <c r="O1179">
        <v>2707.41</v>
      </c>
      <c r="P1179">
        <v>1645.22</v>
      </c>
      <c r="Q1179">
        <v>520.12</v>
      </c>
      <c r="R1179">
        <v>2019.69</v>
      </c>
      <c r="S1179">
        <v>925.33</v>
      </c>
      <c r="T1179">
        <v>40442.85</v>
      </c>
      <c r="U1179">
        <v>20334.98</v>
      </c>
      <c r="V1179">
        <v>8608.68</v>
      </c>
      <c r="W1179">
        <v>8288.75</v>
      </c>
      <c r="X1179">
        <v>54734.98</v>
      </c>
      <c r="Y1179">
        <v>41253.519999999997</v>
      </c>
    </row>
    <row r="1180" spans="1:25" x14ac:dyDescent="0.25">
      <c r="A1180" t="s">
        <v>1236</v>
      </c>
      <c r="B1180" s="1">
        <v>45264</v>
      </c>
      <c r="C1180">
        <v>2023</v>
      </c>
      <c r="D1180">
        <v>12</v>
      </c>
      <c r="E1180" t="s">
        <v>1217</v>
      </c>
      <c r="F1180" t="s">
        <v>1018</v>
      </c>
      <c r="G1180" t="s">
        <v>44</v>
      </c>
      <c r="H1180" t="s">
        <v>29</v>
      </c>
      <c r="I1180" t="s">
        <v>50</v>
      </c>
      <c r="J1180">
        <v>32</v>
      </c>
      <c r="K1180">
        <v>1609.74</v>
      </c>
      <c r="L1180">
        <v>51511.64</v>
      </c>
      <c r="M1180">
        <v>30198.53</v>
      </c>
      <c r="N1180">
        <v>4231.18</v>
      </c>
      <c r="O1180">
        <v>3186.82</v>
      </c>
      <c r="P1180">
        <v>1654.43</v>
      </c>
      <c r="Q1180">
        <v>400.85</v>
      </c>
      <c r="R1180">
        <v>2912.42</v>
      </c>
      <c r="S1180">
        <v>1082.21</v>
      </c>
      <c r="T1180">
        <v>43666.45</v>
      </c>
      <c r="U1180">
        <v>21313.119999999999</v>
      </c>
      <c r="V1180">
        <v>7845.2</v>
      </c>
      <c r="W1180">
        <v>7182.81</v>
      </c>
      <c r="X1180">
        <v>55175.92</v>
      </c>
      <c r="Y1180">
        <v>41714.6</v>
      </c>
    </row>
    <row r="1181" spans="1:25" x14ac:dyDescent="0.25">
      <c r="A1181" t="s">
        <v>1237</v>
      </c>
      <c r="B1181" s="1">
        <v>45264</v>
      </c>
      <c r="C1181">
        <v>2023</v>
      </c>
      <c r="D1181">
        <v>12</v>
      </c>
      <c r="E1181" t="s">
        <v>1217</v>
      </c>
      <c r="F1181" t="s">
        <v>1018</v>
      </c>
      <c r="G1181" t="s">
        <v>44</v>
      </c>
      <c r="H1181" t="s">
        <v>29</v>
      </c>
      <c r="I1181" t="s">
        <v>50</v>
      </c>
      <c r="J1181">
        <v>57</v>
      </c>
      <c r="K1181">
        <v>819.51</v>
      </c>
      <c r="L1181">
        <v>46711.839999999997</v>
      </c>
      <c r="M1181">
        <v>27059.81</v>
      </c>
      <c r="N1181">
        <v>4502.59</v>
      </c>
      <c r="O1181">
        <v>3486.18</v>
      </c>
      <c r="P1181">
        <v>1673.96</v>
      </c>
      <c r="Q1181">
        <v>811.83</v>
      </c>
      <c r="R1181">
        <v>2490.96</v>
      </c>
      <c r="S1181">
        <v>728.1</v>
      </c>
      <c r="T1181">
        <v>40753.43</v>
      </c>
      <c r="U1181">
        <v>19652.04</v>
      </c>
      <c r="V1181">
        <v>5958.41</v>
      </c>
      <c r="W1181">
        <v>5844.32</v>
      </c>
      <c r="X1181">
        <v>45650.33</v>
      </c>
      <c r="Y1181">
        <v>39302.57</v>
      </c>
    </row>
    <row r="1182" spans="1:25" x14ac:dyDescent="0.25">
      <c r="A1182" t="s">
        <v>1238</v>
      </c>
      <c r="B1182" s="1">
        <v>45264</v>
      </c>
      <c r="C1182">
        <v>2023</v>
      </c>
      <c r="D1182">
        <v>12</v>
      </c>
      <c r="E1182" t="s">
        <v>1217</v>
      </c>
      <c r="F1182" t="s">
        <v>1018</v>
      </c>
      <c r="G1182" t="s">
        <v>55</v>
      </c>
      <c r="H1182" t="s">
        <v>32</v>
      </c>
      <c r="I1182" t="s">
        <v>33</v>
      </c>
      <c r="J1182">
        <v>81</v>
      </c>
      <c r="K1182">
        <v>1180.52</v>
      </c>
      <c r="L1182">
        <v>95622.5</v>
      </c>
      <c r="M1182">
        <v>61794.99</v>
      </c>
      <c r="N1182">
        <v>7989.4</v>
      </c>
      <c r="O1182">
        <v>6510.56</v>
      </c>
      <c r="P1182">
        <v>2051.67</v>
      </c>
      <c r="Q1182">
        <v>879.08</v>
      </c>
      <c r="R1182">
        <v>5429.3</v>
      </c>
      <c r="S1182">
        <v>2200.63</v>
      </c>
      <c r="T1182">
        <v>86855.63</v>
      </c>
      <c r="U1182">
        <v>33827.5</v>
      </c>
      <c r="V1182">
        <v>8766.86</v>
      </c>
      <c r="W1182">
        <v>8720.7900000000009</v>
      </c>
      <c r="X1182">
        <v>93510.75</v>
      </c>
      <c r="Y1182">
        <v>81812.22</v>
      </c>
    </row>
    <row r="1183" spans="1:25" x14ac:dyDescent="0.25">
      <c r="A1183" t="s">
        <v>1239</v>
      </c>
      <c r="B1183" s="1">
        <v>45265</v>
      </c>
      <c r="C1183">
        <v>2023</v>
      </c>
      <c r="D1183">
        <v>12</v>
      </c>
      <c r="E1183" t="s">
        <v>1217</v>
      </c>
      <c r="F1183" t="s">
        <v>1018</v>
      </c>
      <c r="G1183" t="s">
        <v>55</v>
      </c>
      <c r="H1183" t="s">
        <v>32</v>
      </c>
      <c r="I1183" t="s">
        <v>33</v>
      </c>
      <c r="J1183">
        <v>69</v>
      </c>
      <c r="K1183">
        <v>1547.09</v>
      </c>
      <c r="L1183">
        <v>106749.33</v>
      </c>
      <c r="M1183">
        <v>53873.26</v>
      </c>
      <c r="N1183">
        <v>12837.97</v>
      </c>
      <c r="O1183">
        <v>2737.94</v>
      </c>
      <c r="P1183">
        <v>4107.95</v>
      </c>
      <c r="Q1183">
        <v>1243.93</v>
      </c>
      <c r="R1183">
        <v>4436.6899999999996</v>
      </c>
      <c r="S1183">
        <v>1216.1300000000001</v>
      </c>
      <c r="T1183">
        <v>80453.88</v>
      </c>
      <c r="U1183">
        <v>52876.07</v>
      </c>
      <c r="V1183">
        <v>26295.45</v>
      </c>
      <c r="W1183">
        <v>25208.53</v>
      </c>
      <c r="X1183">
        <v>119523.11</v>
      </c>
      <c r="Y1183">
        <v>82659.92</v>
      </c>
    </row>
    <row r="1184" spans="1:25" x14ac:dyDescent="0.25">
      <c r="A1184" t="s">
        <v>1240</v>
      </c>
      <c r="B1184" s="1">
        <v>45265</v>
      </c>
      <c r="C1184">
        <v>2023</v>
      </c>
      <c r="D1184">
        <v>12</v>
      </c>
      <c r="E1184" t="s">
        <v>1217</v>
      </c>
      <c r="F1184" t="s">
        <v>1018</v>
      </c>
      <c r="G1184" t="s">
        <v>28</v>
      </c>
      <c r="H1184" t="s">
        <v>53</v>
      </c>
      <c r="I1184" t="s">
        <v>65</v>
      </c>
      <c r="J1184">
        <v>64</v>
      </c>
      <c r="K1184">
        <v>952</v>
      </c>
      <c r="L1184">
        <v>60928.25</v>
      </c>
      <c r="M1184">
        <v>29392.81</v>
      </c>
      <c r="N1184">
        <v>6332.66</v>
      </c>
      <c r="O1184">
        <v>1610.09</v>
      </c>
      <c r="P1184">
        <v>1202.1300000000001</v>
      </c>
      <c r="Q1184">
        <v>1040.04</v>
      </c>
      <c r="R1184">
        <v>1846.88</v>
      </c>
      <c r="S1184">
        <v>1325.59</v>
      </c>
      <c r="T1184">
        <v>42750.2</v>
      </c>
      <c r="U1184">
        <v>31535.439999999999</v>
      </c>
      <c r="V1184">
        <v>18178.05</v>
      </c>
      <c r="W1184">
        <v>17726.59</v>
      </c>
      <c r="X1184">
        <v>60594.61</v>
      </c>
      <c r="Y1184">
        <v>43960.38</v>
      </c>
    </row>
    <row r="1185" spans="1:25" x14ac:dyDescent="0.25">
      <c r="A1185" t="s">
        <v>1241</v>
      </c>
      <c r="B1185" s="1">
        <v>45265</v>
      </c>
      <c r="C1185">
        <v>2023</v>
      </c>
      <c r="D1185">
        <v>12</v>
      </c>
      <c r="E1185" t="s">
        <v>1217</v>
      </c>
      <c r="F1185" t="s">
        <v>1018</v>
      </c>
      <c r="G1185" t="s">
        <v>35</v>
      </c>
      <c r="H1185" t="s">
        <v>29</v>
      </c>
      <c r="I1185" t="s">
        <v>30</v>
      </c>
      <c r="J1185">
        <v>50</v>
      </c>
      <c r="K1185">
        <v>1801.45</v>
      </c>
      <c r="L1185">
        <v>90072.69</v>
      </c>
      <c r="M1185">
        <v>43582.82</v>
      </c>
      <c r="N1185">
        <v>9398.9599999999991</v>
      </c>
      <c r="O1185">
        <v>6170.51</v>
      </c>
      <c r="P1185">
        <v>2301.08</v>
      </c>
      <c r="Q1185">
        <v>1518.87</v>
      </c>
      <c r="R1185">
        <v>3175.3</v>
      </c>
      <c r="S1185">
        <v>1499.59</v>
      </c>
      <c r="T1185">
        <v>67647.12</v>
      </c>
      <c r="U1185">
        <v>46489.87</v>
      </c>
      <c r="V1185">
        <v>22425.57</v>
      </c>
      <c r="W1185">
        <v>20682.16</v>
      </c>
      <c r="X1185">
        <v>98560.26</v>
      </c>
      <c r="Y1185">
        <v>74381.63</v>
      </c>
    </row>
    <row r="1186" spans="1:25" x14ac:dyDescent="0.25">
      <c r="A1186" t="s">
        <v>1242</v>
      </c>
      <c r="B1186" s="1">
        <v>45265</v>
      </c>
      <c r="C1186">
        <v>2023</v>
      </c>
      <c r="D1186">
        <v>12</v>
      </c>
      <c r="E1186" t="s">
        <v>1217</v>
      </c>
      <c r="F1186" t="s">
        <v>1018</v>
      </c>
      <c r="G1186" t="s">
        <v>44</v>
      </c>
      <c r="H1186" t="s">
        <v>32</v>
      </c>
      <c r="I1186" t="s">
        <v>37</v>
      </c>
      <c r="J1186">
        <v>69</v>
      </c>
      <c r="K1186">
        <v>1321.33</v>
      </c>
      <c r="L1186">
        <v>91171.65</v>
      </c>
      <c r="M1186">
        <v>59627.15</v>
      </c>
      <c r="N1186">
        <v>6810.54</v>
      </c>
      <c r="O1186">
        <v>4662.97</v>
      </c>
      <c r="P1186">
        <v>3480.26</v>
      </c>
      <c r="Q1186">
        <v>850.77</v>
      </c>
      <c r="R1186">
        <v>5191.67</v>
      </c>
      <c r="S1186">
        <v>922.55</v>
      </c>
      <c r="T1186">
        <v>81545.899999999994</v>
      </c>
      <c r="U1186">
        <v>31544.5</v>
      </c>
      <c r="V1186">
        <v>9625.75</v>
      </c>
      <c r="W1186">
        <v>9404.1200000000008</v>
      </c>
      <c r="X1186">
        <v>96992.91</v>
      </c>
      <c r="Y1186">
        <v>76037.88</v>
      </c>
    </row>
    <row r="1187" spans="1:25" x14ac:dyDescent="0.25">
      <c r="A1187" t="s">
        <v>1243</v>
      </c>
      <c r="B1187" s="1">
        <v>45265</v>
      </c>
      <c r="C1187">
        <v>2023</v>
      </c>
      <c r="D1187">
        <v>12</v>
      </c>
      <c r="E1187" t="s">
        <v>1217</v>
      </c>
      <c r="F1187" t="s">
        <v>1018</v>
      </c>
      <c r="G1187" t="s">
        <v>35</v>
      </c>
      <c r="H1187" t="s">
        <v>29</v>
      </c>
      <c r="I1187" t="s">
        <v>39</v>
      </c>
      <c r="J1187">
        <v>27</v>
      </c>
      <c r="K1187">
        <v>1506.21</v>
      </c>
      <c r="L1187">
        <v>40667.550000000003</v>
      </c>
      <c r="M1187">
        <v>20836.54</v>
      </c>
      <c r="N1187">
        <v>4022.97</v>
      </c>
      <c r="O1187">
        <v>2975.25</v>
      </c>
      <c r="P1187">
        <v>1651.45</v>
      </c>
      <c r="Q1187">
        <v>243.3</v>
      </c>
      <c r="R1187">
        <v>1652.27</v>
      </c>
      <c r="S1187">
        <v>336.38</v>
      </c>
      <c r="T1187">
        <v>31718.15</v>
      </c>
      <c r="U1187">
        <v>19831.009999999998</v>
      </c>
      <c r="V1187">
        <v>8949.4</v>
      </c>
      <c r="W1187">
        <v>8043.81</v>
      </c>
      <c r="X1187">
        <v>45052.41</v>
      </c>
      <c r="Y1187">
        <v>31385.27</v>
      </c>
    </row>
    <row r="1188" spans="1:25" x14ac:dyDescent="0.25">
      <c r="A1188" t="s">
        <v>1244</v>
      </c>
      <c r="B1188" s="1">
        <v>45266</v>
      </c>
      <c r="C1188">
        <v>2023</v>
      </c>
      <c r="D1188">
        <v>12</v>
      </c>
      <c r="E1188" t="s">
        <v>1217</v>
      </c>
      <c r="F1188" t="s">
        <v>1018</v>
      </c>
      <c r="G1188" t="s">
        <v>44</v>
      </c>
      <c r="H1188" t="s">
        <v>32</v>
      </c>
      <c r="I1188" t="s">
        <v>37</v>
      </c>
      <c r="J1188">
        <v>77</v>
      </c>
      <c r="K1188">
        <v>1080.02</v>
      </c>
      <c r="L1188">
        <v>83161.42</v>
      </c>
      <c r="M1188">
        <v>52593.62</v>
      </c>
      <c r="N1188">
        <v>8940.7800000000007</v>
      </c>
      <c r="O1188">
        <v>6058.96</v>
      </c>
      <c r="P1188">
        <v>2232.21</v>
      </c>
      <c r="Q1188">
        <v>1082.3</v>
      </c>
      <c r="R1188">
        <v>5322.73</v>
      </c>
      <c r="S1188">
        <v>1122.4100000000001</v>
      </c>
      <c r="T1188">
        <v>77353</v>
      </c>
      <c r="U1188">
        <v>30567.8</v>
      </c>
      <c r="V1188">
        <v>5808.42</v>
      </c>
      <c r="W1188">
        <v>5167.53</v>
      </c>
      <c r="X1188">
        <v>76996.09</v>
      </c>
      <c r="Y1188">
        <v>75778.12</v>
      </c>
    </row>
    <row r="1189" spans="1:25" x14ac:dyDescent="0.25">
      <c r="A1189" t="s">
        <v>1245</v>
      </c>
      <c r="B1189" s="1">
        <v>45266</v>
      </c>
      <c r="C1189">
        <v>2023</v>
      </c>
      <c r="D1189">
        <v>12</v>
      </c>
      <c r="E1189" t="s">
        <v>1217</v>
      </c>
      <c r="F1189" t="s">
        <v>1018</v>
      </c>
      <c r="G1189" t="s">
        <v>35</v>
      </c>
      <c r="H1189" t="s">
        <v>58</v>
      </c>
      <c r="I1189" t="s">
        <v>45</v>
      </c>
      <c r="J1189">
        <v>24</v>
      </c>
      <c r="K1189">
        <v>1270.01</v>
      </c>
      <c r="L1189">
        <v>30480.34</v>
      </c>
      <c r="M1189">
        <v>18935.400000000001</v>
      </c>
      <c r="N1189">
        <v>2243.69</v>
      </c>
      <c r="O1189">
        <v>1391.4</v>
      </c>
      <c r="P1189">
        <v>706.57</v>
      </c>
      <c r="Q1189">
        <v>547.54</v>
      </c>
      <c r="R1189">
        <v>1222.3</v>
      </c>
      <c r="S1189">
        <v>542.99</v>
      </c>
      <c r="T1189">
        <v>25589.89</v>
      </c>
      <c r="U1189">
        <v>11544.93</v>
      </c>
      <c r="V1189">
        <v>4890.45</v>
      </c>
      <c r="W1189">
        <v>4893.24</v>
      </c>
      <c r="X1189">
        <v>31712.880000000001</v>
      </c>
      <c r="Y1189">
        <v>27011.24</v>
      </c>
    </row>
    <row r="1190" spans="1:25" x14ac:dyDescent="0.25">
      <c r="A1190" t="s">
        <v>1246</v>
      </c>
      <c r="B1190" s="1">
        <v>45266</v>
      </c>
      <c r="C1190">
        <v>2023</v>
      </c>
      <c r="D1190">
        <v>12</v>
      </c>
      <c r="E1190" t="s">
        <v>1217</v>
      </c>
      <c r="F1190" t="s">
        <v>1018</v>
      </c>
      <c r="G1190" t="s">
        <v>44</v>
      </c>
      <c r="H1190" t="s">
        <v>32</v>
      </c>
      <c r="I1190" t="s">
        <v>50</v>
      </c>
      <c r="J1190">
        <v>73</v>
      </c>
      <c r="K1190">
        <v>875.52</v>
      </c>
      <c r="L1190">
        <v>63912.65</v>
      </c>
      <c r="M1190">
        <v>37362.32</v>
      </c>
      <c r="N1190">
        <v>8068.94</v>
      </c>
      <c r="O1190">
        <v>1659.09</v>
      </c>
      <c r="P1190">
        <v>2441.4</v>
      </c>
      <c r="Q1190">
        <v>1114.26</v>
      </c>
      <c r="R1190">
        <v>3798.05</v>
      </c>
      <c r="S1190">
        <v>1523.11</v>
      </c>
      <c r="T1190">
        <v>55967.17</v>
      </c>
      <c r="U1190">
        <v>26550.34</v>
      </c>
      <c r="V1190">
        <v>7945.49</v>
      </c>
      <c r="W1190">
        <v>8055.53</v>
      </c>
      <c r="X1190">
        <v>70679.7</v>
      </c>
      <c r="Y1190">
        <v>55953.62</v>
      </c>
    </row>
    <row r="1191" spans="1:25" x14ac:dyDescent="0.25">
      <c r="A1191" t="s">
        <v>1247</v>
      </c>
      <c r="B1191" s="1">
        <v>45267</v>
      </c>
      <c r="C1191">
        <v>2023</v>
      </c>
      <c r="D1191">
        <v>12</v>
      </c>
      <c r="E1191" t="s">
        <v>1217</v>
      </c>
      <c r="F1191" t="s">
        <v>1018</v>
      </c>
      <c r="G1191" t="s">
        <v>35</v>
      </c>
      <c r="H1191" t="s">
        <v>58</v>
      </c>
      <c r="I1191" t="s">
        <v>33</v>
      </c>
      <c r="J1191">
        <v>54</v>
      </c>
      <c r="K1191">
        <v>1238.95</v>
      </c>
      <c r="L1191">
        <v>66903.42</v>
      </c>
      <c r="M1191">
        <v>37056.47</v>
      </c>
      <c r="N1191">
        <v>8161.36</v>
      </c>
      <c r="O1191">
        <v>2318.2199999999998</v>
      </c>
      <c r="P1191">
        <v>1565.76</v>
      </c>
      <c r="Q1191">
        <v>669.09</v>
      </c>
      <c r="R1191">
        <v>4230.42</v>
      </c>
      <c r="S1191">
        <v>733.21</v>
      </c>
      <c r="T1191">
        <v>54734.53</v>
      </c>
      <c r="U1191">
        <v>29846.94</v>
      </c>
      <c r="V1191">
        <v>12168.89</v>
      </c>
      <c r="W1191">
        <v>11846.02</v>
      </c>
      <c r="X1191">
        <v>73825.740000000005</v>
      </c>
      <c r="Y1191">
        <v>59780.9</v>
      </c>
    </row>
    <row r="1192" spans="1:25" x14ac:dyDescent="0.25">
      <c r="A1192" t="s">
        <v>1248</v>
      </c>
      <c r="B1192" s="1">
        <v>45267</v>
      </c>
      <c r="C1192">
        <v>2023</v>
      </c>
      <c r="D1192">
        <v>12</v>
      </c>
      <c r="E1192" t="s">
        <v>1217</v>
      </c>
      <c r="F1192" t="s">
        <v>1018</v>
      </c>
      <c r="G1192" t="s">
        <v>44</v>
      </c>
      <c r="H1192" t="s">
        <v>36</v>
      </c>
      <c r="I1192" t="s">
        <v>50</v>
      </c>
      <c r="J1192">
        <v>20</v>
      </c>
      <c r="K1192">
        <v>1761.12</v>
      </c>
      <c r="L1192">
        <v>35222.36</v>
      </c>
      <c r="M1192">
        <v>17798.12</v>
      </c>
      <c r="N1192">
        <v>2652.76</v>
      </c>
      <c r="O1192">
        <v>1665.44</v>
      </c>
      <c r="P1192">
        <v>1533.88</v>
      </c>
      <c r="Q1192">
        <v>276.94</v>
      </c>
      <c r="R1192">
        <v>1793.75</v>
      </c>
      <c r="S1192">
        <v>517.46</v>
      </c>
      <c r="T1192">
        <v>26238.35</v>
      </c>
      <c r="U1192">
        <v>17424.240000000002</v>
      </c>
      <c r="V1192">
        <v>8984.01</v>
      </c>
      <c r="W1192">
        <v>9013.81</v>
      </c>
      <c r="X1192">
        <v>34677.58</v>
      </c>
      <c r="Y1192">
        <v>26420.81</v>
      </c>
    </row>
    <row r="1193" spans="1:25" x14ac:dyDescent="0.25">
      <c r="A1193" t="s">
        <v>1249</v>
      </c>
      <c r="B1193" s="1">
        <v>45267</v>
      </c>
      <c r="C1193">
        <v>2023</v>
      </c>
      <c r="D1193">
        <v>12</v>
      </c>
      <c r="E1193" t="s">
        <v>1217</v>
      </c>
      <c r="F1193" t="s">
        <v>1018</v>
      </c>
      <c r="G1193" t="s">
        <v>55</v>
      </c>
      <c r="H1193" t="s">
        <v>32</v>
      </c>
      <c r="I1193" t="s">
        <v>45</v>
      </c>
      <c r="J1193">
        <v>46</v>
      </c>
      <c r="K1193">
        <v>1156.8800000000001</v>
      </c>
      <c r="L1193">
        <v>53216.3</v>
      </c>
      <c r="M1193">
        <v>30516.7</v>
      </c>
      <c r="N1193">
        <v>4730.3500000000004</v>
      </c>
      <c r="O1193">
        <v>3617.63</v>
      </c>
      <c r="P1193">
        <v>1190.07</v>
      </c>
      <c r="Q1193">
        <v>481.14</v>
      </c>
      <c r="R1193">
        <v>3213.51</v>
      </c>
      <c r="S1193">
        <v>431.12</v>
      </c>
      <c r="T1193">
        <v>44180.52</v>
      </c>
      <c r="U1193">
        <v>22699.599999999999</v>
      </c>
      <c r="V1193">
        <v>9035.7800000000007</v>
      </c>
      <c r="W1193">
        <v>9064.84</v>
      </c>
      <c r="X1193">
        <v>55589.53</v>
      </c>
      <c r="Y1193">
        <v>47574.85</v>
      </c>
    </row>
    <row r="1194" spans="1:25" x14ac:dyDescent="0.25">
      <c r="A1194" t="s">
        <v>1250</v>
      </c>
      <c r="B1194" s="1">
        <v>45267</v>
      </c>
      <c r="C1194">
        <v>2023</v>
      </c>
      <c r="D1194">
        <v>12</v>
      </c>
      <c r="E1194" t="s">
        <v>1217</v>
      </c>
      <c r="F1194" t="s">
        <v>1018</v>
      </c>
      <c r="G1194" t="s">
        <v>55</v>
      </c>
      <c r="H1194" t="s">
        <v>29</v>
      </c>
      <c r="I1194" t="s">
        <v>30</v>
      </c>
      <c r="J1194">
        <v>112</v>
      </c>
      <c r="K1194">
        <v>1012.79</v>
      </c>
      <c r="L1194">
        <v>113432.6</v>
      </c>
      <c r="M1194">
        <v>71548.86</v>
      </c>
      <c r="N1194">
        <v>14477.86</v>
      </c>
      <c r="O1194">
        <v>3923.24</v>
      </c>
      <c r="P1194">
        <v>3631.37</v>
      </c>
      <c r="Q1194">
        <v>1009.83</v>
      </c>
      <c r="R1194">
        <v>4050.64</v>
      </c>
      <c r="S1194">
        <v>2198.2399999999998</v>
      </c>
      <c r="T1194">
        <v>100840.03</v>
      </c>
      <c r="U1194">
        <v>41883.74</v>
      </c>
      <c r="V1194">
        <v>12592.57</v>
      </c>
      <c r="W1194">
        <v>12378.88</v>
      </c>
      <c r="X1194">
        <v>122478.06</v>
      </c>
      <c r="Y1194">
        <v>103054.87</v>
      </c>
    </row>
    <row r="1195" spans="1:25" x14ac:dyDescent="0.25">
      <c r="A1195" t="s">
        <v>1251</v>
      </c>
      <c r="B1195" s="1">
        <v>45268</v>
      </c>
      <c r="C1195">
        <v>2023</v>
      </c>
      <c r="D1195">
        <v>12</v>
      </c>
      <c r="E1195" t="s">
        <v>1217</v>
      </c>
      <c r="F1195" t="s">
        <v>1018</v>
      </c>
      <c r="G1195" t="s">
        <v>28</v>
      </c>
      <c r="H1195" t="s">
        <v>53</v>
      </c>
      <c r="I1195" t="s">
        <v>56</v>
      </c>
      <c r="J1195">
        <v>25</v>
      </c>
      <c r="K1195">
        <v>1474.42</v>
      </c>
      <c r="L1195">
        <v>36860.44</v>
      </c>
      <c r="M1195">
        <v>22064.77</v>
      </c>
      <c r="N1195">
        <v>3882.89</v>
      </c>
      <c r="O1195">
        <v>1016.16</v>
      </c>
      <c r="P1195">
        <v>1637.9</v>
      </c>
      <c r="Q1195">
        <v>356.25</v>
      </c>
      <c r="R1195">
        <v>1205.17</v>
      </c>
      <c r="S1195">
        <v>391.08</v>
      </c>
      <c r="T1195">
        <v>30554.22</v>
      </c>
      <c r="U1195">
        <v>14795.67</v>
      </c>
      <c r="V1195">
        <v>6306.22</v>
      </c>
      <c r="W1195">
        <v>5670.47</v>
      </c>
      <c r="X1195">
        <v>38508.43</v>
      </c>
      <c r="Y1195">
        <v>31621.65</v>
      </c>
    </row>
    <row r="1196" spans="1:25" x14ac:dyDescent="0.25">
      <c r="A1196" t="s">
        <v>1252</v>
      </c>
      <c r="B1196" s="1">
        <v>45268</v>
      </c>
      <c r="C1196">
        <v>2023</v>
      </c>
      <c r="D1196">
        <v>12</v>
      </c>
      <c r="E1196" t="s">
        <v>1217</v>
      </c>
      <c r="F1196" t="s">
        <v>1018</v>
      </c>
      <c r="G1196" t="s">
        <v>44</v>
      </c>
      <c r="H1196" t="s">
        <v>29</v>
      </c>
      <c r="I1196" t="s">
        <v>37</v>
      </c>
      <c r="J1196">
        <v>91</v>
      </c>
      <c r="K1196">
        <v>876.92</v>
      </c>
      <c r="L1196">
        <v>79799.81</v>
      </c>
      <c r="M1196">
        <v>38690.99</v>
      </c>
      <c r="N1196">
        <v>10356.959999999999</v>
      </c>
      <c r="O1196">
        <v>3453.89</v>
      </c>
      <c r="P1196">
        <v>1502.46</v>
      </c>
      <c r="Q1196">
        <v>727.6</v>
      </c>
      <c r="R1196">
        <v>3661.06</v>
      </c>
      <c r="S1196">
        <v>1241.51</v>
      </c>
      <c r="T1196">
        <v>59634.45</v>
      </c>
      <c r="U1196">
        <v>41108.83</v>
      </c>
      <c r="V1196">
        <v>20165.36</v>
      </c>
      <c r="W1196">
        <v>19098.39</v>
      </c>
      <c r="X1196">
        <v>80022.899999999994</v>
      </c>
      <c r="Y1196">
        <v>59965.22</v>
      </c>
    </row>
    <row r="1197" spans="1:25" x14ac:dyDescent="0.25">
      <c r="A1197" t="s">
        <v>1253</v>
      </c>
      <c r="B1197" s="1">
        <v>45268</v>
      </c>
      <c r="C1197">
        <v>2023</v>
      </c>
      <c r="D1197">
        <v>12</v>
      </c>
      <c r="E1197" t="s">
        <v>1217</v>
      </c>
      <c r="F1197" t="s">
        <v>1018</v>
      </c>
      <c r="G1197" t="s">
        <v>44</v>
      </c>
      <c r="H1197" t="s">
        <v>32</v>
      </c>
      <c r="I1197" t="s">
        <v>30</v>
      </c>
      <c r="J1197">
        <v>67</v>
      </c>
      <c r="K1197">
        <v>1729.71</v>
      </c>
      <c r="L1197">
        <v>115890.74</v>
      </c>
      <c r="M1197">
        <v>65850.080000000002</v>
      </c>
      <c r="N1197">
        <v>14944.62</v>
      </c>
      <c r="O1197">
        <v>5168.55</v>
      </c>
      <c r="P1197">
        <v>2167.75</v>
      </c>
      <c r="Q1197">
        <v>1694.88</v>
      </c>
      <c r="R1197">
        <v>3393.49</v>
      </c>
      <c r="S1197">
        <v>2633.51</v>
      </c>
      <c r="T1197">
        <v>95852.88</v>
      </c>
      <c r="U1197">
        <v>50040.66</v>
      </c>
      <c r="V1197">
        <v>20037.86</v>
      </c>
      <c r="W1197">
        <v>19549.71</v>
      </c>
      <c r="X1197">
        <v>126817.32</v>
      </c>
      <c r="Y1197">
        <v>100880.86</v>
      </c>
    </row>
    <row r="1198" spans="1:25" x14ac:dyDescent="0.25">
      <c r="A1198" t="s">
        <v>1254</v>
      </c>
      <c r="B1198" s="1">
        <v>45268</v>
      </c>
      <c r="C1198">
        <v>2023</v>
      </c>
      <c r="D1198">
        <v>12</v>
      </c>
      <c r="E1198" t="s">
        <v>1217</v>
      </c>
      <c r="F1198" t="s">
        <v>1018</v>
      </c>
      <c r="G1198" t="s">
        <v>44</v>
      </c>
      <c r="H1198" t="s">
        <v>36</v>
      </c>
      <c r="I1198" t="s">
        <v>33</v>
      </c>
      <c r="J1198">
        <v>44</v>
      </c>
      <c r="K1198">
        <v>1264.03</v>
      </c>
      <c r="L1198">
        <v>55617.35</v>
      </c>
      <c r="M1198">
        <v>27838.73</v>
      </c>
      <c r="N1198">
        <v>3967.88</v>
      </c>
      <c r="O1198">
        <v>3485.22</v>
      </c>
      <c r="P1198">
        <v>1071.92</v>
      </c>
      <c r="Q1198">
        <v>326.60000000000002</v>
      </c>
      <c r="R1198">
        <v>2856.51</v>
      </c>
      <c r="S1198">
        <v>896.8</v>
      </c>
      <c r="T1198">
        <v>40443.65</v>
      </c>
      <c r="U1198">
        <v>27778.62</v>
      </c>
      <c r="V1198">
        <v>15173.7</v>
      </c>
      <c r="W1198">
        <v>13571.45</v>
      </c>
      <c r="X1198">
        <v>60508.31</v>
      </c>
      <c r="Y1198">
        <v>39879.69</v>
      </c>
    </row>
    <row r="1199" spans="1:25" x14ac:dyDescent="0.25">
      <c r="A1199" t="s">
        <v>1255</v>
      </c>
      <c r="B1199" s="1">
        <v>45268</v>
      </c>
      <c r="C1199">
        <v>2023</v>
      </c>
      <c r="D1199">
        <v>12</v>
      </c>
      <c r="E1199" t="s">
        <v>1217</v>
      </c>
      <c r="F1199" t="s">
        <v>1018</v>
      </c>
      <c r="G1199" t="s">
        <v>28</v>
      </c>
      <c r="H1199" t="s">
        <v>32</v>
      </c>
      <c r="I1199" t="s">
        <v>56</v>
      </c>
      <c r="J1199">
        <v>30</v>
      </c>
      <c r="K1199">
        <v>1148.8699999999999</v>
      </c>
      <c r="L1199">
        <v>34466.17</v>
      </c>
      <c r="M1199">
        <v>21001.22</v>
      </c>
      <c r="N1199">
        <v>4202.59</v>
      </c>
      <c r="O1199">
        <v>1360.16</v>
      </c>
      <c r="P1199">
        <v>879.03</v>
      </c>
      <c r="Q1199">
        <v>598.97</v>
      </c>
      <c r="R1199">
        <v>1855.89</v>
      </c>
      <c r="S1199">
        <v>668.8</v>
      </c>
      <c r="T1199">
        <v>30566.67</v>
      </c>
      <c r="U1199">
        <v>13464.95</v>
      </c>
      <c r="V1199">
        <v>3899.5</v>
      </c>
      <c r="W1199">
        <v>3941.64</v>
      </c>
      <c r="X1199">
        <v>33818.39</v>
      </c>
      <c r="Y1199">
        <v>30612.92</v>
      </c>
    </row>
    <row r="1200" spans="1:25" x14ac:dyDescent="0.25">
      <c r="A1200" t="s">
        <v>1256</v>
      </c>
      <c r="B1200" s="1">
        <v>45268</v>
      </c>
      <c r="C1200">
        <v>2023</v>
      </c>
      <c r="D1200">
        <v>12</v>
      </c>
      <c r="E1200" t="s">
        <v>1217</v>
      </c>
      <c r="F1200" t="s">
        <v>1018</v>
      </c>
      <c r="G1200" t="s">
        <v>28</v>
      </c>
      <c r="H1200" t="s">
        <v>36</v>
      </c>
      <c r="I1200" t="s">
        <v>65</v>
      </c>
      <c r="J1200">
        <v>59</v>
      </c>
      <c r="K1200">
        <v>1207.08</v>
      </c>
      <c r="L1200">
        <v>71217.98</v>
      </c>
      <c r="M1200">
        <v>42350.85</v>
      </c>
      <c r="N1200">
        <v>7900.66</v>
      </c>
      <c r="O1200">
        <v>4243.33</v>
      </c>
      <c r="P1200">
        <v>3033.46</v>
      </c>
      <c r="Q1200">
        <v>920.96</v>
      </c>
      <c r="R1200">
        <v>3776.29</v>
      </c>
      <c r="S1200">
        <v>602.16999999999996</v>
      </c>
      <c r="T1200">
        <v>62827.73</v>
      </c>
      <c r="U1200">
        <v>28867.13</v>
      </c>
      <c r="V1200">
        <v>8390.25</v>
      </c>
      <c r="W1200">
        <v>7612.81</v>
      </c>
      <c r="X1200">
        <v>79008.759999999995</v>
      </c>
      <c r="Y1200">
        <v>63372.35</v>
      </c>
    </row>
    <row r="1201" spans="1:25" x14ac:dyDescent="0.25">
      <c r="A1201" t="s">
        <v>1257</v>
      </c>
      <c r="B1201" s="1">
        <v>45269</v>
      </c>
      <c r="C1201">
        <v>2023</v>
      </c>
      <c r="D1201">
        <v>12</v>
      </c>
      <c r="E1201" t="s">
        <v>1217</v>
      </c>
      <c r="F1201" t="s">
        <v>1018</v>
      </c>
      <c r="G1201" t="s">
        <v>28</v>
      </c>
      <c r="H1201" t="s">
        <v>29</v>
      </c>
      <c r="I1201" t="s">
        <v>33</v>
      </c>
      <c r="J1201">
        <v>62</v>
      </c>
      <c r="K1201">
        <v>1410.39</v>
      </c>
      <c r="L1201">
        <v>87444.23</v>
      </c>
      <c r="M1201">
        <v>57066.94</v>
      </c>
      <c r="N1201">
        <v>10082.42</v>
      </c>
      <c r="O1201">
        <v>6455.39</v>
      </c>
      <c r="P1201">
        <v>1335.22</v>
      </c>
      <c r="Q1201">
        <v>451.79</v>
      </c>
      <c r="R1201">
        <v>3668.72</v>
      </c>
      <c r="S1201">
        <v>1979.96</v>
      </c>
      <c r="T1201">
        <v>81040.44</v>
      </c>
      <c r="U1201">
        <v>30377.29</v>
      </c>
      <c r="V1201">
        <v>6403.79</v>
      </c>
      <c r="W1201">
        <v>6009.66</v>
      </c>
      <c r="X1201">
        <v>96996.17</v>
      </c>
      <c r="Y1201">
        <v>79183.539999999994</v>
      </c>
    </row>
    <row r="1202" spans="1:25" x14ac:dyDescent="0.25">
      <c r="A1202" t="s">
        <v>1258</v>
      </c>
      <c r="B1202" s="1">
        <v>45269</v>
      </c>
      <c r="C1202">
        <v>2023</v>
      </c>
      <c r="D1202">
        <v>12</v>
      </c>
      <c r="E1202" t="s">
        <v>1217</v>
      </c>
      <c r="F1202" t="s">
        <v>1018</v>
      </c>
      <c r="G1202" t="s">
        <v>55</v>
      </c>
      <c r="H1202" t="s">
        <v>32</v>
      </c>
      <c r="I1202" t="s">
        <v>50</v>
      </c>
      <c r="J1202">
        <v>65</v>
      </c>
      <c r="K1202">
        <v>1273.98</v>
      </c>
      <c r="L1202">
        <v>82808.72</v>
      </c>
      <c r="M1202">
        <v>41446.35</v>
      </c>
      <c r="N1202">
        <v>6645.01</v>
      </c>
      <c r="O1202">
        <v>2756.33</v>
      </c>
      <c r="P1202">
        <v>3244.58</v>
      </c>
      <c r="Q1202">
        <v>1473.67</v>
      </c>
      <c r="R1202">
        <v>4440.63</v>
      </c>
      <c r="S1202">
        <v>1972.01</v>
      </c>
      <c r="T1202">
        <v>61978.58</v>
      </c>
      <c r="U1202">
        <v>41362.379999999997</v>
      </c>
      <c r="V1202">
        <v>20830.150000000001</v>
      </c>
      <c r="W1202">
        <v>21010.63</v>
      </c>
      <c r="X1202">
        <v>92113.2</v>
      </c>
      <c r="Y1202">
        <v>67757.11</v>
      </c>
    </row>
    <row r="1203" spans="1:25" x14ac:dyDescent="0.25">
      <c r="A1203" t="s">
        <v>1259</v>
      </c>
      <c r="B1203" s="1">
        <v>45269</v>
      </c>
      <c r="C1203">
        <v>2023</v>
      </c>
      <c r="D1203">
        <v>12</v>
      </c>
      <c r="E1203" t="s">
        <v>1217</v>
      </c>
      <c r="F1203" t="s">
        <v>1018</v>
      </c>
      <c r="G1203" t="s">
        <v>28</v>
      </c>
      <c r="H1203" t="s">
        <v>53</v>
      </c>
      <c r="I1203" t="s">
        <v>45</v>
      </c>
      <c r="J1203">
        <v>37</v>
      </c>
      <c r="K1203">
        <v>1174.3599999999999</v>
      </c>
      <c r="L1203">
        <v>43451.34</v>
      </c>
      <c r="M1203">
        <v>27751.88</v>
      </c>
      <c r="N1203">
        <v>3602.15</v>
      </c>
      <c r="O1203">
        <v>1148.26</v>
      </c>
      <c r="P1203">
        <v>1735.06</v>
      </c>
      <c r="Q1203">
        <v>517.41999999999996</v>
      </c>
      <c r="R1203">
        <v>1494.26</v>
      </c>
      <c r="S1203">
        <v>452.74</v>
      </c>
      <c r="T1203">
        <v>36701.78</v>
      </c>
      <c r="U1203">
        <v>15699.45</v>
      </c>
      <c r="V1203">
        <v>6749.55</v>
      </c>
      <c r="W1203">
        <v>6700.33</v>
      </c>
      <c r="X1203">
        <v>43776.53</v>
      </c>
      <c r="Y1203">
        <v>35814.089999999997</v>
      </c>
    </row>
    <row r="1204" spans="1:25" x14ac:dyDescent="0.25">
      <c r="A1204" t="s">
        <v>1260</v>
      </c>
      <c r="B1204" s="1">
        <v>45270</v>
      </c>
      <c r="C1204">
        <v>2023</v>
      </c>
      <c r="D1204">
        <v>12</v>
      </c>
      <c r="E1204" t="s">
        <v>1217</v>
      </c>
      <c r="F1204" t="s">
        <v>1018</v>
      </c>
      <c r="G1204" t="s">
        <v>35</v>
      </c>
      <c r="H1204" t="s">
        <v>32</v>
      </c>
      <c r="I1204" t="s">
        <v>45</v>
      </c>
      <c r="J1204">
        <v>34</v>
      </c>
      <c r="K1204">
        <v>1314.84</v>
      </c>
      <c r="L1204">
        <v>44704.56</v>
      </c>
      <c r="M1204">
        <v>22075.15</v>
      </c>
      <c r="N1204">
        <v>4599.62</v>
      </c>
      <c r="O1204">
        <v>2799.66</v>
      </c>
      <c r="P1204">
        <v>935.66</v>
      </c>
      <c r="Q1204">
        <v>764.91</v>
      </c>
      <c r="R1204">
        <v>2294.4</v>
      </c>
      <c r="S1204">
        <v>871.66</v>
      </c>
      <c r="T1204">
        <v>34341.06</v>
      </c>
      <c r="U1204">
        <v>22629.4</v>
      </c>
      <c r="V1204">
        <v>10363.5</v>
      </c>
      <c r="W1204">
        <v>10556.82</v>
      </c>
      <c r="X1204">
        <v>49899</v>
      </c>
      <c r="Y1204">
        <v>34396.660000000003</v>
      </c>
    </row>
    <row r="1205" spans="1:25" x14ac:dyDescent="0.25">
      <c r="A1205" t="s">
        <v>1261</v>
      </c>
      <c r="B1205" s="1">
        <v>45270</v>
      </c>
      <c r="C1205">
        <v>2023</v>
      </c>
      <c r="D1205">
        <v>12</v>
      </c>
      <c r="E1205" t="s">
        <v>1217</v>
      </c>
      <c r="F1205" t="s">
        <v>1018</v>
      </c>
      <c r="G1205" t="s">
        <v>55</v>
      </c>
      <c r="H1205" t="s">
        <v>58</v>
      </c>
      <c r="I1205" t="s">
        <v>65</v>
      </c>
      <c r="J1205">
        <v>51</v>
      </c>
      <c r="K1205">
        <v>1331.07</v>
      </c>
      <c r="L1205">
        <v>67884.55</v>
      </c>
      <c r="M1205">
        <v>36337.26</v>
      </c>
      <c r="N1205">
        <v>5377.72</v>
      </c>
      <c r="O1205">
        <v>3748.42</v>
      </c>
      <c r="P1205">
        <v>2979.04</v>
      </c>
      <c r="Q1205">
        <v>487.7</v>
      </c>
      <c r="R1205">
        <v>2693.44</v>
      </c>
      <c r="S1205">
        <v>852.15</v>
      </c>
      <c r="T1205">
        <v>52475.73</v>
      </c>
      <c r="U1205">
        <v>31547.29</v>
      </c>
      <c r="V1205">
        <v>15408.82</v>
      </c>
      <c r="W1205">
        <v>14764.8</v>
      </c>
      <c r="X1205">
        <v>63054.2</v>
      </c>
      <c r="Y1205">
        <v>57100.78</v>
      </c>
    </row>
    <row r="1206" spans="1:25" x14ac:dyDescent="0.25">
      <c r="A1206" t="s">
        <v>1262</v>
      </c>
      <c r="B1206" s="1">
        <v>45271</v>
      </c>
      <c r="C1206">
        <v>2023</v>
      </c>
      <c r="D1206">
        <v>12</v>
      </c>
      <c r="E1206" t="s">
        <v>1217</v>
      </c>
      <c r="F1206" t="s">
        <v>1018</v>
      </c>
      <c r="G1206" t="s">
        <v>28</v>
      </c>
      <c r="H1206" t="s">
        <v>32</v>
      </c>
      <c r="I1206" t="s">
        <v>33</v>
      </c>
      <c r="J1206">
        <v>61</v>
      </c>
      <c r="K1206">
        <v>1774.88</v>
      </c>
      <c r="L1206">
        <v>108267.47</v>
      </c>
      <c r="M1206">
        <v>70057.84</v>
      </c>
      <c r="N1206">
        <v>12824.8</v>
      </c>
      <c r="O1206">
        <v>6063.97</v>
      </c>
      <c r="P1206">
        <v>3741.33</v>
      </c>
      <c r="Q1206">
        <v>1377.99</v>
      </c>
      <c r="R1206">
        <v>3897.87</v>
      </c>
      <c r="S1206">
        <v>1590.89</v>
      </c>
      <c r="T1206">
        <v>99554.7</v>
      </c>
      <c r="U1206">
        <v>38209.629999999997</v>
      </c>
      <c r="V1206">
        <v>8712.77</v>
      </c>
      <c r="W1206">
        <v>8251.68</v>
      </c>
      <c r="X1206">
        <v>106814.77</v>
      </c>
      <c r="Y1206">
        <v>105431.62</v>
      </c>
    </row>
    <row r="1207" spans="1:25" x14ac:dyDescent="0.25">
      <c r="A1207" t="s">
        <v>1263</v>
      </c>
      <c r="B1207" s="1">
        <v>45271</v>
      </c>
      <c r="C1207">
        <v>2023</v>
      </c>
      <c r="D1207">
        <v>12</v>
      </c>
      <c r="E1207" t="s">
        <v>1217</v>
      </c>
      <c r="F1207" t="s">
        <v>1018</v>
      </c>
      <c r="G1207" t="s">
        <v>28</v>
      </c>
      <c r="H1207" t="s">
        <v>32</v>
      </c>
      <c r="I1207" t="s">
        <v>39</v>
      </c>
      <c r="J1207">
        <v>41</v>
      </c>
      <c r="K1207">
        <v>1182.45</v>
      </c>
      <c r="L1207">
        <v>48480.3</v>
      </c>
      <c r="M1207">
        <v>28229.97</v>
      </c>
      <c r="N1207">
        <v>6062.83</v>
      </c>
      <c r="O1207">
        <v>1396.21</v>
      </c>
      <c r="P1207">
        <v>2161.21</v>
      </c>
      <c r="Q1207">
        <v>427.49</v>
      </c>
      <c r="R1207">
        <v>1711.25</v>
      </c>
      <c r="S1207">
        <v>483.4</v>
      </c>
      <c r="T1207">
        <v>40472.35</v>
      </c>
      <c r="U1207">
        <v>20250.330000000002</v>
      </c>
      <c r="V1207">
        <v>8007.95</v>
      </c>
      <c r="W1207">
        <v>7593.32</v>
      </c>
      <c r="X1207">
        <v>53342.95</v>
      </c>
      <c r="Y1207">
        <v>38650.129999999997</v>
      </c>
    </row>
    <row r="1208" spans="1:25" x14ac:dyDescent="0.25">
      <c r="A1208" t="s">
        <v>1264</v>
      </c>
      <c r="B1208" s="1">
        <v>45271</v>
      </c>
      <c r="C1208">
        <v>2023</v>
      </c>
      <c r="D1208">
        <v>12</v>
      </c>
      <c r="E1208" t="s">
        <v>1217</v>
      </c>
      <c r="F1208" t="s">
        <v>1018</v>
      </c>
      <c r="G1208" t="s">
        <v>28</v>
      </c>
      <c r="H1208" t="s">
        <v>58</v>
      </c>
      <c r="I1208" t="s">
        <v>50</v>
      </c>
      <c r="J1208">
        <v>44</v>
      </c>
      <c r="K1208">
        <v>1069.02</v>
      </c>
      <c r="L1208">
        <v>47037</v>
      </c>
      <c r="M1208">
        <v>23169.05</v>
      </c>
      <c r="N1208">
        <v>6010.76</v>
      </c>
      <c r="O1208">
        <v>2202.7800000000002</v>
      </c>
      <c r="P1208">
        <v>1445.35</v>
      </c>
      <c r="Q1208">
        <v>806.47</v>
      </c>
      <c r="R1208">
        <v>2655.06</v>
      </c>
      <c r="S1208">
        <v>1157.4000000000001</v>
      </c>
      <c r="T1208">
        <v>37446.870000000003</v>
      </c>
      <c r="U1208">
        <v>23867.95</v>
      </c>
      <c r="V1208">
        <v>9590.14</v>
      </c>
      <c r="W1208">
        <v>9641.65</v>
      </c>
      <c r="X1208">
        <v>49239.96</v>
      </c>
      <c r="Y1208">
        <v>39574.910000000003</v>
      </c>
    </row>
    <row r="1209" spans="1:25" x14ac:dyDescent="0.25">
      <c r="A1209" t="s">
        <v>1265</v>
      </c>
      <c r="B1209" s="1">
        <v>45272</v>
      </c>
      <c r="C1209">
        <v>2023</v>
      </c>
      <c r="D1209">
        <v>12</v>
      </c>
      <c r="E1209" t="s">
        <v>1217</v>
      </c>
      <c r="F1209" t="s">
        <v>1018</v>
      </c>
      <c r="G1209" t="s">
        <v>28</v>
      </c>
      <c r="H1209" t="s">
        <v>53</v>
      </c>
      <c r="I1209" t="s">
        <v>33</v>
      </c>
      <c r="J1209">
        <v>53</v>
      </c>
      <c r="K1209">
        <v>1658.63</v>
      </c>
      <c r="L1209">
        <v>87907.49</v>
      </c>
      <c r="M1209">
        <v>50819.23</v>
      </c>
      <c r="N1209">
        <v>6339.37</v>
      </c>
      <c r="O1209">
        <v>3063.73</v>
      </c>
      <c r="P1209">
        <v>2370.4899999999998</v>
      </c>
      <c r="Q1209">
        <v>1051.3499999999999</v>
      </c>
      <c r="R1209">
        <v>3724.34</v>
      </c>
      <c r="S1209">
        <v>1065.42</v>
      </c>
      <c r="T1209">
        <v>68433.919999999998</v>
      </c>
      <c r="U1209">
        <v>37088.26</v>
      </c>
      <c r="V1209">
        <v>19473.57</v>
      </c>
      <c r="W1209">
        <v>18937.52</v>
      </c>
      <c r="X1209">
        <v>92790.12</v>
      </c>
      <c r="Y1209">
        <v>75124.88</v>
      </c>
    </row>
    <row r="1210" spans="1:25" x14ac:dyDescent="0.25">
      <c r="A1210" t="s">
        <v>1266</v>
      </c>
      <c r="B1210" s="1">
        <v>45272</v>
      </c>
      <c r="C1210">
        <v>2023</v>
      </c>
      <c r="D1210">
        <v>12</v>
      </c>
      <c r="E1210" t="s">
        <v>1217</v>
      </c>
      <c r="F1210" t="s">
        <v>1018</v>
      </c>
      <c r="G1210" t="s">
        <v>44</v>
      </c>
      <c r="H1210" t="s">
        <v>36</v>
      </c>
      <c r="I1210" t="s">
        <v>30</v>
      </c>
      <c r="J1210">
        <v>73</v>
      </c>
      <c r="K1210">
        <v>1425.83</v>
      </c>
      <c r="L1210">
        <v>104085.93</v>
      </c>
      <c r="M1210">
        <v>69894.570000000007</v>
      </c>
      <c r="N1210">
        <v>10531.71</v>
      </c>
      <c r="O1210">
        <v>5865.88</v>
      </c>
      <c r="P1210">
        <v>3172.37</v>
      </c>
      <c r="Q1210">
        <v>758.52</v>
      </c>
      <c r="R1210">
        <v>3307.27</v>
      </c>
      <c r="S1210">
        <v>1662.78</v>
      </c>
      <c r="T1210">
        <v>95193.1</v>
      </c>
      <c r="U1210">
        <v>34191.360000000001</v>
      </c>
      <c r="V1210">
        <v>8892.83</v>
      </c>
      <c r="W1210">
        <v>9037.44</v>
      </c>
      <c r="X1210">
        <v>112447.92</v>
      </c>
      <c r="Y1210">
        <v>97086.02</v>
      </c>
    </row>
    <row r="1211" spans="1:25" x14ac:dyDescent="0.25">
      <c r="A1211" t="s">
        <v>1267</v>
      </c>
      <c r="B1211" s="1">
        <v>45272</v>
      </c>
      <c r="C1211">
        <v>2023</v>
      </c>
      <c r="D1211">
        <v>12</v>
      </c>
      <c r="E1211" t="s">
        <v>1217</v>
      </c>
      <c r="F1211" t="s">
        <v>1018</v>
      </c>
      <c r="G1211" t="s">
        <v>55</v>
      </c>
      <c r="H1211" t="s">
        <v>36</v>
      </c>
      <c r="I1211" t="s">
        <v>39</v>
      </c>
      <c r="J1211">
        <v>28</v>
      </c>
      <c r="K1211">
        <v>1444.89</v>
      </c>
      <c r="L1211">
        <v>40457.050000000003</v>
      </c>
      <c r="M1211">
        <v>26053.439999999999</v>
      </c>
      <c r="N1211">
        <v>4561.59</v>
      </c>
      <c r="O1211">
        <v>2440.39</v>
      </c>
      <c r="P1211">
        <v>1799.98</v>
      </c>
      <c r="Q1211">
        <v>492.02</v>
      </c>
      <c r="R1211">
        <v>1574.09</v>
      </c>
      <c r="S1211">
        <v>423.19</v>
      </c>
      <c r="T1211">
        <v>37344.71</v>
      </c>
      <c r="U1211">
        <v>14403.6</v>
      </c>
      <c r="V1211">
        <v>3112.34</v>
      </c>
      <c r="W1211">
        <v>2776.91</v>
      </c>
      <c r="X1211">
        <v>42056.29</v>
      </c>
      <c r="Y1211">
        <v>37043.07</v>
      </c>
    </row>
    <row r="1212" spans="1:25" x14ac:dyDescent="0.25">
      <c r="A1212" t="s">
        <v>1268</v>
      </c>
      <c r="B1212" s="1">
        <v>45273</v>
      </c>
      <c r="C1212">
        <v>2023</v>
      </c>
      <c r="D1212">
        <v>12</v>
      </c>
      <c r="E1212" t="s">
        <v>1217</v>
      </c>
      <c r="F1212" t="s">
        <v>1018</v>
      </c>
      <c r="G1212" t="s">
        <v>44</v>
      </c>
      <c r="H1212" t="s">
        <v>53</v>
      </c>
      <c r="I1212" t="s">
        <v>65</v>
      </c>
      <c r="J1212">
        <v>35</v>
      </c>
      <c r="K1212">
        <v>1737.2</v>
      </c>
      <c r="L1212">
        <v>60801.95</v>
      </c>
      <c r="M1212">
        <v>29724.81</v>
      </c>
      <c r="N1212">
        <v>4546.22</v>
      </c>
      <c r="O1212">
        <v>4084.31</v>
      </c>
      <c r="P1212">
        <v>2413.8000000000002</v>
      </c>
      <c r="Q1212">
        <v>723.06</v>
      </c>
      <c r="R1212">
        <v>3454.41</v>
      </c>
      <c r="S1212">
        <v>969.97</v>
      </c>
      <c r="T1212">
        <v>45916.58</v>
      </c>
      <c r="U1212">
        <v>31077.13</v>
      </c>
      <c r="V1212">
        <v>14885.37</v>
      </c>
      <c r="W1212">
        <v>15046.61</v>
      </c>
      <c r="X1212">
        <v>60014.25</v>
      </c>
      <c r="Y1212">
        <v>45393.2</v>
      </c>
    </row>
    <row r="1213" spans="1:25" x14ac:dyDescent="0.25">
      <c r="A1213" t="s">
        <v>1269</v>
      </c>
      <c r="B1213" s="1">
        <v>45273</v>
      </c>
      <c r="C1213">
        <v>2023</v>
      </c>
      <c r="D1213">
        <v>12</v>
      </c>
      <c r="E1213" t="s">
        <v>1217</v>
      </c>
      <c r="F1213" t="s">
        <v>1018</v>
      </c>
      <c r="G1213" t="s">
        <v>55</v>
      </c>
      <c r="H1213" t="s">
        <v>29</v>
      </c>
      <c r="I1213" t="s">
        <v>65</v>
      </c>
      <c r="J1213">
        <v>69</v>
      </c>
      <c r="K1213">
        <v>898.09</v>
      </c>
      <c r="L1213">
        <v>61968.08</v>
      </c>
      <c r="M1213">
        <v>32702.41</v>
      </c>
      <c r="N1213">
        <v>5027.29</v>
      </c>
      <c r="O1213">
        <v>3564.13</v>
      </c>
      <c r="P1213">
        <v>2253.0300000000002</v>
      </c>
      <c r="Q1213">
        <v>733.9</v>
      </c>
      <c r="R1213">
        <v>3307.91</v>
      </c>
      <c r="S1213">
        <v>584.26</v>
      </c>
      <c r="T1213">
        <v>48172.93</v>
      </c>
      <c r="U1213">
        <v>29265.67</v>
      </c>
      <c r="V1213">
        <v>13795.15</v>
      </c>
      <c r="W1213">
        <v>12774.62</v>
      </c>
      <c r="X1213">
        <v>57553.48</v>
      </c>
      <c r="Y1213">
        <v>46172.71</v>
      </c>
    </row>
    <row r="1214" spans="1:25" x14ac:dyDescent="0.25">
      <c r="A1214" t="s">
        <v>1270</v>
      </c>
      <c r="B1214" s="1">
        <v>45274</v>
      </c>
      <c r="C1214">
        <v>2023</v>
      </c>
      <c r="D1214">
        <v>12</v>
      </c>
      <c r="E1214" t="s">
        <v>1217</v>
      </c>
      <c r="F1214" t="s">
        <v>1018</v>
      </c>
      <c r="G1214" t="s">
        <v>35</v>
      </c>
      <c r="H1214" t="s">
        <v>36</v>
      </c>
      <c r="I1214" t="s">
        <v>39</v>
      </c>
      <c r="J1214">
        <v>22</v>
      </c>
      <c r="K1214">
        <v>1792.78</v>
      </c>
      <c r="L1214">
        <v>39441.25</v>
      </c>
      <c r="M1214">
        <v>25420.94</v>
      </c>
      <c r="N1214">
        <v>4042.28</v>
      </c>
      <c r="O1214">
        <v>1183.51</v>
      </c>
      <c r="P1214">
        <v>1019.13</v>
      </c>
      <c r="Q1214">
        <v>270.98</v>
      </c>
      <c r="R1214">
        <v>2393.63</v>
      </c>
      <c r="S1214">
        <v>959.37</v>
      </c>
      <c r="T1214">
        <v>35289.83</v>
      </c>
      <c r="U1214">
        <v>14020.31</v>
      </c>
      <c r="V1214">
        <v>4151.42</v>
      </c>
      <c r="W1214">
        <v>3880.68</v>
      </c>
      <c r="X1214">
        <v>37321.360000000001</v>
      </c>
      <c r="Y1214">
        <v>33615.94</v>
      </c>
    </row>
    <row r="1215" spans="1:25" x14ac:dyDescent="0.25">
      <c r="A1215" t="s">
        <v>1271</v>
      </c>
      <c r="B1215" s="1">
        <v>45274</v>
      </c>
      <c r="C1215">
        <v>2023</v>
      </c>
      <c r="D1215">
        <v>12</v>
      </c>
      <c r="E1215" t="s">
        <v>1217</v>
      </c>
      <c r="F1215" t="s">
        <v>1018</v>
      </c>
      <c r="G1215" t="s">
        <v>55</v>
      </c>
      <c r="H1215" t="s">
        <v>36</v>
      </c>
      <c r="I1215" t="s">
        <v>33</v>
      </c>
      <c r="J1215">
        <v>66</v>
      </c>
      <c r="K1215">
        <v>996.85</v>
      </c>
      <c r="L1215">
        <v>65791.92</v>
      </c>
      <c r="M1215">
        <v>31627.05</v>
      </c>
      <c r="N1215">
        <v>6256.4</v>
      </c>
      <c r="O1215">
        <v>4747.3900000000003</v>
      </c>
      <c r="P1215">
        <v>1947.69</v>
      </c>
      <c r="Q1215">
        <v>1033.7</v>
      </c>
      <c r="R1215">
        <v>3331.1</v>
      </c>
      <c r="S1215">
        <v>1587.86</v>
      </c>
      <c r="T1215">
        <v>50531.18</v>
      </c>
      <c r="U1215">
        <v>34164.870000000003</v>
      </c>
      <c r="V1215">
        <v>15260.74</v>
      </c>
      <c r="W1215">
        <v>14033.72</v>
      </c>
      <c r="X1215">
        <v>72831.61</v>
      </c>
      <c r="Y1215">
        <v>48001.74</v>
      </c>
    </row>
    <row r="1216" spans="1:25" x14ac:dyDescent="0.25">
      <c r="A1216" t="s">
        <v>1272</v>
      </c>
      <c r="B1216" s="1">
        <v>45274</v>
      </c>
      <c r="C1216">
        <v>2023</v>
      </c>
      <c r="D1216">
        <v>12</v>
      </c>
      <c r="E1216" t="s">
        <v>1217</v>
      </c>
      <c r="F1216" t="s">
        <v>1018</v>
      </c>
      <c r="G1216" t="s">
        <v>28</v>
      </c>
      <c r="H1216" t="s">
        <v>36</v>
      </c>
      <c r="I1216" t="s">
        <v>65</v>
      </c>
      <c r="J1216">
        <v>33</v>
      </c>
      <c r="K1216">
        <v>1620.9</v>
      </c>
      <c r="L1216">
        <v>53489.599999999999</v>
      </c>
      <c r="M1216">
        <v>35768.080000000002</v>
      </c>
      <c r="N1216">
        <v>4556.84</v>
      </c>
      <c r="O1216">
        <v>1918.89</v>
      </c>
      <c r="P1216">
        <v>1303.23</v>
      </c>
      <c r="Q1216">
        <v>608.75</v>
      </c>
      <c r="R1216">
        <v>2373.75</v>
      </c>
      <c r="S1216">
        <v>1325.79</v>
      </c>
      <c r="T1216">
        <v>47855.32</v>
      </c>
      <c r="U1216">
        <v>17721.53</v>
      </c>
      <c r="V1216">
        <v>5634.28</v>
      </c>
      <c r="W1216">
        <v>5668.28</v>
      </c>
      <c r="X1216">
        <v>51365.48</v>
      </c>
      <c r="Y1216">
        <v>47057.38</v>
      </c>
    </row>
    <row r="1217" spans="1:25" x14ac:dyDescent="0.25">
      <c r="A1217" t="s">
        <v>1273</v>
      </c>
      <c r="B1217" s="1">
        <v>45274</v>
      </c>
      <c r="C1217">
        <v>2023</v>
      </c>
      <c r="D1217">
        <v>12</v>
      </c>
      <c r="E1217" t="s">
        <v>1217</v>
      </c>
      <c r="F1217" t="s">
        <v>1018</v>
      </c>
      <c r="G1217" t="s">
        <v>44</v>
      </c>
      <c r="H1217" t="s">
        <v>32</v>
      </c>
      <c r="I1217" t="s">
        <v>33</v>
      </c>
      <c r="J1217">
        <v>52</v>
      </c>
      <c r="K1217">
        <v>1467.16</v>
      </c>
      <c r="L1217">
        <v>76292.14</v>
      </c>
      <c r="M1217">
        <v>45994.41</v>
      </c>
      <c r="N1217">
        <v>7609.22</v>
      </c>
      <c r="O1217">
        <v>5209.51</v>
      </c>
      <c r="P1217">
        <v>2926.06</v>
      </c>
      <c r="Q1217">
        <v>904.93</v>
      </c>
      <c r="R1217">
        <v>2191.84</v>
      </c>
      <c r="S1217">
        <v>1513.46</v>
      </c>
      <c r="T1217">
        <v>66349.42</v>
      </c>
      <c r="U1217">
        <v>30297.73</v>
      </c>
      <c r="V1217">
        <v>9942.7199999999993</v>
      </c>
      <c r="W1217">
        <v>9062.01</v>
      </c>
      <c r="X1217">
        <v>78615.48</v>
      </c>
      <c r="Y1217">
        <v>64720.32</v>
      </c>
    </row>
    <row r="1218" spans="1:25" x14ac:dyDescent="0.25">
      <c r="A1218" t="s">
        <v>1274</v>
      </c>
      <c r="B1218" s="1">
        <v>45275</v>
      </c>
      <c r="C1218">
        <v>2023</v>
      </c>
      <c r="D1218">
        <v>12</v>
      </c>
      <c r="E1218" t="s">
        <v>1217</v>
      </c>
      <c r="F1218" t="s">
        <v>1018</v>
      </c>
      <c r="G1218" t="s">
        <v>35</v>
      </c>
      <c r="H1218" t="s">
        <v>58</v>
      </c>
      <c r="I1218" t="s">
        <v>50</v>
      </c>
      <c r="J1218">
        <v>52</v>
      </c>
      <c r="K1218">
        <v>896.84</v>
      </c>
      <c r="L1218">
        <v>46635.71</v>
      </c>
      <c r="M1218">
        <v>28337.21</v>
      </c>
      <c r="N1218">
        <v>4969.67</v>
      </c>
      <c r="O1218">
        <v>1862.89</v>
      </c>
      <c r="P1218">
        <v>1161.1300000000001</v>
      </c>
      <c r="Q1218">
        <v>746.83</v>
      </c>
      <c r="R1218">
        <v>1330.83</v>
      </c>
      <c r="S1218">
        <v>961</v>
      </c>
      <c r="T1218">
        <v>39369.550000000003</v>
      </c>
      <c r="U1218">
        <v>18298.509999999998</v>
      </c>
      <c r="V1218">
        <v>7266.16</v>
      </c>
      <c r="W1218">
        <v>6869.36</v>
      </c>
      <c r="X1218">
        <v>43302.76</v>
      </c>
      <c r="Y1218">
        <v>36626.300000000003</v>
      </c>
    </row>
    <row r="1219" spans="1:25" x14ac:dyDescent="0.25">
      <c r="A1219" t="s">
        <v>1275</v>
      </c>
      <c r="B1219" s="1">
        <v>45275</v>
      </c>
      <c r="C1219">
        <v>2023</v>
      </c>
      <c r="D1219">
        <v>12</v>
      </c>
      <c r="E1219" t="s">
        <v>1217</v>
      </c>
      <c r="F1219" t="s">
        <v>1018</v>
      </c>
      <c r="G1219" t="s">
        <v>35</v>
      </c>
      <c r="H1219" t="s">
        <v>32</v>
      </c>
      <c r="I1219" t="s">
        <v>50</v>
      </c>
      <c r="J1219">
        <v>44</v>
      </c>
      <c r="K1219">
        <v>1066.33</v>
      </c>
      <c r="L1219">
        <v>46918.39</v>
      </c>
      <c r="M1219">
        <v>29386.05</v>
      </c>
      <c r="N1219">
        <v>5042.76</v>
      </c>
      <c r="O1219">
        <v>1278.6099999999999</v>
      </c>
      <c r="P1219">
        <v>1866.95</v>
      </c>
      <c r="Q1219">
        <v>515.71</v>
      </c>
      <c r="R1219">
        <v>2531.25</v>
      </c>
      <c r="S1219">
        <v>1100.8399999999999</v>
      </c>
      <c r="T1219">
        <v>41722.17</v>
      </c>
      <c r="U1219">
        <v>17532.34</v>
      </c>
      <c r="V1219">
        <v>5196.2299999999996</v>
      </c>
      <c r="W1219">
        <v>5179.1499999999996</v>
      </c>
      <c r="X1219">
        <v>46529.74</v>
      </c>
      <c r="Y1219">
        <v>42016.42</v>
      </c>
    </row>
    <row r="1220" spans="1:25" x14ac:dyDescent="0.25">
      <c r="A1220" t="s">
        <v>1276</v>
      </c>
      <c r="B1220" s="1">
        <v>45275</v>
      </c>
      <c r="C1220">
        <v>2023</v>
      </c>
      <c r="D1220">
        <v>12</v>
      </c>
      <c r="E1220" t="s">
        <v>1217</v>
      </c>
      <c r="F1220" t="s">
        <v>1018</v>
      </c>
      <c r="G1220" t="s">
        <v>35</v>
      </c>
      <c r="H1220" t="s">
        <v>29</v>
      </c>
      <c r="I1220" t="s">
        <v>33</v>
      </c>
      <c r="J1220">
        <v>43</v>
      </c>
      <c r="K1220">
        <v>1671.29</v>
      </c>
      <c r="L1220">
        <v>71865.61</v>
      </c>
      <c r="M1220">
        <v>41987.72</v>
      </c>
      <c r="N1220">
        <v>8119.55</v>
      </c>
      <c r="O1220">
        <v>5081.25</v>
      </c>
      <c r="P1220">
        <v>1274.79</v>
      </c>
      <c r="Q1220">
        <v>663.24</v>
      </c>
      <c r="R1220">
        <v>3116.56</v>
      </c>
      <c r="S1220">
        <v>1039.24</v>
      </c>
      <c r="T1220">
        <v>61282.34</v>
      </c>
      <c r="U1220">
        <v>29877.9</v>
      </c>
      <c r="V1220">
        <v>10583.27</v>
      </c>
      <c r="W1220">
        <v>9735.8700000000008</v>
      </c>
      <c r="X1220">
        <v>68158.759999999995</v>
      </c>
      <c r="Y1220">
        <v>61880.97</v>
      </c>
    </row>
    <row r="1221" spans="1:25" x14ac:dyDescent="0.25">
      <c r="A1221" t="s">
        <v>1277</v>
      </c>
      <c r="B1221" s="1">
        <v>45275</v>
      </c>
      <c r="C1221">
        <v>2023</v>
      </c>
      <c r="D1221">
        <v>12</v>
      </c>
      <c r="E1221" t="s">
        <v>1217</v>
      </c>
      <c r="F1221" t="s">
        <v>1018</v>
      </c>
      <c r="G1221" t="s">
        <v>55</v>
      </c>
      <c r="H1221" t="s">
        <v>36</v>
      </c>
      <c r="I1221" t="s">
        <v>33</v>
      </c>
      <c r="J1221">
        <v>73</v>
      </c>
      <c r="K1221">
        <v>1031.3900000000001</v>
      </c>
      <c r="L1221">
        <v>75291.289999999994</v>
      </c>
      <c r="M1221">
        <v>48703.23</v>
      </c>
      <c r="N1221">
        <v>6602.71</v>
      </c>
      <c r="O1221">
        <v>4739.6000000000004</v>
      </c>
      <c r="P1221">
        <v>1835.91</v>
      </c>
      <c r="Q1221">
        <v>1066.94</v>
      </c>
      <c r="R1221">
        <v>4199.1099999999997</v>
      </c>
      <c r="S1221">
        <v>1110.55</v>
      </c>
      <c r="T1221">
        <v>68258.06</v>
      </c>
      <c r="U1221">
        <v>26588.05</v>
      </c>
      <c r="V1221">
        <v>7033.23</v>
      </c>
      <c r="W1221">
        <v>7000.75</v>
      </c>
      <c r="X1221">
        <v>76181.05</v>
      </c>
      <c r="Y1221">
        <v>69143.45</v>
      </c>
    </row>
    <row r="1222" spans="1:25" x14ac:dyDescent="0.25">
      <c r="A1222" t="s">
        <v>1278</v>
      </c>
      <c r="B1222" s="1">
        <v>45276</v>
      </c>
      <c r="C1222">
        <v>2023</v>
      </c>
      <c r="D1222">
        <v>12</v>
      </c>
      <c r="E1222" t="s">
        <v>1217</v>
      </c>
      <c r="F1222" t="s">
        <v>1018</v>
      </c>
      <c r="G1222" t="s">
        <v>35</v>
      </c>
      <c r="H1222" t="s">
        <v>32</v>
      </c>
      <c r="I1222" t="s">
        <v>45</v>
      </c>
      <c r="J1222">
        <v>51</v>
      </c>
      <c r="K1222">
        <v>1145.1099999999999</v>
      </c>
      <c r="L1222">
        <v>58400.53</v>
      </c>
      <c r="M1222">
        <v>35026.879999999997</v>
      </c>
      <c r="N1222">
        <v>6071.84</v>
      </c>
      <c r="O1222">
        <v>2358.1</v>
      </c>
      <c r="P1222">
        <v>927.7</v>
      </c>
      <c r="Q1222">
        <v>888.22</v>
      </c>
      <c r="R1222">
        <v>3022.26</v>
      </c>
      <c r="S1222">
        <v>498</v>
      </c>
      <c r="T1222">
        <v>48793</v>
      </c>
      <c r="U1222">
        <v>23373.64</v>
      </c>
      <c r="V1222">
        <v>9607.5300000000007</v>
      </c>
      <c r="W1222">
        <v>9047.32</v>
      </c>
      <c r="X1222">
        <v>63243.15</v>
      </c>
      <c r="Y1222">
        <v>50474.11</v>
      </c>
    </row>
    <row r="1223" spans="1:25" x14ac:dyDescent="0.25">
      <c r="A1223" t="s">
        <v>1279</v>
      </c>
      <c r="B1223" s="1">
        <v>45276</v>
      </c>
      <c r="C1223">
        <v>2023</v>
      </c>
      <c r="D1223">
        <v>12</v>
      </c>
      <c r="E1223" t="s">
        <v>1217</v>
      </c>
      <c r="F1223" t="s">
        <v>1018</v>
      </c>
      <c r="G1223" t="s">
        <v>44</v>
      </c>
      <c r="H1223" t="s">
        <v>53</v>
      </c>
      <c r="I1223" t="s">
        <v>33</v>
      </c>
      <c r="J1223">
        <v>70</v>
      </c>
      <c r="K1223">
        <v>1002.59</v>
      </c>
      <c r="L1223">
        <v>70181.25</v>
      </c>
      <c r="M1223">
        <v>45325.49</v>
      </c>
      <c r="N1223">
        <v>5303.26</v>
      </c>
      <c r="O1223">
        <v>3099.39</v>
      </c>
      <c r="P1223">
        <v>3055.92</v>
      </c>
      <c r="Q1223">
        <v>841.8</v>
      </c>
      <c r="R1223">
        <v>2315.98</v>
      </c>
      <c r="S1223">
        <v>1735.03</v>
      </c>
      <c r="T1223">
        <v>61676.87</v>
      </c>
      <c r="U1223">
        <v>24855.759999999998</v>
      </c>
      <c r="V1223">
        <v>8504.3799999999992</v>
      </c>
      <c r="W1223">
        <v>7715.42</v>
      </c>
      <c r="X1223">
        <v>68900.59</v>
      </c>
      <c r="Y1223">
        <v>64293.69</v>
      </c>
    </row>
    <row r="1224" spans="1:25" x14ac:dyDescent="0.25">
      <c r="A1224" t="s">
        <v>1280</v>
      </c>
      <c r="B1224" s="1">
        <v>45276</v>
      </c>
      <c r="C1224">
        <v>2023</v>
      </c>
      <c r="D1224">
        <v>12</v>
      </c>
      <c r="E1224" t="s">
        <v>1217</v>
      </c>
      <c r="F1224" t="s">
        <v>1018</v>
      </c>
      <c r="G1224" t="s">
        <v>35</v>
      </c>
      <c r="H1224" t="s">
        <v>32</v>
      </c>
      <c r="I1224" t="s">
        <v>56</v>
      </c>
      <c r="J1224">
        <v>24</v>
      </c>
      <c r="K1224">
        <v>1628.48</v>
      </c>
      <c r="L1224">
        <v>39083.519999999997</v>
      </c>
      <c r="M1224">
        <v>26158.21</v>
      </c>
      <c r="N1224">
        <v>4791.5</v>
      </c>
      <c r="O1224">
        <v>2632.5</v>
      </c>
      <c r="P1224">
        <v>1208.58</v>
      </c>
      <c r="Q1224">
        <v>566.24</v>
      </c>
      <c r="R1224">
        <v>1135.45</v>
      </c>
      <c r="S1224">
        <v>625.36</v>
      </c>
      <c r="T1224">
        <v>37117.839999999997</v>
      </c>
      <c r="U1224">
        <v>12925.31</v>
      </c>
      <c r="V1224">
        <v>1965.68</v>
      </c>
      <c r="W1224">
        <v>1749.35</v>
      </c>
      <c r="X1224">
        <v>42828.56</v>
      </c>
      <c r="Y1224">
        <v>35259.06</v>
      </c>
    </row>
    <row r="1225" spans="1:25" x14ac:dyDescent="0.25">
      <c r="A1225" t="s">
        <v>1281</v>
      </c>
      <c r="B1225" s="1">
        <v>45276</v>
      </c>
      <c r="C1225">
        <v>2023</v>
      </c>
      <c r="D1225">
        <v>12</v>
      </c>
      <c r="E1225" t="s">
        <v>1217</v>
      </c>
      <c r="F1225" t="s">
        <v>1018</v>
      </c>
      <c r="G1225" t="s">
        <v>55</v>
      </c>
      <c r="H1225" t="s">
        <v>32</v>
      </c>
      <c r="I1225" t="s">
        <v>39</v>
      </c>
      <c r="J1225">
        <v>61</v>
      </c>
      <c r="K1225">
        <v>963.23</v>
      </c>
      <c r="L1225">
        <v>58757.17</v>
      </c>
      <c r="M1225">
        <v>35015.4</v>
      </c>
      <c r="N1225">
        <v>7494.64</v>
      </c>
      <c r="O1225">
        <v>3174.74</v>
      </c>
      <c r="P1225">
        <v>2530.4699999999998</v>
      </c>
      <c r="Q1225">
        <v>391.81</v>
      </c>
      <c r="R1225">
        <v>2846.37</v>
      </c>
      <c r="S1225">
        <v>1269.27</v>
      </c>
      <c r="T1225">
        <v>52722.71</v>
      </c>
      <c r="U1225">
        <v>23741.77</v>
      </c>
      <c r="V1225">
        <v>6034.45</v>
      </c>
      <c r="W1225">
        <v>5815.22</v>
      </c>
      <c r="X1225">
        <v>62595.77</v>
      </c>
      <c r="Y1225">
        <v>50508.81</v>
      </c>
    </row>
    <row r="1226" spans="1:25" x14ac:dyDescent="0.25">
      <c r="A1226" t="s">
        <v>1282</v>
      </c>
      <c r="B1226" s="1">
        <v>45277</v>
      </c>
      <c r="C1226">
        <v>2023</v>
      </c>
      <c r="D1226">
        <v>12</v>
      </c>
      <c r="E1226" t="s">
        <v>1217</v>
      </c>
      <c r="F1226" t="s">
        <v>1018</v>
      </c>
      <c r="G1226" t="s">
        <v>55</v>
      </c>
      <c r="H1226" t="s">
        <v>32</v>
      </c>
      <c r="I1226" t="s">
        <v>30</v>
      </c>
      <c r="J1226">
        <v>86</v>
      </c>
      <c r="K1226">
        <v>1053.6300000000001</v>
      </c>
      <c r="L1226">
        <v>90611.82</v>
      </c>
      <c r="M1226">
        <v>57275.83</v>
      </c>
      <c r="N1226">
        <v>9237.02</v>
      </c>
      <c r="O1226">
        <v>5396.05</v>
      </c>
      <c r="P1226">
        <v>3424.82</v>
      </c>
      <c r="Q1226">
        <v>739.45</v>
      </c>
      <c r="R1226">
        <v>3049.67</v>
      </c>
      <c r="S1226">
        <v>1676.66</v>
      </c>
      <c r="T1226">
        <v>80799.509999999995</v>
      </c>
      <c r="U1226">
        <v>33335.99</v>
      </c>
      <c r="V1226">
        <v>9812.32</v>
      </c>
      <c r="W1226">
        <v>9122.6</v>
      </c>
      <c r="X1226">
        <v>86009.61</v>
      </c>
      <c r="Y1226">
        <v>82770.36</v>
      </c>
    </row>
    <row r="1227" spans="1:25" x14ac:dyDescent="0.25">
      <c r="A1227" t="s">
        <v>1283</v>
      </c>
      <c r="B1227" s="1">
        <v>45277</v>
      </c>
      <c r="C1227">
        <v>2023</v>
      </c>
      <c r="D1227">
        <v>12</v>
      </c>
      <c r="E1227" t="s">
        <v>1217</v>
      </c>
      <c r="F1227" t="s">
        <v>1018</v>
      </c>
      <c r="G1227" t="s">
        <v>28</v>
      </c>
      <c r="H1227" t="s">
        <v>36</v>
      </c>
      <c r="I1227" t="s">
        <v>33</v>
      </c>
      <c r="J1227">
        <v>65</v>
      </c>
      <c r="K1227">
        <v>1215.76</v>
      </c>
      <c r="L1227">
        <v>79024.36</v>
      </c>
      <c r="M1227">
        <v>49894.82</v>
      </c>
      <c r="N1227">
        <v>5745.74</v>
      </c>
      <c r="O1227">
        <v>4141.0600000000004</v>
      </c>
      <c r="P1227">
        <v>2022.41</v>
      </c>
      <c r="Q1227">
        <v>1271.6300000000001</v>
      </c>
      <c r="R1227">
        <v>4118.26</v>
      </c>
      <c r="S1227">
        <v>1753.89</v>
      </c>
      <c r="T1227">
        <v>68947.81</v>
      </c>
      <c r="U1227">
        <v>29129.54</v>
      </c>
      <c r="V1227">
        <v>10076.540000000001</v>
      </c>
      <c r="W1227">
        <v>9768.15</v>
      </c>
      <c r="X1227">
        <v>87290.52</v>
      </c>
      <c r="Y1227">
        <v>69863.91</v>
      </c>
    </row>
    <row r="1228" spans="1:25" x14ac:dyDescent="0.25">
      <c r="A1228" t="s">
        <v>1284</v>
      </c>
      <c r="B1228" s="1">
        <v>45277</v>
      </c>
      <c r="C1228">
        <v>2023</v>
      </c>
      <c r="D1228">
        <v>12</v>
      </c>
      <c r="E1228" t="s">
        <v>1217</v>
      </c>
      <c r="F1228" t="s">
        <v>1018</v>
      </c>
      <c r="G1228" t="s">
        <v>44</v>
      </c>
      <c r="H1228" t="s">
        <v>53</v>
      </c>
      <c r="I1228" t="s">
        <v>33</v>
      </c>
      <c r="J1228">
        <v>47</v>
      </c>
      <c r="K1228">
        <v>1633.34</v>
      </c>
      <c r="L1228">
        <v>76767.14</v>
      </c>
      <c r="M1228">
        <v>47837.97</v>
      </c>
      <c r="N1228">
        <v>7912.29</v>
      </c>
      <c r="O1228">
        <v>2760.78</v>
      </c>
      <c r="P1228">
        <v>1853.63</v>
      </c>
      <c r="Q1228">
        <v>877.13</v>
      </c>
      <c r="R1228">
        <v>2841.09</v>
      </c>
      <c r="S1228">
        <v>936.03</v>
      </c>
      <c r="T1228">
        <v>65018.93</v>
      </c>
      <c r="U1228">
        <v>28929.17</v>
      </c>
      <c r="V1228">
        <v>11748.2</v>
      </c>
      <c r="W1228">
        <v>10664.92</v>
      </c>
      <c r="X1228">
        <v>82288.84</v>
      </c>
      <c r="Y1228">
        <v>64585.21</v>
      </c>
    </row>
    <row r="1229" spans="1:25" x14ac:dyDescent="0.25">
      <c r="A1229" t="s">
        <v>1285</v>
      </c>
      <c r="B1229" s="1">
        <v>45279</v>
      </c>
      <c r="C1229">
        <v>2023</v>
      </c>
      <c r="D1229">
        <v>12</v>
      </c>
      <c r="E1229" t="s">
        <v>1217</v>
      </c>
      <c r="F1229" t="s">
        <v>1018</v>
      </c>
      <c r="G1229" t="s">
        <v>28</v>
      </c>
      <c r="H1229" t="s">
        <v>53</v>
      </c>
      <c r="I1229" t="s">
        <v>33</v>
      </c>
      <c r="J1229">
        <v>52</v>
      </c>
      <c r="K1229">
        <v>1709.48</v>
      </c>
      <c r="L1229">
        <v>88893.02</v>
      </c>
      <c r="M1229">
        <v>54995.53</v>
      </c>
      <c r="N1229">
        <v>6486.44</v>
      </c>
      <c r="O1229">
        <v>5116.63</v>
      </c>
      <c r="P1229">
        <v>3449.2</v>
      </c>
      <c r="Q1229">
        <v>750.55</v>
      </c>
      <c r="R1229">
        <v>3649.33</v>
      </c>
      <c r="S1229">
        <v>1505.16</v>
      </c>
      <c r="T1229">
        <v>75952.83</v>
      </c>
      <c r="U1229">
        <v>33897.49</v>
      </c>
      <c r="V1229">
        <v>12940.19</v>
      </c>
      <c r="W1229">
        <v>11875.55</v>
      </c>
      <c r="X1229">
        <v>81877.83</v>
      </c>
      <c r="Y1229">
        <v>72639.520000000004</v>
      </c>
    </row>
    <row r="1230" spans="1:25" x14ac:dyDescent="0.25">
      <c r="A1230" t="s">
        <v>1286</v>
      </c>
      <c r="B1230" s="1">
        <v>45279</v>
      </c>
      <c r="C1230">
        <v>2023</v>
      </c>
      <c r="D1230">
        <v>12</v>
      </c>
      <c r="E1230" t="s">
        <v>1217</v>
      </c>
      <c r="F1230" t="s">
        <v>1018</v>
      </c>
      <c r="G1230" t="s">
        <v>28</v>
      </c>
      <c r="H1230" t="s">
        <v>32</v>
      </c>
      <c r="I1230" t="s">
        <v>50</v>
      </c>
      <c r="J1230">
        <v>36</v>
      </c>
      <c r="K1230">
        <v>1595.99</v>
      </c>
      <c r="L1230">
        <v>57455.519999999997</v>
      </c>
      <c r="M1230">
        <v>37153.19</v>
      </c>
      <c r="N1230">
        <v>6753.36</v>
      </c>
      <c r="O1230">
        <v>2879.46</v>
      </c>
      <c r="P1230">
        <v>1696.41</v>
      </c>
      <c r="Q1230">
        <v>839.46</v>
      </c>
      <c r="R1230">
        <v>2972.71</v>
      </c>
      <c r="S1230">
        <v>1098.73</v>
      </c>
      <c r="T1230">
        <v>53393.31</v>
      </c>
      <c r="U1230">
        <v>20302.330000000002</v>
      </c>
      <c r="V1230">
        <v>4062.21</v>
      </c>
      <c r="W1230">
        <v>3646.96</v>
      </c>
      <c r="X1230">
        <v>57330.77</v>
      </c>
      <c r="Y1230">
        <v>56051.11</v>
      </c>
    </row>
    <row r="1231" spans="1:25" x14ac:dyDescent="0.25">
      <c r="A1231" t="s">
        <v>1287</v>
      </c>
      <c r="B1231" s="1">
        <v>45279</v>
      </c>
      <c r="C1231">
        <v>2023</v>
      </c>
      <c r="D1231">
        <v>12</v>
      </c>
      <c r="E1231" t="s">
        <v>1217</v>
      </c>
      <c r="F1231" t="s">
        <v>1018</v>
      </c>
      <c r="G1231" t="s">
        <v>44</v>
      </c>
      <c r="H1231" t="s">
        <v>32</v>
      </c>
      <c r="I1231" t="s">
        <v>56</v>
      </c>
      <c r="J1231">
        <v>29</v>
      </c>
      <c r="K1231">
        <v>1421.02</v>
      </c>
      <c r="L1231">
        <v>41209.56</v>
      </c>
      <c r="M1231">
        <v>27516.38</v>
      </c>
      <c r="N1231">
        <v>3916.65</v>
      </c>
      <c r="O1231">
        <v>1075.8800000000001</v>
      </c>
      <c r="P1231">
        <v>1842</v>
      </c>
      <c r="Q1231">
        <v>282.33999999999997</v>
      </c>
      <c r="R1231">
        <v>2093.69</v>
      </c>
      <c r="S1231">
        <v>631.51</v>
      </c>
      <c r="T1231">
        <v>37358.46</v>
      </c>
      <c r="U1231">
        <v>13693.18</v>
      </c>
      <c r="V1231">
        <v>3851.1</v>
      </c>
      <c r="W1231">
        <v>3785.92</v>
      </c>
      <c r="X1231">
        <v>38304.69</v>
      </c>
      <c r="Y1231">
        <v>36110.019999999997</v>
      </c>
    </row>
    <row r="1232" spans="1:25" x14ac:dyDescent="0.25">
      <c r="A1232" t="s">
        <v>1288</v>
      </c>
      <c r="B1232" s="1">
        <v>45279</v>
      </c>
      <c r="C1232">
        <v>2023</v>
      </c>
      <c r="D1232">
        <v>12</v>
      </c>
      <c r="E1232" t="s">
        <v>1217</v>
      </c>
      <c r="F1232" t="s">
        <v>1018</v>
      </c>
      <c r="G1232" t="s">
        <v>35</v>
      </c>
      <c r="H1232" t="s">
        <v>53</v>
      </c>
      <c r="I1232" t="s">
        <v>56</v>
      </c>
      <c r="J1232">
        <v>29</v>
      </c>
      <c r="K1232">
        <v>917.34</v>
      </c>
      <c r="L1232">
        <v>26602.89</v>
      </c>
      <c r="M1232">
        <v>16550.57</v>
      </c>
      <c r="N1232">
        <v>2634.36</v>
      </c>
      <c r="O1232">
        <v>1000.37</v>
      </c>
      <c r="P1232">
        <v>552.26</v>
      </c>
      <c r="Q1232">
        <v>191.79</v>
      </c>
      <c r="R1232">
        <v>757.1</v>
      </c>
      <c r="S1232">
        <v>319</v>
      </c>
      <c r="T1232">
        <v>22005.439999999999</v>
      </c>
      <c r="U1232">
        <v>10052.33</v>
      </c>
      <c r="V1232">
        <v>4597.45</v>
      </c>
      <c r="W1232">
        <v>4531.32</v>
      </c>
      <c r="X1232">
        <v>26811.98</v>
      </c>
      <c r="Y1232">
        <v>21139.040000000001</v>
      </c>
    </row>
    <row r="1233" spans="1:25" x14ac:dyDescent="0.25">
      <c r="A1233" t="s">
        <v>1289</v>
      </c>
      <c r="B1233" s="1">
        <v>45280</v>
      </c>
      <c r="C1233">
        <v>2023</v>
      </c>
      <c r="D1233">
        <v>12</v>
      </c>
      <c r="E1233" t="s">
        <v>1217</v>
      </c>
      <c r="F1233" t="s">
        <v>1018</v>
      </c>
      <c r="G1233" t="s">
        <v>28</v>
      </c>
      <c r="H1233" t="s">
        <v>29</v>
      </c>
      <c r="I1233" t="s">
        <v>56</v>
      </c>
      <c r="J1233">
        <v>19</v>
      </c>
      <c r="K1233">
        <v>1660.46</v>
      </c>
      <c r="L1233">
        <v>31548.81</v>
      </c>
      <c r="M1233">
        <v>20452.77</v>
      </c>
      <c r="N1233">
        <v>3195.92</v>
      </c>
      <c r="O1233">
        <v>1160.42</v>
      </c>
      <c r="P1233">
        <v>509.35</v>
      </c>
      <c r="Q1233">
        <v>308.94</v>
      </c>
      <c r="R1233">
        <v>1602.08</v>
      </c>
      <c r="S1233">
        <v>656.15</v>
      </c>
      <c r="T1233">
        <v>27885.63</v>
      </c>
      <c r="U1233">
        <v>11096.04</v>
      </c>
      <c r="V1233">
        <v>3663.18</v>
      </c>
      <c r="W1233">
        <v>3247.31</v>
      </c>
      <c r="X1233">
        <v>31404.55</v>
      </c>
      <c r="Y1233">
        <v>26690.94</v>
      </c>
    </row>
    <row r="1234" spans="1:25" x14ac:dyDescent="0.25">
      <c r="A1234" t="s">
        <v>1290</v>
      </c>
      <c r="B1234" s="1">
        <v>45280</v>
      </c>
      <c r="C1234">
        <v>2023</v>
      </c>
      <c r="D1234">
        <v>12</v>
      </c>
      <c r="E1234" t="s">
        <v>1217</v>
      </c>
      <c r="F1234" t="s">
        <v>1018</v>
      </c>
      <c r="G1234" t="s">
        <v>55</v>
      </c>
      <c r="H1234" t="s">
        <v>32</v>
      </c>
      <c r="I1234" t="s">
        <v>65</v>
      </c>
      <c r="J1234">
        <v>51</v>
      </c>
      <c r="K1234">
        <v>1597.48</v>
      </c>
      <c r="L1234">
        <v>81471.649999999994</v>
      </c>
      <c r="M1234">
        <v>41501.1</v>
      </c>
      <c r="N1234">
        <v>6476.12</v>
      </c>
      <c r="O1234">
        <v>4035.57</v>
      </c>
      <c r="P1234">
        <v>2093.15</v>
      </c>
      <c r="Q1234">
        <v>637.37</v>
      </c>
      <c r="R1234">
        <v>2312.12</v>
      </c>
      <c r="S1234">
        <v>1379.24</v>
      </c>
      <c r="T1234">
        <v>58434.67</v>
      </c>
      <c r="U1234">
        <v>39970.550000000003</v>
      </c>
      <c r="V1234">
        <v>23036.98</v>
      </c>
      <c r="W1234">
        <v>22851.16</v>
      </c>
      <c r="X1234">
        <v>86389.95</v>
      </c>
      <c r="Y1234">
        <v>63713.82</v>
      </c>
    </row>
    <row r="1235" spans="1:25" x14ac:dyDescent="0.25">
      <c r="A1235" t="s">
        <v>1291</v>
      </c>
      <c r="B1235" s="1">
        <v>45280</v>
      </c>
      <c r="C1235">
        <v>2023</v>
      </c>
      <c r="D1235">
        <v>12</v>
      </c>
      <c r="E1235" t="s">
        <v>1217</v>
      </c>
      <c r="F1235" t="s">
        <v>1018</v>
      </c>
      <c r="G1235" t="s">
        <v>35</v>
      </c>
      <c r="H1235" t="s">
        <v>36</v>
      </c>
      <c r="I1235" t="s">
        <v>45</v>
      </c>
      <c r="J1235">
        <v>34</v>
      </c>
      <c r="K1235">
        <v>1354.55</v>
      </c>
      <c r="L1235">
        <v>46054.63</v>
      </c>
      <c r="M1235">
        <v>25227.75</v>
      </c>
      <c r="N1235">
        <v>3375.87</v>
      </c>
      <c r="O1235">
        <v>2130.52</v>
      </c>
      <c r="P1235">
        <v>1520.29</v>
      </c>
      <c r="Q1235">
        <v>467</v>
      </c>
      <c r="R1235">
        <v>2689.75</v>
      </c>
      <c r="S1235">
        <v>830.93</v>
      </c>
      <c r="T1235">
        <v>36242.11</v>
      </c>
      <c r="U1235">
        <v>20826.89</v>
      </c>
      <c r="V1235">
        <v>9812.52</v>
      </c>
      <c r="W1235">
        <v>9113.0300000000007</v>
      </c>
      <c r="X1235">
        <v>44995.69</v>
      </c>
      <c r="Y1235">
        <v>37090.699999999997</v>
      </c>
    </row>
    <row r="1236" spans="1:25" x14ac:dyDescent="0.25">
      <c r="A1236" t="s">
        <v>1292</v>
      </c>
      <c r="B1236" s="1">
        <v>45282</v>
      </c>
      <c r="C1236">
        <v>2023</v>
      </c>
      <c r="D1236">
        <v>12</v>
      </c>
      <c r="E1236" t="s">
        <v>1217</v>
      </c>
      <c r="F1236" t="s">
        <v>1018</v>
      </c>
      <c r="G1236" t="s">
        <v>28</v>
      </c>
      <c r="H1236" t="s">
        <v>29</v>
      </c>
      <c r="I1236" t="s">
        <v>39</v>
      </c>
      <c r="J1236">
        <v>50</v>
      </c>
      <c r="K1236">
        <v>986.48</v>
      </c>
      <c r="L1236">
        <v>49323.76</v>
      </c>
      <c r="M1236">
        <v>32400.799999999999</v>
      </c>
      <c r="N1236">
        <v>5979.69</v>
      </c>
      <c r="O1236">
        <v>1956.49</v>
      </c>
      <c r="P1236">
        <v>1617.64</v>
      </c>
      <c r="Q1236">
        <v>595.35</v>
      </c>
      <c r="R1236">
        <v>2885.93</v>
      </c>
      <c r="S1236">
        <v>507.12</v>
      </c>
      <c r="T1236">
        <v>45943.02</v>
      </c>
      <c r="U1236">
        <v>16922.96</v>
      </c>
      <c r="V1236">
        <v>3380.74</v>
      </c>
      <c r="W1236">
        <v>3411.43</v>
      </c>
      <c r="X1236">
        <v>47366.46</v>
      </c>
      <c r="Y1236">
        <v>50277.46</v>
      </c>
    </row>
    <row r="1237" spans="1:25" x14ac:dyDescent="0.25">
      <c r="A1237" t="s">
        <v>1293</v>
      </c>
      <c r="B1237" s="1">
        <v>45282</v>
      </c>
      <c r="C1237">
        <v>2023</v>
      </c>
      <c r="D1237">
        <v>12</v>
      </c>
      <c r="E1237" t="s">
        <v>1217</v>
      </c>
      <c r="F1237" t="s">
        <v>1018</v>
      </c>
      <c r="G1237" t="s">
        <v>35</v>
      </c>
      <c r="H1237" t="s">
        <v>36</v>
      </c>
      <c r="I1237" t="s">
        <v>65</v>
      </c>
      <c r="J1237">
        <v>29</v>
      </c>
      <c r="K1237">
        <v>1659.99</v>
      </c>
      <c r="L1237">
        <v>48139.83</v>
      </c>
      <c r="M1237">
        <v>30217.02</v>
      </c>
      <c r="N1237">
        <v>3735.43</v>
      </c>
      <c r="O1237">
        <v>2760.78</v>
      </c>
      <c r="P1237">
        <v>1255.95</v>
      </c>
      <c r="Q1237">
        <v>423.79</v>
      </c>
      <c r="R1237">
        <v>1927.64</v>
      </c>
      <c r="S1237">
        <v>894.07</v>
      </c>
      <c r="T1237">
        <v>41214.67</v>
      </c>
      <c r="U1237">
        <v>17922.810000000001</v>
      </c>
      <c r="V1237">
        <v>6925.16</v>
      </c>
      <c r="W1237">
        <v>6404.93</v>
      </c>
      <c r="X1237">
        <v>44812.72</v>
      </c>
      <c r="Y1237">
        <v>39838.21</v>
      </c>
    </row>
    <row r="1238" spans="1:25" x14ac:dyDescent="0.25">
      <c r="A1238" t="s">
        <v>1294</v>
      </c>
      <c r="B1238" s="1">
        <v>45282</v>
      </c>
      <c r="C1238">
        <v>2023</v>
      </c>
      <c r="D1238">
        <v>12</v>
      </c>
      <c r="E1238" t="s">
        <v>1217</v>
      </c>
      <c r="F1238" t="s">
        <v>1018</v>
      </c>
      <c r="G1238" t="s">
        <v>28</v>
      </c>
      <c r="H1238" t="s">
        <v>32</v>
      </c>
      <c r="I1238" t="s">
        <v>56</v>
      </c>
      <c r="J1238">
        <v>37</v>
      </c>
      <c r="K1238">
        <v>899.66</v>
      </c>
      <c r="L1238">
        <v>33287.379999999997</v>
      </c>
      <c r="M1238">
        <v>22192.27</v>
      </c>
      <c r="N1238">
        <v>4250.0600000000004</v>
      </c>
      <c r="O1238">
        <v>1293.5</v>
      </c>
      <c r="P1238">
        <v>646.71</v>
      </c>
      <c r="Q1238">
        <v>390.87</v>
      </c>
      <c r="R1238">
        <v>1015.27</v>
      </c>
      <c r="S1238">
        <v>685.71</v>
      </c>
      <c r="T1238">
        <v>30474.39</v>
      </c>
      <c r="U1238">
        <v>11095.11</v>
      </c>
      <c r="V1238">
        <v>2812.99</v>
      </c>
      <c r="W1238">
        <v>2782.64</v>
      </c>
      <c r="X1238">
        <v>34351.730000000003</v>
      </c>
      <c r="Y1238">
        <v>28661.360000000001</v>
      </c>
    </row>
    <row r="1239" spans="1:25" x14ac:dyDescent="0.25">
      <c r="A1239" t="s">
        <v>1295</v>
      </c>
      <c r="B1239" s="1">
        <v>45282</v>
      </c>
      <c r="C1239">
        <v>2023</v>
      </c>
      <c r="D1239">
        <v>12</v>
      </c>
      <c r="E1239" t="s">
        <v>1217</v>
      </c>
      <c r="F1239" t="s">
        <v>1018</v>
      </c>
      <c r="G1239" t="s">
        <v>28</v>
      </c>
      <c r="H1239" t="s">
        <v>32</v>
      </c>
      <c r="I1239" t="s">
        <v>37</v>
      </c>
      <c r="J1239">
        <v>50</v>
      </c>
      <c r="K1239">
        <v>1485.07</v>
      </c>
      <c r="L1239">
        <v>74253.58</v>
      </c>
      <c r="M1239">
        <v>44791.34</v>
      </c>
      <c r="N1239">
        <v>5807.13</v>
      </c>
      <c r="O1239">
        <v>3571.47</v>
      </c>
      <c r="P1239">
        <v>2546.92</v>
      </c>
      <c r="Q1239">
        <v>1294.01</v>
      </c>
      <c r="R1239">
        <v>4152.6899999999996</v>
      </c>
      <c r="S1239">
        <v>1019.88</v>
      </c>
      <c r="T1239">
        <v>63183.44</v>
      </c>
      <c r="U1239">
        <v>29462.240000000002</v>
      </c>
      <c r="V1239">
        <v>11070.14</v>
      </c>
      <c r="W1239">
        <v>11129.52</v>
      </c>
      <c r="X1239">
        <v>81033.86</v>
      </c>
      <c r="Y1239">
        <v>66783.83</v>
      </c>
    </row>
    <row r="1240" spans="1:25" x14ac:dyDescent="0.25">
      <c r="A1240" t="s">
        <v>1296</v>
      </c>
      <c r="B1240" s="1">
        <v>45282</v>
      </c>
      <c r="C1240">
        <v>2023</v>
      </c>
      <c r="D1240">
        <v>12</v>
      </c>
      <c r="E1240" t="s">
        <v>1217</v>
      </c>
      <c r="F1240" t="s">
        <v>1018</v>
      </c>
      <c r="G1240" t="s">
        <v>28</v>
      </c>
      <c r="H1240" t="s">
        <v>53</v>
      </c>
      <c r="I1240" t="s">
        <v>33</v>
      </c>
      <c r="J1240">
        <v>46</v>
      </c>
      <c r="K1240">
        <v>1294.03</v>
      </c>
      <c r="L1240">
        <v>59525.21</v>
      </c>
      <c r="M1240">
        <v>32401.38</v>
      </c>
      <c r="N1240">
        <v>5365</v>
      </c>
      <c r="O1240">
        <v>3629.3</v>
      </c>
      <c r="P1240">
        <v>2081.8000000000002</v>
      </c>
      <c r="Q1240">
        <v>311.35000000000002</v>
      </c>
      <c r="R1240">
        <v>2699.44</v>
      </c>
      <c r="S1240">
        <v>972.56</v>
      </c>
      <c r="T1240">
        <v>47460.83</v>
      </c>
      <c r="U1240">
        <v>27123.83</v>
      </c>
      <c r="V1240">
        <v>12064.39</v>
      </c>
      <c r="W1240">
        <v>12107.73</v>
      </c>
      <c r="X1240">
        <v>57089.5</v>
      </c>
      <c r="Y1240">
        <v>44821.67</v>
      </c>
    </row>
    <row r="1241" spans="1:25" x14ac:dyDescent="0.25">
      <c r="A1241" t="s">
        <v>1297</v>
      </c>
      <c r="B1241" s="1">
        <v>45283</v>
      </c>
      <c r="C1241">
        <v>2023</v>
      </c>
      <c r="D1241">
        <v>12</v>
      </c>
      <c r="E1241" t="s">
        <v>1217</v>
      </c>
      <c r="F1241" t="s">
        <v>1018</v>
      </c>
      <c r="G1241" t="s">
        <v>28</v>
      </c>
      <c r="H1241" t="s">
        <v>32</v>
      </c>
      <c r="I1241" t="s">
        <v>39</v>
      </c>
      <c r="J1241">
        <v>27</v>
      </c>
      <c r="K1241">
        <v>1530.02</v>
      </c>
      <c r="L1241">
        <v>41310.67</v>
      </c>
      <c r="M1241">
        <v>23286.16</v>
      </c>
      <c r="N1241">
        <v>5341.18</v>
      </c>
      <c r="O1241">
        <v>1219.43</v>
      </c>
      <c r="P1241">
        <v>1664.18</v>
      </c>
      <c r="Q1241">
        <v>620.9</v>
      </c>
      <c r="R1241">
        <v>1838.99</v>
      </c>
      <c r="S1241">
        <v>723.51</v>
      </c>
      <c r="T1241">
        <v>34694.36</v>
      </c>
      <c r="U1241">
        <v>18024.509999999998</v>
      </c>
      <c r="V1241">
        <v>6616.32</v>
      </c>
      <c r="W1241">
        <v>6356.35</v>
      </c>
      <c r="X1241">
        <v>44592.28</v>
      </c>
      <c r="Y1241">
        <v>33143.25</v>
      </c>
    </row>
    <row r="1242" spans="1:25" x14ac:dyDescent="0.25">
      <c r="A1242" t="s">
        <v>1298</v>
      </c>
      <c r="B1242" s="1">
        <v>45283</v>
      </c>
      <c r="C1242">
        <v>2023</v>
      </c>
      <c r="D1242">
        <v>12</v>
      </c>
      <c r="E1242" t="s">
        <v>1217</v>
      </c>
      <c r="F1242" t="s">
        <v>1018</v>
      </c>
      <c r="G1242" t="s">
        <v>28</v>
      </c>
      <c r="H1242" t="s">
        <v>32</v>
      </c>
      <c r="I1242" t="s">
        <v>50</v>
      </c>
      <c r="J1242">
        <v>67</v>
      </c>
      <c r="K1242">
        <v>1003</v>
      </c>
      <c r="L1242">
        <v>67201.039999999994</v>
      </c>
      <c r="M1242">
        <v>36979.56</v>
      </c>
      <c r="N1242">
        <v>6611.43</v>
      </c>
      <c r="O1242">
        <v>2433.5500000000002</v>
      </c>
      <c r="P1242">
        <v>1758.67</v>
      </c>
      <c r="Q1242">
        <v>554.76</v>
      </c>
      <c r="R1242">
        <v>2771.3</v>
      </c>
      <c r="S1242">
        <v>1551.84</v>
      </c>
      <c r="T1242">
        <v>52661.11</v>
      </c>
      <c r="U1242">
        <v>30221.48</v>
      </c>
      <c r="V1242">
        <v>14539.94</v>
      </c>
      <c r="W1242">
        <v>13998.7</v>
      </c>
      <c r="X1242">
        <v>74734.92</v>
      </c>
      <c r="Y1242">
        <v>50113.84</v>
      </c>
    </row>
    <row r="1243" spans="1:25" x14ac:dyDescent="0.25">
      <c r="A1243" t="s">
        <v>1299</v>
      </c>
      <c r="B1243" s="1">
        <v>45284</v>
      </c>
      <c r="C1243">
        <v>2023</v>
      </c>
      <c r="D1243">
        <v>12</v>
      </c>
      <c r="E1243" t="s">
        <v>1217</v>
      </c>
      <c r="F1243" t="s">
        <v>1018</v>
      </c>
      <c r="G1243" t="s">
        <v>55</v>
      </c>
      <c r="H1243" t="s">
        <v>29</v>
      </c>
      <c r="I1243" t="s">
        <v>45</v>
      </c>
      <c r="J1243">
        <v>31</v>
      </c>
      <c r="K1243">
        <v>1436.29</v>
      </c>
      <c r="L1243">
        <v>44525.07</v>
      </c>
      <c r="M1243">
        <v>21788.71</v>
      </c>
      <c r="N1243">
        <v>3539</v>
      </c>
      <c r="O1243">
        <v>1272.73</v>
      </c>
      <c r="P1243">
        <v>934.6</v>
      </c>
      <c r="Q1243">
        <v>725.1</v>
      </c>
      <c r="R1243">
        <v>2714.26</v>
      </c>
      <c r="S1243">
        <v>741.69</v>
      </c>
      <c r="T1243">
        <v>31716.080000000002</v>
      </c>
      <c r="U1243">
        <v>22736.35</v>
      </c>
      <c r="V1243">
        <v>12808.98</v>
      </c>
      <c r="W1243">
        <v>11423.92</v>
      </c>
      <c r="X1243">
        <v>44537.83</v>
      </c>
      <c r="Y1243">
        <v>31201.919999999998</v>
      </c>
    </row>
    <row r="1244" spans="1:25" x14ac:dyDescent="0.25">
      <c r="A1244" t="s">
        <v>1300</v>
      </c>
      <c r="B1244" s="1">
        <v>45284</v>
      </c>
      <c r="C1244">
        <v>2023</v>
      </c>
      <c r="D1244">
        <v>12</v>
      </c>
      <c r="E1244" t="s">
        <v>1217</v>
      </c>
      <c r="F1244" t="s">
        <v>1018</v>
      </c>
      <c r="G1244" t="s">
        <v>44</v>
      </c>
      <c r="H1244" t="s">
        <v>29</v>
      </c>
      <c r="I1244" t="s">
        <v>56</v>
      </c>
      <c r="J1244">
        <v>22</v>
      </c>
      <c r="K1244">
        <v>1370.88</v>
      </c>
      <c r="L1244">
        <v>30159.37</v>
      </c>
      <c r="M1244">
        <v>18984.259999999998</v>
      </c>
      <c r="N1244">
        <v>3376.34</v>
      </c>
      <c r="O1244">
        <v>2094.9499999999998</v>
      </c>
      <c r="P1244">
        <v>1210.55</v>
      </c>
      <c r="Q1244">
        <v>233.34</v>
      </c>
      <c r="R1244">
        <v>1843.49</v>
      </c>
      <c r="S1244">
        <v>474.98</v>
      </c>
      <c r="T1244">
        <v>28217.919999999998</v>
      </c>
      <c r="U1244">
        <v>11175.1</v>
      </c>
      <c r="V1244">
        <v>1941.45</v>
      </c>
      <c r="W1244">
        <v>1917.22</v>
      </c>
      <c r="X1244">
        <v>32370.39</v>
      </c>
      <c r="Y1244">
        <v>27398.74</v>
      </c>
    </row>
    <row r="1245" spans="1:25" x14ac:dyDescent="0.25">
      <c r="A1245" t="s">
        <v>1301</v>
      </c>
      <c r="B1245" s="1">
        <v>45285</v>
      </c>
      <c r="C1245">
        <v>2023</v>
      </c>
      <c r="D1245">
        <v>12</v>
      </c>
      <c r="E1245" t="s">
        <v>1217</v>
      </c>
      <c r="F1245" t="s">
        <v>1018</v>
      </c>
      <c r="G1245" t="s">
        <v>55</v>
      </c>
      <c r="H1245" t="s">
        <v>36</v>
      </c>
      <c r="I1245" t="s">
        <v>30</v>
      </c>
      <c r="J1245">
        <v>93</v>
      </c>
      <c r="K1245">
        <v>1160.3800000000001</v>
      </c>
      <c r="L1245">
        <v>107915.42</v>
      </c>
      <c r="M1245">
        <v>66025.509999999995</v>
      </c>
      <c r="N1245">
        <v>13029.65</v>
      </c>
      <c r="O1245">
        <v>6411.45</v>
      </c>
      <c r="P1245">
        <v>3583.78</v>
      </c>
      <c r="Q1245">
        <v>675.22</v>
      </c>
      <c r="R1245">
        <v>6791.1</v>
      </c>
      <c r="S1245">
        <v>2000.49</v>
      </c>
      <c r="T1245">
        <v>98517.2</v>
      </c>
      <c r="U1245">
        <v>41889.910000000003</v>
      </c>
      <c r="V1245">
        <v>9398.2199999999993</v>
      </c>
      <c r="W1245">
        <v>9176.31</v>
      </c>
      <c r="X1245">
        <v>101980.87</v>
      </c>
      <c r="Y1245">
        <v>97779.27</v>
      </c>
    </row>
    <row r="1246" spans="1:25" x14ac:dyDescent="0.25">
      <c r="A1246" t="s">
        <v>1302</v>
      </c>
      <c r="B1246" s="1">
        <v>45286</v>
      </c>
      <c r="C1246">
        <v>2023</v>
      </c>
      <c r="D1246">
        <v>12</v>
      </c>
      <c r="E1246" t="s">
        <v>1217</v>
      </c>
      <c r="F1246" t="s">
        <v>1018</v>
      </c>
      <c r="G1246" t="s">
        <v>28</v>
      </c>
      <c r="H1246" t="s">
        <v>29</v>
      </c>
      <c r="I1246" t="s">
        <v>30</v>
      </c>
      <c r="J1246">
        <v>54</v>
      </c>
      <c r="K1246">
        <v>1581.66</v>
      </c>
      <c r="L1246">
        <v>85409.45</v>
      </c>
      <c r="M1246">
        <v>42582.8</v>
      </c>
      <c r="N1246">
        <v>9652.82</v>
      </c>
      <c r="O1246">
        <v>5487.48</v>
      </c>
      <c r="P1246">
        <v>2759.4</v>
      </c>
      <c r="Q1246">
        <v>1517.27</v>
      </c>
      <c r="R1246">
        <v>4023.81</v>
      </c>
      <c r="S1246">
        <v>1944.02</v>
      </c>
      <c r="T1246">
        <v>67967.600000000006</v>
      </c>
      <c r="U1246">
        <v>42826.65</v>
      </c>
      <c r="V1246">
        <v>17441.849999999999</v>
      </c>
      <c r="W1246">
        <v>16687.2</v>
      </c>
      <c r="X1246">
        <v>78619.14</v>
      </c>
      <c r="Y1246">
        <v>68398.69</v>
      </c>
    </row>
    <row r="1247" spans="1:25" x14ac:dyDescent="0.25">
      <c r="A1247" t="s">
        <v>1303</v>
      </c>
      <c r="B1247" s="1">
        <v>45286</v>
      </c>
      <c r="C1247">
        <v>2023</v>
      </c>
      <c r="D1247">
        <v>12</v>
      </c>
      <c r="E1247" t="s">
        <v>1217</v>
      </c>
      <c r="F1247" t="s">
        <v>1018</v>
      </c>
      <c r="G1247" t="s">
        <v>55</v>
      </c>
      <c r="H1247" t="s">
        <v>32</v>
      </c>
      <c r="I1247" t="s">
        <v>37</v>
      </c>
      <c r="J1247">
        <v>86</v>
      </c>
      <c r="K1247">
        <v>1051.67</v>
      </c>
      <c r="L1247">
        <v>90443.41</v>
      </c>
      <c r="M1247">
        <v>50343.57</v>
      </c>
      <c r="N1247">
        <v>6494.39</v>
      </c>
      <c r="O1247">
        <v>5867.61</v>
      </c>
      <c r="P1247">
        <v>2645.67</v>
      </c>
      <c r="Q1247">
        <v>1115.2</v>
      </c>
      <c r="R1247">
        <v>2801.52</v>
      </c>
      <c r="S1247">
        <v>2038.04</v>
      </c>
      <c r="T1247">
        <v>71306.009999999995</v>
      </c>
      <c r="U1247">
        <v>40099.839999999997</v>
      </c>
      <c r="V1247">
        <v>19137.39</v>
      </c>
      <c r="W1247">
        <v>16967.759999999998</v>
      </c>
      <c r="X1247">
        <v>98927.53</v>
      </c>
      <c r="Y1247">
        <v>74293.81</v>
      </c>
    </row>
    <row r="1248" spans="1:25" x14ac:dyDescent="0.25">
      <c r="A1248" t="s">
        <v>1304</v>
      </c>
      <c r="B1248" s="1">
        <v>45286</v>
      </c>
      <c r="C1248">
        <v>2023</v>
      </c>
      <c r="D1248">
        <v>12</v>
      </c>
      <c r="E1248" t="s">
        <v>1217</v>
      </c>
      <c r="F1248" t="s">
        <v>1018</v>
      </c>
      <c r="G1248" t="s">
        <v>35</v>
      </c>
      <c r="H1248" t="s">
        <v>36</v>
      </c>
      <c r="I1248" t="s">
        <v>45</v>
      </c>
      <c r="J1248">
        <v>24</v>
      </c>
      <c r="K1248">
        <v>1666.29</v>
      </c>
      <c r="L1248">
        <v>39990.94</v>
      </c>
      <c r="M1248">
        <v>25385.91</v>
      </c>
      <c r="N1248">
        <v>4816.63</v>
      </c>
      <c r="O1248">
        <v>2458.6</v>
      </c>
      <c r="P1248">
        <v>1483.13</v>
      </c>
      <c r="Q1248">
        <v>675.69</v>
      </c>
      <c r="R1248">
        <v>1612.92</v>
      </c>
      <c r="S1248">
        <v>825.54</v>
      </c>
      <c r="T1248">
        <v>37258.410000000003</v>
      </c>
      <c r="U1248">
        <v>14605.03</v>
      </c>
      <c r="V1248">
        <v>2732.53</v>
      </c>
      <c r="W1248">
        <v>2624.19</v>
      </c>
      <c r="X1248">
        <v>37906.28</v>
      </c>
      <c r="Y1248">
        <v>37083.14</v>
      </c>
    </row>
    <row r="1249" spans="1:25" x14ac:dyDescent="0.25">
      <c r="A1249" t="s">
        <v>1305</v>
      </c>
      <c r="B1249" s="1">
        <v>45286</v>
      </c>
      <c r="C1249">
        <v>2023</v>
      </c>
      <c r="D1249">
        <v>12</v>
      </c>
      <c r="E1249" t="s">
        <v>1217</v>
      </c>
      <c r="F1249" t="s">
        <v>1018</v>
      </c>
      <c r="G1249" t="s">
        <v>28</v>
      </c>
      <c r="H1249" t="s">
        <v>32</v>
      </c>
      <c r="I1249" t="s">
        <v>50</v>
      </c>
      <c r="J1249">
        <v>90</v>
      </c>
      <c r="K1249">
        <v>884.5</v>
      </c>
      <c r="L1249">
        <v>79604.78</v>
      </c>
      <c r="M1249">
        <v>50583.42</v>
      </c>
      <c r="N1249">
        <v>9547.86</v>
      </c>
      <c r="O1249">
        <v>5640.4</v>
      </c>
      <c r="P1249">
        <v>3224.62</v>
      </c>
      <c r="Q1249">
        <v>1255.92</v>
      </c>
      <c r="R1249">
        <v>2745.15</v>
      </c>
      <c r="S1249">
        <v>1834.06</v>
      </c>
      <c r="T1249">
        <v>74831.41</v>
      </c>
      <c r="U1249">
        <v>29021.360000000001</v>
      </c>
      <c r="V1249">
        <v>4773.3599999999997</v>
      </c>
      <c r="W1249">
        <v>4865.3900000000003</v>
      </c>
      <c r="X1249">
        <v>83865.41</v>
      </c>
      <c r="Y1249">
        <v>78622.28</v>
      </c>
    </row>
    <row r="1250" spans="1:25" x14ac:dyDescent="0.25">
      <c r="A1250" t="s">
        <v>1306</v>
      </c>
      <c r="B1250" s="1">
        <v>45286</v>
      </c>
      <c r="C1250">
        <v>2023</v>
      </c>
      <c r="D1250">
        <v>12</v>
      </c>
      <c r="E1250" t="s">
        <v>1217</v>
      </c>
      <c r="F1250" t="s">
        <v>1018</v>
      </c>
      <c r="G1250" t="s">
        <v>35</v>
      </c>
      <c r="H1250" t="s">
        <v>58</v>
      </c>
      <c r="I1250" t="s">
        <v>37</v>
      </c>
      <c r="J1250">
        <v>46</v>
      </c>
      <c r="K1250">
        <v>1540.36</v>
      </c>
      <c r="L1250">
        <v>70856.72</v>
      </c>
      <c r="M1250">
        <v>41102.99</v>
      </c>
      <c r="N1250">
        <v>5135.74</v>
      </c>
      <c r="O1250">
        <v>4167.3599999999997</v>
      </c>
      <c r="P1250">
        <v>2832.34</v>
      </c>
      <c r="Q1250">
        <v>1245.8800000000001</v>
      </c>
      <c r="R1250">
        <v>1883.04</v>
      </c>
      <c r="S1250">
        <v>849.41</v>
      </c>
      <c r="T1250">
        <v>57216.75</v>
      </c>
      <c r="U1250">
        <v>29753.73</v>
      </c>
      <c r="V1250">
        <v>13639.97</v>
      </c>
      <c r="W1250">
        <v>13322.67</v>
      </c>
      <c r="X1250">
        <v>68381.919999999998</v>
      </c>
      <c r="Y1250">
        <v>61842.34</v>
      </c>
    </row>
    <row r="1251" spans="1:25" x14ac:dyDescent="0.25">
      <c r="A1251" t="s">
        <v>1307</v>
      </c>
      <c r="B1251" s="1">
        <v>45287</v>
      </c>
      <c r="C1251">
        <v>2023</v>
      </c>
      <c r="D1251">
        <v>12</v>
      </c>
      <c r="E1251" t="s">
        <v>1217</v>
      </c>
      <c r="F1251" t="s">
        <v>1018</v>
      </c>
      <c r="G1251" t="s">
        <v>35</v>
      </c>
      <c r="H1251" t="s">
        <v>32</v>
      </c>
      <c r="I1251" t="s">
        <v>37</v>
      </c>
      <c r="J1251">
        <v>48</v>
      </c>
      <c r="K1251">
        <v>1248.8</v>
      </c>
      <c r="L1251">
        <v>59942.19</v>
      </c>
      <c r="M1251">
        <v>30947.73</v>
      </c>
      <c r="N1251">
        <v>7209.27</v>
      </c>
      <c r="O1251">
        <v>2422.4499999999998</v>
      </c>
      <c r="P1251">
        <v>1181.47</v>
      </c>
      <c r="Q1251">
        <v>602.36</v>
      </c>
      <c r="R1251">
        <v>1964.77</v>
      </c>
      <c r="S1251">
        <v>868.39</v>
      </c>
      <c r="T1251">
        <v>45196.44</v>
      </c>
      <c r="U1251">
        <v>28994.46</v>
      </c>
      <c r="V1251">
        <v>14745.75</v>
      </c>
      <c r="W1251">
        <v>14556.02</v>
      </c>
      <c r="X1251">
        <v>61261.25</v>
      </c>
      <c r="Y1251">
        <v>43846.9</v>
      </c>
    </row>
    <row r="1252" spans="1:25" x14ac:dyDescent="0.25">
      <c r="A1252" t="s">
        <v>1308</v>
      </c>
      <c r="B1252" s="1">
        <v>45287</v>
      </c>
      <c r="C1252">
        <v>2023</v>
      </c>
      <c r="D1252">
        <v>12</v>
      </c>
      <c r="E1252" t="s">
        <v>1217</v>
      </c>
      <c r="F1252" t="s">
        <v>1018</v>
      </c>
      <c r="G1252" t="s">
        <v>35</v>
      </c>
      <c r="H1252" t="s">
        <v>29</v>
      </c>
      <c r="I1252" t="s">
        <v>45</v>
      </c>
      <c r="J1252">
        <v>39</v>
      </c>
      <c r="K1252">
        <v>1248.7</v>
      </c>
      <c r="L1252">
        <v>48699.45</v>
      </c>
      <c r="M1252">
        <v>27120.98</v>
      </c>
      <c r="N1252">
        <v>4161.16</v>
      </c>
      <c r="O1252">
        <v>2617.54</v>
      </c>
      <c r="P1252">
        <v>1668.14</v>
      </c>
      <c r="Q1252">
        <v>814.14</v>
      </c>
      <c r="R1252">
        <v>2292.2199999999998</v>
      </c>
      <c r="S1252">
        <v>1005.32</v>
      </c>
      <c r="T1252">
        <v>39679.49</v>
      </c>
      <c r="U1252">
        <v>21578.46</v>
      </c>
      <c r="V1252">
        <v>9019.9500000000007</v>
      </c>
      <c r="W1252">
        <v>8595.33</v>
      </c>
      <c r="X1252">
        <v>47029.39</v>
      </c>
      <c r="Y1252">
        <v>40917.93</v>
      </c>
    </row>
    <row r="1253" spans="1:25" x14ac:dyDescent="0.25">
      <c r="A1253" t="s">
        <v>1309</v>
      </c>
      <c r="B1253" s="1">
        <v>45287</v>
      </c>
      <c r="C1253">
        <v>2023</v>
      </c>
      <c r="D1253">
        <v>12</v>
      </c>
      <c r="E1253" t="s">
        <v>1217</v>
      </c>
      <c r="F1253" t="s">
        <v>1018</v>
      </c>
      <c r="G1253" t="s">
        <v>44</v>
      </c>
      <c r="H1253" t="s">
        <v>29</v>
      </c>
      <c r="I1253" t="s">
        <v>30</v>
      </c>
      <c r="J1253">
        <v>71</v>
      </c>
      <c r="K1253">
        <v>1017.2</v>
      </c>
      <c r="L1253">
        <v>72221.179999999993</v>
      </c>
      <c r="M1253">
        <v>38137.980000000003</v>
      </c>
      <c r="N1253">
        <v>7257.13</v>
      </c>
      <c r="O1253">
        <v>4775.04</v>
      </c>
      <c r="P1253">
        <v>1571.42</v>
      </c>
      <c r="Q1253">
        <v>647.73</v>
      </c>
      <c r="R1253">
        <v>3136.09</v>
      </c>
      <c r="S1253">
        <v>1668.54</v>
      </c>
      <c r="T1253">
        <v>57193.94</v>
      </c>
      <c r="U1253">
        <v>34083.199999999997</v>
      </c>
      <c r="V1253">
        <v>15027.24</v>
      </c>
      <c r="W1253">
        <v>13308.31</v>
      </c>
      <c r="X1253">
        <v>76208.39</v>
      </c>
      <c r="Y1253">
        <v>57535.12</v>
      </c>
    </row>
    <row r="1254" spans="1:25" x14ac:dyDescent="0.25">
      <c r="A1254" t="s">
        <v>1310</v>
      </c>
      <c r="B1254" s="1">
        <v>45287</v>
      </c>
      <c r="C1254">
        <v>2023</v>
      </c>
      <c r="D1254">
        <v>12</v>
      </c>
      <c r="E1254" t="s">
        <v>1217</v>
      </c>
      <c r="F1254" t="s">
        <v>1018</v>
      </c>
      <c r="G1254" t="s">
        <v>55</v>
      </c>
      <c r="H1254" t="s">
        <v>53</v>
      </c>
      <c r="I1254" t="s">
        <v>50</v>
      </c>
      <c r="J1254">
        <v>52</v>
      </c>
      <c r="K1254">
        <v>869.21</v>
      </c>
      <c r="L1254">
        <v>45198.86</v>
      </c>
      <c r="M1254">
        <v>26938.44</v>
      </c>
      <c r="N1254">
        <v>5002.5</v>
      </c>
      <c r="O1254">
        <v>1387.54</v>
      </c>
      <c r="P1254">
        <v>1177.83</v>
      </c>
      <c r="Q1254">
        <v>533.13</v>
      </c>
      <c r="R1254">
        <v>1414.24</v>
      </c>
      <c r="S1254">
        <v>403.43</v>
      </c>
      <c r="T1254">
        <v>36857.120000000003</v>
      </c>
      <c r="U1254">
        <v>18260.41</v>
      </c>
      <c r="V1254">
        <v>8341.74</v>
      </c>
      <c r="W1254">
        <v>8267.39</v>
      </c>
      <c r="X1254">
        <v>42028.84</v>
      </c>
      <c r="Y1254">
        <v>38230.769999999997</v>
      </c>
    </row>
    <row r="1255" spans="1:25" x14ac:dyDescent="0.25">
      <c r="A1255" t="s">
        <v>1311</v>
      </c>
      <c r="B1255" s="1">
        <v>45288</v>
      </c>
      <c r="C1255">
        <v>2023</v>
      </c>
      <c r="D1255">
        <v>12</v>
      </c>
      <c r="E1255" t="s">
        <v>1217</v>
      </c>
      <c r="F1255" t="s">
        <v>1018</v>
      </c>
      <c r="G1255" t="s">
        <v>28</v>
      </c>
      <c r="H1255" t="s">
        <v>36</v>
      </c>
      <c r="I1255" t="s">
        <v>50</v>
      </c>
      <c r="J1255">
        <v>27</v>
      </c>
      <c r="K1255">
        <v>1430.89</v>
      </c>
      <c r="L1255">
        <v>38633.94</v>
      </c>
      <c r="M1255">
        <v>21402.48</v>
      </c>
      <c r="N1255">
        <v>3110.05</v>
      </c>
      <c r="O1255">
        <v>991.09</v>
      </c>
      <c r="P1255">
        <v>787.08</v>
      </c>
      <c r="Q1255">
        <v>505.16</v>
      </c>
      <c r="R1255">
        <v>1617.72</v>
      </c>
      <c r="S1255">
        <v>539.47</v>
      </c>
      <c r="T1255">
        <v>28953.06</v>
      </c>
      <c r="U1255">
        <v>17231.46</v>
      </c>
      <c r="V1255">
        <v>9680.89</v>
      </c>
      <c r="W1255">
        <v>8612.26</v>
      </c>
      <c r="X1255">
        <v>36851.47</v>
      </c>
      <c r="Y1255">
        <v>27730.7</v>
      </c>
    </row>
    <row r="1256" spans="1:25" x14ac:dyDescent="0.25">
      <c r="A1256" t="s">
        <v>1312</v>
      </c>
      <c r="B1256" s="1">
        <v>45288</v>
      </c>
      <c r="C1256">
        <v>2023</v>
      </c>
      <c r="D1256">
        <v>12</v>
      </c>
      <c r="E1256" t="s">
        <v>1217</v>
      </c>
      <c r="F1256" t="s">
        <v>1018</v>
      </c>
      <c r="G1256" t="s">
        <v>28</v>
      </c>
      <c r="H1256" t="s">
        <v>32</v>
      </c>
      <c r="I1256" t="s">
        <v>50</v>
      </c>
      <c r="J1256">
        <v>88</v>
      </c>
      <c r="K1256">
        <v>866.54</v>
      </c>
      <c r="L1256">
        <v>76255.67</v>
      </c>
      <c r="M1256">
        <v>51810.2</v>
      </c>
      <c r="N1256">
        <v>7444.68</v>
      </c>
      <c r="O1256">
        <v>4396.76</v>
      </c>
      <c r="P1256">
        <v>1257</v>
      </c>
      <c r="Q1256">
        <v>432.55</v>
      </c>
      <c r="R1256">
        <v>2395.7399999999998</v>
      </c>
      <c r="S1256">
        <v>993.14</v>
      </c>
      <c r="T1256">
        <v>68730.070000000007</v>
      </c>
      <c r="U1256">
        <v>24445.48</v>
      </c>
      <c r="V1256">
        <v>7525.6</v>
      </c>
      <c r="W1256">
        <v>6683.02</v>
      </c>
      <c r="X1256">
        <v>71569.33</v>
      </c>
      <c r="Y1256">
        <v>69030.42</v>
      </c>
    </row>
    <row r="1257" spans="1:25" x14ac:dyDescent="0.25">
      <c r="A1257" t="s">
        <v>1313</v>
      </c>
      <c r="B1257" s="1">
        <v>45288</v>
      </c>
      <c r="C1257">
        <v>2023</v>
      </c>
      <c r="D1257">
        <v>12</v>
      </c>
      <c r="E1257" t="s">
        <v>1217</v>
      </c>
      <c r="F1257" t="s">
        <v>1018</v>
      </c>
      <c r="G1257" t="s">
        <v>55</v>
      </c>
      <c r="H1257" t="s">
        <v>29</v>
      </c>
      <c r="I1257" t="s">
        <v>39</v>
      </c>
      <c r="J1257">
        <v>37</v>
      </c>
      <c r="K1257">
        <v>1564.73</v>
      </c>
      <c r="L1257">
        <v>57894.96</v>
      </c>
      <c r="M1257">
        <v>28314.05</v>
      </c>
      <c r="N1257">
        <v>4734.16</v>
      </c>
      <c r="O1257">
        <v>3900.56</v>
      </c>
      <c r="P1257">
        <v>1427.31</v>
      </c>
      <c r="Q1257">
        <v>543.14</v>
      </c>
      <c r="R1257">
        <v>3334.25</v>
      </c>
      <c r="S1257">
        <v>484.37</v>
      </c>
      <c r="T1257">
        <v>42737.84</v>
      </c>
      <c r="U1257">
        <v>29580.91</v>
      </c>
      <c r="V1257">
        <v>15157.12</v>
      </c>
      <c r="W1257">
        <v>13678.94</v>
      </c>
      <c r="X1257">
        <v>53817.68</v>
      </c>
      <c r="Y1257">
        <v>46278.26</v>
      </c>
    </row>
    <row r="1258" spans="1:25" x14ac:dyDescent="0.25">
      <c r="A1258" t="s">
        <v>1314</v>
      </c>
      <c r="B1258" s="1">
        <v>45288</v>
      </c>
      <c r="C1258">
        <v>2023</v>
      </c>
      <c r="D1258">
        <v>12</v>
      </c>
      <c r="E1258" t="s">
        <v>1217</v>
      </c>
      <c r="F1258" t="s">
        <v>1018</v>
      </c>
      <c r="G1258" t="s">
        <v>28</v>
      </c>
      <c r="H1258" t="s">
        <v>32</v>
      </c>
      <c r="I1258" t="s">
        <v>37</v>
      </c>
      <c r="J1258">
        <v>74</v>
      </c>
      <c r="K1258">
        <v>1390.04</v>
      </c>
      <c r="L1258">
        <v>102862.93</v>
      </c>
      <c r="M1258">
        <v>56382.5</v>
      </c>
      <c r="N1258">
        <v>8211.7000000000007</v>
      </c>
      <c r="O1258">
        <v>3164.46</v>
      </c>
      <c r="P1258">
        <v>1864.08</v>
      </c>
      <c r="Q1258">
        <v>1100.19</v>
      </c>
      <c r="R1258">
        <v>5492.95</v>
      </c>
      <c r="S1258">
        <v>2203.61</v>
      </c>
      <c r="T1258">
        <v>78419.490000000005</v>
      </c>
      <c r="U1258">
        <v>46480.43</v>
      </c>
      <c r="V1258">
        <v>24443.439999999999</v>
      </c>
      <c r="W1258">
        <v>22250.73</v>
      </c>
      <c r="X1258">
        <v>98757.26</v>
      </c>
      <c r="Y1258">
        <v>82070.19</v>
      </c>
    </row>
    <row r="1259" spans="1:25" x14ac:dyDescent="0.25">
      <c r="A1259" t="s">
        <v>1315</v>
      </c>
      <c r="B1259" s="1">
        <v>45289</v>
      </c>
      <c r="C1259">
        <v>2023</v>
      </c>
      <c r="D1259">
        <v>12</v>
      </c>
      <c r="E1259" t="s">
        <v>1217</v>
      </c>
      <c r="F1259" t="s">
        <v>1018</v>
      </c>
      <c r="G1259" t="s">
        <v>55</v>
      </c>
      <c r="H1259" t="s">
        <v>36</v>
      </c>
      <c r="I1259" t="s">
        <v>33</v>
      </c>
      <c r="J1259">
        <v>98</v>
      </c>
      <c r="K1259">
        <v>841.33</v>
      </c>
      <c r="L1259">
        <v>82450.66</v>
      </c>
      <c r="M1259">
        <v>55456.27</v>
      </c>
      <c r="N1259">
        <v>7660.5</v>
      </c>
      <c r="O1259">
        <v>2552.08</v>
      </c>
      <c r="P1259">
        <v>1501.1</v>
      </c>
      <c r="Q1259">
        <v>1016.22</v>
      </c>
      <c r="R1259">
        <v>4491.7700000000004</v>
      </c>
      <c r="S1259">
        <v>1585.55</v>
      </c>
      <c r="T1259">
        <v>74263.490000000005</v>
      </c>
      <c r="U1259">
        <v>26994.39</v>
      </c>
      <c r="V1259">
        <v>8187.17</v>
      </c>
      <c r="W1259">
        <v>8045.22</v>
      </c>
      <c r="X1259">
        <v>75957.27</v>
      </c>
      <c r="Y1259">
        <v>75790.320000000007</v>
      </c>
    </row>
    <row r="1260" spans="1:25" x14ac:dyDescent="0.25">
      <c r="A1260" t="s">
        <v>1316</v>
      </c>
      <c r="B1260" s="1">
        <v>45289</v>
      </c>
      <c r="C1260">
        <v>2023</v>
      </c>
      <c r="D1260">
        <v>12</v>
      </c>
      <c r="E1260" t="s">
        <v>1217</v>
      </c>
      <c r="F1260" t="s">
        <v>1018</v>
      </c>
      <c r="G1260" t="s">
        <v>55</v>
      </c>
      <c r="H1260" t="s">
        <v>36</v>
      </c>
      <c r="I1260" t="s">
        <v>30</v>
      </c>
      <c r="J1260">
        <v>52</v>
      </c>
      <c r="K1260">
        <v>1535.37</v>
      </c>
      <c r="L1260">
        <v>79839.240000000005</v>
      </c>
      <c r="M1260">
        <v>51712.81</v>
      </c>
      <c r="N1260">
        <v>8725.98</v>
      </c>
      <c r="O1260">
        <v>2143.46</v>
      </c>
      <c r="P1260">
        <v>1403.13</v>
      </c>
      <c r="Q1260">
        <v>1079.8599999999999</v>
      </c>
      <c r="R1260">
        <v>3568.58</v>
      </c>
      <c r="S1260">
        <v>1124.49</v>
      </c>
      <c r="T1260">
        <v>69758.31</v>
      </c>
      <c r="U1260">
        <v>28126.43</v>
      </c>
      <c r="V1260">
        <v>10080.93</v>
      </c>
      <c r="W1260">
        <v>10023.17</v>
      </c>
      <c r="X1260">
        <v>81315.78</v>
      </c>
      <c r="Y1260">
        <v>66298.36</v>
      </c>
    </row>
    <row r="1261" spans="1:25" x14ac:dyDescent="0.25">
      <c r="A1261" t="s">
        <v>1317</v>
      </c>
      <c r="B1261" s="1">
        <v>45289</v>
      </c>
      <c r="C1261">
        <v>2023</v>
      </c>
      <c r="D1261">
        <v>12</v>
      </c>
      <c r="E1261" t="s">
        <v>1217</v>
      </c>
      <c r="F1261" t="s">
        <v>1018</v>
      </c>
      <c r="G1261" t="s">
        <v>35</v>
      </c>
      <c r="H1261" t="s">
        <v>32</v>
      </c>
      <c r="I1261" t="s">
        <v>45</v>
      </c>
      <c r="J1261">
        <v>24</v>
      </c>
      <c r="K1261">
        <v>1700.82</v>
      </c>
      <c r="L1261">
        <v>40819.65</v>
      </c>
      <c r="M1261">
        <v>24890.16</v>
      </c>
      <c r="N1261">
        <v>4506.2299999999996</v>
      </c>
      <c r="O1261">
        <v>1888.44</v>
      </c>
      <c r="P1261">
        <v>1209.21</v>
      </c>
      <c r="Q1261">
        <v>699.98</v>
      </c>
      <c r="R1261">
        <v>1318.56</v>
      </c>
      <c r="S1261">
        <v>639.9</v>
      </c>
      <c r="T1261">
        <v>35152.47</v>
      </c>
      <c r="U1261">
        <v>15929.49</v>
      </c>
      <c r="V1261">
        <v>5667.17</v>
      </c>
      <c r="W1261">
        <v>5713.55</v>
      </c>
      <c r="X1261">
        <v>41110.449999999997</v>
      </c>
      <c r="Y1261">
        <v>35820.74</v>
      </c>
    </row>
    <row r="1262" spans="1:25" x14ac:dyDescent="0.25">
      <c r="A1262" t="s">
        <v>1318</v>
      </c>
      <c r="B1262" s="1">
        <v>45289</v>
      </c>
      <c r="C1262">
        <v>2023</v>
      </c>
      <c r="D1262">
        <v>12</v>
      </c>
      <c r="E1262" t="s">
        <v>1217</v>
      </c>
      <c r="F1262" t="s">
        <v>1018</v>
      </c>
      <c r="G1262" t="s">
        <v>55</v>
      </c>
      <c r="H1262" t="s">
        <v>32</v>
      </c>
      <c r="I1262" t="s">
        <v>30</v>
      </c>
      <c r="J1262">
        <v>79</v>
      </c>
      <c r="K1262">
        <v>1315.16</v>
      </c>
      <c r="L1262">
        <v>103897.98</v>
      </c>
      <c r="M1262">
        <v>53598.05</v>
      </c>
      <c r="N1262">
        <v>9133.41</v>
      </c>
      <c r="O1262">
        <v>7664.7</v>
      </c>
      <c r="P1262">
        <v>2902.96</v>
      </c>
      <c r="Q1262">
        <v>1850.47</v>
      </c>
      <c r="R1262">
        <v>5667.5</v>
      </c>
      <c r="S1262">
        <v>2519.4</v>
      </c>
      <c r="T1262">
        <v>83336.509999999995</v>
      </c>
      <c r="U1262">
        <v>50299.93</v>
      </c>
      <c r="V1262">
        <v>20561.48</v>
      </c>
      <c r="W1262">
        <v>20697.060000000001</v>
      </c>
      <c r="X1262">
        <v>103760.76</v>
      </c>
      <c r="Y1262">
        <v>80537.31</v>
      </c>
    </row>
    <row r="1263" spans="1:25" x14ac:dyDescent="0.25">
      <c r="A1263" t="s">
        <v>1319</v>
      </c>
      <c r="B1263" s="1">
        <v>45289</v>
      </c>
      <c r="C1263">
        <v>2023</v>
      </c>
      <c r="D1263">
        <v>12</v>
      </c>
      <c r="E1263" t="s">
        <v>1217</v>
      </c>
      <c r="F1263" t="s">
        <v>1018</v>
      </c>
      <c r="G1263" t="s">
        <v>28</v>
      </c>
      <c r="H1263" t="s">
        <v>29</v>
      </c>
      <c r="I1263" t="s">
        <v>30</v>
      </c>
      <c r="J1263">
        <v>96</v>
      </c>
      <c r="K1263">
        <v>1174.78</v>
      </c>
      <c r="L1263">
        <v>112778.73</v>
      </c>
      <c r="M1263">
        <v>75297.52</v>
      </c>
      <c r="N1263">
        <v>8248.19</v>
      </c>
      <c r="O1263">
        <v>7675.46</v>
      </c>
      <c r="P1263">
        <v>2855.84</v>
      </c>
      <c r="Q1263">
        <v>605.26</v>
      </c>
      <c r="R1263">
        <v>6301.88</v>
      </c>
      <c r="S1263">
        <v>1239.18</v>
      </c>
      <c r="T1263">
        <v>102223.33</v>
      </c>
      <c r="U1263">
        <v>37481.21</v>
      </c>
      <c r="V1263">
        <v>10555.41</v>
      </c>
      <c r="W1263">
        <v>10598.23</v>
      </c>
      <c r="X1263">
        <v>111102.83</v>
      </c>
      <c r="Y1263">
        <v>111980.33</v>
      </c>
    </row>
    <row r="1264" spans="1:25" x14ac:dyDescent="0.25">
      <c r="A1264" t="s">
        <v>1320</v>
      </c>
      <c r="B1264" s="1">
        <v>45289</v>
      </c>
      <c r="C1264">
        <v>2023</v>
      </c>
      <c r="D1264">
        <v>12</v>
      </c>
      <c r="E1264" t="s">
        <v>1217</v>
      </c>
      <c r="F1264" t="s">
        <v>1018</v>
      </c>
      <c r="G1264" t="s">
        <v>44</v>
      </c>
      <c r="H1264" t="s">
        <v>53</v>
      </c>
      <c r="I1264" t="s">
        <v>33</v>
      </c>
      <c r="J1264">
        <v>61</v>
      </c>
      <c r="K1264">
        <v>1051.17</v>
      </c>
      <c r="L1264">
        <v>64121.440000000002</v>
      </c>
      <c r="M1264">
        <v>36658.42</v>
      </c>
      <c r="N1264">
        <v>6029.82</v>
      </c>
      <c r="O1264">
        <v>2139.21</v>
      </c>
      <c r="P1264">
        <v>1151.5899999999999</v>
      </c>
      <c r="Q1264">
        <v>470.41</v>
      </c>
      <c r="R1264">
        <v>3098.57</v>
      </c>
      <c r="S1264">
        <v>1466.41</v>
      </c>
      <c r="T1264">
        <v>51014.42</v>
      </c>
      <c r="U1264">
        <v>27463.02</v>
      </c>
      <c r="V1264">
        <v>13107.02</v>
      </c>
      <c r="W1264">
        <v>13274.77</v>
      </c>
      <c r="X1264">
        <v>62350.66</v>
      </c>
      <c r="Y1264">
        <v>54973.55</v>
      </c>
    </row>
    <row r="1265" spans="1:25" x14ac:dyDescent="0.25">
      <c r="A1265" t="s">
        <v>1321</v>
      </c>
      <c r="B1265" s="1">
        <v>45289</v>
      </c>
      <c r="C1265">
        <v>2023</v>
      </c>
      <c r="D1265">
        <v>12</v>
      </c>
      <c r="E1265" t="s">
        <v>1217</v>
      </c>
      <c r="F1265" t="s">
        <v>1018</v>
      </c>
      <c r="G1265" t="s">
        <v>55</v>
      </c>
      <c r="H1265" t="s">
        <v>58</v>
      </c>
      <c r="I1265" t="s">
        <v>45</v>
      </c>
      <c r="J1265">
        <v>34</v>
      </c>
      <c r="K1265">
        <v>1437.51</v>
      </c>
      <c r="L1265">
        <v>48875.28</v>
      </c>
      <c r="M1265">
        <v>23698.73</v>
      </c>
      <c r="N1265">
        <v>5926.49</v>
      </c>
      <c r="O1265">
        <v>2766.48</v>
      </c>
      <c r="P1265">
        <v>893.32</v>
      </c>
      <c r="Q1265">
        <v>556.80999999999995</v>
      </c>
      <c r="R1265">
        <v>1924.17</v>
      </c>
      <c r="S1265">
        <v>1124.19</v>
      </c>
      <c r="T1265">
        <v>36890.17</v>
      </c>
      <c r="U1265">
        <v>25176.560000000001</v>
      </c>
      <c r="V1265">
        <v>11985.11</v>
      </c>
      <c r="W1265">
        <v>10657.76</v>
      </c>
      <c r="X1265">
        <v>44972.480000000003</v>
      </c>
      <c r="Y1265">
        <v>39904.449999999997</v>
      </c>
    </row>
    <row r="1266" spans="1:25" x14ac:dyDescent="0.25">
      <c r="A1266" t="s">
        <v>1322</v>
      </c>
      <c r="B1266" s="1">
        <v>45290</v>
      </c>
      <c r="C1266">
        <v>2023</v>
      </c>
      <c r="D1266">
        <v>12</v>
      </c>
      <c r="E1266" t="s">
        <v>1217</v>
      </c>
      <c r="F1266" t="s">
        <v>1018</v>
      </c>
      <c r="G1266" t="s">
        <v>55</v>
      </c>
      <c r="H1266" t="s">
        <v>36</v>
      </c>
      <c r="I1266" t="s">
        <v>33</v>
      </c>
      <c r="J1266">
        <v>40</v>
      </c>
      <c r="K1266">
        <v>1517.13</v>
      </c>
      <c r="L1266">
        <v>60685.33</v>
      </c>
      <c r="M1266">
        <v>33198.46</v>
      </c>
      <c r="N1266">
        <v>5082.8599999999997</v>
      </c>
      <c r="O1266">
        <v>3587.05</v>
      </c>
      <c r="P1266">
        <v>1370.41</v>
      </c>
      <c r="Q1266">
        <v>669.36</v>
      </c>
      <c r="R1266">
        <v>2046.98</v>
      </c>
      <c r="S1266">
        <v>967.88</v>
      </c>
      <c r="T1266">
        <v>46923.01</v>
      </c>
      <c r="U1266">
        <v>27486.86</v>
      </c>
      <c r="V1266">
        <v>13762.32</v>
      </c>
      <c r="W1266">
        <v>12195.28</v>
      </c>
      <c r="X1266">
        <v>62972.04</v>
      </c>
      <c r="Y1266">
        <v>45074.02</v>
      </c>
    </row>
    <row r="1267" spans="1:25" x14ac:dyDescent="0.25">
      <c r="A1267" t="s">
        <v>1323</v>
      </c>
      <c r="B1267" s="1">
        <v>45290</v>
      </c>
      <c r="C1267">
        <v>2023</v>
      </c>
      <c r="D1267">
        <v>12</v>
      </c>
      <c r="E1267" t="s">
        <v>1217</v>
      </c>
      <c r="F1267" t="s">
        <v>1018</v>
      </c>
      <c r="G1267" t="s">
        <v>55</v>
      </c>
      <c r="H1267" t="s">
        <v>29</v>
      </c>
      <c r="I1267" t="s">
        <v>30</v>
      </c>
      <c r="J1267">
        <v>57</v>
      </c>
      <c r="K1267">
        <v>1688.89</v>
      </c>
      <c r="L1267">
        <v>96266.76</v>
      </c>
      <c r="M1267">
        <v>62126</v>
      </c>
      <c r="N1267">
        <v>9106.3700000000008</v>
      </c>
      <c r="O1267">
        <v>7035.58</v>
      </c>
      <c r="P1267">
        <v>1887.01</v>
      </c>
      <c r="Q1267">
        <v>921.23</v>
      </c>
      <c r="R1267">
        <v>3878.26</v>
      </c>
      <c r="S1267">
        <v>987.66</v>
      </c>
      <c r="T1267">
        <v>85942.1</v>
      </c>
      <c r="U1267">
        <v>34140.76</v>
      </c>
      <c r="V1267">
        <v>10324.66</v>
      </c>
      <c r="W1267">
        <v>10274.09</v>
      </c>
      <c r="X1267">
        <v>89435.44</v>
      </c>
      <c r="Y1267">
        <v>93036.66</v>
      </c>
    </row>
    <row r="1268" spans="1:25" x14ac:dyDescent="0.25">
      <c r="A1268" t="s">
        <v>1324</v>
      </c>
      <c r="B1268" s="1">
        <v>45290</v>
      </c>
      <c r="C1268">
        <v>2023</v>
      </c>
      <c r="D1268">
        <v>12</v>
      </c>
      <c r="E1268" t="s">
        <v>1217</v>
      </c>
      <c r="F1268" t="s">
        <v>1018</v>
      </c>
      <c r="G1268" t="s">
        <v>44</v>
      </c>
      <c r="H1268" t="s">
        <v>32</v>
      </c>
      <c r="I1268" t="s">
        <v>56</v>
      </c>
      <c r="J1268">
        <v>26</v>
      </c>
      <c r="K1268">
        <v>1296.1099999999999</v>
      </c>
      <c r="L1268">
        <v>33698.94</v>
      </c>
      <c r="M1268">
        <v>16660.05</v>
      </c>
      <c r="N1268">
        <v>3352.96</v>
      </c>
      <c r="O1268">
        <v>982.16</v>
      </c>
      <c r="P1268">
        <v>1235.42</v>
      </c>
      <c r="Q1268">
        <v>550.72</v>
      </c>
      <c r="R1268">
        <v>1568.36</v>
      </c>
      <c r="S1268">
        <v>818.37</v>
      </c>
      <c r="T1268">
        <v>25168.04</v>
      </c>
      <c r="U1268">
        <v>17038.89</v>
      </c>
      <c r="V1268">
        <v>8530.9</v>
      </c>
      <c r="W1268">
        <v>8432.0400000000009</v>
      </c>
      <c r="X1268">
        <v>31501.26</v>
      </c>
      <c r="Y1268">
        <v>24305.67</v>
      </c>
    </row>
    <row r="1269" spans="1:25" x14ac:dyDescent="0.25">
      <c r="A1269" t="s">
        <v>1325</v>
      </c>
      <c r="B1269" s="1">
        <v>45290</v>
      </c>
      <c r="C1269">
        <v>2023</v>
      </c>
      <c r="D1269">
        <v>12</v>
      </c>
      <c r="E1269" t="s">
        <v>1217</v>
      </c>
      <c r="F1269" t="s">
        <v>1018</v>
      </c>
      <c r="G1269" t="s">
        <v>28</v>
      </c>
      <c r="H1269" t="s">
        <v>58</v>
      </c>
      <c r="I1269" t="s">
        <v>65</v>
      </c>
      <c r="J1269">
        <v>44</v>
      </c>
      <c r="K1269">
        <v>1666.08</v>
      </c>
      <c r="L1269">
        <v>73307.58</v>
      </c>
      <c r="M1269">
        <v>43937.63</v>
      </c>
      <c r="N1269">
        <v>9159.52</v>
      </c>
      <c r="O1269">
        <v>2015.85</v>
      </c>
      <c r="P1269">
        <v>2707.54</v>
      </c>
      <c r="Q1269">
        <v>835.19</v>
      </c>
      <c r="R1269">
        <v>3286.94</v>
      </c>
      <c r="S1269">
        <v>834.77</v>
      </c>
      <c r="T1269">
        <v>62777.43</v>
      </c>
      <c r="U1269">
        <v>29369.96</v>
      </c>
      <c r="V1269">
        <v>10530.15</v>
      </c>
      <c r="W1269">
        <v>9797.7900000000009</v>
      </c>
      <c r="X1269">
        <v>67495.320000000007</v>
      </c>
      <c r="Y1269">
        <v>58390.02</v>
      </c>
    </row>
    <row r="1270" spans="1:25" x14ac:dyDescent="0.25">
      <c r="A1270" t="s">
        <v>1326</v>
      </c>
      <c r="B1270" s="1">
        <v>45291</v>
      </c>
      <c r="C1270">
        <v>2023</v>
      </c>
      <c r="D1270">
        <v>12</v>
      </c>
      <c r="E1270" t="s">
        <v>1217</v>
      </c>
      <c r="F1270" t="s">
        <v>1018</v>
      </c>
      <c r="G1270" t="s">
        <v>55</v>
      </c>
      <c r="H1270" t="s">
        <v>58</v>
      </c>
      <c r="I1270" t="s">
        <v>50</v>
      </c>
      <c r="J1270">
        <v>37</v>
      </c>
      <c r="K1270">
        <v>1763.27</v>
      </c>
      <c r="L1270">
        <v>65241</v>
      </c>
      <c r="M1270">
        <v>31783.11</v>
      </c>
      <c r="N1270">
        <v>7920.34</v>
      </c>
      <c r="O1270">
        <v>3975.53</v>
      </c>
      <c r="P1270">
        <v>1948.05</v>
      </c>
      <c r="Q1270">
        <v>463.26</v>
      </c>
      <c r="R1270">
        <v>2528.69</v>
      </c>
      <c r="S1270">
        <v>1066.9000000000001</v>
      </c>
      <c r="T1270">
        <v>49685.88</v>
      </c>
      <c r="U1270">
        <v>33457.89</v>
      </c>
      <c r="V1270">
        <v>15555.12</v>
      </c>
      <c r="W1270">
        <v>14151.99</v>
      </c>
      <c r="X1270">
        <v>67319.399999999994</v>
      </c>
      <c r="Y1270">
        <v>47029.85</v>
      </c>
    </row>
    <row r="1271" spans="1:25" x14ac:dyDescent="0.25">
      <c r="A1271" t="s">
        <v>1327</v>
      </c>
      <c r="B1271" s="1">
        <v>45291</v>
      </c>
      <c r="C1271">
        <v>2023</v>
      </c>
      <c r="D1271">
        <v>12</v>
      </c>
      <c r="E1271" t="s">
        <v>1217</v>
      </c>
      <c r="F1271" t="s">
        <v>1018</v>
      </c>
      <c r="G1271" t="s">
        <v>28</v>
      </c>
      <c r="H1271" t="s">
        <v>36</v>
      </c>
      <c r="I1271" t="s">
        <v>33</v>
      </c>
      <c r="J1271">
        <v>59</v>
      </c>
      <c r="K1271">
        <v>1673.6</v>
      </c>
      <c r="L1271">
        <v>98742.62</v>
      </c>
      <c r="M1271">
        <v>66956.02</v>
      </c>
      <c r="N1271">
        <v>11659.19</v>
      </c>
      <c r="O1271">
        <v>3038.91</v>
      </c>
      <c r="P1271">
        <v>3169.3</v>
      </c>
      <c r="Q1271">
        <v>1105.8599999999999</v>
      </c>
      <c r="R1271">
        <v>2494.4699999999998</v>
      </c>
      <c r="S1271">
        <v>2161.13</v>
      </c>
      <c r="T1271">
        <v>90584.9</v>
      </c>
      <c r="U1271">
        <v>31786.6</v>
      </c>
      <c r="V1271">
        <v>8157.72</v>
      </c>
      <c r="W1271">
        <v>8136.97</v>
      </c>
      <c r="X1271">
        <v>108513.93</v>
      </c>
      <c r="Y1271">
        <v>93933.26</v>
      </c>
    </row>
    <row r="1272" spans="1:25" x14ac:dyDescent="0.25">
      <c r="A1272" t="s">
        <v>1328</v>
      </c>
      <c r="B1272" s="1">
        <v>45291</v>
      </c>
      <c r="C1272">
        <v>2023</v>
      </c>
      <c r="D1272">
        <v>12</v>
      </c>
      <c r="E1272" t="s">
        <v>1217</v>
      </c>
      <c r="F1272" t="s">
        <v>1018</v>
      </c>
      <c r="G1272" t="s">
        <v>44</v>
      </c>
      <c r="H1272" t="s">
        <v>53</v>
      </c>
      <c r="I1272" t="s">
        <v>45</v>
      </c>
      <c r="J1272">
        <v>39</v>
      </c>
      <c r="K1272">
        <v>1179.04</v>
      </c>
      <c r="L1272">
        <v>45982.71</v>
      </c>
      <c r="M1272">
        <v>24628.22</v>
      </c>
      <c r="N1272">
        <v>3569.25</v>
      </c>
      <c r="O1272">
        <v>1287.1600000000001</v>
      </c>
      <c r="P1272">
        <v>1310.81</v>
      </c>
      <c r="Q1272">
        <v>358.21</v>
      </c>
      <c r="R1272">
        <v>1559.18</v>
      </c>
      <c r="S1272">
        <v>520.72</v>
      </c>
      <c r="T1272">
        <v>33233.56</v>
      </c>
      <c r="U1272">
        <v>21354.49</v>
      </c>
      <c r="V1272">
        <v>12749.16</v>
      </c>
      <c r="W1272">
        <v>11503.97</v>
      </c>
      <c r="X1272">
        <v>45712.9</v>
      </c>
      <c r="Y1272">
        <v>33421.379999999997</v>
      </c>
    </row>
    <row r="1273" spans="1:25" x14ac:dyDescent="0.25">
      <c r="A1273" t="s">
        <v>1329</v>
      </c>
      <c r="B1273" s="1">
        <v>45291</v>
      </c>
      <c r="C1273">
        <v>2023</v>
      </c>
      <c r="D1273">
        <v>12</v>
      </c>
      <c r="E1273" t="s">
        <v>1217</v>
      </c>
      <c r="F1273" t="s">
        <v>1018</v>
      </c>
      <c r="G1273" t="s">
        <v>44</v>
      </c>
      <c r="H1273" t="s">
        <v>32</v>
      </c>
      <c r="I1273" t="s">
        <v>30</v>
      </c>
      <c r="J1273">
        <v>142</v>
      </c>
      <c r="K1273">
        <v>835.97</v>
      </c>
      <c r="L1273">
        <v>118707.7</v>
      </c>
      <c r="M1273">
        <v>58411.25</v>
      </c>
      <c r="N1273">
        <v>12419.2</v>
      </c>
      <c r="O1273">
        <v>4842.91</v>
      </c>
      <c r="P1273">
        <v>4332.32</v>
      </c>
      <c r="Q1273">
        <v>1907.65</v>
      </c>
      <c r="R1273">
        <v>3723.8</v>
      </c>
      <c r="S1273">
        <v>2452.9499999999998</v>
      </c>
      <c r="T1273">
        <v>88090.08</v>
      </c>
      <c r="U1273">
        <v>60296.45</v>
      </c>
      <c r="V1273">
        <v>30617.62</v>
      </c>
      <c r="W1273">
        <v>29954.9</v>
      </c>
      <c r="X1273">
        <v>127915</v>
      </c>
      <c r="Y1273">
        <v>85597.9</v>
      </c>
    </row>
    <row r="1274" spans="1:25" x14ac:dyDescent="0.25">
      <c r="A1274" t="s">
        <v>1330</v>
      </c>
      <c r="B1274" s="1">
        <v>45291</v>
      </c>
      <c r="C1274">
        <v>2023</v>
      </c>
      <c r="D1274">
        <v>12</v>
      </c>
      <c r="E1274" t="s">
        <v>1217</v>
      </c>
      <c r="F1274" t="s">
        <v>1018</v>
      </c>
      <c r="G1274" t="s">
        <v>28</v>
      </c>
      <c r="H1274" t="s">
        <v>32</v>
      </c>
      <c r="I1274" t="s">
        <v>65</v>
      </c>
      <c r="J1274">
        <v>45</v>
      </c>
      <c r="K1274">
        <v>1711.33</v>
      </c>
      <c r="L1274">
        <v>77009.899999999994</v>
      </c>
      <c r="M1274">
        <v>38607.17</v>
      </c>
      <c r="N1274">
        <v>8947.64</v>
      </c>
      <c r="O1274">
        <v>2155.3200000000002</v>
      </c>
      <c r="P1274">
        <v>2807.71</v>
      </c>
      <c r="Q1274">
        <v>1150.5</v>
      </c>
      <c r="R1274">
        <v>2664.07</v>
      </c>
      <c r="S1274">
        <v>949.61</v>
      </c>
      <c r="T1274">
        <v>57282.03</v>
      </c>
      <c r="U1274">
        <v>38402.730000000003</v>
      </c>
      <c r="V1274">
        <v>19727.87</v>
      </c>
      <c r="W1274">
        <v>18373.41</v>
      </c>
      <c r="X1274">
        <v>81314.48</v>
      </c>
      <c r="Y1274">
        <v>57601.06</v>
      </c>
    </row>
    <row r="1275" spans="1:25" x14ac:dyDescent="0.25">
      <c r="A1275" t="s">
        <v>1331</v>
      </c>
      <c r="B1275" s="1">
        <v>45291</v>
      </c>
      <c r="C1275">
        <v>2023</v>
      </c>
      <c r="D1275">
        <v>12</v>
      </c>
      <c r="E1275" t="s">
        <v>1217</v>
      </c>
      <c r="F1275" t="s">
        <v>1018</v>
      </c>
      <c r="G1275" t="s">
        <v>28</v>
      </c>
      <c r="H1275" t="s">
        <v>32</v>
      </c>
      <c r="I1275" t="s">
        <v>37</v>
      </c>
      <c r="J1275">
        <v>78</v>
      </c>
      <c r="K1275">
        <v>844.03</v>
      </c>
      <c r="L1275">
        <v>65834.19</v>
      </c>
      <c r="M1275">
        <v>31917.89</v>
      </c>
      <c r="N1275">
        <v>5984.64</v>
      </c>
      <c r="O1275">
        <v>2693.8</v>
      </c>
      <c r="P1275">
        <v>2003.47</v>
      </c>
      <c r="Q1275">
        <v>952.65</v>
      </c>
      <c r="R1275">
        <v>4276.1499999999996</v>
      </c>
      <c r="S1275">
        <v>1054.81</v>
      </c>
      <c r="T1275">
        <v>48883.42</v>
      </c>
      <c r="U1275">
        <v>33916.29</v>
      </c>
      <c r="V1275">
        <v>16950.77</v>
      </c>
      <c r="W1275">
        <v>15004.67</v>
      </c>
      <c r="X1275">
        <v>71146.38</v>
      </c>
      <c r="Y1275">
        <v>51951.57</v>
      </c>
    </row>
    <row r="1276" spans="1:25" x14ac:dyDescent="0.25">
      <c r="A1276" t="s">
        <v>1332</v>
      </c>
      <c r="B1276" s="1">
        <v>45292</v>
      </c>
      <c r="C1276">
        <v>2024</v>
      </c>
      <c r="D1276">
        <v>1</v>
      </c>
      <c r="E1276" t="s">
        <v>26</v>
      </c>
      <c r="F1276" t="s">
        <v>27</v>
      </c>
      <c r="G1276" t="s">
        <v>28</v>
      </c>
      <c r="H1276" t="s">
        <v>58</v>
      </c>
      <c r="I1276" t="s">
        <v>50</v>
      </c>
      <c r="J1276">
        <v>41</v>
      </c>
      <c r="K1276">
        <v>1043.43</v>
      </c>
      <c r="L1276">
        <v>42780.73</v>
      </c>
      <c r="M1276">
        <v>25038.080000000002</v>
      </c>
      <c r="N1276">
        <v>4134.1400000000003</v>
      </c>
      <c r="O1276">
        <v>2181.9299999999998</v>
      </c>
      <c r="P1276">
        <v>1686.7</v>
      </c>
      <c r="Q1276">
        <v>745.23</v>
      </c>
      <c r="R1276">
        <v>2325.19</v>
      </c>
      <c r="S1276">
        <v>624.34</v>
      </c>
      <c r="T1276">
        <v>36735.61</v>
      </c>
      <c r="U1276">
        <v>17742.66</v>
      </c>
      <c r="V1276">
        <v>6045.13</v>
      </c>
      <c r="W1276">
        <v>5651.93</v>
      </c>
      <c r="X1276">
        <v>43114.93</v>
      </c>
      <c r="Y1276">
        <v>35820.800000000003</v>
      </c>
    </row>
    <row r="1277" spans="1:25" x14ac:dyDescent="0.25">
      <c r="A1277" t="s">
        <v>1333</v>
      </c>
      <c r="B1277" s="1">
        <v>45292</v>
      </c>
      <c r="C1277">
        <v>2024</v>
      </c>
      <c r="D1277">
        <v>1</v>
      </c>
      <c r="E1277" t="s">
        <v>26</v>
      </c>
      <c r="F1277" t="s">
        <v>27</v>
      </c>
      <c r="G1277" t="s">
        <v>44</v>
      </c>
      <c r="H1277" t="s">
        <v>32</v>
      </c>
      <c r="I1277" t="s">
        <v>39</v>
      </c>
      <c r="J1277">
        <v>54</v>
      </c>
      <c r="K1277">
        <v>855.89</v>
      </c>
      <c r="L1277">
        <v>46217.79</v>
      </c>
      <c r="M1277">
        <v>26282.080000000002</v>
      </c>
      <c r="N1277">
        <v>5545.1</v>
      </c>
      <c r="O1277">
        <v>3016.86</v>
      </c>
      <c r="P1277">
        <v>935.82</v>
      </c>
      <c r="Q1277">
        <v>667.66</v>
      </c>
      <c r="R1277">
        <v>2770.25</v>
      </c>
      <c r="S1277">
        <v>614.74</v>
      </c>
      <c r="T1277">
        <v>39832.51</v>
      </c>
      <c r="U1277">
        <v>19935.71</v>
      </c>
      <c r="V1277">
        <v>6385.28</v>
      </c>
      <c r="W1277">
        <v>6285.87</v>
      </c>
      <c r="X1277">
        <v>50824.2</v>
      </c>
      <c r="Y1277">
        <v>38710.94</v>
      </c>
    </row>
    <row r="1278" spans="1:25" x14ac:dyDescent="0.25">
      <c r="A1278" t="s">
        <v>1334</v>
      </c>
      <c r="B1278" s="1">
        <v>45292</v>
      </c>
      <c r="C1278">
        <v>2024</v>
      </c>
      <c r="D1278">
        <v>1</v>
      </c>
      <c r="E1278" t="s">
        <v>26</v>
      </c>
      <c r="F1278" t="s">
        <v>27</v>
      </c>
      <c r="G1278" t="s">
        <v>55</v>
      </c>
      <c r="H1278" t="s">
        <v>32</v>
      </c>
      <c r="I1278" t="s">
        <v>50</v>
      </c>
      <c r="J1278">
        <v>104</v>
      </c>
      <c r="K1278">
        <v>798.72</v>
      </c>
      <c r="L1278">
        <v>83066.559999999998</v>
      </c>
      <c r="M1278">
        <v>46939.839999999997</v>
      </c>
      <c r="N1278">
        <v>6745.42</v>
      </c>
      <c r="O1278">
        <v>3925.07</v>
      </c>
      <c r="P1278">
        <v>3525.19</v>
      </c>
      <c r="Q1278">
        <v>1311.03</v>
      </c>
      <c r="R1278">
        <v>3161.27</v>
      </c>
      <c r="S1278">
        <v>805.37</v>
      </c>
      <c r="T1278">
        <v>66413.19</v>
      </c>
      <c r="U1278">
        <v>36126.720000000001</v>
      </c>
      <c r="V1278">
        <v>16653.37</v>
      </c>
      <c r="W1278">
        <v>15753.98</v>
      </c>
      <c r="X1278">
        <v>89267.71</v>
      </c>
      <c r="Y1278">
        <v>62186.58</v>
      </c>
    </row>
    <row r="1279" spans="1:25" x14ac:dyDescent="0.25">
      <c r="A1279" t="s">
        <v>1335</v>
      </c>
      <c r="B1279" s="1">
        <v>45292</v>
      </c>
      <c r="C1279">
        <v>2024</v>
      </c>
      <c r="D1279">
        <v>1</v>
      </c>
      <c r="E1279" t="s">
        <v>26</v>
      </c>
      <c r="F1279" t="s">
        <v>27</v>
      </c>
      <c r="G1279" t="s">
        <v>55</v>
      </c>
      <c r="H1279" t="s">
        <v>32</v>
      </c>
      <c r="I1279" t="s">
        <v>39</v>
      </c>
      <c r="J1279">
        <v>59</v>
      </c>
      <c r="K1279">
        <v>983.58</v>
      </c>
      <c r="L1279">
        <v>58031.24</v>
      </c>
      <c r="M1279">
        <v>28833.75</v>
      </c>
      <c r="N1279">
        <v>5397.08</v>
      </c>
      <c r="O1279">
        <v>3011.37</v>
      </c>
      <c r="P1279">
        <v>2256.15</v>
      </c>
      <c r="Q1279">
        <v>519.29999999999995</v>
      </c>
      <c r="R1279">
        <v>1921.15</v>
      </c>
      <c r="S1279">
        <v>706.62</v>
      </c>
      <c r="T1279">
        <v>42645.42</v>
      </c>
      <c r="U1279">
        <v>29197.49</v>
      </c>
      <c r="V1279">
        <v>15385.82</v>
      </c>
      <c r="W1279">
        <v>13649.16</v>
      </c>
      <c r="X1279">
        <v>63116.35</v>
      </c>
      <c r="Y1279">
        <v>46521.84</v>
      </c>
    </row>
    <row r="1280" spans="1:25" x14ac:dyDescent="0.25">
      <c r="A1280" t="s">
        <v>1336</v>
      </c>
      <c r="B1280" s="1">
        <v>45293</v>
      </c>
      <c r="C1280">
        <v>2024</v>
      </c>
      <c r="D1280">
        <v>1</v>
      </c>
      <c r="E1280" t="s">
        <v>26</v>
      </c>
      <c r="F1280" t="s">
        <v>27</v>
      </c>
      <c r="G1280" t="s">
        <v>55</v>
      </c>
      <c r="H1280" t="s">
        <v>32</v>
      </c>
      <c r="I1280" t="s">
        <v>45</v>
      </c>
      <c r="J1280">
        <v>42</v>
      </c>
      <c r="K1280">
        <v>1119.1600000000001</v>
      </c>
      <c r="L1280">
        <v>47004.65</v>
      </c>
      <c r="M1280">
        <v>26180.7</v>
      </c>
      <c r="N1280">
        <v>6059.61</v>
      </c>
      <c r="O1280">
        <v>1500.61</v>
      </c>
      <c r="P1280">
        <v>1032.3</v>
      </c>
      <c r="Q1280">
        <v>617.54999999999995</v>
      </c>
      <c r="R1280">
        <v>2662.52</v>
      </c>
      <c r="S1280">
        <v>1069.3</v>
      </c>
      <c r="T1280">
        <v>39122.589999999997</v>
      </c>
      <c r="U1280">
        <v>20823.95</v>
      </c>
      <c r="V1280">
        <v>7882.06</v>
      </c>
      <c r="W1280">
        <v>7908.79</v>
      </c>
      <c r="X1280">
        <v>48285.74</v>
      </c>
      <c r="Y1280">
        <v>42146.11</v>
      </c>
    </row>
    <row r="1281" spans="1:25" x14ac:dyDescent="0.25">
      <c r="A1281" t="s">
        <v>1337</v>
      </c>
      <c r="B1281" s="1">
        <v>45293</v>
      </c>
      <c r="C1281">
        <v>2024</v>
      </c>
      <c r="D1281">
        <v>1</v>
      </c>
      <c r="E1281" t="s">
        <v>26</v>
      </c>
      <c r="F1281" t="s">
        <v>27</v>
      </c>
      <c r="G1281" t="s">
        <v>44</v>
      </c>
      <c r="H1281" t="s">
        <v>58</v>
      </c>
      <c r="I1281" t="s">
        <v>50</v>
      </c>
      <c r="J1281">
        <v>51</v>
      </c>
      <c r="K1281">
        <v>959.36</v>
      </c>
      <c r="L1281">
        <v>48927.35</v>
      </c>
      <c r="M1281">
        <v>27131.7</v>
      </c>
      <c r="N1281">
        <v>5445.71</v>
      </c>
      <c r="O1281">
        <v>3427.01</v>
      </c>
      <c r="P1281">
        <v>1259.48</v>
      </c>
      <c r="Q1281">
        <v>533</v>
      </c>
      <c r="R1281">
        <v>1903.69</v>
      </c>
      <c r="S1281">
        <v>576.13</v>
      </c>
      <c r="T1281">
        <v>40276.730000000003</v>
      </c>
      <c r="U1281">
        <v>21795.65</v>
      </c>
      <c r="V1281">
        <v>8650.6200000000008</v>
      </c>
      <c r="W1281">
        <v>7928.6</v>
      </c>
      <c r="X1281">
        <v>52085.47</v>
      </c>
      <c r="Y1281">
        <v>38618.22</v>
      </c>
    </row>
    <row r="1282" spans="1:25" x14ac:dyDescent="0.25">
      <c r="A1282" t="s">
        <v>1338</v>
      </c>
      <c r="B1282" s="1">
        <v>45293</v>
      </c>
      <c r="C1282">
        <v>2024</v>
      </c>
      <c r="D1282">
        <v>1</v>
      </c>
      <c r="E1282" t="s">
        <v>26</v>
      </c>
      <c r="F1282" t="s">
        <v>27</v>
      </c>
      <c r="G1282" t="s">
        <v>44</v>
      </c>
      <c r="H1282" t="s">
        <v>36</v>
      </c>
      <c r="I1282" t="s">
        <v>45</v>
      </c>
      <c r="J1282">
        <v>32</v>
      </c>
      <c r="K1282">
        <v>1177.82</v>
      </c>
      <c r="L1282">
        <v>37690.36</v>
      </c>
      <c r="M1282">
        <v>18218.599999999999</v>
      </c>
      <c r="N1282">
        <v>3633.44</v>
      </c>
      <c r="O1282">
        <v>1516.25</v>
      </c>
      <c r="P1282">
        <v>1255.69</v>
      </c>
      <c r="Q1282">
        <v>387.29</v>
      </c>
      <c r="R1282">
        <v>1810.67</v>
      </c>
      <c r="S1282">
        <v>550.98</v>
      </c>
      <c r="T1282">
        <v>27372.92</v>
      </c>
      <c r="U1282">
        <v>19471.77</v>
      </c>
      <c r="V1282">
        <v>10317.450000000001</v>
      </c>
      <c r="W1282">
        <v>9578.76</v>
      </c>
      <c r="X1282">
        <v>35946.080000000002</v>
      </c>
      <c r="Y1282">
        <v>29409</v>
      </c>
    </row>
    <row r="1283" spans="1:25" x14ac:dyDescent="0.25">
      <c r="A1283" t="s">
        <v>1339</v>
      </c>
      <c r="B1283" s="1">
        <v>45294</v>
      </c>
      <c r="C1283">
        <v>2024</v>
      </c>
      <c r="D1283">
        <v>1</v>
      </c>
      <c r="E1283" t="s">
        <v>26</v>
      </c>
      <c r="F1283" t="s">
        <v>27</v>
      </c>
      <c r="G1283" t="s">
        <v>44</v>
      </c>
      <c r="H1283" t="s">
        <v>53</v>
      </c>
      <c r="I1283" t="s">
        <v>39</v>
      </c>
      <c r="J1283">
        <v>15</v>
      </c>
      <c r="K1283">
        <v>1751.85</v>
      </c>
      <c r="L1283">
        <v>26277.68</v>
      </c>
      <c r="M1283">
        <v>13693.97</v>
      </c>
      <c r="N1283">
        <v>1975.81</v>
      </c>
      <c r="O1283">
        <v>1330.11</v>
      </c>
      <c r="P1283">
        <v>435.55</v>
      </c>
      <c r="Q1283">
        <v>200.14</v>
      </c>
      <c r="R1283">
        <v>742.8</v>
      </c>
      <c r="S1283">
        <v>507.56</v>
      </c>
      <c r="T1283">
        <v>18885.95</v>
      </c>
      <c r="U1283">
        <v>12583.71</v>
      </c>
      <c r="V1283">
        <v>7391.73</v>
      </c>
      <c r="W1283">
        <v>7253.92</v>
      </c>
      <c r="X1283">
        <v>26889.43</v>
      </c>
      <c r="Y1283">
        <v>20234.02</v>
      </c>
    </row>
    <row r="1284" spans="1:25" x14ac:dyDescent="0.25">
      <c r="A1284" t="s">
        <v>1340</v>
      </c>
      <c r="B1284" s="1">
        <v>45294</v>
      </c>
      <c r="C1284">
        <v>2024</v>
      </c>
      <c r="D1284">
        <v>1</v>
      </c>
      <c r="E1284" t="s">
        <v>26</v>
      </c>
      <c r="F1284" t="s">
        <v>27</v>
      </c>
      <c r="G1284" t="s">
        <v>44</v>
      </c>
      <c r="H1284" t="s">
        <v>32</v>
      </c>
      <c r="I1284" t="s">
        <v>65</v>
      </c>
      <c r="J1284">
        <v>47</v>
      </c>
      <c r="K1284">
        <v>1458.67</v>
      </c>
      <c r="L1284">
        <v>68557.289999999994</v>
      </c>
      <c r="M1284">
        <v>38677.74</v>
      </c>
      <c r="N1284">
        <v>8551.4699999999993</v>
      </c>
      <c r="O1284">
        <v>4082.24</v>
      </c>
      <c r="P1284">
        <v>2801.97</v>
      </c>
      <c r="Q1284">
        <v>673.13</v>
      </c>
      <c r="R1284">
        <v>3939.22</v>
      </c>
      <c r="S1284">
        <v>715.86</v>
      </c>
      <c r="T1284">
        <v>59441.61</v>
      </c>
      <c r="U1284">
        <v>29879.55</v>
      </c>
      <c r="V1284">
        <v>9115.68</v>
      </c>
      <c r="W1284">
        <v>8192.0499999999993</v>
      </c>
      <c r="X1284">
        <v>72268.28</v>
      </c>
      <c r="Y1284">
        <v>64606.53</v>
      </c>
    </row>
    <row r="1285" spans="1:25" x14ac:dyDescent="0.25">
      <c r="A1285" t="s">
        <v>1341</v>
      </c>
      <c r="B1285" s="1">
        <v>45295</v>
      </c>
      <c r="C1285">
        <v>2024</v>
      </c>
      <c r="D1285">
        <v>1</v>
      </c>
      <c r="E1285" t="s">
        <v>26</v>
      </c>
      <c r="F1285" t="s">
        <v>27</v>
      </c>
      <c r="G1285" t="s">
        <v>28</v>
      </c>
      <c r="H1285" t="s">
        <v>32</v>
      </c>
      <c r="I1285" t="s">
        <v>30</v>
      </c>
      <c r="J1285">
        <v>64</v>
      </c>
      <c r="K1285">
        <v>1524.06</v>
      </c>
      <c r="L1285">
        <v>97539.83</v>
      </c>
      <c r="M1285">
        <v>53755.53</v>
      </c>
      <c r="N1285">
        <v>11528.95</v>
      </c>
      <c r="O1285">
        <v>6672.19</v>
      </c>
      <c r="P1285">
        <v>3731.77</v>
      </c>
      <c r="Q1285">
        <v>1037.5</v>
      </c>
      <c r="R1285">
        <v>4798.1400000000003</v>
      </c>
      <c r="S1285">
        <v>849.23</v>
      </c>
      <c r="T1285">
        <v>82373.31</v>
      </c>
      <c r="U1285">
        <v>43784.3</v>
      </c>
      <c r="V1285">
        <v>15166.52</v>
      </c>
      <c r="W1285">
        <v>14043.37</v>
      </c>
      <c r="X1285">
        <v>97854.87</v>
      </c>
      <c r="Y1285">
        <v>82096.69</v>
      </c>
    </row>
    <row r="1286" spans="1:25" x14ac:dyDescent="0.25">
      <c r="A1286" t="s">
        <v>1342</v>
      </c>
      <c r="B1286" s="1">
        <v>45295</v>
      </c>
      <c r="C1286">
        <v>2024</v>
      </c>
      <c r="D1286">
        <v>1</v>
      </c>
      <c r="E1286" t="s">
        <v>26</v>
      </c>
      <c r="F1286" t="s">
        <v>27</v>
      </c>
      <c r="G1286" t="s">
        <v>55</v>
      </c>
      <c r="H1286" t="s">
        <v>53</v>
      </c>
      <c r="I1286" t="s">
        <v>39</v>
      </c>
      <c r="J1286">
        <v>39</v>
      </c>
      <c r="K1286">
        <v>996.44</v>
      </c>
      <c r="L1286">
        <v>38861.17</v>
      </c>
      <c r="M1286">
        <v>20192.23</v>
      </c>
      <c r="N1286">
        <v>4968.2700000000004</v>
      </c>
      <c r="O1286">
        <v>2043.63</v>
      </c>
      <c r="P1286">
        <v>656.82</v>
      </c>
      <c r="Q1286">
        <v>372.09</v>
      </c>
      <c r="R1286">
        <v>1252.52</v>
      </c>
      <c r="S1286">
        <v>571.53</v>
      </c>
      <c r="T1286">
        <v>30057.09</v>
      </c>
      <c r="U1286">
        <v>18668.95</v>
      </c>
      <c r="V1286">
        <v>8804.08</v>
      </c>
      <c r="W1286">
        <v>8328.84</v>
      </c>
      <c r="X1286">
        <v>36602.68</v>
      </c>
      <c r="Y1286">
        <v>31226.94</v>
      </c>
    </row>
    <row r="1287" spans="1:25" x14ac:dyDescent="0.25">
      <c r="A1287" t="s">
        <v>1343</v>
      </c>
      <c r="B1287" s="1">
        <v>45295</v>
      </c>
      <c r="C1287">
        <v>2024</v>
      </c>
      <c r="D1287">
        <v>1</v>
      </c>
      <c r="E1287" t="s">
        <v>26</v>
      </c>
      <c r="F1287" t="s">
        <v>27</v>
      </c>
      <c r="G1287" t="s">
        <v>35</v>
      </c>
      <c r="H1287" t="s">
        <v>29</v>
      </c>
      <c r="I1287" t="s">
        <v>30</v>
      </c>
      <c r="J1287">
        <v>54</v>
      </c>
      <c r="K1287">
        <v>1604.89</v>
      </c>
      <c r="L1287">
        <v>86664.320000000007</v>
      </c>
      <c r="M1287">
        <v>45304.959999999999</v>
      </c>
      <c r="N1287">
        <v>8743.5400000000009</v>
      </c>
      <c r="O1287">
        <v>2799.54</v>
      </c>
      <c r="P1287">
        <v>2888.36</v>
      </c>
      <c r="Q1287">
        <v>466.95</v>
      </c>
      <c r="R1287">
        <v>5556.94</v>
      </c>
      <c r="S1287">
        <v>1777.57</v>
      </c>
      <c r="T1287">
        <v>67537.86</v>
      </c>
      <c r="U1287">
        <v>41359.360000000001</v>
      </c>
      <c r="V1287">
        <v>19126.46</v>
      </c>
      <c r="W1287">
        <v>16939.43</v>
      </c>
      <c r="X1287">
        <v>90943.22</v>
      </c>
      <c r="Y1287">
        <v>63311.34</v>
      </c>
    </row>
    <row r="1288" spans="1:25" x14ac:dyDescent="0.25">
      <c r="A1288" t="s">
        <v>1344</v>
      </c>
      <c r="B1288" s="1">
        <v>45296</v>
      </c>
      <c r="C1288">
        <v>2024</v>
      </c>
      <c r="D1288">
        <v>1</v>
      </c>
      <c r="E1288" t="s">
        <v>26</v>
      </c>
      <c r="F1288" t="s">
        <v>27</v>
      </c>
      <c r="G1288" t="s">
        <v>28</v>
      </c>
      <c r="H1288" t="s">
        <v>29</v>
      </c>
      <c r="I1288" t="s">
        <v>39</v>
      </c>
      <c r="J1288">
        <v>40</v>
      </c>
      <c r="K1288">
        <v>1365.99</v>
      </c>
      <c r="L1288">
        <v>54639.51</v>
      </c>
      <c r="M1288">
        <v>27391.77</v>
      </c>
      <c r="N1288">
        <v>6929.65</v>
      </c>
      <c r="O1288">
        <v>3222.74</v>
      </c>
      <c r="P1288">
        <v>1179.0999999999999</v>
      </c>
      <c r="Q1288">
        <v>651.70000000000005</v>
      </c>
      <c r="R1288">
        <v>1771.55</v>
      </c>
      <c r="S1288">
        <v>1284.1600000000001</v>
      </c>
      <c r="T1288">
        <v>42430.68</v>
      </c>
      <c r="U1288">
        <v>27247.73</v>
      </c>
      <c r="V1288">
        <v>12208.83</v>
      </c>
      <c r="W1288">
        <v>11158.5</v>
      </c>
      <c r="X1288">
        <v>57156.9</v>
      </c>
      <c r="Y1288">
        <v>40540.160000000003</v>
      </c>
    </row>
    <row r="1289" spans="1:25" x14ac:dyDescent="0.25">
      <c r="A1289" t="s">
        <v>1345</v>
      </c>
      <c r="B1289" s="1">
        <v>45296</v>
      </c>
      <c r="C1289">
        <v>2024</v>
      </c>
      <c r="D1289">
        <v>1</v>
      </c>
      <c r="E1289" t="s">
        <v>26</v>
      </c>
      <c r="F1289" t="s">
        <v>27</v>
      </c>
      <c r="G1289" t="s">
        <v>28</v>
      </c>
      <c r="H1289" t="s">
        <v>36</v>
      </c>
      <c r="I1289" t="s">
        <v>39</v>
      </c>
      <c r="J1289">
        <v>54</v>
      </c>
      <c r="K1289">
        <v>1011.51</v>
      </c>
      <c r="L1289">
        <v>54621.73</v>
      </c>
      <c r="M1289">
        <v>35926.28</v>
      </c>
      <c r="N1289">
        <v>6201.13</v>
      </c>
      <c r="O1289">
        <v>3943.57</v>
      </c>
      <c r="P1289">
        <v>1915.76</v>
      </c>
      <c r="Q1289">
        <v>778.81</v>
      </c>
      <c r="R1289">
        <v>3051.2</v>
      </c>
      <c r="S1289">
        <v>1328.51</v>
      </c>
      <c r="T1289">
        <v>53145.26</v>
      </c>
      <c r="U1289">
        <v>18695.46</v>
      </c>
      <c r="V1289">
        <v>1476.48</v>
      </c>
      <c r="W1289">
        <v>1444.61</v>
      </c>
      <c r="X1289">
        <v>55329.05</v>
      </c>
      <c r="Y1289">
        <v>51328.5</v>
      </c>
    </row>
    <row r="1290" spans="1:25" x14ac:dyDescent="0.25">
      <c r="A1290" t="s">
        <v>1346</v>
      </c>
      <c r="B1290" s="1">
        <v>45296</v>
      </c>
      <c r="C1290">
        <v>2024</v>
      </c>
      <c r="D1290">
        <v>1</v>
      </c>
      <c r="E1290" t="s">
        <v>26</v>
      </c>
      <c r="F1290" t="s">
        <v>27</v>
      </c>
      <c r="G1290" t="s">
        <v>28</v>
      </c>
      <c r="H1290" t="s">
        <v>32</v>
      </c>
      <c r="I1290" t="s">
        <v>30</v>
      </c>
      <c r="J1290">
        <v>96</v>
      </c>
      <c r="K1290">
        <v>1246.46</v>
      </c>
      <c r="L1290">
        <v>119659.96</v>
      </c>
      <c r="M1290">
        <v>62529.83</v>
      </c>
      <c r="N1290">
        <v>10929.81</v>
      </c>
      <c r="O1290">
        <v>4657.3999999999996</v>
      </c>
      <c r="P1290">
        <v>1931.77</v>
      </c>
      <c r="Q1290">
        <v>1999.35</v>
      </c>
      <c r="R1290">
        <v>7231.8</v>
      </c>
      <c r="S1290">
        <v>1072.18</v>
      </c>
      <c r="T1290">
        <v>90352.14</v>
      </c>
      <c r="U1290">
        <v>57130.14</v>
      </c>
      <c r="V1290">
        <v>29307.82</v>
      </c>
      <c r="W1290">
        <v>29212.68</v>
      </c>
      <c r="X1290">
        <v>122288.53</v>
      </c>
      <c r="Y1290">
        <v>94633.63</v>
      </c>
    </row>
    <row r="1291" spans="1:25" x14ac:dyDescent="0.25">
      <c r="A1291" t="s">
        <v>1347</v>
      </c>
      <c r="B1291" s="1">
        <v>45296</v>
      </c>
      <c r="C1291">
        <v>2024</v>
      </c>
      <c r="D1291">
        <v>1</v>
      </c>
      <c r="E1291" t="s">
        <v>26</v>
      </c>
      <c r="F1291" t="s">
        <v>27</v>
      </c>
      <c r="G1291" t="s">
        <v>44</v>
      </c>
      <c r="H1291" t="s">
        <v>58</v>
      </c>
      <c r="I1291" t="s">
        <v>39</v>
      </c>
      <c r="J1291">
        <v>44</v>
      </c>
      <c r="K1291">
        <v>1052.8</v>
      </c>
      <c r="L1291">
        <v>46323.14</v>
      </c>
      <c r="M1291">
        <v>24929.08</v>
      </c>
      <c r="N1291">
        <v>4842.5200000000004</v>
      </c>
      <c r="O1291">
        <v>1434.12</v>
      </c>
      <c r="P1291">
        <v>1569.58</v>
      </c>
      <c r="Q1291">
        <v>650.05999999999995</v>
      </c>
      <c r="R1291">
        <v>2171.71</v>
      </c>
      <c r="S1291">
        <v>910.31</v>
      </c>
      <c r="T1291">
        <v>36507.379999999997</v>
      </c>
      <c r="U1291">
        <v>21394.06</v>
      </c>
      <c r="V1291">
        <v>9815.76</v>
      </c>
      <c r="W1291">
        <v>9770.69</v>
      </c>
      <c r="X1291">
        <v>48793.4</v>
      </c>
      <c r="Y1291">
        <v>38390.19</v>
      </c>
    </row>
    <row r="1292" spans="1:25" x14ac:dyDescent="0.25">
      <c r="A1292" t="s">
        <v>1348</v>
      </c>
      <c r="B1292" s="1">
        <v>45297</v>
      </c>
      <c r="C1292">
        <v>2024</v>
      </c>
      <c r="D1292">
        <v>1</v>
      </c>
      <c r="E1292" t="s">
        <v>26</v>
      </c>
      <c r="F1292" t="s">
        <v>27</v>
      </c>
      <c r="G1292" t="s">
        <v>55</v>
      </c>
      <c r="H1292" t="s">
        <v>32</v>
      </c>
      <c r="I1292" t="s">
        <v>50</v>
      </c>
      <c r="J1292">
        <v>74</v>
      </c>
      <c r="K1292">
        <v>1064.51</v>
      </c>
      <c r="L1292">
        <v>78773.61</v>
      </c>
      <c r="M1292">
        <v>53533.61</v>
      </c>
      <c r="N1292">
        <v>7898.11</v>
      </c>
      <c r="O1292">
        <v>1982.71</v>
      </c>
      <c r="P1292">
        <v>1968.69</v>
      </c>
      <c r="Q1292">
        <v>1274.19</v>
      </c>
      <c r="R1292">
        <v>2606.3000000000002</v>
      </c>
      <c r="S1292">
        <v>1674.04</v>
      </c>
      <c r="T1292">
        <v>70937.64</v>
      </c>
      <c r="U1292">
        <v>25240</v>
      </c>
      <c r="V1292">
        <v>7835.97</v>
      </c>
      <c r="W1292">
        <v>7204.23</v>
      </c>
      <c r="X1292">
        <v>77079.37</v>
      </c>
      <c r="Y1292">
        <v>71532.53</v>
      </c>
    </row>
    <row r="1293" spans="1:25" x14ac:dyDescent="0.25">
      <c r="A1293" t="s">
        <v>1349</v>
      </c>
      <c r="B1293" s="1">
        <v>45297</v>
      </c>
      <c r="C1293">
        <v>2024</v>
      </c>
      <c r="D1293">
        <v>1</v>
      </c>
      <c r="E1293" t="s">
        <v>26</v>
      </c>
      <c r="F1293" t="s">
        <v>27</v>
      </c>
      <c r="G1293" t="s">
        <v>44</v>
      </c>
      <c r="H1293" t="s">
        <v>32</v>
      </c>
      <c r="I1293" t="s">
        <v>65</v>
      </c>
      <c r="J1293">
        <v>61</v>
      </c>
      <c r="K1293">
        <v>1068.56</v>
      </c>
      <c r="L1293">
        <v>65181.89</v>
      </c>
      <c r="M1293">
        <v>39333.53</v>
      </c>
      <c r="N1293">
        <v>7245.93</v>
      </c>
      <c r="O1293">
        <v>4650.47</v>
      </c>
      <c r="P1293">
        <v>2305.5700000000002</v>
      </c>
      <c r="Q1293">
        <v>454.81</v>
      </c>
      <c r="R1293">
        <v>2253.38</v>
      </c>
      <c r="S1293">
        <v>1428.13</v>
      </c>
      <c r="T1293">
        <v>57671.82</v>
      </c>
      <c r="U1293">
        <v>25848.36</v>
      </c>
      <c r="V1293">
        <v>7510.08</v>
      </c>
      <c r="W1293">
        <v>6676.85</v>
      </c>
      <c r="X1293">
        <v>61821.04</v>
      </c>
      <c r="Y1293">
        <v>55608.76</v>
      </c>
    </row>
    <row r="1294" spans="1:25" x14ac:dyDescent="0.25">
      <c r="A1294" t="s">
        <v>1350</v>
      </c>
      <c r="B1294" s="1">
        <v>45297</v>
      </c>
      <c r="C1294">
        <v>2024</v>
      </c>
      <c r="D1294">
        <v>1</v>
      </c>
      <c r="E1294" t="s">
        <v>26</v>
      </c>
      <c r="F1294" t="s">
        <v>27</v>
      </c>
      <c r="G1294" t="s">
        <v>28</v>
      </c>
      <c r="H1294" t="s">
        <v>32</v>
      </c>
      <c r="I1294" t="s">
        <v>50</v>
      </c>
      <c r="J1294">
        <v>43</v>
      </c>
      <c r="K1294">
        <v>1159.96</v>
      </c>
      <c r="L1294">
        <v>49878.47</v>
      </c>
      <c r="M1294">
        <v>29202.16</v>
      </c>
      <c r="N1294">
        <v>3879.01</v>
      </c>
      <c r="O1294">
        <v>1857.55</v>
      </c>
      <c r="P1294">
        <v>850.5</v>
      </c>
      <c r="Q1294">
        <v>619.15</v>
      </c>
      <c r="R1294">
        <v>2194.9</v>
      </c>
      <c r="S1294">
        <v>678.94</v>
      </c>
      <c r="T1294">
        <v>39282.199999999997</v>
      </c>
      <c r="U1294">
        <v>20676.310000000001</v>
      </c>
      <c r="V1294">
        <v>10596.26</v>
      </c>
      <c r="W1294">
        <v>10147.91</v>
      </c>
      <c r="X1294">
        <v>51333.19</v>
      </c>
      <c r="Y1294">
        <v>43044.6</v>
      </c>
    </row>
    <row r="1295" spans="1:25" x14ac:dyDescent="0.25">
      <c r="A1295" t="s">
        <v>1351</v>
      </c>
      <c r="B1295" s="1">
        <v>45298</v>
      </c>
      <c r="C1295">
        <v>2024</v>
      </c>
      <c r="D1295">
        <v>1</v>
      </c>
      <c r="E1295" t="s">
        <v>26</v>
      </c>
      <c r="F1295" t="s">
        <v>27</v>
      </c>
      <c r="G1295" t="s">
        <v>44</v>
      </c>
      <c r="H1295" t="s">
        <v>29</v>
      </c>
      <c r="I1295" t="s">
        <v>30</v>
      </c>
      <c r="J1295">
        <v>48</v>
      </c>
      <c r="K1295">
        <v>1788.42</v>
      </c>
      <c r="L1295">
        <v>85844.18</v>
      </c>
      <c r="M1295">
        <v>57670.81</v>
      </c>
      <c r="N1295">
        <v>8972.69</v>
      </c>
      <c r="O1295">
        <v>5931.26</v>
      </c>
      <c r="P1295">
        <v>2798.7</v>
      </c>
      <c r="Q1295">
        <v>1216.75</v>
      </c>
      <c r="R1295">
        <v>5019.5600000000004</v>
      </c>
      <c r="S1295">
        <v>1723.54</v>
      </c>
      <c r="T1295">
        <v>83333.3</v>
      </c>
      <c r="U1295">
        <v>28173.37</v>
      </c>
      <c r="V1295">
        <v>2510.87</v>
      </c>
      <c r="W1295">
        <v>2539.92</v>
      </c>
      <c r="X1295">
        <v>82472.25</v>
      </c>
      <c r="Y1295">
        <v>84337.44</v>
      </c>
    </row>
    <row r="1296" spans="1:25" x14ac:dyDescent="0.25">
      <c r="A1296" t="s">
        <v>1352</v>
      </c>
      <c r="B1296" s="1">
        <v>45299</v>
      </c>
      <c r="C1296">
        <v>2024</v>
      </c>
      <c r="D1296">
        <v>1</v>
      </c>
      <c r="E1296" t="s">
        <v>26</v>
      </c>
      <c r="F1296" t="s">
        <v>27</v>
      </c>
      <c r="G1296" t="s">
        <v>28</v>
      </c>
      <c r="H1296" t="s">
        <v>32</v>
      </c>
      <c r="I1296" t="s">
        <v>30</v>
      </c>
      <c r="J1296">
        <v>56</v>
      </c>
      <c r="K1296">
        <v>1670.11</v>
      </c>
      <c r="L1296">
        <v>93526.19</v>
      </c>
      <c r="M1296">
        <v>54162.59</v>
      </c>
      <c r="N1296">
        <v>9980.7199999999993</v>
      </c>
      <c r="O1296">
        <v>3607.79</v>
      </c>
      <c r="P1296">
        <v>2318.87</v>
      </c>
      <c r="Q1296">
        <v>584.44000000000005</v>
      </c>
      <c r="R1296">
        <v>3762.62</v>
      </c>
      <c r="S1296">
        <v>801.17</v>
      </c>
      <c r="T1296">
        <v>75218.19</v>
      </c>
      <c r="U1296">
        <v>39363.61</v>
      </c>
      <c r="V1296">
        <v>18308</v>
      </c>
      <c r="W1296">
        <v>18441.14</v>
      </c>
      <c r="X1296">
        <v>89172.89</v>
      </c>
      <c r="Y1296">
        <v>72525.27</v>
      </c>
    </row>
    <row r="1297" spans="1:25" x14ac:dyDescent="0.25">
      <c r="A1297" t="s">
        <v>1353</v>
      </c>
      <c r="B1297" s="1">
        <v>45299</v>
      </c>
      <c r="C1297">
        <v>2024</v>
      </c>
      <c r="D1297">
        <v>1</v>
      </c>
      <c r="E1297" t="s">
        <v>26</v>
      </c>
      <c r="F1297" t="s">
        <v>27</v>
      </c>
      <c r="G1297" t="s">
        <v>28</v>
      </c>
      <c r="H1297" t="s">
        <v>58</v>
      </c>
      <c r="I1297" t="s">
        <v>37</v>
      </c>
      <c r="J1297">
        <v>61</v>
      </c>
      <c r="K1297">
        <v>939.86</v>
      </c>
      <c r="L1297">
        <v>57331.48</v>
      </c>
      <c r="M1297">
        <v>31861.49</v>
      </c>
      <c r="N1297">
        <v>6285.48</v>
      </c>
      <c r="O1297">
        <v>1594.31</v>
      </c>
      <c r="P1297">
        <v>1651.43</v>
      </c>
      <c r="Q1297">
        <v>483.84</v>
      </c>
      <c r="R1297">
        <v>3693.9</v>
      </c>
      <c r="S1297">
        <v>1303.08</v>
      </c>
      <c r="T1297">
        <v>46873.52</v>
      </c>
      <c r="U1297">
        <v>25469.99</v>
      </c>
      <c r="V1297">
        <v>10457.959999999999</v>
      </c>
      <c r="W1297">
        <v>10659.62</v>
      </c>
      <c r="X1297">
        <v>62991.4</v>
      </c>
      <c r="Y1297">
        <v>43996.2</v>
      </c>
    </row>
    <row r="1298" spans="1:25" x14ac:dyDescent="0.25">
      <c r="A1298" t="s">
        <v>1354</v>
      </c>
      <c r="B1298" s="1">
        <v>45299</v>
      </c>
      <c r="C1298">
        <v>2024</v>
      </c>
      <c r="D1298">
        <v>1</v>
      </c>
      <c r="E1298" t="s">
        <v>26</v>
      </c>
      <c r="F1298" t="s">
        <v>27</v>
      </c>
      <c r="G1298" t="s">
        <v>28</v>
      </c>
      <c r="H1298" t="s">
        <v>32</v>
      </c>
      <c r="I1298" t="s">
        <v>65</v>
      </c>
      <c r="J1298">
        <v>57</v>
      </c>
      <c r="K1298">
        <v>1236.3900000000001</v>
      </c>
      <c r="L1298">
        <v>70474.06</v>
      </c>
      <c r="M1298">
        <v>39901.449999999997</v>
      </c>
      <c r="N1298">
        <v>8885.77</v>
      </c>
      <c r="O1298">
        <v>4674.2299999999996</v>
      </c>
      <c r="P1298">
        <v>2090.1999999999998</v>
      </c>
      <c r="Q1298">
        <v>567.88</v>
      </c>
      <c r="R1298">
        <v>2835.78</v>
      </c>
      <c r="S1298">
        <v>840.26</v>
      </c>
      <c r="T1298">
        <v>59795.57</v>
      </c>
      <c r="U1298">
        <v>30572.62</v>
      </c>
      <c r="V1298">
        <v>10678.49</v>
      </c>
      <c r="W1298">
        <v>10176.74</v>
      </c>
      <c r="X1298">
        <v>76963.460000000006</v>
      </c>
      <c r="Y1298">
        <v>61951.07</v>
      </c>
    </row>
    <row r="1299" spans="1:25" x14ac:dyDescent="0.25">
      <c r="A1299" t="s">
        <v>1355</v>
      </c>
      <c r="B1299" s="1">
        <v>45300</v>
      </c>
      <c r="C1299">
        <v>2024</v>
      </c>
      <c r="D1299">
        <v>1</v>
      </c>
      <c r="E1299" t="s">
        <v>26</v>
      </c>
      <c r="F1299" t="s">
        <v>27</v>
      </c>
      <c r="G1299" t="s">
        <v>44</v>
      </c>
      <c r="H1299" t="s">
        <v>29</v>
      </c>
      <c r="I1299" t="s">
        <v>45</v>
      </c>
      <c r="J1299">
        <v>27</v>
      </c>
      <c r="K1299">
        <v>1214.17</v>
      </c>
      <c r="L1299">
        <v>32782.550000000003</v>
      </c>
      <c r="M1299">
        <v>20436.89</v>
      </c>
      <c r="N1299">
        <v>2294.79</v>
      </c>
      <c r="O1299">
        <v>896.91</v>
      </c>
      <c r="P1299">
        <v>1302.57</v>
      </c>
      <c r="Q1299">
        <v>535.07000000000005</v>
      </c>
      <c r="R1299">
        <v>1079.05</v>
      </c>
      <c r="S1299">
        <v>278.27999999999997</v>
      </c>
      <c r="T1299">
        <v>26823.56</v>
      </c>
      <c r="U1299">
        <v>12345.66</v>
      </c>
      <c r="V1299">
        <v>5959</v>
      </c>
      <c r="W1299">
        <v>6011.12</v>
      </c>
      <c r="X1299">
        <v>36385.54</v>
      </c>
      <c r="Y1299">
        <v>25978.86</v>
      </c>
    </row>
    <row r="1300" spans="1:25" x14ac:dyDescent="0.25">
      <c r="A1300" t="s">
        <v>1356</v>
      </c>
      <c r="B1300" s="1">
        <v>45300</v>
      </c>
      <c r="C1300">
        <v>2024</v>
      </c>
      <c r="D1300">
        <v>1</v>
      </c>
      <c r="E1300" t="s">
        <v>26</v>
      </c>
      <c r="F1300" t="s">
        <v>27</v>
      </c>
      <c r="G1300" t="s">
        <v>28</v>
      </c>
      <c r="H1300" t="s">
        <v>29</v>
      </c>
      <c r="I1300" t="s">
        <v>50</v>
      </c>
      <c r="J1300">
        <v>30</v>
      </c>
      <c r="K1300">
        <v>1368.54</v>
      </c>
      <c r="L1300">
        <v>41056.29</v>
      </c>
      <c r="M1300">
        <v>27192.31</v>
      </c>
      <c r="N1300">
        <v>5002.6499999999996</v>
      </c>
      <c r="O1300">
        <v>1078.94</v>
      </c>
      <c r="P1300">
        <v>749.98</v>
      </c>
      <c r="Q1300">
        <v>667.98</v>
      </c>
      <c r="R1300">
        <v>1141.1600000000001</v>
      </c>
      <c r="S1300">
        <v>879.91</v>
      </c>
      <c r="T1300">
        <v>36712.94</v>
      </c>
      <c r="U1300">
        <v>13863.98</v>
      </c>
      <c r="V1300">
        <v>4343.3500000000004</v>
      </c>
      <c r="W1300">
        <v>3946.94</v>
      </c>
      <c r="X1300">
        <v>43671.7</v>
      </c>
      <c r="Y1300">
        <v>38743.300000000003</v>
      </c>
    </row>
    <row r="1301" spans="1:25" x14ac:dyDescent="0.25">
      <c r="A1301" t="s">
        <v>1357</v>
      </c>
      <c r="B1301" s="1">
        <v>45300</v>
      </c>
      <c r="C1301">
        <v>2024</v>
      </c>
      <c r="D1301">
        <v>1</v>
      </c>
      <c r="E1301" t="s">
        <v>26</v>
      </c>
      <c r="F1301" t="s">
        <v>27</v>
      </c>
      <c r="G1301" t="s">
        <v>55</v>
      </c>
      <c r="H1301" t="s">
        <v>32</v>
      </c>
      <c r="I1301" t="s">
        <v>37</v>
      </c>
      <c r="J1301">
        <v>42</v>
      </c>
      <c r="K1301">
        <v>1604.96</v>
      </c>
      <c r="L1301">
        <v>67408.240000000005</v>
      </c>
      <c r="M1301">
        <v>35722.54</v>
      </c>
      <c r="N1301">
        <v>8756.7900000000009</v>
      </c>
      <c r="O1301">
        <v>4942.12</v>
      </c>
      <c r="P1301">
        <v>2180.29</v>
      </c>
      <c r="Q1301">
        <v>666.43</v>
      </c>
      <c r="R1301">
        <v>2173.19</v>
      </c>
      <c r="S1301">
        <v>729.76</v>
      </c>
      <c r="T1301">
        <v>55171.12</v>
      </c>
      <c r="U1301">
        <v>31685.7</v>
      </c>
      <c r="V1301">
        <v>12237.12</v>
      </c>
      <c r="W1301">
        <v>11280.41</v>
      </c>
      <c r="X1301">
        <v>67099.61</v>
      </c>
      <c r="Y1301">
        <v>55180.56</v>
      </c>
    </row>
    <row r="1302" spans="1:25" x14ac:dyDescent="0.25">
      <c r="A1302" t="s">
        <v>1358</v>
      </c>
      <c r="B1302" s="1">
        <v>45301</v>
      </c>
      <c r="C1302">
        <v>2024</v>
      </c>
      <c r="D1302">
        <v>1</v>
      </c>
      <c r="E1302" t="s">
        <v>26</v>
      </c>
      <c r="F1302" t="s">
        <v>27</v>
      </c>
      <c r="G1302" t="s">
        <v>44</v>
      </c>
      <c r="H1302" t="s">
        <v>29</v>
      </c>
      <c r="I1302" t="s">
        <v>33</v>
      </c>
      <c r="J1302">
        <v>38</v>
      </c>
      <c r="K1302">
        <v>1548.34</v>
      </c>
      <c r="L1302">
        <v>58836.97</v>
      </c>
      <c r="M1302">
        <v>32795.870000000003</v>
      </c>
      <c r="N1302">
        <v>6291.15</v>
      </c>
      <c r="O1302">
        <v>1969.91</v>
      </c>
      <c r="P1302">
        <v>1523.08</v>
      </c>
      <c r="Q1302">
        <v>789.94</v>
      </c>
      <c r="R1302">
        <v>3246.73</v>
      </c>
      <c r="S1302">
        <v>730</v>
      </c>
      <c r="T1302">
        <v>47346.68</v>
      </c>
      <c r="U1302">
        <v>26041.1</v>
      </c>
      <c r="V1302">
        <v>11490.29</v>
      </c>
      <c r="W1302">
        <v>11647.31</v>
      </c>
      <c r="X1302">
        <v>63591.18</v>
      </c>
      <c r="Y1302">
        <v>51677.64</v>
      </c>
    </row>
    <row r="1303" spans="1:25" x14ac:dyDescent="0.25">
      <c r="A1303" t="s">
        <v>1359</v>
      </c>
      <c r="B1303" s="1">
        <v>45301</v>
      </c>
      <c r="C1303">
        <v>2024</v>
      </c>
      <c r="D1303">
        <v>1</v>
      </c>
      <c r="E1303" t="s">
        <v>26</v>
      </c>
      <c r="F1303" t="s">
        <v>27</v>
      </c>
      <c r="G1303" t="s">
        <v>28</v>
      </c>
      <c r="H1303" t="s">
        <v>58</v>
      </c>
      <c r="I1303" t="s">
        <v>37</v>
      </c>
      <c r="J1303">
        <v>68</v>
      </c>
      <c r="K1303">
        <v>1028.72</v>
      </c>
      <c r="L1303">
        <v>69952.94</v>
      </c>
      <c r="M1303">
        <v>37713.72</v>
      </c>
      <c r="N1303">
        <v>9046.69</v>
      </c>
      <c r="O1303">
        <v>3270.61</v>
      </c>
      <c r="P1303">
        <v>2168.91</v>
      </c>
      <c r="Q1303">
        <v>367.41</v>
      </c>
      <c r="R1303">
        <v>3886.56</v>
      </c>
      <c r="S1303">
        <v>933.98</v>
      </c>
      <c r="T1303">
        <v>57387.88</v>
      </c>
      <c r="U1303">
        <v>32239.22</v>
      </c>
      <c r="V1303">
        <v>12565.06</v>
      </c>
      <c r="W1303">
        <v>11274.02</v>
      </c>
      <c r="X1303">
        <v>67361.990000000005</v>
      </c>
      <c r="Y1303">
        <v>61428.09</v>
      </c>
    </row>
    <row r="1304" spans="1:25" x14ac:dyDescent="0.25">
      <c r="A1304" t="s">
        <v>1360</v>
      </c>
      <c r="B1304" s="1">
        <v>45301</v>
      </c>
      <c r="C1304">
        <v>2024</v>
      </c>
      <c r="D1304">
        <v>1</v>
      </c>
      <c r="E1304" t="s">
        <v>26</v>
      </c>
      <c r="F1304" t="s">
        <v>27</v>
      </c>
      <c r="G1304" t="s">
        <v>28</v>
      </c>
      <c r="H1304" t="s">
        <v>32</v>
      </c>
      <c r="I1304" t="s">
        <v>39</v>
      </c>
      <c r="J1304">
        <v>29</v>
      </c>
      <c r="K1304">
        <v>1793.02</v>
      </c>
      <c r="L1304">
        <v>51997.46</v>
      </c>
      <c r="M1304">
        <v>34148.81</v>
      </c>
      <c r="N1304">
        <v>4477.3999999999996</v>
      </c>
      <c r="O1304">
        <v>2556.23</v>
      </c>
      <c r="P1304">
        <v>1383.27</v>
      </c>
      <c r="Q1304">
        <v>803.61</v>
      </c>
      <c r="R1304">
        <v>1878.15</v>
      </c>
      <c r="S1304">
        <v>759.17</v>
      </c>
      <c r="T1304">
        <v>46006.64</v>
      </c>
      <c r="U1304">
        <v>17848.650000000001</v>
      </c>
      <c r="V1304">
        <v>5990.82</v>
      </c>
      <c r="W1304">
        <v>5439.58</v>
      </c>
      <c r="X1304">
        <v>49309.97</v>
      </c>
      <c r="Y1304">
        <v>49291.65</v>
      </c>
    </row>
    <row r="1305" spans="1:25" x14ac:dyDescent="0.25">
      <c r="A1305" t="s">
        <v>1361</v>
      </c>
      <c r="B1305" s="1">
        <v>45301</v>
      </c>
      <c r="C1305">
        <v>2024</v>
      </c>
      <c r="D1305">
        <v>1</v>
      </c>
      <c r="E1305" t="s">
        <v>26</v>
      </c>
      <c r="F1305" t="s">
        <v>27</v>
      </c>
      <c r="G1305" t="s">
        <v>35</v>
      </c>
      <c r="H1305" t="s">
        <v>32</v>
      </c>
      <c r="I1305" t="s">
        <v>56</v>
      </c>
      <c r="J1305">
        <v>40</v>
      </c>
      <c r="K1305">
        <v>1012.84</v>
      </c>
      <c r="L1305">
        <v>40513.65</v>
      </c>
      <c r="M1305">
        <v>19621.03</v>
      </c>
      <c r="N1305">
        <v>2890.02</v>
      </c>
      <c r="O1305">
        <v>1064.94</v>
      </c>
      <c r="P1305">
        <v>1020.81</v>
      </c>
      <c r="Q1305">
        <v>384.48</v>
      </c>
      <c r="R1305">
        <v>1475.48</v>
      </c>
      <c r="S1305">
        <v>706.52</v>
      </c>
      <c r="T1305">
        <v>27163.279999999999</v>
      </c>
      <c r="U1305">
        <v>20892.63</v>
      </c>
      <c r="V1305">
        <v>13350.38</v>
      </c>
      <c r="W1305">
        <v>13605.02</v>
      </c>
      <c r="X1305">
        <v>39439.919999999998</v>
      </c>
      <c r="Y1305">
        <v>28833.360000000001</v>
      </c>
    </row>
    <row r="1306" spans="1:25" x14ac:dyDescent="0.25">
      <c r="A1306" t="s">
        <v>1362</v>
      </c>
      <c r="B1306" s="1">
        <v>45301</v>
      </c>
      <c r="C1306">
        <v>2024</v>
      </c>
      <c r="D1306">
        <v>1</v>
      </c>
      <c r="E1306" t="s">
        <v>26</v>
      </c>
      <c r="F1306" t="s">
        <v>27</v>
      </c>
      <c r="G1306" t="s">
        <v>28</v>
      </c>
      <c r="H1306" t="s">
        <v>36</v>
      </c>
      <c r="I1306" t="s">
        <v>65</v>
      </c>
      <c r="J1306">
        <v>36</v>
      </c>
      <c r="K1306">
        <v>1685.94</v>
      </c>
      <c r="L1306">
        <v>60693.93</v>
      </c>
      <c r="M1306">
        <v>29945.22</v>
      </c>
      <c r="N1306">
        <v>5029.6499999999996</v>
      </c>
      <c r="O1306">
        <v>2398.89</v>
      </c>
      <c r="P1306">
        <v>2196.54</v>
      </c>
      <c r="Q1306">
        <v>543.13</v>
      </c>
      <c r="R1306">
        <v>1618.81</v>
      </c>
      <c r="S1306">
        <v>1021.47</v>
      </c>
      <c r="T1306">
        <v>42753.7</v>
      </c>
      <c r="U1306">
        <v>30748.71</v>
      </c>
      <c r="V1306">
        <v>17940.23</v>
      </c>
      <c r="W1306">
        <v>17648.189999999999</v>
      </c>
      <c r="X1306">
        <v>62971.98</v>
      </c>
      <c r="Y1306">
        <v>44321.62</v>
      </c>
    </row>
    <row r="1307" spans="1:25" x14ac:dyDescent="0.25">
      <c r="A1307" t="s">
        <v>1363</v>
      </c>
      <c r="B1307" s="1">
        <v>45301</v>
      </c>
      <c r="C1307">
        <v>2024</v>
      </c>
      <c r="D1307">
        <v>1</v>
      </c>
      <c r="E1307" t="s">
        <v>26</v>
      </c>
      <c r="F1307" t="s">
        <v>27</v>
      </c>
      <c r="G1307" t="s">
        <v>44</v>
      </c>
      <c r="H1307" t="s">
        <v>58</v>
      </c>
      <c r="I1307" t="s">
        <v>30</v>
      </c>
      <c r="J1307">
        <v>53</v>
      </c>
      <c r="K1307">
        <v>1271.04</v>
      </c>
      <c r="L1307">
        <v>67365.2</v>
      </c>
      <c r="M1307">
        <v>43786.559999999998</v>
      </c>
      <c r="N1307">
        <v>8472.49</v>
      </c>
      <c r="O1307">
        <v>3238.45</v>
      </c>
      <c r="P1307">
        <v>2452.96</v>
      </c>
      <c r="Q1307">
        <v>398.47</v>
      </c>
      <c r="R1307">
        <v>3655.19</v>
      </c>
      <c r="S1307">
        <v>822.73</v>
      </c>
      <c r="T1307">
        <v>62826.86</v>
      </c>
      <c r="U1307">
        <v>23578.639999999999</v>
      </c>
      <c r="V1307">
        <v>4538.34</v>
      </c>
      <c r="W1307">
        <v>4571.99</v>
      </c>
      <c r="X1307">
        <v>67981.34</v>
      </c>
      <c r="Y1307">
        <v>67374.62</v>
      </c>
    </row>
    <row r="1308" spans="1:25" x14ac:dyDescent="0.25">
      <c r="A1308" t="s">
        <v>1364</v>
      </c>
      <c r="B1308" s="1">
        <v>45302</v>
      </c>
      <c r="C1308">
        <v>2024</v>
      </c>
      <c r="D1308">
        <v>1</v>
      </c>
      <c r="E1308" t="s">
        <v>26</v>
      </c>
      <c r="F1308" t="s">
        <v>27</v>
      </c>
      <c r="G1308" t="s">
        <v>35</v>
      </c>
      <c r="H1308" t="s">
        <v>32</v>
      </c>
      <c r="I1308" t="s">
        <v>33</v>
      </c>
      <c r="J1308">
        <v>39</v>
      </c>
      <c r="K1308">
        <v>1807.94</v>
      </c>
      <c r="L1308">
        <v>70509.81</v>
      </c>
      <c r="M1308">
        <v>45391.67</v>
      </c>
      <c r="N1308">
        <v>8852.91</v>
      </c>
      <c r="O1308">
        <v>4744.3100000000004</v>
      </c>
      <c r="P1308">
        <v>1509.58</v>
      </c>
      <c r="Q1308">
        <v>1054.47</v>
      </c>
      <c r="R1308">
        <v>2488.5500000000002</v>
      </c>
      <c r="S1308">
        <v>1139.78</v>
      </c>
      <c r="T1308">
        <v>65181.26</v>
      </c>
      <c r="U1308">
        <v>25118.14</v>
      </c>
      <c r="V1308">
        <v>5328.55</v>
      </c>
      <c r="W1308">
        <v>5347.02</v>
      </c>
      <c r="X1308">
        <v>74490.399999999994</v>
      </c>
      <c r="Y1308">
        <v>68586.92</v>
      </c>
    </row>
    <row r="1309" spans="1:25" x14ac:dyDescent="0.25">
      <c r="A1309" t="s">
        <v>1365</v>
      </c>
      <c r="B1309" s="1">
        <v>45302</v>
      </c>
      <c r="C1309">
        <v>2024</v>
      </c>
      <c r="D1309">
        <v>1</v>
      </c>
      <c r="E1309" t="s">
        <v>26</v>
      </c>
      <c r="F1309" t="s">
        <v>27</v>
      </c>
      <c r="G1309" t="s">
        <v>35</v>
      </c>
      <c r="H1309" t="s">
        <v>32</v>
      </c>
      <c r="I1309" t="s">
        <v>56</v>
      </c>
      <c r="J1309">
        <v>35</v>
      </c>
      <c r="K1309">
        <v>851.68</v>
      </c>
      <c r="L1309">
        <v>29808.63</v>
      </c>
      <c r="M1309">
        <v>18222.47</v>
      </c>
      <c r="N1309">
        <v>2248.34</v>
      </c>
      <c r="O1309">
        <v>992.04</v>
      </c>
      <c r="P1309">
        <v>873.9</v>
      </c>
      <c r="Q1309">
        <v>189.3</v>
      </c>
      <c r="R1309">
        <v>1216.44</v>
      </c>
      <c r="S1309">
        <v>480.73</v>
      </c>
      <c r="T1309">
        <v>24223.23</v>
      </c>
      <c r="U1309">
        <v>11586.15</v>
      </c>
      <c r="V1309">
        <v>5585.39</v>
      </c>
      <c r="W1309">
        <v>5533.18</v>
      </c>
      <c r="X1309">
        <v>28432.17</v>
      </c>
      <c r="Y1309">
        <v>26008.45</v>
      </c>
    </row>
    <row r="1310" spans="1:25" x14ac:dyDescent="0.25">
      <c r="A1310" t="s">
        <v>1366</v>
      </c>
      <c r="B1310" s="1">
        <v>45302</v>
      </c>
      <c r="C1310">
        <v>2024</v>
      </c>
      <c r="D1310">
        <v>1</v>
      </c>
      <c r="E1310" t="s">
        <v>26</v>
      </c>
      <c r="F1310" t="s">
        <v>27</v>
      </c>
      <c r="G1310" t="s">
        <v>55</v>
      </c>
      <c r="H1310" t="s">
        <v>32</v>
      </c>
      <c r="I1310" t="s">
        <v>39</v>
      </c>
      <c r="J1310">
        <v>44</v>
      </c>
      <c r="K1310">
        <v>1145.46</v>
      </c>
      <c r="L1310">
        <v>50400.17</v>
      </c>
      <c r="M1310">
        <v>30783.46</v>
      </c>
      <c r="N1310">
        <v>5733.36</v>
      </c>
      <c r="O1310">
        <v>3668.37</v>
      </c>
      <c r="P1310">
        <v>1150.81</v>
      </c>
      <c r="Q1310">
        <v>659.76</v>
      </c>
      <c r="R1310">
        <v>2359.52</v>
      </c>
      <c r="S1310">
        <v>785.97</v>
      </c>
      <c r="T1310">
        <v>45141.26</v>
      </c>
      <c r="U1310">
        <v>19616.71</v>
      </c>
      <c r="V1310">
        <v>5258.92</v>
      </c>
      <c r="W1310">
        <v>4705.53</v>
      </c>
      <c r="X1310">
        <v>52752.02</v>
      </c>
      <c r="Y1310">
        <v>47696.52</v>
      </c>
    </row>
    <row r="1311" spans="1:25" x14ac:dyDescent="0.25">
      <c r="A1311" t="s">
        <v>1367</v>
      </c>
      <c r="B1311" s="1">
        <v>45303</v>
      </c>
      <c r="C1311">
        <v>2024</v>
      </c>
      <c r="D1311">
        <v>1</v>
      </c>
      <c r="E1311" t="s">
        <v>26</v>
      </c>
      <c r="F1311" t="s">
        <v>27</v>
      </c>
      <c r="G1311" t="s">
        <v>44</v>
      </c>
      <c r="H1311" t="s">
        <v>53</v>
      </c>
      <c r="I1311" t="s">
        <v>37</v>
      </c>
      <c r="J1311">
        <v>34</v>
      </c>
      <c r="K1311">
        <v>1580.93</v>
      </c>
      <c r="L1311">
        <v>53751.58</v>
      </c>
      <c r="M1311">
        <v>30320.57</v>
      </c>
      <c r="N1311">
        <v>6145.49</v>
      </c>
      <c r="O1311">
        <v>2953.44</v>
      </c>
      <c r="P1311">
        <v>1917.71</v>
      </c>
      <c r="Q1311">
        <v>892</v>
      </c>
      <c r="R1311">
        <v>1907.05</v>
      </c>
      <c r="S1311">
        <v>821.72</v>
      </c>
      <c r="T1311">
        <v>44957.99</v>
      </c>
      <c r="U1311">
        <v>23431</v>
      </c>
      <c r="V1311">
        <v>8793.58</v>
      </c>
      <c r="W1311">
        <v>8220.83</v>
      </c>
      <c r="X1311">
        <v>52105.07</v>
      </c>
      <c r="Y1311">
        <v>47829.4</v>
      </c>
    </row>
    <row r="1312" spans="1:25" x14ac:dyDescent="0.25">
      <c r="A1312" t="s">
        <v>1368</v>
      </c>
      <c r="B1312" s="1">
        <v>45303</v>
      </c>
      <c r="C1312">
        <v>2024</v>
      </c>
      <c r="D1312">
        <v>1</v>
      </c>
      <c r="E1312" t="s">
        <v>26</v>
      </c>
      <c r="F1312" t="s">
        <v>27</v>
      </c>
      <c r="G1312" t="s">
        <v>44</v>
      </c>
      <c r="H1312" t="s">
        <v>36</v>
      </c>
      <c r="I1312" t="s">
        <v>56</v>
      </c>
      <c r="J1312">
        <v>22</v>
      </c>
      <c r="K1312">
        <v>1634.09</v>
      </c>
      <c r="L1312">
        <v>35949.9</v>
      </c>
      <c r="M1312">
        <v>20917.04</v>
      </c>
      <c r="N1312">
        <v>2956.03</v>
      </c>
      <c r="O1312">
        <v>2572.39</v>
      </c>
      <c r="P1312">
        <v>1286.54</v>
      </c>
      <c r="Q1312">
        <v>200.15</v>
      </c>
      <c r="R1312">
        <v>944.04</v>
      </c>
      <c r="S1312">
        <v>644.79999999999995</v>
      </c>
      <c r="T1312">
        <v>29520.99</v>
      </c>
      <c r="U1312">
        <v>15032.86</v>
      </c>
      <c r="V1312">
        <v>6428.91</v>
      </c>
      <c r="W1312">
        <v>6490.52</v>
      </c>
      <c r="X1312">
        <v>39727.199999999997</v>
      </c>
      <c r="Y1312">
        <v>28030.69</v>
      </c>
    </row>
    <row r="1313" spans="1:25" x14ac:dyDescent="0.25">
      <c r="A1313" t="s">
        <v>1369</v>
      </c>
      <c r="B1313" s="1">
        <v>45304</v>
      </c>
      <c r="C1313">
        <v>2024</v>
      </c>
      <c r="D1313">
        <v>1</v>
      </c>
      <c r="E1313" t="s">
        <v>26</v>
      </c>
      <c r="F1313" t="s">
        <v>27</v>
      </c>
      <c r="G1313" t="s">
        <v>28</v>
      </c>
      <c r="H1313" t="s">
        <v>36</v>
      </c>
      <c r="I1313" t="s">
        <v>37</v>
      </c>
      <c r="J1313">
        <v>56</v>
      </c>
      <c r="K1313">
        <v>1106.5999999999999</v>
      </c>
      <c r="L1313">
        <v>61969.48</v>
      </c>
      <c r="M1313">
        <v>30285.73</v>
      </c>
      <c r="N1313">
        <v>4814.82</v>
      </c>
      <c r="O1313">
        <v>2905.9</v>
      </c>
      <c r="P1313">
        <v>1337.73</v>
      </c>
      <c r="Q1313">
        <v>876.2</v>
      </c>
      <c r="R1313">
        <v>1969.06</v>
      </c>
      <c r="S1313">
        <v>1515.42</v>
      </c>
      <c r="T1313">
        <v>43704.86</v>
      </c>
      <c r="U1313">
        <v>31683.75</v>
      </c>
      <c r="V1313">
        <v>18264.62</v>
      </c>
      <c r="W1313">
        <v>17629.32</v>
      </c>
      <c r="X1313">
        <v>58933.23</v>
      </c>
      <c r="Y1313">
        <v>47661.52</v>
      </c>
    </row>
    <row r="1314" spans="1:25" x14ac:dyDescent="0.25">
      <c r="A1314" t="s">
        <v>1370</v>
      </c>
      <c r="B1314" s="1">
        <v>45304</v>
      </c>
      <c r="C1314">
        <v>2024</v>
      </c>
      <c r="D1314">
        <v>1</v>
      </c>
      <c r="E1314" t="s">
        <v>26</v>
      </c>
      <c r="F1314" t="s">
        <v>27</v>
      </c>
      <c r="G1314" t="s">
        <v>55</v>
      </c>
      <c r="H1314" t="s">
        <v>36</v>
      </c>
      <c r="I1314" t="s">
        <v>39</v>
      </c>
      <c r="J1314">
        <v>31</v>
      </c>
      <c r="K1314">
        <v>1705.1</v>
      </c>
      <c r="L1314">
        <v>52858.21</v>
      </c>
      <c r="M1314">
        <v>33943.339999999997</v>
      </c>
      <c r="N1314">
        <v>6465.08</v>
      </c>
      <c r="O1314">
        <v>2497.41</v>
      </c>
      <c r="P1314">
        <v>1598.22</v>
      </c>
      <c r="Q1314">
        <v>377.83</v>
      </c>
      <c r="R1314">
        <v>1549.94</v>
      </c>
      <c r="S1314">
        <v>1062.55</v>
      </c>
      <c r="T1314">
        <v>47494.38</v>
      </c>
      <c r="U1314">
        <v>18914.87</v>
      </c>
      <c r="V1314">
        <v>5363.83</v>
      </c>
      <c r="W1314">
        <v>4829.8599999999997</v>
      </c>
      <c r="X1314">
        <v>52667.25</v>
      </c>
      <c r="Y1314">
        <v>51489.36</v>
      </c>
    </row>
    <row r="1315" spans="1:25" x14ac:dyDescent="0.25">
      <c r="A1315" t="s">
        <v>1371</v>
      </c>
      <c r="B1315" s="1">
        <v>45304</v>
      </c>
      <c r="C1315">
        <v>2024</v>
      </c>
      <c r="D1315">
        <v>1</v>
      </c>
      <c r="E1315" t="s">
        <v>26</v>
      </c>
      <c r="F1315" t="s">
        <v>27</v>
      </c>
      <c r="G1315" t="s">
        <v>55</v>
      </c>
      <c r="H1315" t="s">
        <v>58</v>
      </c>
      <c r="I1315" t="s">
        <v>33</v>
      </c>
      <c r="J1315">
        <v>88</v>
      </c>
      <c r="K1315">
        <v>1082.1099999999999</v>
      </c>
      <c r="L1315">
        <v>95225.76</v>
      </c>
      <c r="M1315">
        <v>49584.72</v>
      </c>
      <c r="N1315">
        <v>7067.07</v>
      </c>
      <c r="O1315">
        <v>4090.68</v>
      </c>
      <c r="P1315">
        <v>3976.2</v>
      </c>
      <c r="Q1315">
        <v>898.14</v>
      </c>
      <c r="R1315">
        <v>4711.1899999999996</v>
      </c>
      <c r="S1315">
        <v>1483.12</v>
      </c>
      <c r="T1315">
        <v>71811.11</v>
      </c>
      <c r="U1315">
        <v>45641.05</v>
      </c>
      <c r="V1315">
        <v>23414.66</v>
      </c>
      <c r="W1315">
        <v>22083.67</v>
      </c>
      <c r="X1315">
        <v>105428.8</v>
      </c>
      <c r="Y1315">
        <v>75532.740000000005</v>
      </c>
    </row>
    <row r="1316" spans="1:25" x14ac:dyDescent="0.25">
      <c r="A1316" t="s">
        <v>1372</v>
      </c>
      <c r="B1316" s="1">
        <v>45305</v>
      </c>
      <c r="C1316">
        <v>2024</v>
      </c>
      <c r="D1316">
        <v>1</v>
      </c>
      <c r="E1316" t="s">
        <v>26</v>
      </c>
      <c r="F1316" t="s">
        <v>27</v>
      </c>
      <c r="G1316" t="s">
        <v>28</v>
      </c>
      <c r="H1316" t="s">
        <v>36</v>
      </c>
      <c r="I1316" t="s">
        <v>30</v>
      </c>
      <c r="J1316">
        <v>101</v>
      </c>
      <c r="K1316">
        <v>861.35</v>
      </c>
      <c r="L1316">
        <v>86996.27</v>
      </c>
      <c r="M1316">
        <v>48088.639999999999</v>
      </c>
      <c r="N1316">
        <v>9958.7099999999991</v>
      </c>
      <c r="O1316">
        <v>3014.57</v>
      </c>
      <c r="P1316">
        <v>1929.27</v>
      </c>
      <c r="Q1316">
        <v>1354.44</v>
      </c>
      <c r="R1316">
        <v>3039.89</v>
      </c>
      <c r="S1316">
        <v>2174.4899999999998</v>
      </c>
      <c r="T1316">
        <v>69560.009999999995</v>
      </c>
      <c r="U1316">
        <v>38907.629999999997</v>
      </c>
      <c r="V1316">
        <v>17436.259999999998</v>
      </c>
      <c r="W1316">
        <v>17058.240000000002</v>
      </c>
      <c r="X1316">
        <v>91702.74</v>
      </c>
      <c r="Y1316">
        <v>68781.09</v>
      </c>
    </row>
    <row r="1317" spans="1:25" x14ac:dyDescent="0.25">
      <c r="A1317" t="s">
        <v>1373</v>
      </c>
      <c r="B1317" s="1">
        <v>45305</v>
      </c>
      <c r="C1317">
        <v>2024</v>
      </c>
      <c r="D1317">
        <v>1</v>
      </c>
      <c r="E1317" t="s">
        <v>26</v>
      </c>
      <c r="F1317" t="s">
        <v>27</v>
      </c>
      <c r="G1317" t="s">
        <v>55</v>
      </c>
      <c r="H1317" t="s">
        <v>58</v>
      </c>
      <c r="I1317" t="s">
        <v>37</v>
      </c>
      <c r="J1317">
        <v>52</v>
      </c>
      <c r="K1317">
        <v>1539.99</v>
      </c>
      <c r="L1317">
        <v>80079.520000000004</v>
      </c>
      <c r="M1317">
        <v>40145.760000000002</v>
      </c>
      <c r="N1317">
        <v>6118.77</v>
      </c>
      <c r="O1317">
        <v>5046.5600000000004</v>
      </c>
      <c r="P1317">
        <v>1285.5999999999999</v>
      </c>
      <c r="Q1317">
        <v>1062.6199999999999</v>
      </c>
      <c r="R1317">
        <v>3681.48</v>
      </c>
      <c r="S1317">
        <v>1776.64</v>
      </c>
      <c r="T1317">
        <v>59117.43</v>
      </c>
      <c r="U1317">
        <v>39933.760000000002</v>
      </c>
      <c r="V1317">
        <v>20962.09</v>
      </c>
      <c r="W1317">
        <v>20964.86</v>
      </c>
      <c r="X1317">
        <v>87133.99</v>
      </c>
      <c r="Y1317">
        <v>63485.63</v>
      </c>
    </row>
    <row r="1318" spans="1:25" x14ac:dyDescent="0.25">
      <c r="A1318" t="s">
        <v>1374</v>
      </c>
      <c r="B1318" s="1">
        <v>45305</v>
      </c>
      <c r="C1318">
        <v>2024</v>
      </c>
      <c r="D1318">
        <v>1</v>
      </c>
      <c r="E1318" t="s">
        <v>26</v>
      </c>
      <c r="F1318" t="s">
        <v>27</v>
      </c>
      <c r="G1318" t="s">
        <v>35</v>
      </c>
      <c r="H1318" t="s">
        <v>36</v>
      </c>
      <c r="I1318" t="s">
        <v>50</v>
      </c>
      <c r="J1318">
        <v>28</v>
      </c>
      <c r="K1318">
        <v>1521.24</v>
      </c>
      <c r="L1318">
        <v>42594.74</v>
      </c>
      <c r="M1318">
        <v>22132.51</v>
      </c>
      <c r="N1318">
        <v>3261.54</v>
      </c>
      <c r="O1318">
        <v>2319.42</v>
      </c>
      <c r="P1318">
        <v>1587.86</v>
      </c>
      <c r="Q1318">
        <v>479.4</v>
      </c>
      <c r="R1318">
        <v>1119.6300000000001</v>
      </c>
      <c r="S1318">
        <v>406.66</v>
      </c>
      <c r="T1318">
        <v>31307.02</v>
      </c>
      <c r="U1318">
        <v>20462.23</v>
      </c>
      <c r="V1318">
        <v>11287.72</v>
      </c>
      <c r="W1318">
        <v>10179.98</v>
      </c>
      <c r="X1318">
        <v>42080.15</v>
      </c>
      <c r="Y1318">
        <v>30419.75</v>
      </c>
    </row>
    <row r="1319" spans="1:25" x14ac:dyDescent="0.25">
      <c r="A1319" t="s">
        <v>1375</v>
      </c>
      <c r="B1319" s="1">
        <v>45306</v>
      </c>
      <c r="C1319">
        <v>2024</v>
      </c>
      <c r="D1319">
        <v>1</v>
      </c>
      <c r="E1319" t="s">
        <v>26</v>
      </c>
      <c r="F1319" t="s">
        <v>27</v>
      </c>
      <c r="G1319" t="s">
        <v>35</v>
      </c>
      <c r="H1319" t="s">
        <v>53</v>
      </c>
      <c r="I1319" t="s">
        <v>50</v>
      </c>
      <c r="J1319">
        <v>17</v>
      </c>
      <c r="K1319">
        <v>1746.57</v>
      </c>
      <c r="L1319">
        <v>29691.7</v>
      </c>
      <c r="M1319">
        <v>18471.95</v>
      </c>
      <c r="N1319">
        <v>2384.34</v>
      </c>
      <c r="O1319">
        <v>1660.03</v>
      </c>
      <c r="P1319">
        <v>690.85</v>
      </c>
      <c r="Q1319">
        <v>454.05</v>
      </c>
      <c r="R1319">
        <v>1165.8</v>
      </c>
      <c r="S1319">
        <v>259.95999999999998</v>
      </c>
      <c r="T1319">
        <v>25086.98</v>
      </c>
      <c r="U1319">
        <v>11219.75</v>
      </c>
      <c r="V1319">
        <v>4604.72</v>
      </c>
      <c r="W1319">
        <v>4534.0600000000004</v>
      </c>
      <c r="X1319">
        <v>29621.61</v>
      </c>
      <c r="Y1319">
        <v>27539.07</v>
      </c>
    </row>
    <row r="1320" spans="1:25" x14ac:dyDescent="0.25">
      <c r="A1320" t="s">
        <v>1376</v>
      </c>
      <c r="B1320" s="1">
        <v>45306</v>
      </c>
      <c r="C1320">
        <v>2024</v>
      </c>
      <c r="D1320">
        <v>1</v>
      </c>
      <c r="E1320" t="s">
        <v>26</v>
      </c>
      <c r="F1320" t="s">
        <v>27</v>
      </c>
      <c r="G1320" t="s">
        <v>44</v>
      </c>
      <c r="H1320" t="s">
        <v>53</v>
      </c>
      <c r="I1320" t="s">
        <v>37</v>
      </c>
      <c r="J1320">
        <v>48</v>
      </c>
      <c r="K1320">
        <v>1438.02</v>
      </c>
      <c r="L1320">
        <v>69025.179999999993</v>
      </c>
      <c r="M1320">
        <v>43514.48</v>
      </c>
      <c r="N1320">
        <v>6901.57</v>
      </c>
      <c r="O1320">
        <v>3103.52</v>
      </c>
      <c r="P1320">
        <v>1213.6099999999999</v>
      </c>
      <c r="Q1320">
        <v>1118.4100000000001</v>
      </c>
      <c r="R1320">
        <v>3703.39</v>
      </c>
      <c r="S1320">
        <v>1044.6500000000001</v>
      </c>
      <c r="T1320">
        <v>60599.64</v>
      </c>
      <c r="U1320">
        <v>25510.7</v>
      </c>
      <c r="V1320">
        <v>8425.5400000000009</v>
      </c>
      <c r="W1320">
        <v>7834.51</v>
      </c>
      <c r="X1320">
        <v>72395.850000000006</v>
      </c>
      <c r="Y1320">
        <v>66057.710000000006</v>
      </c>
    </row>
    <row r="1321" spans="1:25" x14ac:dyDescent="0.25">
      <c r="A1321" t="s">
        <v>1377</v>
      </c>
      <c r="B1321" s="1">
        <v>45306</v>
      </c>
      <c r="C1321">
        <v>2024</v>
      </c>
      <c r="D1321">
        <v>1</v>
      </c>
      <c r="E1321" t="s">
        <v>26</v>
      </c>
      <c r="F1321" t="s">
        <v>27</v>
      </c>
      <c r="G1321" t="s">
        <v>28</v>
      </c>
      <c r="H1321" t="s">
        <v>32</v>
      </c>
      <c r="I1321" t="s">
        <v>30</v>
      </c>
      <c r="J1321">
        <v>96</v>
      </c>
      <c r="K1321">
        <v>1354.69</v>
      </c>
      <c r="L1321">
        <v>130049.81</v>
      </c>
      <c r="M1321">
        <v>85910.35</v>
      </c>
      <c r="N1321">
        <v>9755.2199999999993</v>
      </c>
      <c r="O1321">
        <v>3401.1</v>
      </c>
      <c r="P1321">
        <v>3507.87</v>
      </c>
      <c r="Q1321">
        <v>1226.98</v>
      </c>
      <c r="R1321">
        <v>5079.28</v>
      </c>
      <c r="S1321">
        <v>2358.1799999999998</v>
      </c>
      <c r="T1321">
        <v>111238.98</v>
      </c>
      <c r="U1321">
        <v>44139.46</v>
      </c>
      <c r="V1321">
        <v>18810.830000000002</v>
      </c>
      <c r="W1321">
        <v>17290.12</v>
      </c>
      <c r="X1321">
        <v>142691.89000000001</v>
      </c>
      <c r="Y1321">
        <v>108063.67</v>
      </c>
    </row>
    <row r="1322" spans="1:25" x14ac:dyDescent="0.25">
      <c r="A1322" t="s">
        <v>1378</v>
      </c>
      <c r="B1322" s="1">
        <v>45307</v>
      </c>
      <c r="C1322">
        <v>2024</v>
      </c>
      <c r="D1322">
        <v>1</v>
      </c>
      <c r="E1322" t="s">
        <v>26</v>
      </c>
      <c r="F1322" t="s">
        <v>27</v>
      </c>
      <c r="G1322" t="s">
        <v>28</v>
      </c>
      <c r="H1322" t="s">
        <v>29</v>
      </c>
      <c r="I1322" t="s">
        <v>65</v>
      </c>
      <c r="J1322">
        <v>42</v>
      </c>
      <c r="K1322">
        <v>1511.64</v>
      </c>
      <c r="L1322">
        <v>63488.99</v>
      </c>
      <c r="M1322">
        <v>33424.26</v>
      </c>
      <c r="N1322">
        <v>4615.05</v>
      </c>
      <c r="O1322">
        <v>1878.8</v>
      </c>
      <c r="P1322">
        <v>2053.92</v>
      </c>
      <c r="Q1322">
        <v>355.77</v>
      </c>
      <c r="R1322">
        <v>3257.43</v>
      </c>
      <c r="S1322">
        <v>1168.28</v>
      </c>
      <c r="T1322">
        <v>46753.5</v>
      </c>
      <c r="U1322">
        <v>30064.73</v>
      </c>
      <c r="V1322">
        <v>16735.490000000002</v>
      </c>
      <c r="W1322">
        <v>16332.11</v>
      </c>
      <c r="X1322">
        <v>63385.59</v>
      </c>
      <c r="Y1322">
        <v>46400.47</v>
      </c>
    </row>
    <row r="1323" spans="1:25" x14ac:dyDescent="0.25">
      <c r="A1323" t="s">
        <v>1379</v>
      </c>
      <c r="B1323" s="1">
        <v>45307</v>
      </c>
      <c r="C1323">
        <v>2024</v>
      </c>
      <c r="D1323">
        <v>1</v>
      </c>
      <c r="E1323" t="s">
        <v>26</v>
      </c>
      <c r="F1323" t="s">
        <v>27</v>
      </c>
      <c r="G1323" t="s">
        <v>55</v>
      </c>
      <c r="H1323" t="s">
        <v>58</v>
      </c>
      <c r="I1323" t="s">
        <v>33</v>
      </c>
      <c r="J1323">
        <v>51</v>
      </c>
      <c r="K1323">
        <v>1512.2</v>
      </c>
      <c r="L1323">
        <v>77122.149999999994</v>
      </c>
      <c r="M1323">
        <v>39596.33</v>
      </c>
      <c r="N1323">
        <v>5986.6</v>
      </c>
      <c r="O1323">
        <v>3783.62</v>
      </c>
      <c r="P1323">
        <v>2806.39</v>
      </c>
      <c r="Q1323">
        <v>1118.72</v>
      </c>
      <c r="R1323">
        <v>2215.6</v>
      </c>
      <c r="S1323">
        <v>1091.06</v>
      </c>
      <c r="T1323">
        <v>56598.32</v>
      </c>
      <c r="U1323">
        <v>37525.82</v>
      </c>
      <c r="V1323">
        <v>20523.830000000002</v>
      </c>
      <c r="W1323">
        <v>18146.419999999998</v>
      </c>
      <c r="X1323">
        <v>72441.78</v>
      </c>
      <c r="Y1323">
        <v>58609</v>
      </c>
    </row>
    <row r="1324" spans="1:25" x14ac:dyDescent="0.25">
      <c r="A1324" t="s">
        <v>1380</v>
      </c>
      <c r="B1324" s="1">
        <v>45307</v>
      </c>
      <c r="C1324">
        <v>2024</v>
      </c>
      <c r="D1324">
        <v>1</v>
      </c>
      <c r="E1324" t="s">
        <v>26</v>
      </c>
      <c r="F1324" t="s">
        <v>27</v>
      </c>
      <c r="G1324" t="s">
        <v>28</v>
      </c>
      <c r="H1324" t="s">
        <v>36</v>
      </c>
      <c r="I1324" t="s">
        <v>39</v>
      </c>
      <c r="J1324">
        <v>39</v>
      </c>
      <c r="K1324">
        <v>1284.77</v>
      </c>
      <c r="L1324">
        <v>50106.17</v>
      </c>
      <c r="M1324">
        <v>26625.66</v>
      </c>
      <c r="N1324">
        <v>6107.43</v>
      </c>
      <c r="O1324">
        <v>2744.65</v>
      </c>
      <c r="P1324">
        <v>2050.75</v>
      </c>
      <c r="Q1324">
        <v>318.54000000000002</v>
      </c>
      <c r="R1324">
        <v>1346.37</v>
      </c>
      <c r="S1324">
        <v>930.95</v>
      </c>
      <c r="T1324">
        <v>40124.35</v>
      </c>
      <c r="U1324">
        <v>23480.5</v>
      </c>
      <c r="V1324">
        <v>9981.81</v>
      </c>
      <c r="W1324">
        <v>9373.7199999999993</v>
      </c>
      <c r="X1324">
        <v>49319.25</v>
      </c>
      <c r="Y1324">
        <v>41131.47</v>
      </c>
    </row>
    <row r="1325" spans="1:25" x14ac:dyDescent="0.25">
      <c r="A1325" t="s">
        <v>1381</v>
      </c>
      <c r="B1325" s="1">
        <v>45307</v>
      </c>
      <c r="C1325">
        <v>2024</v>
      </c>
      <c r="D1325">
        <v>1</v>
      </c>
      <c r="E1325" t="s">
        <v>26</v>
      </c>
      <c r="F1325" t="s">
        <v>27</v>
      </c>
      <c r="G1325" t="s">
        <v>28</v>
      </c>
      <c r="H1325" t="s">
        <v>53</v>
      </c>
      <c r="I1325" t="s">
        <v>30</v>
      </c>
      <c r="J1325">
        <v>82</v>
      </c>
      <c r="K1325">
        <v>1038.93</v>
      </c>
      <c r="L1325">
        <v>85192.65</v>
      </c>
      <c r="M1325">
        <v>49562.91</v>
      </c>
      <c r="N1325">
        <v>10742.1</v>
      </c>
      <c r="O1325">
        <v>6105.3</v>
      </c>
      <c r="P1325">
        <v>3466.44</v>
      </c>
      <c r="Q1325">
        <v>545.21</v>
      </c>
      <c r="R1325">
        <v>3546.61</v>
      </c>
      <c r="S1325">
        <v>1952.56</v>
      </c>
      <c r="T1325">
        <v>75921.14</v>
      </c>
      <c r="U1325">
        <v>35629.730000000003</v>
      </c>
      <c r="V1325">
        <v>9271.51</v>
      </c>
      <c r="W1325">
        <v>8211.26</v>
      </c>
      <c r="X1325">
        <v>90967.7</v>
      </c>
      <c r="Y1325">
        <v>80306.899999999994</v>
      </c>
    </row>
    <row r="1326" spans="1:25" x14ac:dyDescent="0.25">
      <c r="A1326" t="s">
        <v>1382</v>
      </c>
      <c r="B1326" s="1">
        <v>45308</v>
      </c>
      <c r="C1326">
        <v>2024</v>
      </c>
      <c r="D1326">
        <v>1</v>
      </c>
      <c r="E1326" t="s">
        <v>26</v>
      </c>
      <c r="F1326" t="s">
        <v>27</v>
      </c>
      <c r="G1326" t="s">
        <v>44</v>
      </c>
      <c r="H1326" t="s">
        <v>36</v>
      </c>
      <c r="I1326" t="s">
        <v>50</v>
      </c>
      <c r="J1326">
        <v>46</v>
      </c>
      <c r="K1326">
        <v>1083.48</v>
      </c>
      <c r="L1326">
        <v>49840.06</v>
      </c>
      <c r="M1326">
        <v>32962.31</v>
      </c>
      <c r="N1326">
        <v>5372.72</v>
      </c>
      <c r="O1326">
        <v>2844.03</v>
      </c>
      <c r="P1326">
        <v>890.82</v>
      </c>
      <c r="Q1326">
        <v>271.57</v>
      </c>
      <c r="R1326">
        <v>3122.56</v>
      </c>
      <c r="S1326">
        <v>699.09</v>
      </c>
      <c r="T1326">
        <v>46163.1</v>
      </c>
      <c r="U1326">
        <v>16877.75</v>
      </c>
      <c r="V1326">
        <v>3676.95</v>
      </c>
      <c r="W1326">
        <v>3378.73</v>
      </c>
      <c r="X1326">
        <v>53413.59</v>
      </c>
      <c r="Y1326">
        <v>50076.54</v>
      </c>
    </row>
    <row r="1327" spans="1:25" x14ac:dyDescent="0.25">
      <c r="A1327" t="s">
        <v>1383</v>
      </c>
      <c r="B1327" s="1">
        <v>45308</v>
      </c>
      <c r="C1327">
        <v>2024</v>
      </c>
      <c r="D1327">
        <v>1</v>
      </c>
      <c r="E1327" t="s">
        <v>26</v>
      </c>
      <c r="F1327" t="s">
        <v>27</v>
      </c>
      <c r="G1327" t="s">
        <v>44</v>
      </c>
      <c r="H1327" t="s">
        <v>36</v>
      </c>
      <c r="I1327" t="s">
        <v>39</v>
      </c>
      <c r="J1327">
        <v>28</v>
      </c>
      <c r="K1327">
        <v>1500.96</v>
      </c>
      <c r="L1327">
        <v>42026.83</v>
      </c>
      <c r="M1327">
        <v>25354.05</v>
      </c>
      <c r="N1327">
        <v>5173.83</v>
      </c>
      <c r="O1327">
        <v>1219.33</v>
      </c>
      <c r="P1327">
        <v>1821.72</v>
      </c>
      <c r="Q1327">
        <v>410.38</v>
      </c>
      <c r="R1327">
        <v>2461</v>
      </c>
      <c r="S1327">
        <v>682.41</v>
      </c>
      <c r="T1327">
        <v>37122.730000000003</v>
      </c>
      <c r="U1327">
        <v>16672.78</v>
      </c>
      <c r="V1327">
        <v>4904.1000000000004</v>
      </c>
      <c r="W1327">
        <v>4686.05</v>
      </c>
      <c r="X1327">
        <v>40655.47</v>
      </c>
      <c r="Y1327">
        <v>38114.43</v>
      </c>
    </row>
    <row r="1328" spans="1:25" x14ac:dyDescent="0.25">
      <c r="A1328" t="s">
        <v>1384</v>
      </c>
      <c r="B1328" s="1">
        <v>45309</v>
      </c>
      <c r="C1328">
        <v>2024</v>
      </c>
      <c r="D1328">
        <v>1</v>
      </c>
      <c r="E1328" t="s">
        <v>26</v>
      </c>
      <c r="F1328" t="s">
        <v>27</v>
      </c>
      <c r="G1328" t="s">
        <v>35</v>
      </c>
      <c r="H1328" t="s">
        <v>32</v>
      </c>
      <c r="I1328" t="s">
        <v>45</v>
      </c>
      <c r="J1328">
        <v>27</v>
      </c>
      <c r="K1328">
        <v>1526.58</v>
      </c>
      <c r="L1328">
        <v>41217.75</v>
      </c>
      <c r="M1328">
        <v>24250.3</v>
      </c>
      <c r="N1328">
        <v>3492.28</v>
      </c>
      <c r="O1328">
        <v>1372.54</v>
      </c>
      <c r="P1328">
        <v>1199.3599999999999</v>
      </c>
      <c r="Q1328">
        <v>674.29</v>
      </c>
      <c r="R1328">
        <v>1358.12</v>
      </c>
      <c r="S1328">
        <v>1020.84</v>
      </c>
      <c r="T1328">
        <v>33367.730000000003</v>
      </c>
      <c r="U1328">
        <v>16967.45</v>
      </c>
      <c r="V1328">
        <v>7850.02</v>
      </c>
      <c r="W1328">
        <v>7629.97</v>
      </c>
      <c r="X1328">
        <v>40206.1</v>
      </c>
      <c r="Y1328">
        <v>31590.880000000001</v>
      </c>
    </row>
    <row r="1329" spans="1:25" x14ac:dyDescent="0.25">
      <c r="A1329" t="s">
        <v>1385</v>
      </c>
      <c r="B1329" s="1">
        <v>45309</v>
      </c>
      <c r="C1329">
        <v>2024</v>
      </c>
      <c r="D1329">
        <v>1</v>
      </c>
      <c r="E1329" t="s">
        <v>26</v>
      </c>
      <c r="F1329" t="s">
        <v>27</v>
      </c>
      <c r="G1329" t="s">
        <v>28</v>
      </c>
      <c r="H1329" t="s">
        <v>32</v>
      </c>
      <c r="I1329" t="s">
        <v>39</v>
      </c>
      <c r="J1329">
        <v>35</v>
      </c>
      <c r="K1329">
        <v>1487.4</v>
      </c>
      <c r="L1329">
        <v>52059.02</v>
      </c>
      <c r="M1329">
        <v>32436.880000000001</v>
      </c>
      <c r="N1329">
        <v>4314.2700000000004</v>
      </c>
      <c r="O1329">
        <v>1798.36</v>
      </c>
      <c r="P1329">
        <v>2003.72</v>
      </c>
      <c r="Q1329">
        <v>323.41000000000003</v>
      </c>
      <c r="R1329">
        <v>1696.44</v>
      </c>
      <c r="S1329">
        <v>745.35</v>
      </c>
      <c r="T1329">
        <v>43318.42</v>
      </c>
      <c r="U1329">
        <v>19622.14</v>
      </c>
      <c r="V1329">
        <v>8740.6</v>
      </c>
      <c r="W1329">
        <v>8688.35</v>
      </c>
      <c r="X1329">
        <v>55068.32</v>
      </c>
      <c r="Y1329">
        <v>45401.13</v>
      </c>
    </row>
    <row r="1330" spans="1:25" x14ac:dyDescent="0.25">
      <c r="A1330" t="s">
        <v>1386</v>
      </c>
      <c r="B1330" s="1">
        <v>45309</v>
      </c>
      <c r="C1330">
        <v>2024</v>
      </c>
      <c r="D1330">
        <v>1</v>
      </c>
      <c r="E1330" t="s">
        <v>26</v>
      </c>
      <c r="F1330" t="s">
        <v>27</v>
      </c>
      <c r="G1330" t="s">
        <v>55</v>
      </c>
      <c r="H1330" t="s">
        <v>36</v>
      </c>
      <c r="I1330" t="s">
        <v>45</v>
      </c>
      <c r="J1330">
        <v>59</v>
      </c>
      <c r="K1330">
        <v>861.19</v>
      </c>
      <c r="L1330">
        <v>50810</v>
      </c>
      <c r="M1330">
        <v>26413.35</v>
      </c>
      <c r="N1330">
        <v>5283.69</v>
      </c>
      <c r="O1330">
        <v>1476.32</v>
      </c>
      <c r="P1330">
        <v>1354.42</v>
      </c>
      <c r="Q1330">
        <v>262.57</v>
      </c>
      <c r="R1330">
        <v>2678.34</v>
      </c>
      <c r="S1330">
        <v>757.37</v>
      </c>
      <c r="T1330">
        <v>38226.07</v>
      </c>
      <c r="U1330">
        <v>24396.65</v>
      </c>
      <c r="V1330">
        <v>12583.93</v>
      </c>
      <c r="W1330">
        <v>11283.82</v>
      </c>
      <c r="X1330">
        <v>46866.71</v>
      </c>
      <c r="Y1330">
        <v>39202.19</v>
      </c>
    </row>
    <row r="1331" spans="1:25" x14ac:dyDescent="0.25">
      <c r="A1331" t="s">
        <v>1387</v>
      </c>
      <c r="B1331" s="1">
        <v>45309</v>
      </c>
      <c r="C1331">
        <v>2024</v>
      </c>
      <c r="D1331">
        <v>1</v>
      </c>
      <c r="E1331" t="s">
        <v>26</v>
      </c>
      <c r="F1331" t="s">
        <v>27</v>
      </c>
      <c r="G1331" t="s">
        <v>44</v>
      </c>
      <c r="H1331" t="s">
        <v>58</v>
      </c>
      <c r="I1331" t="s">
        <v>45</v>
      </c>
      <c r="J1331">
        <v>17</v>
      </c>
      <c r="K1331">
        <v>1709.47</v>
      </c>
      <c r="L1331">
        <v>29060.93</v>
      </c>
      <c r="M1331">
        <v>15612.72</v>
      </c>
      <c r="N1331">
        <v>2830.4</v>
      </c>
      <c r="O1331">
        <v>2017.55</v>
      </c>
      <c r="P1331">
        <v>1009.81</v>
      </c>
      <c r="Q1331">
        <v>439.58</v>
      </c>
      <c r="R1331">
        <v>1285.43</v>
      </c>
      <c r="S1331">
        <v>601.13</v>
      </c>
      <c r="T1331">
        <v>23796.63</v>
      </c>
      <c r="U1331">
        <v>13448.22</v>
      </c>
      <c r="V1331">
        <v>5264.3</v>
      </c>
      <c r="W1331">
        <v>4925.28</v>
      </c>
      <c r="X1331">
        <v>31008.48</v>
      </c>
      <c r="Y1331">
        <v>23474.82</v>
      </c>
    </row>
    <row r="1332" spans="1:25" x14ac:dyDescent="0.25">
      <c r="A1332" t="s">
        <v>1388</v>
      </c>
      <c r="B1332" s="1">
        <v>45309</v>
      </c>
      <c r="C1332">
        <v>2024</v>
      </c>
      <c r="D1332">
        <v>1</v>
      </c>
      <c r="E1332" t="s">
        <v>26</v>
      </c>
      <c r="F1332" t="s">
        <v>27</v>
      </c>
      <c r="G1332" t="s">
        <v>55</v>
      </c>
      <c r="H1332" t="s">
        <v>29</v>
      </c>
      <c r="I1332" t="s">
        <v>37</v>
      </c>
      <c r="J1332">
        <v>50</v>
      </c>
      <c r="K1332">
        <v>1582.88</v>
      </c>
      <c r="L1332">
        <v>79144.240000000005</v>
      </c>
      <c r="M1332">
        <v>45193.95</v>
      </c>
      <c r="N1332">
        <v>8460.0300000000007</v>
      </c>
      <c r="O1332">
        <v>3551.37</v>
      </c>
      <c r="P1332">
        <v>3437.94</v>
      </c>
      <c r="Q1332">
        <v>766.28</v>
      </c>
      <c r="R1332">
        <v>2269.31</v>
      </c>
      <c r="S1332">
        <v>1188.26</v>
      </c>
      <c r="T1332">
        <v>64867.13</v>
      </c>
      <c r="U1332">
        <v>33950.300000000003</v>
      </c>
      <c r="V1332">
        <v>14277.11</v>
      </c>
      <c r="W1332">
        <v>14034.88</v>
      </c>
      <c r="X1332">
        <v>87380.19</v>
      </c>
      <c r="Y1332">
        <v>64382.84</v>
      </c>
    </row>
    <row r="1333" spans="1:25" x14ac:dyDescent="0.25">
      <c r="A1333" t="s">
        <v>1389</v>
      </c>
      <c r="B1333" s="1">
        <v>45309</v>
      </c>
      <c r="C1333">
        <v>2024</v>
      </c>
      <c r="D1333">
        <v>1</v>
      </c>
      <c r="E1333" t="s">
        <v>26</v>
      </c>
      <c r="F1333" t="s">
        <v>27</v>
      </c>
      <c r="G1333" t="s">
        <v>44</v>
      </c>
      <c r="H1333" t="s">
        <v>36</v>
      </c>
      <c r="I1333" t="s">
        <v>56</v>
      </c>
      <c r="J1333">
        <v>19</v>
      </c>
      <c r="K1333">
        <v>1708.06</v>
      </c>
      <c r="L1333">
        <v>32453.15</v>
      </c>
      <c r="M1333">
        <v>16844.169999999998</v>
      </c>
      <c r="N1333">
        <v>4049.56</v>
      </c>
      <c r="O1333">
        <v>872.48</v>
      </c>
      <c r="P1333">
        <v>619.15</v>
      </c>
      <c r="Q1333">
        <v>470.02</v>
      </c>
      <c r="R1333">
        <v>1035.6300000000001</v>
      </c>
      <c r="S1333">
        <v>338.67</v>
      </c>
      <c r="T1333">
        <v>24229.67</v>
      </c>
      <c r="U1333">
        <v>15608.98</v>
      </c>
      <c r="V1333">
        <v>8223.48</v>
      </c>
      <c r="W1333">
        <v>8309.2900000000009</v>
      </c>
      <c r="X1333">
        <v>31683.48</v>
      </c>
      <c r="Y1333">
        <v>25095.61</v>
      </c>
    </row>
    <row r="1334" spans="1:25" x14ac:dyDescent="0.25">
      <c r="A1334" t="s">
        <v>1390</v>
      </c>
      <c r="B1334" s="1">
        <v>45310</v>
      </c>
      <c r="C1334">
        <v>2024</v>
      </c>
      <c r="D1334">
        <v>1</v>
      </c>
      <c r="E1334" t="s">
        <v>26</v>
      </c>
      <c r="F1334" t="s">
        <v>27</v>
      </c>
      <c r="G1334" t="s">
        <v>28</v>
      </c>
      <c r="H1334" t="s">
        <v>53</v>
      </c>
      <c r="I1334" t="s">
        <v>45</v>
      </c>
      <c r="J1334">
        <v>25</v>
      </c>
      <c r="K1334">
        <v>1432.13</v>
      </c>
      <c r="L1334">
        <v>35803.300000000003</v>
      </c>
      <c r="M1334">
        <v>19274.490000000002</v>
      </c>
      <c r="N1334">
        <v>3972.27</v>
      </c>
      <c r="O1334">
        <v>1069.49</v>
      </c>
      <c r="P1334">
        <v>1355.59</v>
      </c>
      <c r="Q1334">
        <v>208.13</v>
      </c>
      <c r="R1334">
        <v>2008.88</v>
      </c>
      <c r="S1334">
        <v>289.27999999999997</v>
      </c>
      <c r="T1334">
        <v>28178.13</v>
      </c>
      <c r="U1334">
        <v>16528.810000000001</v>
      </c>
      <c r="V1334">
        <v>7625.17</v>
      </c>
      <c r="W1334">
        <v>7441.1</v>
      </c>
      <c r="X1334">
        <v>39031.14</v>
      </c>
      <c r="Y1334">
        <v>30488.959999999999</v>
      </c>
    </row>
    <row r="1335" spans="1:25" x14ac:dyDescent="0.25">
      <c r="A1335" t="s">
        <v>1391</v>
      </c>
      <c r="B1335" s="1">
        <v>45310</v>
      </c>
      <c r="C1335">
        <v>2024</v>
      </c>
      <c r="D1335">
        <v>1</v>
      </c>
      <c r="E1335" t="s">
        <v>26</v>
      </c>
      <c r="F1335" t="s">
        <v>27</v>
      </c>
      <c r="G1335" t="s">
        <v>28</v>
      </c>
      <c r="H1335" t="s">
        <v>29</v>
      </c>
      <c r="I1335" t="s">
        <v>65</v>
      </c>
      <c r="J1335">
        <v>40</v>
      </c>
      <c r="K1335">
        <v>1542.89</v>
      </c>
      <c r="L1335">
        <v>61715.51</v>
      </c>
      <c r="M1335">
        <v>30810.85</v>
      </c>
      <c r="N1335">
        <v>4779.17</v>
      </c>
      <c r="O1335">
        <v>4383.97</v>
      </c>
      <c r="P1335">
        <v>1297.76</v>
      </c>
      <c r="Q1335">
        <v>997.66</v>
      </c>
      <c r="R1335">
        <v>3411.44</v>
      </c>
      <c r="S1335">
        <v>1411</v>
      </c>
      <c r="T1335">
        <v>47091.839999999997</v>
      </c>
      <c r="U1335">
        <v>30904.66</v>
      </c>
      <c r="V1335">
        <v>14623.67</v>
      </c>
      <c r="W1335">
        <v>13260.42</v>
      </c>
      <c r="X1335">
        <v>67024.95</v>
      </c>
      <c r="Y1335">
        <v>50869.06</v>
      </c>
    </row>
    <row r="1336" spans="1:25" x14ac:dyDescent="0.25">
      <c r="A1336" t="s">
        <v>1392</v>
      </c>
      <c r="B1336" s="1">
        <v>45310</v>
      </c>
      <c r="C1336">
        <v>2024</v>
      </c>
      <c r="D1336">
        <v>1</v>
      </c>
      <c r="E1336" t="s">
        <v>26</v>
      </c>
      <c r="F1336" t="s">
        <v>27</v>
      </c>
      <c r="G1336" t="s">
        <v>35</v>
      </c>
      <c r="H1336" t="s">
        <v>32</v>
      </c>
      <c r="I1336" t="s">
        <v>45</v>
      </c>
      <c r="J1336">
        <v>43</v>
      </c>
      <c r="K1336">
        <v>1339.04</v>
      </c>
      <c r="L1336">
        <v>57578.68</v>
      </c>
      <c r="M1336">
        <v>29380.29</v>
      </c>
      <c r="N1336">
        <v>7195.04</v>
      </c>
      <c r="O1336">
        <v>2053.35</v>
      </c>
      <c r="P1336">
        <v>1874.93</v>
      </c>
      <c r="Q1336">
        <v>744.33</v>
      </c>
      <c r="R1336">
        <v>3410.89</v>
      </c>
      <c r="S1336">
        <v>1071.25</v>
      </c>
      <c r="T1336">
        <v>45730.07</v>
      </c>
      <c r="U1336">
        <v>28198.39</v>
      </c>
      <c r="V1336">
        <v>11848.61</v>
      </c>
      <c r="W1336">
        <v>11229.18</v>
      </c>
      <c r="X1336">
        <v>63583.82</v>
      </c>
      <c r="Y1336">
        <v>46801.78</v>
      </c>
    </row>
    <row r="1337" spans="1:25" x14ac:dyDescent="0.25">
      <c r="A1337" t="s">
        <v>1393</v>
      </c>
      <c r="B1337" s="1">
        <v>45310</v>
      </c>
      <c r="C1337">
        <v>2024</v>
      </c>
      <c r="D1337">
        <v>1</v>
      </c>
      <c r="E1337" t="s">
        <v>26</v>
      </c>
      <c r="F1337" t="s">
        <v>27</v>
      </c>
      <c r="G1337" t="s">
        <v>55</v>
      </c>
      <c r="H1337" t="s">
        <v>36</v>
      </c>
      <c r="I1337" t="s">
        <v>30</v>
      </c>
      <c r="J1337">
        <v>137</v>
      </c>
      <c r="K1337">
        <v>847.94</v>
      </c>
      <c r="L1337">
        <v>116167.27</v>
      </c>
      <c r="M1337">
        <v>69066.63</v>
      </c>
      <c r="N1337">
        <v>9470.01</v>
      </c>
      <c r="O1337">
        <v>3342.66</v>
      </c>
      <c r="P1337">
        <v>2171.2199999999998</v>
      </c>
      <c r="Q1337">
        <v>1651.62</v>
      </c>
      <c r="R1337">
        <v>5837.26</v>
      </c>
      <c r="S1337">
        <v>1480.6</v>
      </c>
      <c r="T1337">
        <v>93020</v>
      </c>
      <c r="U1337">
        <v>47100.639999999999</v>
      </c>
      <c r="V1337">
        <v>23147.27</v>
      </c>
      <c r="W1337">
        <v>21484.43</v>
      </c>
      <c r="X1337">
        <v>124354.2</v>
      </c>
      <c r="Y1337">
        <v>99946.9</v>
      </c>
    </row>
    <row r="1338" spans="1:25" x14ac:dyDescent="0.25">
      <c r="A1338" t="s">
        <v>1394</v>
      </c>
      <c r="B1338" s="1">
        <v>45310</v>
      </c>
      <c r="C1338">
        <v>2024</v>
      </c>
      <c r="D1338">
        <v>1</v>
      </c>
      <c r="E1338" t="s">
        <v>26</v>
      </c>
      <c r="F1338" t="s">
        <v>27</v>
      </c>
      <c r="G1338" t="s">
        <v>35</v>
      </c>
      <c r="H1338" t="s">
        <v>36</v>
      </c>
      <c r="I1338" t="s">
        <v>37</v>
      </c>
      <c r="J1338">
        <v>27</v>
      </c>
      <c r="K1338">
        <v>1770.41</v>
      </c>
      <c r="L1338">
        <v>47801.18</v>
      </c>
      <c r="M1338">
        <v>25199.279999999999</v>
      </c>
      <c r="N1338">
        <v>4716.1400000000003</v>
      </c>
      <c r="O1338">
        <v>2603.14</v>
      </c>
      <c r="P1338">
        <v>1369.68</v>
      </c>
      <c r="Q1338">
        <v>717.64</v>
      </c>
      <c r="R1338">
        <v>1776.67</v>
      </c>
      <c r="S1338">
        <v>401.88</v>
      </c>
      <c r="T1338">
        <v>36784.42</v>
      </c>
      <c r="U1338">
        <v>22601.9</v>
      </c>
      <c r="V1338">
        <v>11016.76</v>
      </c>
      <c r="W1338">
        <v>10389.459999999999</v>
      </c>
      <c r="X1338">
        <v>48668.95</v>
      </c>
      <c r="Y1338">
        <v>35780.22</v>
      </c>
    </row>
    <row r="1339" spans="1:25" x14ac:dyDescent="0.25">
      <c r="A1339" t="s">
        <v>1395</v>
      </c>
      <c r="B1339" s="1">
        <v>45310</v>
      </c>
      <c r="C1339">
        <v>2024</v>
      </c>
      <c r="D1339">
        <v>1</v>
      </c>
      <c r="E1339" t="s">
        <v>26</v>
      </c>
      <c r="F1339" t="s">
        <v>27</v>
      </c>
      <c r="G1339" t="s">
        <v>28</v>
      </c>
      <c r="H1339" t="s">
        <v>58</v>
      </c>
      <c r="I1339" t="s">
        <v>30</v>
      </c>
      <c r="J1339">
        <v>75</v>
      </c>
      <c r="K1339">
        <v>1150.6099999999999</v>
      </c>
      <c r="L1339">
        <v>86296.12</v>
      </c>
      <c r="M1339">
        <v>41755.21</v>
      </c>
      <c r="N1339">
        <v>6557.95</v>
      </c>
      <c r="O1339">
        <v>6171.95</v>
      </c>
      <c r="P1339">
        <v>1604.48</v>
      </c>
      <c r="Q1339">
        <v>1403.79</v>
      </c>
      <c r="R1339">
        <v>5273.76</v>
      </c>
      <c r="S1339">
        <v>1405.76</v>
      </c>
      <c r="T1339">
        <v>64172.9</v>
      </c>
      <c r="U1339">
        <v>44540.91</v>
      </c>
      <c r="V1339">
        <v>22123.22</v>
      </c>
      <c r="W1339">
        <v>22140.35</v>
      </c>
      <c r="X1339">
        <v>94639.47</v>
      </c>
      <c r="Y1339">
        <v>67920.44</v>
      </c>
    </row>
    <row r="1340" spans="1:25" x14ac:dyDescent="0.25">
      <c r="A1340" t="s">
        <v>1396</v>
      </c>
      <c r="B1340" s="1">
        <v>45311</v>
      </c>
      <c r="C1340">
        <v>2024</v>
      </c>
      <c r="D1340">
        <v>1</v>
      </c>
      <c r="E1340" t="s">
        <v>26</v>
      </c>
      <c r="F1340" t="s">
        <v>27</v>
      </c>
      <c r="G1340" t="s">
        <v>44</v>
      </c>
      <c r="H1340" t="s">
        <v>32</v>
      </c>
      <c r="I1340" t="s">
        <v>45</v>
      </c>
      <c r="J1340">
        <v>30</v>
      </c>
      <c r="K1340">
        <v>1313.05</v>
      </c>
      <c r="L1340">
        <v>39391.64</v>
      </c>
      <c r="M1340">
        <v>26458.19</v>
      </c>
      <c r="N1340">
        <v>3688.07</v>
      </c>
      <c r="O1340">
        <v>2670.16</v>
      </c>
      <c r="P1340">
        <v>713.66</v>
      </c>
      <c r="Q1340">
        <v>604.9</v>
      </c>
      <c r="R1340">
        <v>1159.76</v>
      </c>
      <c r="S1340">
        <v>489.97</v>
      </c>
      <c r="T1340">
        <v>35784.699999999997</v>
      </c>
      <c r="U1340">
        <v>12933.45</v>
      </c>
      <c r="V1340">
        <v>3606.94</v>
      </c>
      <c r="W1340">
        <v>3660.42</v>
      </c>
      <c r="X1340">
        <v>42260.55</v>
      </c>
      <c r="Y1340">
        <v>37659.89</v>
      </c>
    </row>
    <row r="1341" spans="1:25" x14ac:dyDescent="0.25">
      <c r="A1341" t="s">
        <v>1397</v>
      </c>
      <c r="B1341" s="1">
        <v>45311</v>
      </c>
      <c r="C1341">
        <v>2024</v>
      </c>
      <c r="D1341">
        <v>1</v>
      </c>
      <c r="E1341" t="s">
        <v>26</v>
      </c>
      <c r="F1341" t="s">
        <v>27</v>
      </c>
      <c r="G1341" t="s">
        <v>44</v>
      </c>
      <c r="H1341" t="s">
        <v>53</v>
      </c>
      <c r="I1341" t="s">
        <v>39</v>
      </c>
      <c r="J1341">
        <v>20</v>
      </c>
      <c r="K1341">
        <v>1460.29</v>
      </c>
      <c r="L1341">
        <v>29205.78</v>
      </c>
      <c r="M1341">
        <v>18098.990000000002</v>
      </c>
      <c r="N1341">
        <v>3556.21</v>
      </c>
      <c r="O1341">
        <v>966.59</v>
      </c>
      <c r="P1341">
        <v>1048.95</v>
      </c>
      <c r="Q1341">
        <v>324.19</v>
      </c>
      <c r="R1341">
        <v>1305.43</v>
      </c>
      <c r="S1341">
        <v>607.16999999999996</v>
      </c>
      <c r="T1341">
        <v>25907.52</v>
      </c>
      <c r="U1341">
        <v>11106.79</v>
      </c>
      <c r="V1341">
        <v>3298.26</v>
      </c>
      <c r="W1341">
        <v>3125.51</v>
      </c>
      <c r="X1341">
        <v>28725.46</v>
      </c>
      <c r="Y1341">
        <v>24655.63</v>
      </c>
    </row>
    <row r="1342" spans="1:25" x14ac:dyDescent="0.25">
      <c r="A1342" t="s">
        <v>1398</v>
      </c>
      <c r="B1342" s="1">
        <v>45312</v>
      </c>
      <c r="C1342">
        <v>2024</v>
      </c>
      <c r="D1342">
        <v>1</v>
      </c>
      <c r="E1342" t="s">
        <v>26</v>
      </c>
      <c r="F1342" t="s">
        <v>27</v>
      </c>
      <c r="G1342" t="s">
        <v>28</v>
      </c>
      <c r="H1342" t="s">
        <v>36</v>
      </c>
      <c r="I1342" t="s">
        <v>45</v>
      </c>
      <c r="J1342">
        <v>41</v>
      </c>
      <c r="K1342">
        <v>1419.19</v>
      </c>
      <c r="L1342">
        <v>58186.86</v>
      </c>
      <c r="M1342">
        <v>31912.31</v>
      </c>
      <c r="N1342">
        <v>5902.56</v>
      </c>
      <c r="O1342">
        <v>2149.9</v>
      </c>
      <c r="P1342">
        <v>1371.29</v>
      </c>
      <c r="Q1342">
        <v>526.97</v>
      </c>
      <c r="R1342">
        <v>3738.11</v>
      </c>
      <c r="S1342">
        <v>491.62</v>
      </c>
      <c r="T1342">
        <v>46092.76</v>
      </c>
      <c r="U1342">
        <v>26274.55</v>
      </c>
      <c r="V1342">
        <v>12094.09</v>
      </c>
      <c r="W1342">
        <v>11687.98</v>
      </c>
      <c r="X1342">
        <v>63028.5</v>
      </c>
      <c r="Y1342">
        <v>44221.27</v>
      </c>
    </row>
    <row r="1343" spans="1:25" x14ac:dyDescent="0.25">
      <c r="A1343" t="s">
        <v>1399</v>
      </c>
      <c r="B1343" s="1">
        <v>45312</v>
      </c>
      <c r="C1343">
        <v>2024</v>
      </c>
      <c r="D1343">
        <v>1</v>
      </c>
      <c r="E1343" t="s">
        <v>26</v>
      </c>
      <c r="F1343" t="s">
        <v>27</v>
      </c>
      <c r="G1343" t="s">
        <v>55</v>
      </c>
      <c r="H1343" t="s">
        <v>36</v>
      </c>
      <c r="I1343" t="s">
        <v>30</v>
      </c>
      <c r="J1343">
        <v>58</v>
      </c>
      <c r="K1343">
        <v>1607.82</v>
      </c>
      <c r="L1343">
        <v>93253.440000000002</v>
      </c>
      <c r="M1343">
        <v>59069.919999999998</v>
      </c>
      <c r="N1343">
        <v>9545.0499999999993</v>
      </c>
      <c r="O1343">
        <v>6680.91</v>
      </c>
      <c r="P1343">
        <v>2895.99</v>
      </c>
      <c r="Q1343">
        <v>1349.24</v>
      </c>
      <c r="R1343">
        <v>3339.42</v>
      </c>
      <c r="S1343">
        <v>1978.67</v>
      </c>
      <c r="T1343">
        <v>84859.19</v>
      </c>
      <c r="U1343">
        <v>34183.519999999997</v>
      </c>
      <c r="V1343">
        <v>8394.25</v>
      </c>
      <c r="W1343">
        <v>8560.3700000000008</v>
      </c>
      <c r="X1343">
        <v>100002.85</v>
      </c>
      <c r="Y1343">
        <v>80415.100000000006</v>
      </c>
    </row>
    <row r="1344" spans="1:25" x14ac:dyDescent="0.25">
      <c r="A1344" t="s">
        <v>1400</v>
      </c>
      <c r="B1344" s="1">
        <v>45312</v>
      </c>
      <c r="C1344">
        <v>2024</v>
      </c>
      <c r="D1344">
        <v>1</v>
      </c>
      <c r="E1344" t="s">
        <v>26</v>
      </c>
      <c r="F1344" t="s">
        <v>27</v>
      </c>
      <c r="G1344" t="s">
        <v>44</v>
      </c>
      <c r="H1344" t="s">
        <v>36</v>
      </c>
      <c r="I1344" t="s">
        <v>50</v>
      </c>
      <c r="J1344">
        <v>27</v>
      </c>
      <c r="K1344">
        <v>1410.76</v>
      </c>
      <c r="L1344">
        <v>38090.519999999997</v>
      </c>
      <c r="M1344">
        <v>24089.17</v>
      </c>
      <c r="N1344">
        <v>4610.5</v>
      </c>
      <c r="O1344">
        <v>1533.47</v>
      </c>
      <c r="P1344">
        <v>608.53</v>
      </c>
      <c r="Q1344">
        <v>641.66999999999996</v>
      </c>
      <c r="R1344">
        <v>2156.9499999999998</v>
      </c>
      <c r="S1344">
        <v>338.61</v>
      </c>
      <c r="T1344">
        <v>33978.9</v>
      </c>
      <c r="U1344">
        <v>14001.35</v>
      </c>
      <c r="V1344">
        <v>4111.62</v>
      </c>
      <c r="W1344">
        <v>4014.55</v>
      </c>
      <c r="X1344">
        <v>39183.07</v>
      </c>
      <c r="Y1344">
        <v>35054.26</v>
      </c>
    </row>
    <row r="1345" spans="1:25" x14ac:dyDescent="0.25">
      <c r="A1345" t="s">
        <v>1401</v>
      </c>
      <c r="B1345" s="1">
        <v>45312</v>
      </c>
      <c r="C1345">
        <v>2024</v>
      </c>
      <c r="D1345">
        <v>1</v>
      </c>
      <c r="E1345" t="s">
        <v>26</v>
      </c>
      <c r="F1345" t="s">
        <v>27</v>
      </c>
      <c r="G1345" t="s">
        <v>44</v>
      </c>
      <c r="H1345" t="s">
        <v>32</v>
      </c>
      <c r="I1345" t="s">
        <v>39</v>
      </c>
      <c r="J1345">
        <v>37</v>
      </c>
      <c r="K1345">
        <v>1540.76</v>
      </c>
      <c r="L1345">
        <v>57008.08</v>
      </c>
      <c r="M1345">
        <v>29181.22</v>
      </c>
      <c r="N1345">
        <v>5121.13</v>
      </c>
      <c r="O1345">
        <v>2645.12</v>
      </c>
      <c r="P1345">
        <v>2541.98</v>
      </c>
      <c r="Q1345">
        <v>594.21</v>
      </c>
      <c r="R1345">
        <v>2650.1</v>
      </c>
      <c r="S1345">
        <v>843.71</v>
      </c>
      <c r="T1345">
        <v>43577.48</v>
      </c>
      <c r="U1345">
        <v>27826.86</v>
      </c>
      <c r="V1345">
        <v>13430.6</v>
      </c>
      <c r="W1345">
        <v>12714.37</v>
      </c>
      <c r="X1345">
        <v>56457.94</v>
      </c>
      <c r="Y1345">
        <v>43682.8</v>
      </c>
    </row>
    <row r="1346" spans="1:25" x14ac:dyDescent="0.25">
      <c r="A1346" t="s">
        <v>1402</v>
      </c>
      <c r="B1346" s="1">
        <v>45312</v>
      </c>
      <c r="C1346">
        <v>2024</v>
      </c>
      <c r="D1346">
        <v>1</v>
      </c>
      <c r="E1346" t="s">
        <v>26</v>
      </c>
      <c r="F1346" t="s">
        <v>27</v>
      </c>
      <c r="G1346" t="s">
        <v>44</v>
      </c>
      <c r="H1346" t="s">
        <v>58</v>
      </c>
      <c r="I1346" t="s">
        <v>39</v>
      </c>
      <c r="J1346">
        <v>20</v>
      </c>
      <c r="K1346">
        <v>1413.46</v>
      </c>
      <c r="L1346">
        <v>28269.119999999999</v>
      </c>
      <c r="M1346">
        <v>16493.47</v>
      </c>
      <c r="N1346">
        <v>3563.05</v>
      </c>
      <c r="O1346">
        <v>952.25</v>
      </c>
      <c r="P1346">
        <v>1237.17</v>
      </c>
      <c r="Q1346">
        <v>482.15</v>
      </c>
      <c r="R1346">
        <v>1501.74</v>
      </c>
      <c r="S1346">
        <v>310.88</v>
      </c>
      <c r="T1346">
        <v>24540.71</v>
      </c>
      <c r="U1346">
        <v>11775.65</v>
      </c>
      <c r="V1346">
        <v>3728.41</v>
      </c>
      <c r="W1346">
        <v>3438.6</v>
      </c>
      <c r="X1346">
        <v>30594.25</v>
      </c>
      <c r="Y1346">
        <v>26509.24</v>
      </c>
    </row>
    <row r="1347" spans="1:25" x14ac:dyDescent="0.25">
      <c r="A1347" t="s">
        <v>1403</v>
      </c>
      <c r="B1347" s="1">
        <v>45312</v>
      </c>
      <c r="C1347">
        <v>2024</v>
      </c>
      <c r="D1347">
        <v>1</v>
      </c>
      <c r="E1347" t="s">
        <v>26</v>
      </c>
      <c r="F1347" t="s">
        <v>27</v>
      </c>
      <c r="G1347" t="s">
        <v>55</v>
      </c>
      <c r="H1347" t="s">
        <v>32</v>
      </c>
      <c r="I1347" t="s">
        <v>37</v>
      </c>
      <c r="J1347">
        <v>58</v>
      </c>
      <c r="K1347">
        <v>1801.43</v>
      </c>
      <c r="L1347">
        <v>104483.05</v>
      </c>
      <c r="M1347">
        <v>51382.09</v>
      </c>
      <c r="N1347">
        <v>9645.59</v>
      </c>
      <c r="O1347">
        <v>2629.63</v>
      </c>
      <c r="P1347">
        <v>3738.53</v>
      </c>
      <c r="Q1347">
        <v>1665.8</v>
      </c>
      <c r="R1347">
        <v>6290.32</v>
      </c>
      <c r="S1347">
        <v>1589.97</v>
      </c>
      <c r="T1347">
        <v>76941.929999999993</v>
      </c>
      <c r="U1347">
        <v>53100.95</v>
      </c>
      <c r="V1347">
        <v>27541.11</v>
      </c>
      <c r="W1347">
        <v>26344.29</v>
      </c>
      <c r="X1347">
        <v>96936.960000000006</v>
      </c>
      <c r="Y1347">
        <v>81392.02</v>
      </c>
    </row>
    <row r="1348" spans="1:25" x14ac:dyDescent="0.25">
      <c r="A1348" t="s">
        <v>1404</v>
      </c>
      <c r="B1348" s="1">
        <v>45313</v>
      </c>
      <c r="C1348">
        <v>2024</v>
      </c>
      <c r="D1348">
        <v>1</v>
      </c>
      <c r="E1348" t="s">
        <v>26</v>
      </c>
      <c r="F1348" t="s">
        <v>27</v>
      </c>
      <c r="G1348" t="s">
        <v>55</v>
      </c>
      <c r="H1348" t="s">
        <v>36</v>
      </c>
      <c r="I1348" t="s">
        <v>45</v>
      </c>
      <c r="J1348">
        <v>41</v>
      </c>
      <c r="K1348">
        <v>1201.8399999999999</v>
      </c>
      <c r="L1348">
        <v>49275.51</v>
      </c>
      <c r="M1348">
        <v>26354.799999999999</v>
      </c>
      <c r="N1348">
        <v>3867.35</v>
      </c>
      <c r="O1348">
        <v>2127.1799999999998</v>
      </c>
      <c r="P1348">
        <v>792.17</v>
      </c>
      <c r="Q1348">
        <v>423.27</v>
      </c>
      <c r="R1348">
        <v>1417.09</v>
      </c>
      <c r="S1348">
        <v>1213.95</v>
      </c>
      <c r="T1348">
        <v>36195.82</v>
      </c>
      <c r="U1348">
        <v>22920.71</v>
      </c>
      <c r="V1348">
        <v>13079.7</v>
      </c>
      <c r="W1348">
        <v>12024.32</v>
      </c>
      <c r="X1348">
        <v>52079.33</v>
      </c>
      <c r="Y1348">
        <v>34787.69</v>
      </c>
    </row>
    <row r="1349" spans="1:25" x14ac:dyDescent="0.25">
      <c r="A1349" t="s">
        <v>1405</v>
      </c>
      <c r="B1349" s="1">
        <v>45313</v>
      </c>
      <c r="C1349">
        <v>2024</v>
      </c>
      <c r="D1349">
        <v>1</v>
      </c>
      <c r="E1349" t="s">
        <v>26</v>
      </c>
      <c r="F1349" t="s">
        <v>27</v>
      </c>
      <c r="G1349" t="s">
        <v>44</v>
      </c>
      <c r="H1349" t="s">
        <v>36</v>
      </c>
      <c r="I1349" t="s">
        <v>30</v>
      </c>
      <c r="J1349">
        <v>68</v>
      </c>
      <c r="K1349">
        <v>1405.34</v>
      </c>
      <c r="L1349">
        <v>95563.05</v>
      </c>
      <c r="M1349">
        <v>49394</v>
      </c>
      <c r="N1349">
        <v>11442.85</v>
      </c>
      <c r="O1349">
        <v>6738.14</v>
      </c>
      <c r="P1349">
        <v>1753.68</v>
      </c>
      <c r="Q1349">
        <v>713.81</v>
      </c>
      <c r="R1349">
        <v>4923.37</v>
      </c>
      <c r="S1349">
        <v>1421.11</v>
      </c>
      <c r="T1349">
        <v>76386.95</v>
      </c>
      <c r="U1349">
        <v>46169.06</v>
      </c>
      <c r="V1349">
        <v>19176.099999999999</v>
      </c>
      <c r="W1349">
        <v>17633.259999999998</v>
      </c>
      <c r="X1349">
        <v>96172.49</v>
      </c>
      <c r="Y1349">
        <v>75429.34</v>
      </c>
    </row>
    <row r="1350" spans="1:25" x14ac:dyDescent="0.25">
      <c r="A1350" t="s">
        <v>1406</v>
      </c>
      <c r="B1350" s="1">
        <v>45313</v>
      </c>
      <c r="C1350">
        <v>2024</v>
      </c>
      <c r="D1350">
        <v>1</v>
      </c>
      <c r="E1350" t="s">
        <v>26</v>
      </c>
      <c r="F1350" t="s">
        <v>27</v>
      </c>
      <c r="G1350" t="s">
        <v>28</v>
      </c>
      <c r="H1350" t="s">
        <v>58</v>
      </c>
      <c r="I1350" t="s">
        <v>30</v>
      </c>
      <c r="J1350">
        <v>105</v>
      </c>
      <c r="K1350">
        <v>1020.13</v>
      </c>
      <c r="L1350">
        <v>107114.01</v>
      </c>
      <c r="M1350">
        <v>56729.89</v>
      </c>
      <c r="N1350">
        <v>11852.89</v>
      </c>
      <c r="O1350">
        <v>4324.18</v>
      </c>
      <c r="P1350">
        <v>2476.5500000000002</v>
      </c>
      <c r="Q1350">
        <v>1920.13</v>
      </c>
      <c r="R1350">
        <v>3801.85</v>
      </c>
      <c r="S1350">
        <v>1950.68</v>
      </c>
      <c r="T1350">
        <v>83056.17</v>
      </c>
      <c r="U1350">
        <v>50384.11</v>
      </c>
      <c r="V1350">
        <v>24057.83</v>
      </c>
      <c r="W1350">
        <v>21945.79</v>
      </c>
      <c r="X1350">
        <v>117609.29</v>
      </c>
      <c r="Y1350">
        <v>82121</v>
      </c>
    </row>
    <row r="1351" spans="1:25" x14ac:dyDescent="0.25">
      <c r="A1351" t="s">
        <v>1407</v>
      </c>
      <c r="B1351" s="1">
        <v>45313</v>
      </c>
      <c r="C1351">
        <v>2024</v>
      </c>
      <c r="D1351">
        <v>1</v>
      </c>
      <c r="E1351" t="s">
        <v>26</v>
      </c>
      <c r="F1351" t="s">
        <v>27</v>
      </c>
      <c r="G1351" t="s">
        <v>35</v>
      </c>
      <c r="H1351" t="s">
        <v>29</v>
      </c>
      <c r="I1351" t="s">
        <v>39</v>
      </c>
      <c r="J1351">
        <v>24</v>
      </c>
      <c r="K1351">
        <v>1422.7</v>
      </c>
      <c r="L1351">
        <v>34144.76</v>
      </c>
      <c r="M1351">
        <v>19345.09</v>
      </c>
      <c r="N1351">
        <v>3997.57</v>
      </c>
      <c r="O1351">
        <v>2470.06</v>
      </c>
      <c r="P1351">
        <v>735.18</v>
      </c>
      <c r="Q1351">
        <v>366.23</v>
      </c>
      <c r="R1351">
        <v>1803.74</v>
      </c>
      <c r="S1351">
        <v>630.9</v>
      </c>
      <c r="T1351">
        <v>29348.78</v>
      </c>
      <c r="U1351">
        <v>14799.66</v>
      </c>
      <c r="V1351">
        <v>4795.9799999999996</v>
      </c>
      <c r="W1351">
        <v>4284.8</v>
      </c>
      <c r="X1351">
        <v>36656.1</v>
      </c>
      <c r="Y1351">
        <v>27836.639999999999</v>
      </c>
    </row>
    <row r="1352" spans="1:25" x14ac:dyDescent="0.25">
      <c r="A1352" t="s">
        <v>1408</v>
      </c>
      <c r="B1352" s="1">
        <v>45313</v>
      </c>
      <c r="C1352">
        <v>2024</v>
      </c>
      <c r="D1352">
        <v>1</v>
      </c>
      <c r="E1352" t="s">
        <v>26</v>
      </c>
      <c r="F1352" t="s">
        <v>27</v>
      </c>
      <c r="G1352" t="s">
        <v>44</v>
      </c>
      <c r="H1352" t="s">
        <v>53</v>
      </c>
      <c r="I1352" t="s">
        <v>50</v>
      </c>
      <c r="J1352">
        <v>26</v>
      </c>
      <c r="K1352">
        <v>1524.92</v>
      </c>
      <c r="L1352">
        <v>39647.82</v>
      </c>
      <c r="M1352">
        <v>25834.06</v>
      </c>
      <c r="N1352">
        <v>3910.9</v>
      </c>
      <c r="O1352">
        <v>2501.11</v>
      </c>
      <c r="P1352">
        <v>862.16</v>
      </c>
      <c r="Q1352">
        <v>249.01</v>
      </c>
      <c r="R1352">
        <v>2291.92</v>
      </c>
      <c r="S1352">
        <v>785.98</v>
      </c>
      <c r="T1352">
        <v>36435.14</v>
      </c>
      <c r="U1352">
        <v>13813.76</v>
      </c>
      <c r="V1352">
        <v>3212.68</v>
      </c>
      <c r="W1352">
        <v>3254.22</v>
      </c>
      <c r="X1352">
        <v>37608.050000000003</v>
      </c>
      <c r="Y1352">
        <v>39670.15</v>
      </c>
    </row>
    <row r="1353" spans="1:25" x14ac:dyDescent="0.25">
      <c r="A1353" t="s">
        <v>1409</v>
      </c>
      <c r="B1353" s="1">
        <v>45313</v>
      </c>
      <c r="C1353">
        <v>2024</v>
      </c>
      <c r="D1353">
        <v>1</v>
      </c>
      <c r="E1353" t="s">
        <v>26</v>
      </c>
      <c r="F1353" t="s">
        <v>27</v>
      </c>
      <c r="G1353" t="s">
        <v>28</v>
      </c>
      <c r="H1353" t="s">
        <v>36</v>
      </c>
      <c r="I1353" t="s">
        <v>37</v>
      </c>
      <c r="J1353">
        <v>54</v>
      </c>
      <c r="K1353">
        <v>995.1</v>
      </c>
      <c r="L1353">
        <v>53735.35</v>
      </c>
      <c r="M1353">
        <v>34896.949999999997</v>
      </c>
      <c r="N1353">
        <v>4911.8500000000004</v>
      </c>
      <c r="O1353">
        <v>3612.65</v>
      </c>
      <c r="P1353">
        <v>1699.62</v>
      </c>
      <c r="Q1353">
        <v>328.32</v>
      </c>
      <c r="R1353">
        <v>2997.38</v>
      </c>
      <c r="S1353">
        <v>1240.07</v>
      </c>
      <c r="T1353">
        <v>49686.84</v>
      </c>
      <c r="U1353">
        <v>18838.400000000001</v>
      </c>
      <c r="V1353">
        <v>4048.51</v>
      </c>
      <c r="W1353">
        <v>3575.28</v>
      </c>
      <c r="X1353">
        <v>53264.160000000003</v>
      </c>
      <c r="Y1353">
        <v>49031.64</v>
      </c>
    </row>
    <row r="1354" spans="1:25" x14ac:dyDescent="0.25">
      <c r="A1354" t="s">
        <v>1410</v>
      </c>
      <c r="B1354" s="1">
        <v>45313</v>
      </c>
      <c r="C1354">
        <v>2024</v>
      </c>
      <c r="D1354">
        <v>1</v>
      </c>
      <c r="E1354" t="s">
        <v>26</v>
      </c>
      <c r="F1354" t="s">
        <v>27</v>
      </c>
      <c r="G1354" t="s">
        <v>44</v>
      </c>
      <c r="H1354" t="s">
        <v>32</v>
      </c>
      <c r="I1354" t="s">
        <v>39</v>
      </c>
      <c r="J1354">
        <v>55</v>
      </c>
      <c r="K1354">
        <v>863</v>
      </c>
      <c r="L1354">
        <v>47465.09</v>
      </c>
      <c r="M1354">
        <v>24560.66</v>
      </c>
      <c r="N1354">
        <v>4575.53</v>
      </c>
      <c r="O1354">
        <v>3360.98</v>
      </c>
      <c r="P1354">
        <v>1395.51</v>
      </c>
      <c r="Q1354">
        <v>302.99</v>
      </c>
      <c r="R1354">
        <v>1389.84</v>
      </c>
      <c r="S1354">
        <v>520.91</v>
      </c>
      <c r="T1354">
        <v>36106.43</v>
      </c>
      <c r="U1354">
        <v>22904.43</v>
      </c>
      <c r="V1354">
        <v>11358.66</v>
      </c>
      <c r="W1354">
        <v>10153.74</v>
      </c>
      <c r="X1354">
        <v>52192.18</v>
      </c>
      <c r="Y1354">
        <v>36763.97</v>
      </c>
    </row>
    <row r="1355" spans="1:25" x14ac:dyDescent="0.25">
      <c r="A1355" t="s">
        <v>1411</v>
      </c>
      <c r="B1355" s="1">
        <v>45313</v>
      </c>
      <c r="C1355">
        <v>2024</v>
      </c>
      <c r="D1355">
        <v>1</v>
      </c>
      <c r="E1355" t="s">
        <v>26</v>
      </c>
      <c r="F1355" t="s">
        <v>27</v>
      </c>
      <c r="G1355" t="s">
        <v>28</v>
      </c>
      <c r="H1355" t="s">
        <v>32</v>
      </c>
      <c r="I1355" t="s">
        <v>65</v>
      </c>
      <c r="J1355">
        <v>54</v>
      </c>
      <c r="K1355">
        <v>1322.47</v>
      </c>
      <c r="L1355">
        <v>71413.509999999995</v>
      </c>
      <c r="M1355">
        <v>45745.34</v>
      </c>
      <c r="N1355">
        <v>6208.14</v>
      </c>
      <c r="O1355">
        <v>3144.5</v>
      </c>
      <c r="P1355">
        <v>2697.82</v>
      </c>
      <c r="Q1355">
        <v>1180.05</v>
      </c>
      <c r="R1355">
        <v>1935.97</v>
      </c>
      <c r="S1355">
        <v>968.52</v>
      </c>
      <c r="T1355">
        <v>61880.33</v>
      </c>
      <c r="U1355">
        <v>25668.17</v>
      </c>
      <c r="V1355">
        <v>9533.18</v>
      </c>
      <c r="W1355">
        <v>9312.69</v>
      </c>
      <c r="X1355">
        <v>68431.429999999993</v>
      </c>
      <c r="Y1355">
        <v>61087.61</v>
      </c>
    </row>
    <row r="1356" spans="1:25" x14ac:dyDescent="0.25">
      <c r="A1356" t="s">
        <v>1412</v>
      </c>
      <c r="B1356" s="1">
        <v>45314</v>
      </c>
      <c r="C1356">
        <v>2024</v>
      </c>
      <c r="D1356">
        <v>1</v>
      </c>
      <c r="E1356" t="s">
        <v>26</v>
      </c>
      <c r="F1356" t="s">
        <v>27</v>
      </c>
      <c r="G1356" t="s">
        <v>44</v>
      </c>
      <c r="H1356" t="s">
        <v>36</v>
      </c>
      <c r="I1356" t="s">
        <v>56</v>
      </c>
      <c r="J1356">
        <v>42</v>
      </c>
      <c r="K1356">
        <v>834.99</v>
      </c>
      <c r="L1356">
        <v>35069.61</v>
      </c>
      <c r="M1356">
        <v>23658.67</v>
      </c>
      <c r="N1356">
        <v>3151.19</v>
      </c>
      <c r="O1356">
        <v>972.41</v>
      </c>
      <c r="P1356">
        <v>1203.94</v>
      </c>
      <c r="Q1356">
        <v>444.05</v>
      </c>
      <c r="R1356">
        <v>1103.42</v>
      </c>
      <c r="S1356">
        <v>670.37</v>
      </c>
      <c r="T1356">
        <v>31204.06</v>
      </c>
      <c r="U1356">
        <v>11410.94</v>
      </c>
      <c r="V1356">
        <v>3865.55</v>
      </c>
      <c r="W1356">
        <v>3523.4</v>
      </c>
      <c r="X1356">
        <v>38205.39</v>
      </c>
      <c r="Y1356">
        <v>30254.33</v>
      </c>
    </row>
    <row r="1357" spans="1:25" x14ac:dyDescent="0.25">
      <c r="A1357" t="s">
        <v>1413</v>
      </c>
      <c r="B1357" s="1">
        <v>45314</v>
      </c>
      <c r="C1357">
        <v>2024</v>
      </c>
      <c r="D1357">
        <v>1</v>
      </c>
      <c r="E1357" t="s">
        <v>26</v>
      </c>
      <c r="F1357" t="s">
        <v>27</v>
      </c>
      <c r="G1357" t="s">
        <v>35</v>
      </c>
      <c r="H1357" t="s">
        <v>53</v>
      </c>
      <c r="I1357" t="s">
        <v>56</v>
      </c>
      <c r="J1357">
        <v>17</v>
      </c>
      <c r="K1357">
        <v>1406.85</v>
      </c>
      <c r="L1357">
        <v>23916.48</v>
      </c>
      <c r="M1357">
        <v>12739.24</v>
      </c>
      <c r="N1357">
        <v>1819.29</v>
      </c>
      <c r="O1357">
        <v>853.09</v>
      </c>
      <c r="P1357">
        <v>518.36</v>
      </c>
      <c r="Q1357">
        <v>257</v>
      </c>
      <c r="R1357">
        <v>931.91</v>
      </c>
      <c r="S1357">
        <v>589.76</v>
      </c>
      <c r="T1357">
        <v>17708.64</v>
      </c>
      <c r="U1357">
        <v>11177.25</v>
      </c>
      <c r="V1357">
        <v>6207.84</v>
      </c>
      <c r="W1357">
        <v>5553.58</v>
      </c>
      <c r="X1357">
        <v>26311.97</v>
      </c>
      <c r="Y1357">
        <v>18157.150000000001</v>
      </c>
    </row>
    <row r="1358" spans="1:25" x14ac:dyDescent="0.25">
      <c r="A1358" t="s">
        <v>1414</v>
      </c>
      <c r="B1358" s="1">
        <v>45314</v>
      </c>
      <c r="C1358">
        <v>2024</v>
      </c>
      <c r="D1358">
        <v>1</v>
      </c>
      <c r="E1358" t="s">
        <v>26</v>
      </c>
      <c r="F1358" t="s">
        <v>27</v>
      </c>
      <c r="G1358" t="s">
        <v>55</v>
      </c>
      <c r="H1358" t="s">
        <v>32</v>
      </c>
      <c r="I1358" t="s">
        <v>33</v>
      </c>
      <c r="J1358">
        <v>66</v>
      </c>
      <c r="K1358">
        <v>1605.69</v>
      </c>
      <c r="L1358">
        <v>105975.78</v>
      </c>
      <c r="M1358">
        <v>69096.19</v>
      </c>
      <c r="N1358">
        <v>13028.04</v>
      </c>
      <c r="O1358">
        <v>7578.08</v>
      </c>
      <c r="P1358">
        <v>3294.96</v>
      </c>
      <c r="Q1358">
        <v>1115.52</v>
      </c>
      <c r="R1358">
        <v>6124.18</v>
      </c>
      <c r="S1358">
        <v>2144.4299999999998</v>
      </c>
      <c r="T1358">
        <v>102381.39</v>
      </c>
      <c r="U1358">
        <v>36879.589999999997</v>
      </c>
      <c r="V1358">
        <v>3594.39</v>
      </c>
      <c r="W1358">
        <v>3447.23</v>
      </c>
      <c r="X1358">
        <v>115802.95</v>
      </c>
      <c r="Y1358">
        <v>100007.96</v>
      </c>
    </row>
    <row r="1359" spans="1:25" x14ac:dyDescent="0.25">
      <c r="A1359" t="s">
        <v>1415</v>
      </c>
      <c r="B1359" s="1">
        <v>45315</v>
      </c>
      <c r="C1359">
        <v>2024</v>
      </c>
      <c r="D1359">
        <v>1</v>
      </c>
      <c r="E1359" t="s">
        <v>26</v>
      </c>
      <c r="F1359" t="s">
        <v>27</v>
      </c>
      <c r="G1359" t="s">
        <v>28</v>
      </c>
      <c r="H1359" t="s">
        <v>53</v>
      </c>
      <c r="I1359" t="s">
        <v>56</v>
      </c>
      <c r="J1359">
        <v>39</v>
      </c>
      <c r="K1359">
        <v>1004.35</v>
      </c>
      <c r="L1359">
        <v>39169.65</v>
      </c>
      <c r="M1359">
        <v>21081.93</v>
      </c>
      <c r="N1359">
        <v>3499.8</v>
      </c>
      <c r="O1359">
        <v>2120.69</v>
      </c>
      <c r="P1359">
        <v>680.17</v>
      </c>
      <c r="Q1359">
        <v>405.9</v>
      </c>
      <c r="R1359">
        <v>1715.49</v>
      </c>
      <c r="S1359">
        <v>661.59</v>
      </c>
      <c r="T1359">
        <v>30165.57</v>
      </c>
      <c r="U1359">
        <v>18087.72</v>
      </c>
      <c r="V1359">
        <v>9004.08</v>
      </c>
      <c r="W1359">
        <v>8047.4</v>
      </c>
      <c r="X1359">
        <v>38709.83</v>
      </c>
      <c r="Y1359">
        <v>29427.119999999999</v>
      </c>
    </row>
    <row r="1360" spans="1:25" x14ac:dyDescent="0.25">
      <c r="A1360" t="s">
        <v>1416</v>
      </c>
      <c r="B1360" s="1">
        <v>45315</v>
      </c>
      <c r="C1360">
        <v>2024</v>
      </c>
      <c r="D1360">
        <v>1</v>
      </c>
      <c r="E1360" t="s">
        <v>26</v>
      </c>
      <c r="F1360" t="s">
        <v>27</v>
      </c>
      <c r="G1360" t="s">
        <v>55</v>
      </c>
      <c r="H1360" t="s">
        <v>32</v>
      </c>
      <c r="I1360" t="s">
        <v>33</v>
      </c>
      <c r="J1360">
        <v>67</v>
      </c>
      <c r="K1360">
        <v>1155.02</v>
      </c>
      <c r="L1360">
        <v>77386.399999999994</v>
      </c>
      <c r="M1360">
        <v>48482.02</v>
      </c>
      <c r="N1360">
        <v>7009.71</v>
      </c>
      <c r="O1360">
        <v>2575.71</v>
      </c>
      <c r="P1360">
        <v>2687.71</v>
      </c>
      <c r="Q1360">
        <v>485.26</v>
      </c>
      <c r="R1360">
        <v>3538.69</v>
      </c>
      <c r="S1360">
        <v>1546.45</v>
      </c>
      <c r="T1360">
        <v>66325.56</v>
      </c>
      <c r="U1360">
        <v>28904.38</v>
      </c>
      <c r="V1360">
        <v>11060.84</v>
      </c>
      <c r="W1360">
        <v>9905.73</v>
      </c>
      <c r="X1360">
        <v>76521.59</v>
      </c>
      <c r="Y1360">
        <v>65705.64</v>
      </c>
    </row>
    <row r="1361" spans="1:25" x14ac:dyDescent="0.25">
      <c r="A1361" t="s">
        <v>1417</v>
      </c>
      <c r="B1361" s="1">
        <v>45316</v>
      </c>
      <c r="C1361">
        <v>2024</v>
      </c>
      <c r="D1361">
        <v>1</v>
      </c>
      <c r="E1361" t="s">
        <v>26</v>
      </c>
      <c r="F1361" t="s">
        <v>27</v>
      </c>
      <c r="G1361" t="s">
        <v>44</v>
      </c>
      <c r="H1361" t="s">
        <v>32</v>
      </c>
      <c r="I1361" t="s">
        <v>39</v>
      </c>
      <c r="J1361">
        <v>37</v>
      </c>
      <c r="K1361">
        <v>1266.76</v>
      </c>
      <c r="L1361">
        <v>46870.04</v>
      </c>
      <c r="M1361">
        <v>27784.47</v>
      </c>
      <c r="N1361">
        <v>5033.04</v>
      </c>
      <c r="O1361">
        <v>1796.29</v>
      </c>
      <c r="P1361">
        <v>1606.77</v>
      </c>
      <c r="Q1361">
        <v>750.79</v>
      </c>
      <c r="R1361">
        <v>1619.15</v>
      </c>
      <c r="S1361">
        <v>593.32000000000005</v>
      </c>
      <c r="T1361">
        <v>39183.839999999997</v>
      </c>
      <c r="U1361">
        <v>19085.57</v>
      </c>
      <c r="V1361">
        <v>7686.2</v>
      </c>
      <c r="W1361">
        <v>7694.33</v>
      </c>
      <c r="X1361">
        <v>49002.03</v>
      </c>
      <c r="Y1361">
        <v>37349.47</v>
      </c>
    </row>
    <row r="1362" spans="1:25" x14ac:dyDescent="0.25">
      <c r="A1362" t="s">
        <v>1418</v>
      </c>
      <c r="B1362" s="1">
        <v>45316</v>
      </c>
      <c r="C1362">
        <v>2024</v>
      </c>
      <c r="D1362">
        <v>1</v>
      </c>
      <c r="E1362" t="s">
        <v>26</v>
      </c>
      <c r="F1362" t="s">
        <v>27</v>
      </c>
      <c r="G1362" t="s">
        <v>44</v>
      </c>
      <c r="H1362" t="s">
        <v>58</v>
      </c>
      <c r="I1362" t="s">
        <v>37</v>
      </c>
      <c r="J1362">
        <v>31</v>
      </c>
      <c r="K1362">
        <v>1682.38</v>
      </c>
      <c r="L1362">
        <v>52153.65</v>
      </c>
      <c r="M1362">
        <v>26933.8</v>
      </c>
      <c r="N1362">
        <v>6623.7</v>
      </c>
      <c r="O1362">
        <v>2591.63</v>
      </c>
      <c r="P1362">
        <v>1807.54</v>
      </c>
      <c r="Q1362">
        <v>835.93</v>
      </c>
      <c r="R1362">
        <v>3163.41</v>
      </c>
      <c r="S1362">
        <v>546.37</v>
      </c>
      <c r="T1362">
        <v>42502.38</v>
      </c>
      <c r="U1362">
        <v>25219.86</v>
      </c>
      <c r="V1362">
        <v>9651.27</v>
      </c>
      <c r="W1362">
        <v>9215.06</v>
      </c>
      <c r="X1362">
        <v>50086.93</v>
      </c>
      <c r="Y1362">
        <v>45125.36</v>
      </c>
    </row>
    <row r="1363" spans="1:25" x14ac:dyDescent="0.25">
      <c r="A1363" t="s">
        <v>1419</v>
      </c>
      <c r="B1363" s="1">
        <v>45316</v>
      </c>
      <c r="C1363">
        <v>2024</v>
      </c>
      <c r="D1363">
        <v>1</v>
      </c>
      <c r="E1363" t="s">
        <v>26</v>
      </c>
      <c r="F1363" t="s">
        <v>27</v>
      </c>
      <c r="G1363" t="s">
        <v>28</v>
      </c>
      <c r="H1363" t="s">
        <v>36</v>
      </c>
      <c r="I1363" t="s">
        <v>56</v>
      </c>
      <c r="J1363">
        <v>31</v>
      </c>
      <c r="K1363">
        <v>1001.49</v>
      </c>
      <c r="L1363">
        <v>31046.240000000002</v>
      </c>
      <c r="M1363">
        <v>15729.15</v>
      </c>
      <c r="N1363">
        <v>3602.93</v>
      </c>
      <c r="O1363">
        <v>1988.94</v>
      </c>
      <c r="P1363">
        <v>732.85</v>
      </c>
      <c r="Q1363">
        <v>317.04000000000002</v>
      </c>
      <c r="R1363">
        <v>1079.6099999999999</v>
      </c>
      <c r="S1363">
        <v>431.6</v>
      </c>
      <c r="T1363">
        <v>23882.11</v>
      </c>
      <c r="U1363">
        <v>15317.1</v>
      </c>
      <c r="V1363">
        <v>7164.13</v>
      </c>
      <c r="W1363">
        <v>6490.37</v>
      </c>
      <c r="X1363">
        <v>32248.25</v>
      </c>
      <c r="Y1363">
        <v>22523.34</v>
      </c>
    </row>
    <row r="1364" spans="1:25" x14ac:dyDescent="0.25">
      <c r="A1364" t="s">
        <v>1420</v>
      </c>
      <c r="B1364" s="1">
        <v>45316</v>
      </c>
      <c r="C1364">
        <v>2024</v>
      </c>
      <c r="D1364">
        <v>1</v>
      </c>
      <c r="E1364" t="s">
        <v>26</v>
      </c>
      <c r="F1364" t="s">
        <v>27</v>
      </c>
      <c r="G1364" t="s">
        <v>28</v>
      </c>
      <c r="H1364" t="s">
        <v>58</v>
      </c>
      <c r="I1364" t="s">
        <v>56</v>
      </c>
      <c r="J1364">
        <v>20</v>
      </c>
      <c r="K1364">
        <v>1336.78</v>
      </c>
      <c r="L1364">
        <v>26735.57</v>
      </c>
      <c r="M1364">
        <v>14079.8</v>
      </c>
      <c r="N1364">
        <v>3456.68</v>
      </c>
      <c r="O1364">
        <v>1628.43</v>
      </c>
      <c r="P1364">
        <v>685</v>
      </c>
      <c r="Q1364">
        <v>369.67</v>
      </c>
      <c r="R1364">
        <v>744.69</v>
      </c>
      <c r="S1364">
        <v>513.98</v>
      </c>
      <c r="T1364">
        <v>21478.26</v>
      </c>
      <c r="U1364">
        <v>12655.77</v>
      </c>
      <c r="V1364">
        <v>5257.31</v>
      </c>
      <c r="W1364">
        <v>4819.7700000000004</v>
      </c>
      <c r="X1364">
        <v>29291.09</v>
      </c>
      <c r="Y1364">
        <v>22731.91</v>
      </c>
    </row>
    <row r="1365" spans="1:25" x14ac:dyDescent="0.25">
      <c r="A1365" t="s">
        <v>1421</v>
      </c>
      <c r="B1365" s="1">
        <v>45316</v>
      </c>
      <c r="C1365">
        <v>2024</v>
      </c>
      <c r="D1365">
        <v>1</v>
      </c>
      <c r="E1365" t="s">
        <v>26</v>
      </c>
      <c r="F1365" t="s">
        <v>27</v>
      </c>
      <c r="G1365" t="s">
        <v>35</v>
      </c>
      <c r="H1365" t="s">
        <v>36</v>
      </c>
      <c r="I1365" t="s">
        <v>65</v>
      </c>
      <c r="J1365">
        <v>38</v>
      </c>
      <c r="K1365">
        <v>1456.55</v>
      </c>
      <c r="L1365">
        <v>55348.86</v>
      </c>
      <c r="M1365">
        <v>28495.83</v>
      </c>
      <c r="N1365">
        <v>6392.79</v>
      </c>
      <c r="O1365">
        <v>4125.3599999999997</v>
      </c>
      <c r="P1365">
        <v>1446.27</v>
      </c>
      <c r="Q1365">
        <v>752.43</v>
      </c>
      <c r="R1365">
        <v>1565.11</v>
      </c>
      <c r="S1365">
        <v>1242.43</v>
      </c>
      <c r="T1365">
        <v>44020.22</v>
      </c>
      <c r="U1365">
        <v>26853.03</v>
      </c>
      <c r="V1365">
        <v>11328.64</v>
      </c>
      <c r="W1365">
        <v>11238.97</v>
      </c>
      <c r="X1365">
        <v>60011.95</v>
      </c>
      <c r="Y1365">
        <v>44919.24</v>
      </c>
    </row>
    <row r="1366" spans="1:25" x14ac:dyDescent="0.25">
      <c r="A1366" t="s">
        <v>1422</v>
      </c>
      <c r="B1366" s="1">
        <v>45316</v>
      </c>
      <c r="C1366">
        <v>2024</v>
      </c>
      <c r="D1366">
        <v>1</v>
      </c>
      <c r="E1366" t="s">
        <v>26</v>
      </c>
      <c r="F1366" t="s">
        <v>27</v>
      </c>
      <c r="G1366" t="s">
        <v>28</v>
      </c>
      <c r="H1366" t="s">
        <v>32</v>
      </c>
      <c r="I1366" t="s">
        <v>37</v>
      </c>
      <c r="J1366">
        <v>75</v>
      </c>
      <c r="K1366">
        <v>1460.3</v>
      </c>
      <c r="L1366">
        <v>109522.17</v>
      </c>
      <c r="M1366">
        <v>60598.93</v>
      </c>
      <c r="N1366">
        <v>9816.68</v>
      </c>
      <c r="O1366">
        <v>2817.45</v>
      </c>
      <c r="P1366">
        <v>4395.9399999999996</v>
      </c>
      <c r="Q1366">
        <v>556.51</v>
      </c>
      <c r="R1366">
        <v>4661.72</v>
      </c>
      <c r="S1366">
        <v>2514.33</v>
      </c>
      <c r="T1366">
        <v>85361.55</v>
      </c>
      <c r="U1366">
        <v>48923.24</v>
      </c>
      <c r="V1366">
        <v>24160.61</v>
      </c>
      <c r="W1366">
        <v>24518.17</v>
      </c>
      <c r="X1366">
        <v>101213.24</v>
      </c>
      <c r="Y1366">
        <v>85131.06</v>
      </c>
    </row>
    <row r="1367" spans="1:25" x14ac:dyDescent="0.25">
      <c r="A1367" t="s">
        <v>1423</v>
      </c>
      <c r="B1367" s="1">
        <v>45317</v>
      </c>
      <c r="C1367">
        <v>2024</v>
      </c>
      <c r="D1367">
        <v>1</v>
      </c>
      <c r="E1367" t="s">
        <v>26</v>
      </c>
      <c r="F1367" t="s">
        <v>27</v>
      </c>
      <c r="G1367" t="s">
        <v>28</v>
      </c>
      <c r="H1367" t="s">
        <v>32</v>
      </c>
      <c r="I1367" t="s">
        <v>33</v>
      </c>
      <c r="J1367">
        <v>123</v>
      </c>
      <c r="K1367">
        <v>905.32</v>
      </c>
      <c r="L1367">
        <v>111354.76</v>
      </c>
      <c r="M1367">
        <v>66537.27</v>
      </c>
      <c r="N1367">
        <v>10117.43</v>
      </c>
      <c r="O1367">
        <v>5391.76</v>
      </c>
      <c r="P1367">
        <v>4237.8900000000003</v>
      </c>
      <c r="Q1367">
        <v>1029.05</v>
      </c>
      <c r="R1367">
        <v>4377.79</v>
      </c>
      <c r="S1367">
        <v>1720.2</v>
      </c>
      <c r="T1367">
        <v>93411.37</v>
      </c>
      <c r="U1367">
        <v>44817.49</v>
      </c>
      <c r="V1367">
        <v>17943.39</v>
      </c>
      <c r="W1367">
        <v>15889.01</v>
      </c>
      <c r="X1367">
        <v>108481.92</v>
      </c>
      <c r="Y1367">
        <v>98446.48</v>
      </c>
    </row>
    <row r="1368" spans="1:25" x14ac:dyDescent="0.25">
      <c r="A1368" t="s">
        <v>1424</v>
      </c>
      <c r="B1368" s="1">
        <v>45317</v>
      </c>
      <c r="C1368">
        <v>2024</v>
      </c>
      <c r="D1368">
        <v>1</v>
      </c>
      <c r="E1368" t="s">
        <v>26</v>
      </c>
      <c r="F1368" t="s">
        <v>27</v>
      </c>
      <c r="G1368" t="s">
        <v>44</v>
      </c>
      <c r="H1368" t="s">
        <v>32</v>
      </c>
      <c r="I1368" t="s">
        <v>37</v>
      </c>
      <c r="J1368">
        <v>57</v>
      </c>
      <c r="K1368">
        <v>1216.8</v>
      </c>
      <c r="L1368">
        <v>69357.69</v>
      </c>
      <c r="M1368">
        <v>42357.55</v>
      </c>
      <c r="N1368">
        <v>4895.33</v>
      </c>
      <c r="O1368">
        <v>4938.37</v>
      </c>
      <c r="P1368">
        <v>1798.54</v>
      </c>
      <c r="Q1368">
        <v>1097.6500000000001</v>
      </c>
      <c r="R1368">
        <v>3240.41</v>
      </c>
      <c r="S1368">
        <v>801.87</v>
      </c>
      <c r="T1368">
        <v>59129.72</v>
      </c>
      <c r="U1368">
        <v>27000.14</v>
      </c>
      <c r="V1368">
        <v>10227.969999999999</v>
      </c>
      <c r="W1368">
        <v>9318.94</v>
      </c>
      <c r="X1368">
        <v>71886.429999999993</v>
      </c>
      <c r="Y1368">
        <v>64444.97</v>
      </c>
    </row>
    <row r="1369" spans="1:25" x14ac:dyDescent="0.25">
      <c r="A1369" t="s">
        <v>1425</v>
      </c>
      <c r="B1369" s="1">
        <v>45317</v>
      </c>
      <c r="C1369">
        <v>2024</v>
      </c>
      <c r="D1369">
        <v>1</v>
      </c>
      <c r="E1369" t="s">
        <v>26</v>
      </c>
      <c r="F1369" t="s">
        <v>27</v>
      </c>
      <c r="G1369" t="s">
        <v>44</v>
      </c>
      <c r="H1369" t="s">
        <v>36</v>
      </c>
      <c r="I1369" t="s">
        <v>30</v>
      </c>
      <c r="J1369">
        <v>37</v>
      </c>
      <c r="K1369">
        <v>1710.99</v>
      </c>
      <c r="L1369">
        <v>63306.81</v>
      </c>
      <c r="M1369">
        <v>32758.11</v>
      </c>
      <c r="N1369">
        <v>4900.88</v>
      </c>
      <c r="O1369">
        <v>3899.8</v>
      </c>
      <c r="P1369">
        <v>2837.19</v>
      </c>
      <c r="Q1369">
        <v>456.96</v>
      </c>
      <c r="R1369">
        <v>3512.85</v>
      </c>
      <c r="S1369">
        <v>1506.39</v>
      </c>
      <c r="T1369">
        <v>49872.18</v>
      </c>
      <c r="U1369">
        <v>30548.7</v>
      </c>
      <c r="V1369">
        <v>13434.63</v>
      </c>
      <c r="W1369">
        <v>11910.57</v>
      </c>
      <c r="X1369">
        <v>64047.92</v>
      </c>
      <c r="Y1369">
        <v>54367.040000000001</v>
      </c>
    </row>
    <row r="1370" spans="1:25" x14ac:dyDescent="0.25">
      <c r="A1370" t="s">
        <v>1426</v>
      </c>
      <c r="B1370" s="1">
        <v>45317</v>
      </c>
      <c r="C1370">
        <v>2024</v>
      </c>
      <c r="D1370">
        <v>1</v>
      </c>
      <c r="E1370" t="s">
        <v>26</v>
      </c>
      <c r="F1370" t="s">
        <v>27</v>
      </c>
      <c r="G1370" t="s">
        <v>44</v>
      </c>
      <c r="H1370" t="s">
        <v>29</v>
      </c>
      <c r="I1370" t="s">
        <v>56</v>
      </c>
      <c r="J1370">
        <v>37</v>
      </c>
      <c r="K1370">
        <v>1101.9000000000001</v>
      </c>
      <c r="L1370">
        <v>40770.14</v>
      </c>
      <c r="M1370">
        <v>23208.15</v>
      </c>
      <c r="N1370">
        <v>4550.37</v>
      </c>
      <c r="O1370">
        <v>2601.5500000000002</v>
      </c>
      <c r="P1370">
        <v>823.91</v>
      </c>
      <c r="Q1370">
        <v>459.37</v>
      </c>
      <c r="R1370">
        <v>2168.09</v>
      </c>
      <c r="S1370">
        <v>742.34</v>
      </c>
      <c r="T1370">
        <v>34553.769999999997</v>
      </c>
      <c r="U1370">
        <v>17561.990000000002</v>
      </c>
      <c r="V1370">
        <v>6216.36</v>
      </c>
      <c r="W1370">
        <v>6113.72</v>
      </c>
      <c r="X1370">
        <v>41405.85</v>
      </c>
      <c r="Y1370">
        <v>32498.240000000002</v>
      </c>
    </row>
    <row r="1371" spans="1:25" x14ac:dyDescent="0.25">
      <c r="A1371" t="s">
        <v>1427</v>
      </c>
      <c r="B1371" s="1">
        <v>45317</v>
      </c>
      <c r="C1371">
        <v>2024</v>
      </c>
      <c r="D1371">
        <v>1</v>
      </c>
      <c r="E1371" t="s">
        <v>26</v>
      </c>
      <c r="F1371" t="s">
        <v>27</v>
      </c>
      <c r="G1371" t="s">
        <v>55</v>
      </c>
      <c r="H1371" t="s">
        <v>32</v>
      </c>
      <c r="I1371" t="s">
        <v>56</v>
      </c>
      <c r="J1371">
        <v>28</v>
      </c>
      <c r="K1371">
        <v>1745.85</v>
      </c>
      <c r="L1371">
        <v>48883.69</v>
      </c>
      <c r="M1371">
        <v>29798.71</v>
      </c>
      <c r="N1371">
        <v>5823.59</v>
      </c>
      <c r="O1371">
        <v>2895.04</v>
      </c>
      <c r="P1371">
        <v>1962.36</v>
      </c>
      <c r="Q1371">
        <v>561.89</v>
      </c>
      <c r="R1371">
        <v>1948.67</v>
      </c>
      <c r="S1371">
        <v>1015.64</v>
      </c>
      <c r="T1371">
        <v>44005.91</v>
      </c>
      <c r="U1371">
        <v>19084.98</v>
      </c>
      <c r="V1371">
        <v>4877.78</v>
      </c>
      <c r="W1371">
        <v>4466.45</v>
      </c>
      <c r="X1371">
        <v>54485.2</v>
      </c>
      <c r="Y1371">
        <v>48382.01</v>
      </c>
    </row>
    <row r="1372" spans="1:25" x14ac:dyDescent="0.25">
      <c r="A1372" t="s">
        <v>1428</v>
      </c>
      <c r="B1372" s="1">
        <v>45318</v>
      </c>
      <c r="C1372">
        <v>2024</v>
      </c>
      <c r="D1372">
        <v>1</v>
      </c>
      <c r="E1372" t="s">
        <v>26</v>
      </c>
      <c r="F1372" t="s">
        <v>27</v>
      </c>
      <c r="G1372" t="s">
        <v>35</v>
      </c>
      <c r="H1372" t="s">
        <v>29</v>
      </c>
      <c r="I1372" t="s">
        <v>33</v>
      </c>
      <c r="J1372">
        <v>64</v>
      </c>
      <c r="K1372">
        <v>1361.01</v>
      </c>
      <c r="L1372">
        <v>87104.4</v>
      </c>
      <c r="M1372">
        <v>58273.46</v>
      </c>
      <c r="N1372">
        <v>10647.38</v>
      </c>
      <c r="O1372">
        <v>6512.02</v>
      </c>
      <c r="P1372">
        <v>2582.59</v>
      </c>
      <c r="Q1372">
        <v>1532.06</v>
      </c>
      <c r="R1372">
        <v>4488.5200000000004</v>
      </c>
      <c r="S1372">
        <v>1950</v>
      </c>
      <c r="T1372">
        <v>85986.03</v>
      </c>
      <c r="U1372">
        <v>28830.93</v>
      </c>
      <c r="V1372">
        <v>1118.3699999999999</v>
      </c>
      <c r="W1372">
        <v>1025.29</v>
      </c>
      <c r="X1372">
        <v>89061.3</v>
      </c>
      <c r="Y1372">
        <v>84726.33</v>
      </c>
    </row>
    <row r="1373" spans="1:25" x14ac:dyDescent="0.25">
      <c r="A1373" t="s">
        <v>1429</v>
      </c>
      <c r="B1373" s="1">
        <v>45318</v>
      </c>
      <c r="C1373">
        <v>2024</v>
      </c>
      <c r="D1373">
        <v>1</v>
      </c>
      <c r="E1373" t="s">
        <v>26</v>
      </c>
      <c r="F1373" t="s">
        <v>27</v>
      </c>
      <c r="G1373" t="s">
        <v>44</v>
      </c>
      <c r="H1373" t="s">
        <v>32</v>
      </c>
      <c r="I1373" t="s">
        <v>45</v>
      </c>
      <c r="J1373">
        <v>67</v>
      </c>
      <c r="K1373">
        <v>947.05</v>
      </c>
      <c r="L1373">
        <v>63452.02</v>
      </c>
      <c r="M1373">
        <v>32617.58</v>
      </c>
      <c r="N1373">
        <v>7803.21</v>
      </c>
      <c r="O1373">
        <v>3116.27</v>
      </c>
      <c r="P1373">
        <v>2847.35</v>
      </c>
      <c r="Q1373">
        <v>781.45</v>
      </c>
      <c r="R1373">
        <v>3991.61</v>
      </c>
      <c r="S1373">
        <v>780.4</v>
      </c>
      <c r="T1373">
        <v>51937.85</v>
      </c>
      <c r="U1373">
        <v>30834.45</v>
      </c>
      <c r="V1373">
        <v>11514.17</v>
      </c>
      <c r="W1373">
        <v>10459.01</v>
      </c>
      <c r="X1373">
        <v>63288.69</v>
      </c>
      <c r="Y1373">
        <v>56647.49</v>
      </c>
    </row>
    <row r="1374" spans="1:25" x14ac:dyDescent="0.25">
      <c r="A1374" t="s">
        <v>1430</v>
      </c>
      <c r="B1374" s="1">
        <v>45319</v>
      </c>
      <c r="C1374">
        <v>2024</v>
      </c>
      <c r="D1374">
        <v>1</v>
      </c>
      <c r="E1374" t="s">
        <v>26</v>
      </c>
      <c r="F1374" t="s">
        <v>27</v>
      </c>
      <c r="G1374" t="s">
        <v>35</v>
      </c>
      <c r="H1374" t="s">
        <v>58</v>
      </c>
      <c r="I1374" t="s">
        <v>39</v>
      </c>
      <c r="J1374">
        <v>18</v>
      </c>
      <c r="K1374">
        <v>1495.21</v>
      </c>
      <c r="L1374">
        <v>26913.79</v>
      </c>
      <c r="M1374">
        <v>14251.96</v>
      </c>
      <c r="N1374">
        <v>3261.94</v>
      </c>
      <c r="O1374">
        <v>1619.42</v>
      </c>
      <c r="P1374">
        <v>1076.95</v>
      </c>
      <c r="Q1374">
        <v>327.08999999999997</v>
      </c>
      <c r="R1374">
        <v>1476.09</v>
      </c>
      <c r="S1374">
        <v>345.67</v>
      </c>
      <c r="T1374">
        <v>22359.11</v>
      </c>
      <c r="U1374">
        <v>12661.83</v>
      </c>
      <c r="V1374">
        <v>4554.68</v>
      </c>
      <c r="W1374">
        <v>4344.84</v>
      </c>
      <c r="X1374">
        <v>26313.41</v>
      </c>
      <c r="Y1374">
        <v>21566.799999999999</v>
      </c>
    </row>
    <row r="1375" spans="1:25" x14ac:dyDescent="0.25">
      <c r="A1375" t="s">
        <v>1431</v>
      </c>
      <c r="B1375" s="1">
        <v>45319</v>
      </c>
      <c r="C1375">
        <v>2024</v>
      </c>
      <c r="D1375">
        <v>1</v>
      </c>
      <c r="E1375" t="s">
        <v>26</v>
      </c>
      <c r="F1375" t="s">
        <v>27</v>
      </c>
      <c r="G1375" t="s">
        <v>28</v>
      </c>
      <c r="H1375" t="s">
        <v>29</v>
      </c>
      <c r="I1375" t="s">
        <v>65</v>
      </c>
      <c r="J1375">
        <v>68</v>
      </c>
      <c r="K1375">
        <v>906.73</v>
      </c>
      <c r="L1375">
        <v>61657.9</v>
      </c>
      <c r="M1375">
        <v>39142.82</v>
      </c>
      <c r="N1375">
        <v>4710.9399999999996</v>
      </c>
      <c r="O1375">
        <v>3570.73</v>
      </c>
      <c r="P1375">
        <v>1748.82</v>
      </c>
      <c r="Q1375">
        <v>528.45000000000005</v>
      </c>
      <c r="R1375">
        <v>3491.36</v>
      </c>
      <c r="S1375">
        <v>623.91</v>
      </c>
      <c r="T1375">
        <v>53817.03</v>
      </c>
      <c r="U1375">
        <v>22515.08</v>
      </c>
      <c r="V1375">
        <v>7840.88</v>
      </c>
      <c r="W1375">
        <v>7725.23</v>
      </c>
      <c r="X1375">
        <v>60730.15</v>
      </c>
      <c r="Y1375">
        <v>50708.76</v>
      </c>
    </row>
    <row r="1376" spans="1:25" x14ac:dyDescent="0.25">
      <c r="A1376" t="s">
        <v>1432</v>
      </c>
      <c r="B1376" s="1">
        <v>45319</v>
      </c>
      <c r="C1376">
        <v>2024</v>
      </c>
      <c r="D1376">
        <v>1</v>
      </c>
      <c r="E1376" t="s">
        <v>26</v>
      </c>
      <c r="F1376" t="s">
        <v>27</v>
      </c>
      <c r="G1376" t="s">
        <v>35</v>
      </c>
      <c r="H1376" t="s">
        <v>32</v>
      </c>
      <c r="I1376" t="s">
        <v>37</v>
      </c>
      <c r="J1376">
        <v>45</v>
      </c>
      <c r="K1376">
        <v>1761.1</v>
      </c>
      <c r="L1376">
        <v>79249.279999999999</v>
      </c>
      <c r="M1376">
        <v>43309.72</v>
      </c>
      <c r="N1376">
        <v>6175.96</v>
      </c>
      <c r="O1376">
        <v>4025.75</v>
      </c>
      <c r="P1376">
        <v>2991.03</v>
      </c>
      <c r="Q1376">
        <v>1372.29</v>
      </c>
      <c r="R1376">
        <v>2883.17</v>
      </c>
      <c r="S1376">
        <v>1622.97</v>
      </c>
      <c r="T1376">
        <v>62380.89</v>
      </c>
      <c r="U1376">
        <v>35939.56</v>
      </c>
      <c r="V1376">
        <v>16868.39</v>
      </c>
      <c r="W1376">
        <v>17107.34</v>
      </c>
      <c r="X1376">
        <v>88610.75</v>
      </c>
      <c r="Y1376">
        <v>66481.64</v>
      </c>
    </row>
    <row r="1377" spans="1:25" x14ac:dyDescent="0.25">
      <c r="A1377" t="s">
        <v>1433</v>
      </c>
      <c r="B1377" s="1">
        <v>45319</v>
      </c>
      <c r="C1377">
        <v>2024</v>
      </c>
      <c r="D1377">
        <v>1</v>
      </c>
      <c r="E1377" t="s">
        <v>26</v>
      </c>
      <c r="F1377" t="s">
        <v>27</v>
      </c>
      <c r="G1377" t="s">
        <v>35</v>
      </c>
      <c r="H1377" t="s">
        <v>53</v>
      </c>
      <c r="I1377" t="s">
        <v>45</v>
      </c>
      <c r="J1377">
        <v>22</v>
      </c>
      <c r="K1377">
        <v>1295.6600000000001</v>
      </c>
      <c r="L1377">
        <v>28504.5</v>
      </c>
      <c r="M1377">
        <v>18042.53</v>
      </c>
      <c r="N1377">
        <v>3323.24</v>
      </c>
      <c r="O1377">
        <v>1030.3</v>
      </c>
      <c r="P1377">
        <v>857.09</v>
      </c>
      <c r="Q1377">
        <v>337.85</v>
      </c>
      <c r="R1377">
        <v>1042.8900000000001</v>
      </c>
      <c r="S1377">
        <v>438.53</v>
      </c>
      <c r="T1377">
        <v>25072.44</v>
      </c>
      <c r="U1377">
        <v>10461.969999999999</v>
      </c>
      <c r="V1377">
        <v>3432.06</v>
      </c>
      <c r="W1377">
        <v>3078.17</v>
      </c>
      <c r="X1377">
        <v>29458.71</v>
      </c>
      <c r="Y1377">
        <v>25335.3</v>
      </c>
    </row>
    <row r="1378" spans="1:25" x14ac:dyDescent="0.25">
      <c r="A1378" t="s">
        <v>1434</v>
      </c>
      <c r="B1378" s="1">
        <v>45319</v>
      </c>
      <c r="C1378">
        <v>2024</v>
      </c>
      <c r="D1378">
        <v>1</v>
      </c>
      <c r="E1378" t="s">
        <v>26</v>
      </c>
      <c r="F1378" t="s">
        <v>27</v>
      </c>
      <c r="G1378" t="s">
        <v>55</v>
      </c>
      <c r="H1378" t="s">
        <v>29</v>
      </c>
      <c r="I1378" t="s">
        <v>37</v>
      </c>
      <c r="J1378">
        <v>55</v>
      </c>
      <c r="K1378">
        <v>1195.08</v>
      </c>
      <c r="L1378">
        <v>65729.600000000006</v>
      </c>
      <c r="M1378">
        <v>35237.339999999997</v>
      </c>
      <c r="N1378">
        <v>8484.68</v>
      </c>
      <c r="O1378">
        <v>2380.73</v>
      </c>
      <c r="P1378">
        <v>2817.68</v>
      </c>
      <c r="Q1378">
        <v>783.76</v>
      </c>
      <c r="R1378">
        <v>3054.5</v>
      </c>
      <c r="S1378">
        <v>1037.31</v>
      </c>
      <c r="T1378">
        <v>53796.01</v>
      </c>
      <c r="U1378">
        <v>30492.25</v>
      </c>
      <c r="V1378">
        <v>11933.59</v>
      </c>
      <c r="W1378">
        <v>11966.36</v>
      </c>
      <c r="X1378">
        <v>61186.6</v>
      </c>
      <c r="Y1378">
        <v>51702.17</v>
      </c>
    </row>
    <row r="1379" spans="1:25" x14ac:dyDescent="0.25">
      <c r="A1379" t="s">
        <v>1435</v>
      </c>
      <c r="B1379" s="1">
        <v>45321</v>
      </c>
      <c r="C1379">
        <v>2024</v>
      </c>
      <c r="D1379">
        <v>1</v>
      </c>
      <c r="E1379" t="s">
        <v>26</v>
      </c>
      <c r="F1379" t="s">
        <v>27</v>
      </c>
      <c r="G1379" t="s">
        <v>44</v>
      </c>
      <c r="H1379" t="s">
        <v>36</v>
      </c>
      <c r="I1379" t="s">
        <v>39</v>
      </c>
      <c r="J1379">
        <v>35</v>
      </c>
      <c r="K1379">
        <v>1262.1099999999999</v>
      </c>
      <c r="L1379">
        <v>44173.73</v>
      </c>
      <c r="M1379">
        <v>23843.759999999998</v>
      </c>
      <c r="N1379">
        <v>5223.9799999999996</v>
      </c>
      <c r="O1379">
        <v>2400.04</v>
      </c>
      <c r="P1379">
        <v>1556.69</v>
      </c>
      <c r="Q1379">
        <v>655.54</v>
      </c>
      <c r="R1379">
        <v>1607.15</v>
      </c>
      <c r="S1379">
        <v>370.24</v>
      </c>
      <c r="T1379">
        <v>35657.410000000003</v>
      </c>
      <c r="U1379">
        <v>20329.97</v>
      </c>
      <c r="V1379">
        <v>8516.33</v>
      </c>
      <c r="W1379">
        <v>7797.7</v>
      </c>
      <c r="X1379">
        <v>42163.1</v>
      </c>
      <c r="Y1379">
        <v>37047.11</v>
      </c>
    </row>
    <row r="1380" spans="1:25" x14ac:dyDescent="0.25">
      <c r="A1380" t="s">
        <v>1436</v>
      </c>
      <c r="B1380" s="1">
        <v>45321</v>
      </c>
      <c r="C1380">
        <v>2024</v>
      </c>
      <c r="D1380">
        <v>1</v>
      </c>
      <c r="E1380" t="s">
        <v>26</v>
      </c>
      <c r="F1380" t="s">
        <v>27</v>
      </c>
      <c r="G1380" t="s">
        <v>35</v>
      </c>
      <c r="H1380" t="s">
        <v>53</v>
      </c>
      <c r="I1380" t="s">
        <v>39</v>
      </c>
      <c r="J1380">
        <v>20</v>
      </c>
      <c r="K1380">
        <v>1502.06</v>
      </c>
      <c r="L1380">
        <v>30041.14</v>
      </c>
      <c r="M1380">
        <v>18527.12</v>
      </c>
      <c r="N1380">
        <v>2292.61</v>
      </c>
      <c r="O1380">
        <v>1552.71</v>
      </c>
      <c r="P1380">
        <v>840.14</v>
      </c>
      <c r="Q1380">
        <v>521.02</v>
      </c>
      <c r="R1380">
        <v>868.56</v>
      </c>
      <c r="S1380">
        <v>453.45</v>
      </c>
      <c r="T1380">
        <v>25055.599999999999</v>
      </c>
      <c r="U1380">
        <v>11514.02</v>
      </c>
      <c r="V1380">
        <v>4985.54</v>
      </c>
      <c r="W1380">
        <v>4780.2299999999996</v>
      </c>
      <c r="X1380">
        <v>28396.54</v>
      </c>
      <c r="Y1380">
        <v>23728.81</v>
      </c>
    </row>
    <row r="1381" spans="1:25" x14ac:dyDescent="0.25">
      <c r="A1381" t="s">
        <v>1437</v>
      </c>
      <c r="B1381" s="1">
        <v>45321</v>
      </c>
      <c r="C1381">
        <v>2024</v>
      </c>
      <c r="D1381">
        <v>1</v>
      </c>
      <c r="E1381" t="s">
        <v>26</v>
      </c>
      <c r="F1381" t="s">
        <v>27</v>
      </c>
      <c r="G1381" t="s">
        <v>44</v>
      </c>
      <c r="H1381" t="s">
        <v>36</v>
      </c>
      <c r="I1381" t="s">
        <v>39</v>
      </c>
      <c r="J1381">
        <v>39</v>
      </c>
      <c r="K1381">
        <v>1250.44</v>
      </c>
      <c r="L1381">
        <v>48767.33</v>
      </c>
      <c r="M1381">
        <v>32177.63</v>
      </c>
      <c r="N1381">
        <v>6005.81</v>
      </c>
      <c r="O1381">
        <v>3184.02</v>
      </c>
      <c r="P1381">
        <v>1003.09</v>
      </c>
      <c r="Q1381">
        <v>736.38</v>
      </c>
      <c r="R1381">
        <v>2626.27</v>
      </c>
      <c r="S1381">
        <v>908.19</v>
      </c>
      <c r="T1381">
        <v>46641.39</v>
      </c>
      <c r="U1381">
        <v>16589.689999999999</v>
      </c>
      <c r="V1381">
        <v>2125.94</v>
      </c>
      <c r="W1381">
        <v>1900.8</v>
      </c>
      <c r="X1381">
        <v>51478.51</v>
      </c>
      <c r="Y1381">
        <v>48086.74</v>
      </c>
    </row>
    <row r="1382" spans="1:25" x14ac:dyDescent="0.25">
      <c r="A1382" t="s">
        <v>1438</v>
      </c>
      <c r="B1382" s="1">
        <v>45321</v>
      </c>
      <c r="C1382">
        <v>2024</v>
      </c>
      <c r="D1382">
        <v>1</v>
      </c>
      <c r="E1382" t="s">
        <v>26</v>
      </c>
      <c r="F1382" t="s">
        <v>27</v>
      </c>
      <c r="G1382" t="s">
        <v>44</v>
      </c>
      <c r="H1382" t="s">
        <v>58</v>
      </c>
      <c r="I1382" t="s">
        <v>45</v>
      </c>
      <c r="J1382">
        <v>40</v>
      </c>
      <c r="K1382">
        <v>958.69</v>
      </c>
      <c r="L1382">
        <v>38347.4</v>
      </c>
      <c r="M1382">
        <v>22692.35</v>
      </c>
      <c r="N1382">
        <v>3291.19</v>
      </c>
      <c r="O1382">
        <v>2857.91</v>
      </c>
      <c r="P1382">
        <v>901.86</v>
      </c>
      <c r="Q1382">
        <v>580.73</v>
      </c>
      <c r="R1382">
        <v>2238.0100000000002</v>
      </c>
      <c r="S1382">
        <v>319.36</v>
      </c>
      <c r="T1382">
        <v>32881.42</v>
      </c>
      <c r="U1382">
        <v>15655.05</v>
      </c>
      <c r="V1382">
        <v>5465.99</v>
      </c>
      <c r="W1382">
        <v>5251.34</v>
      </c>
      <c r="X1382">
        <v>41559.21</v>
      </c>
      <c r="Y1382">
        <v>34097.279999999999</v>
      </c>
    </row>
    <row r="1383" spans="1:25" x14ac:dyDescent="0.25">
      <c r="A1383" t="s">
        <v>1439</v>
      </c>
      <c r="B1383" s="1">
        <v>45321</v>
      </c>
      <c r="C1383">
        <v>2024</v>
      </c>
      <c r="D1383">
        <v>1</v>
      </c>
      <c r="E1383" t="s">
        <v>26</v>
      </c>
      <c r="F1383" t="s">
        <v>27</v>
      </c>
      <c r="G1383" t="s">
        <v>55</v>
      </c>
      <c r="H1383" t="s">
        <v>29</v>
      </c>
      <c r="I1383" t="s">
        <v>65</v>
      </c>
      <c r="J1383">
        <v>57</v>
      </c>
      <c r="K1383">
        <v>1454.69</v>
      </c>
      <c r="L1383">
        <v>82917.23</v>
      </c>
      <c r="M1383">
        <v>41873.620000000003</v>
      </c>
      <c r="N1383">
        <v>10677.35</v>
      </c>
      <c r="O1383">
        <v>3155.51</v>
      </c>
      <c r="P1383">
        <v>2474.42</v>
      </c>
      <c r="Q1383">
        <v>708.23</v>
      </c>
      <c r="R1383">
        <v>3027.26</v>
      </c>
      <c r="S1383">
        <v>1353.93</v>
      </c>
      <c r="T1383">
        <v>63270.33</v>
      </c>
      <c r="U1383">
        <v>41043.61</v>
      </c>
      <c r="V1383">
        <v>19646.900000000001</v>
      </c>
      <c r="W1383">
        <v>19479.400000000001</v>
      </c>
      <c r="X1383">
        <v>83194.98</v>
      </c>
      <c r="Y1383">
        <v>63894.43</v>
      </c>
    </row>
    <row r="1384" spans="1:25" x14ac:dyDescent="0.25">
      <c r="A1384" t="s">
        <v>1440</v>
      </c>
      <c r="B1384" s="1">
        <v>45322</v>
      </c>
      <c r="C1384">
        <v>2024</v>
      </c>
      <c r="D1384">
        <v>1</v>
      </c>
      <c r="E1384" t="s">
        <v>26</v>
      </c>
      <c r="F1384" t="s">
        <v>27</v>
      </c>
      <c r="G1384" t="s">
        <v>44</v>
      </c>
      <c r="H1384" t="s">
        <v>58</v>
      </c>
      <c r="I1384" t="s">
        <v>56</v>
      </c>
      <c r="J1384">
        <v>30</v>
      </c>
      <c r="K1384">
        <v>1236.1199999999999</v>
      </c>
      <c r="L1384">
        <v>37083.64</v>
      </c>
      <c r="M1384">
        <v>19233.57</v>
      </c>
      <c r="N1384">
        <v>3513.49</v>
      </c>
      <c r="O1384">
        <v>1840.84</v>
      </c>
      <c r="P1384">
        <v>846.91</v>
      </c>
      <c r="Q1384">
        <v>225.31</v>
      </c>
      <c r="R1384">
        <v>2145.9899999999998</v>
      </c>
      <c r="S1384">
        <v>308.45999999999998</v>
      </c>
      <c r="T1384">
        <v>28114.58</v>
      </c>
      <c r="U1384">
        <v>17850.07</v>
      </c>
      <c r="V1384">
        <v>8969.06</v>
      </c>
      <c r="W1384">
        <v>8405.25</v>
      </c>
      <c r="X1384">
        <v>37516.92</v>
      </c>
      <c r="Y1384">
        <v>30070.02</v>
      </c>
    </row>
    <row r="1385" spans="1:25" x14ac:dyDescent="0.25">
      <c r="A1385" t="s">
        <v>1441</v>
      </c>
      <c r="B1385" s="1">
        <v>45322</v>
      </c>
      <c r="C1385">
        <v>2024</v>
      </c>
      <c r="D1385">
        <v>1</v>
      </c>
      <c r="E1385" t="s">
        <v>26</v>
      </c>
      <c r="F1385" t="s">
        <v>27</v>
      </c>
      <c r="G1385" t="s">
        <v>35</v>
      </c>
      <c r="H1385" t="s">
        <v>58</v>
      </c>
      <c r="I1385" t="s">
        <v>30</v>
      </c>
      <c r="J1385">
        <v>49</v>
      </c>
      <c r="K1385">
        <v>1520.3</v>
      </c>
      <c r="L1385">
        <v>74494.53</v>
      </c>
      <c r="M1385">
        <v>44153.15</v>
      </c>
      <c r="N1385">
        <v>7644.82</v>
      </c>
      <c r="O1385">
        <v>2147.33</v>
      </c>
      <c r="P1385">
        <v>2391.1799999999998</v>
      </c>
      <c r="Q1385">
        <v>667.99</v>
      </c>
      <c r="R1385">
        <v>3196.9</v>
      </c>
      <c r="S1385">
        <v>1145.78</v>
      </c>
      <c r="T1385">
        <v>61347.15</v>
      </c>
      <c r="U1385">
        <v>30341.38</v>
      </c>
      <c r="V1385">
        <v>13147.38</v>
      </c>
      <c r="W1385">
        <v>12576.22</v>
      </c>
      <c r="X1385">
        <v>78164.78</v>
      </c>
      <c r="Y1385">
        <v>66197.490000000005</v>
      </c>
    </row>
    <row r="1386" spans="1:25" x14ac:dyDescent="0.25">
      <c r="A1386" t="s">
        <v>1442</v>
      </c>
      <c r="B1386" s="1">
        <v>45322</v>
      </c>
      <c r="C1386">
        <v>2024</v>
      </c>
      <c r="D1386">
        <v>1</v>
      </c>
      <c r="E1386" t="s">
        <v>26</v>
      </c>
      <c r="F1386" t="s">
        <v>27</v>
      </c>
      <c r="G1386" t="s">
        <v>44</v>
      </c>
      <c r="H1386" t="s">
        <v>32</v>
      </c>
      <c r="I1386" t="s">
        <v>50</v>
      </c>
      <c r="J1386">
        <v>70</v>
      </c>
      <c r="K1386">
        <v>918.82</v>
      </c>
      <c r="L1386">
        <v>64317.34</v>
      </c>
      <c r="M1386">
        <v>32573.56</v>
      </c>
      <c r="N1386">
        <v>7813.38</v>
      </c>
      <c r="O1386">
        <v>2619.48</v>
      </c>
      <c r="P1386">
        <v>2258.0700000000002</v>
      </c>
      <c r="Q1386">
        <v>921.98</v>
      </c>
      <c r="R1386">
        <v>2455.71</v>
      </c>
      <c r="S1386">
        <v>1242.4000000000001</v>
      </c>
      <c r="T1386">
        <v>49884.57</v>
      </c>
      <c r="U1386">
        <v>31743.78</v>
      </c>
      <c r="V1386">
        <v>14432.77</v>
      </c>
      <c r="W1386">
        <v>13977.25</v>
      </c>
      <c r="X1386">
        <v>69095.759999999995</v>
      </c>
      <c r="Y1386">
        <v>54511.56</v>
      </c>
    </row>
    <row r="1387" spans="1:25" x14ac:dyDescent="0.25">
      <c r="A1387" t="s">
        <v>1443</v>
      </c>
      <c r="B1387" s="1">
        <v>45322</v>
      </c>
      <c r="C1387">
        <v>2024</v>
      </c>
      <c r="D1387">
        <v>1</v>
      </c>
      <c r="E1387" t="s">
        <v>26</v>
      </c>
      <c r="F1387" t="s">
        <v>27</v>
      </c>
      <c r="G1387" t="s">
        <v>44</v>
      </c>
      <c r="H1387" t="s">
        <v>58</v>
      </c>
      <c r="I1387" t="s">
        <v>65</v>
      </c>
      <c r="J1387">
        <v>25</v>
      </c>
      <c r="K1387">
        <v>1728.32</v>
      </c>
      <c r="L1387">
        <v>43207.91</v>
      </c>
      <c r="M1387">
        <v>21684.73</v>
      </c>
      <c r="N1387">
        <v>4230.43</v>
      </c>
      <c r="O1387">
        <v>2201.0100000000002</v>
      </c>
      <c r="P1387">
        <v>1747.29</v>
      </c>
      <c r="Q1387">
        <v>244.89</v>
      </c>
      <c r="R1387">
        <v>1316.33</v>
      </c>
      <c r="S1387">
        <v>666.39</v>
      </c>
      <c r="T1387">
        <v>32091.06</v>
      </c>
      <c r="U1387">
        <v>21523.18</v>
      </c>
      <c r="V1387">
        <v>11116.85</v>
      </c>
      <c r="W1387">
        <v>10981.79</v>
      </c>
      <c r="X1387">
        <v>46324.47</v>
      </c>
      <c r="Y1387">
        <v>32644.639999999999</v>
      </c>
    </row>
    <row r="1388" spans="1:25" x14ac:dyDescent="0.25">
      <c r="A1388" t="s">
        <v>1444</v>
      </c>
      <c r="B1388" s="1">
        <v>45322</v>
      </c>
      <c r="C1388">
        <v>2024</v>
      </c>
      <c r="D1388">
        <v>1</v>
      </c>
      <c r="E1388" t="s">
        <v>26</v>
      </c>
      <c r="F1388" t="s">
        <v>27</v>
      </c>
      <c r="G1388" t="s">
        <v>35</v>
      </c>
      <c r="H1388" t="s">
        <v>53</v>
      </c>
      <c r="I1388" t="s">
        <v>50</v>
      </c>
      <c r="J1388">
        <v>41</v>
      </c>
      <c r="K1388">
        <v>964.62</v>
      </c>
      <c r="L1388">
        <v>39549.5</v>
      </c>
      <c r="M1388">
        <v>20607.689999999999</v>
      </c>
      <c r="N1388">
        <v>4464.78</v>
      </c>
      <c r="O1388">
        <v>2095.92</v>
      </c>
      <c r="P1388">
        <v>784.77</v>
      </c>
      <c r="Q1388">
        <v>349.65</v>
      </c>
      <c r="R1388">
        <v>2094.62</v>
      </c>
      <c r="S1388">
        <v>437.35</v>
      </c>
      <c r="T1388">
        <v>30834.78</v>
      </c>
      <c r="U1388">
        <v>18941.810000000001</v>
      </c>
      <c r="V1388">
        <v>8714.7199999999993</v>
      </c>
      <c r="W1388">
        <v>8333.2800000000007</v>
      </c>
      <c r="X1388">
        <v>40975.839999999997</v>
      </c>
      <c r="Y1388">
        <v>29053.26</v>
      </c>
    </row>
    <row r="1389" spans="1:25" x14ac:dyDescent="0.25">
      <c r="A1389" t="s">
        <v>1445</v>
      </c>
      <c r="B1389" s="1">
        <v>45323</v>
      </c>
      <c r="C1389">
        <v>2024</v>
      </c>
      <c r="D1389">
        <v>2</v>
      </c>
      <c r="E1389" t="s">
        <v>161</v>
      </c>
      <c r="F1389" t="s">
        <v>27</v>
      </c>
      <c r="G1389" t="s">
        <v>44</v>
      </c>
      <c r="H1389" t="s">
        <v>32</v>
      </c>
      <c r="I1389" t="s">
        <v>65</v>
      </c>
      <c r="J1389">
        <v>81</v>
      </c>
      <c r="K1389">
        <v>824.19</v>
      </c>
      <c r="L1389">
        <v>66759.13</v>
      </c>
      <c r="M1389">
        <v>43244.75</v>
      </c>
      <c r="N1389">
        <v>5442.03</v>
      </c>
      <c r="O1389">
        <v>3361.73</v>
      </c>
      <c r="P1389">
        <v>1078.71</v>
      </c>
      <c r="Q1389">
        <v>915.03</v>
      </c>
      <c r="R1389">
        <v>2551.81</v>
      </c>
      <c r="S1389">
        <v>1126.94</v>
      </c>
      <c r="T1389">
        <v>57721.01</v>
      </c>
      <c r="U1389">
        <v>23514.38</v>
      </c>
      <c r="V1389">
        <v>9038.1200000000008</v>
      </c>
      <c r="W1389">
        <v>8129.9</v>
      </c>
      <c r="X1389">
        <v>68643.740000000005</v>
      </c>
      <c r="Y1389">
        <v>58808.68</v>
      </c>
    </row>
    <row r="1390" spans="1:25" x14ac:dyDescent="0.25">
      <c r="A1390" t="s">
        <v>1446</v>
      </c>
      <c r="B1390" s="1">
        <v>45323</v>
      </c>
      <c r="C1390">
        <v>2024</v>
      </c>
      <c r="D1390">
        <v>2</v>
      </c>
      <c r="E1390" t="s">
        <v>161</v>
      </c>
      <c r="F1390" t="s">
        <v>27</v>
      </c>
      <c r="G1390" t="s">
        <v>55</v>
      </c>
      <c r="H1390" t="s">
        <v>36</v>
      </c>
      <c r="I1390" t="s">
        <v>45</v>
      </c>
      <c r="J1390">
        <v>33</v>
      </c>
      <c r="K1390">
        <v>1503.45</v>
      </c>
      <c r="L1390">
        <v>49614.01</v>
      </c>
      <c r="M1390">
        <v>33321.11</v>
      </c>
      <c r="N1390">
        <v>6432.37</v>
      </c>
      <c r="O1390">
        <v>1365.31</v>
      </c>
      <c r="P1390">
        <v>1356.63</v>
      </c>
      <c r="Q1390">
        <v>570.55999999999995</v>
      </c>
      <c r="R1390">
        <v>1998.86</v>
      </c>
      <c r="S1390">
        <v>1017.79</v>
      </c>
      <c r="T1390">
        <v>46062.63</v>
      </c>
      <c r="U1390">
        <v>16292.9</v>
      </c>
      <c r="V1390">
        <v>3551.38</v>
      </c>
      <c r="W1390">
        <v>3242.15</v>
      </c>
      <c r="X1390">
        <v>51471.66</v>
      </c>
      <c r="Y1390">
        <v>46383.33</v>
      </c>
    </row>
    <row r="1391" spans="1:25" x14ac:dyDescent="0.25">
      <c r="A1391" t="s">
        <v>1447</v>
      </c>
      <c r="B1391" s="1">
        <v>45323</v>
      </c>
      <c r="C1391">
        <v>2024</v>
      </c>
      <c r="D1391">
        <v>2</v>
      </c>
      <c r="E1391" t="s">
        <v>161</v>
      </c>
      <c r="F1391" t="s">
        <v>27</v>
      </c>
      <c r="G1391" t="s">
        <v>55</v>
      </c>
      <c r="H1391" t="s">
        <v>32</v>
      </c>
      <c r="I1391" t="s">
        <v>39</v>
      </c>
      <c r="J1391">
        <v>32</v>
      </c>
      <c r="K1391">
        <v>1287.0899999999999</v>
      </c>
      <c r="L1391">
        <v>41186.75</v>
      </c>
      <c r="M1391">
        <v>22856.35</v>
      </c>
      <c r="N1391">
        <v>3601.67</v>
      </c>
      <c r="O1391">
        <v>1511.01</v>
      </c>
      <c r="P1391">
        <v>1766.21</v>
      </c>
      <c r="Q1391">
        <v>267.73</v>
      </c>
      <c r="R1391">
        <v>2515.16</v>
      </c>
      <c r="S1391">
        <v>675.62</v>
      </c>
      <c r="T1391">
        <v>33193.769999999997</v>
      </c>
      <c r="U1391">
        <v>18330.400000000001</v>
      </c>
      <c r="V1391">
        <v>7992.98</v>
      </c>
      <c r="W1391">
        <v>7542.12</v>
      </c>
      <c r="X1391">
        <v>42428.9</v>
      </c>
      <c r="Y1391">
        <v>35499.449999999997</v>
      </c>
    </row>
    <row r="1392" spans="1:25" x14ac:dyDescent="0.25">
      <c r="A1392" t="s">
        <v>1448</v>
      </c>
      <c r="B1392" s="1">
        <v>45323</v>
      </c>
      <c r="C1392">
        <v>2024</v>
      </c>
      <c r="D1392">
        <v>2</v>
      </c>
      <c r="E1392" t="s">
        <v>161</v>
      </c>
      <c r="F1392" t="s">
        <v>27</v>
      </c>
      <c r="G1392" t="s">
        <v>35</v>
      </c>
      <c r="H1392" t="s">
        <v>36</v>
      </c>
      <c r="I1392" t="s">
        <v>39</v>
      </c>
      <c r="J1392">
        <v>36</v>
      </c>
      <c r="K1392">
        <v>1091.3800000000001</v>
      </c>
      <c r="L1392">
        <v>39289.78</v>
      </c>
      <c r="M1392">
        <v>21530.45</v>
      </c>
      <c r="N1392">
        <v>4500.66</v>
      </c>
      <c r="O1392">
        <v>2205.08</v>
      </c>
      <c r="P1392">
        <v>1176.53</v>
      </c>
      <c r="Q1392">
        <v>584.96</v>
      </c>
      <c r="R1392">
        <v>2529.31</v>
      </c>
      <c r="S1392">
        <v>350.24</v>
      </c>
      <c r="T1392">
        <v>32877.24</v>
      </c>
      <c r="U1392">
        <v>17759.330000000002</v>
      </c>
      <c r="V1392">
        <v>6412.55</v>
      </c>
      <c r="W1392">
        <v>5702.92</v>
      </c>
      <c r="X1392">
        <v>39673.550000000003</v>
      </c>
      <c r="Y1392">
        <v>34469.69</v>
      </c>
    </row>
    <row r="1393" spans="1:25" x14ac:dyDescent="0.25">
      <c r="A1393" t="s">
        <v>1449</v>
      </c>
      <c r="B1393" s="1">
        <v>45323</v>
      </c>
      <c r="C1393">
        <v>2024</v>
      </c>
      <c r="D1393">
        <v>2</v>
      </c>
      <c r="E1393" t="s">
        <v>161</v>
      </c>
      <c r="F1393" t="s">
        <v>27</v>
      </c>
      <c r="G1393" t="s">
        <v>44</v>
      </c>
      <c r="H1393" t="s">
        <v>29</v>
      </c>
      <c r="I1393" t="s">
        <v>39</v>
      </c>
      <c r="J1393">
        <v>36</v>
      </c>
      <c r="K1393">
        <v>1354.99</v>
      </c>
      <c r="L1393">
        <v>48779.75</v>
      </c>
      <c r="M1393">
        <v>29391.51</v>
      </c>
      <c r="N1393">
        <v>5884.42</v>
      </c>
      <c r="O1393">
        <v>3181.74</v>
      </c>
      <c r="P1393">
        <v>1476.78</v>
      </c>
      <c r="Q1393">
        <v>390.67</v>
      </c>
      <c r="R1393">
        <v>1305.1300000000001</v>
      </c>
      <c r="S1393">
        <v>1120.29</v>
      </c>
      <c r="T1393">
        <v>42750.53</v>
      </c>
      <c r="U1393">
        <v>19388.240000000002</v>
      </c>
      <c r="V1393">
        <v>6029.21</v>
      </c>
      <c r="W1393">
        <v>6123.55</v>
      </c>
      <c r="X1393">
        <v>53187.47</v>
      </c>
      <c r="Y1393">
        <v>44465.06</v>
      </c>
    </row>
    <row r="1394" spans="1:25" x14ac:dyDescent="0.25">
      <c r="A1394" t="s">
        <v>1450</v>
      </c>
      <c r="B1394" s="1">
        <v>45323</v>
      </c>
      <c r="C1394">
        <v>2024</v>
      </c>
      <c r="D1394">
        <v>2</v>
      </c>
      <c r="E1394" t="s">
        <v>161</v>
      </c>
      <c r="F1394" t="s">
        <v>27</v>
      </c>
      <c r="G1394" t="s">
        <v>44</v>
      </c>
      <c r="H1394" t="s">
        <v>36</v>
      </c>
      <c r="I1394" t="s">
        <v>39</v>
      </c>
      <c r="J1394">
        <v>32</v>
      </c>
      <c r="K1394">
        <v>1141.46</v>
      </c>
      <c r="L1394">
        <v>36526.79</v>
      </c>
      <c r="M1394">
        <v>21906.28</v>
      </c>
      <c r="N1394">
        <v>4170.55</v>
      </c>
      <c r="O1394">
        <v>1159.55</v>
      </c>
      <c r="P1394">
        <v>635.87</v>
      </c>
      <c r="Q1394">
        <v>407.13</v>
      </c>
      <c r="R1394">
        <v>2233.17</v>
      </c>
      <c r="S1394">
        <v>657.98</v>
      </c>
      <c r="T1394">
        <v>31170.54</v>
      </c>
      <c r="U1394">
        <v>14620.51</v>
      </c>
      <c r="V1394">
        <v>5356.25</v>
      </c>
      <c r="W1394">
        <v>5300.1</v>
      </c>
      <c r="X1394">
        <v>37772.42</v>
      </c>
      <c r="Y1394">
        <v>29235.97</v>
      </c>
    </row>
    <row r="1395" spans="1:25" x14ac:dyDescent="0.25">
      <c r="A1395" t="s">
        <v>1451</v>
      </c>
      <c r="B1395" s="1">
        <v>45323</v>
      </c>
      <c r="C1395">
        <v>2024</v>
      </c>
      <c r="D1395">
        <v>2</v>
      </c>
      <c r="E1395" t="s">
        <v>161</v>
      </c>
      <c r="F1395" t="s">
        <v>27</v>
      </c>
      <c r="G1395" t="s">
        <v>28</v>
      </c>
      <c r="H1395" t="s">
        <v>32</v>
      </c>
      <c r="I1395" t="s">
        <v>45</v>
      </c>
      <c r="J1395">
        <v>44</v>
      </c>
      <c r="K1395">
        <v>974.01</v>
      </c>
      <c r="L1395">
        <v>42856.35</v>
      </c>
      <c r="M1395">
        <v>26471.22</v>
      </c>
      <c r="N1395">
        <v>4244.54</v>
      </c>
      <c r="O1395">
        <v>2919.34</v>
      </c>
      <c r="P1395">
        <v>1481.45</v>
      </c>
      <c r="Q1395">
        <v>297.75</v>
      </c>
      <c r="R1395">
        <v>1655.12</v>
      </c>
      <c r="S1395">
        <v>646.63</v>
      </c>
      <c r="T1395">
        <v>37716.04</v>
      </c>
      <c r="U1395">
        <v>16385.13</v>
      </c>
      <c r="V1395">
        <v>5140.3100000000004</v>
      </c>
      <c r="W1395">
        <v>4546.01</v>
      </c>
      <c r="X1395">
        <v>47017.82</v>
      </c>
      <c r="Y1395">
        <v>36656.36</v>
      </c>
    </row>
    <row r="1396" spans="1:25" x14ac:dyDescent="0.25">
      <c r="A1396" t="s">
        <v>1452</v>
      </c>
      <c r="B1396" s="1">
        <v>45324</v>
      </c>
      <c r="C1396">
        <v>2024</v>
      </c>
      <c r="D1396">
        <v>2</v>
      </c>
      <c r="E1396" t="s">
        <v>161</v>
      </c>
      <c r="F1396" t="s">
        <v>27</v>
      </c>
      <c r="G1396" t="s">
        <v>28</v>
      </c>
      <c r="H1396" t="s">
        <v>32</v>
      </c>
      <c r="I1396" t="s">
        <v>56</v>
      </c>
      <c r="J1396">
        <v>33</v>
      </c>
      <c r="K1396">
        <v>1199.8800000000001</v>
      </c>
      <c r="L1396">
        <v>39595.919999999998</v>
      </c>
      <c r="M1396">
        <v>24940.69</v>
      </c>
      <c r="N1396">
        <v>5133.7</v>
      </c>
      <c r="O1396">
        <v>1760.53</v>
      </c>
      <c r="P1396">
        <v>1335.49</v>
      </c>
      <c r="Q1396">
        <v>431.78</v>
      </c>
      <c r="R1396">
        <v>2338.41</v>
      </c>
      <c r="S1396">
        <v>935.44</v>
      </c>
      <c r="T1396">
        <v>36876.050000000003</v>
      </c>
      <c r="U1396">
        <v>14655.23</v>
      </c>
      <c r="V1396">
        <v>2719.87</v>
      </c>
      <c r="W1396">
        <v>2534.16</v>
      </c>
      <c r="X1396">
        <v>40452.370000000003</v>
      </c>
      <c r="Y1396">
        <v>37081.14</v>
      </c>
    </row>
    <row r="1397" spans="1:25" x14ac:dyDescent="0.25">
      <c r="A1397" t="s">
        <v>1453</v>
      </c>
      <c r="B1397" s="1">
        <v>45324</v>
      </c>
      <c r="C1397">
        <v>2024</v>
      </c>
      <c r="D1397">
        <v>2</v>
      </c>
      <c r="E1397" t="s">
        <v>161</v>
      </c>
      <c r="F1397" t="s">
        <v>27</v>
      </c>
      <c r="G1397" t="s">
        <v>55</v>
      </c>
      <c r="H1397" t="s">
        <v>36</v>
      </c>
      <c r="I1397" t="s">
        <v>56</v>
      </c>
      <c r="J1397">
        <v>29</v>
      </c>
      <c r="K1397">
        <v>1013.01</v>
      </c>
      <c r="L1397">
        <v>29377.43</v>
      </c>
      <c r="M1397">
        <v>17748.22</v>
      </c>
      <c r="N1397">
        <v>3075.78</v>
      </c>
      <c r="O1397">
        <v>1155.3499999999999</v>
      </c>
      <c r="P1397">
        <v>733.22</v>
      </c>
      <c r="Q1397">
        <v>224.65</v>
      </c>
      <c r="R1397">
        <v>1071.98</v>
      </c>
      <c r="S1397">
        <v>471.46</v>
      </c>
      <c r="T1397">
        <v>24480.65</v>
      </c>
      <c r="U1397">
        <v>11629.21</v>
      </c>
      <c r="V1397">
        <v>4896.7700000000004</v>
      </c>
      <c r="W1397">
        <v>4674.6899999999996</v>
      </c>
      <c r="X1397">
        <v>31206.73</v>
      </c>
      <c r="Y1397">
        <v>23670.57</v>
      </c>
    </row>
    <row r="1398" spans="1:25" x14ac:dyDescent="0.25">
      <c r="A1398" t="s">
        <v>1454</v>
      </c>
      <c r="B1398" s="1">
        <v>45324</v>
      </c>
      <c r="C1398">
        <v>2024</v>
      </c>
      <c r="D1398">
        <v>2</v>
      </c>
      <c r="E1398" t="s">
        <v>161</v>
      </c>
      <c r="F1398" t="s">
        <v>27</v>
      </c>
      <c r="G1398" t="s">
        <v>44</v>
      </c>
      <c r="H1398" t="s">
        <v>36</v>
      </c>
      <c r="I1398" t="s">
        <v>30</v>
      </c>
      <c r="J1398">
        <v>78</v>
      </c>
      <c r="K1398">
        <v>1197.0899999999999</v>
      </c>
      <c r="L1398">
        <v>93372.93</v>
      </c>
      <c r="M1398">
        <v>55536.78</v>
      </c>
      <c r="N1398">
        <v>9615.39</v>
      </c>
      <c r="O1398">
        <v>5125.6499999999996</v>
      </c>
      <c r="P1398">
        <v>3134.04</v>
      </c>
      <c r="Q1398">
        <v>984.26</v>
      </c>
      <c r="R1398">
        <v>2509.0700000000002</v>
      </c>
      <c r="S1398">
        <v>1506.11</v>
      </c>
      <c r="T1398">
        <v>78411.3</v>
      </c>
      <c r="U1398">
        <v>37836.15</v>
      </c>
      <c r="V1398">
        <v>14961.63</v>
      </c>
      <c r="W1398">
        <v>14600.74</v>
      </c>
      <c r="X1398">
        <v>87814.46</v>
      </c>
      <c r="Y1398">
        <v>79270.92</v>
      </c>
    </row>
    <row r="1399" spans="1:25" x14ac:dyDescent="0.25">
      <c r="A1399" t="s">
        <v>1455</v>
      </c>
      <c r="B1399" s="1">
        <v>45324</v>
      </c>
      <c r="C1399">
        <v>2024</v>
      </c>
      <c r="D1399">
        <v>2</v>
      </c>
      <c r="E1399" t="s">
        <v>161</v>
      </c>
      <c r="F1399" t="s">
        <v>27</v>
      </c>
      <c r="G1399" t="s">
        <v>55</v>
      </c>
      <c r="H1399" t="s">
        <v>32</v>
      </c>
      <c r="I1399" t="s">
        <v>50</v>
      </c>
      <c r="J1399">
        <v>76</v>
      </c>
      <c r="K1399">
        <v>880.9</v>
      </c>
      <c r="L1399">
        <v>66948.58</v>
      </c>
      <c r="M1399">
        <v>39373.78</v>
      </c>
      <c r="N1399">
        <v>7839.95</v>
      </c>
      <c r="O1399">
        <v>4438.03</v>
      </c>
      <c r="P1399">
        <v>1902.15</v>
      </c>
      <c r="Q1399">
        <v>460.93</v>
      </c>
      <c r="R1399">
        <v>1953.97</v>
      </c>
      <c r="S1399">
        <v>863.78</v>
      </c>
      <c r="T1399">
        <v>56832.59</v>
      </c>
      <c r="U1399">
        <v>27574.799999999999</v>
      </c>
      <c r="V1399">
        <v>10115.99</v>
      </c>
      <c r="W1399">
        <v>10245.92</v>
      </c>
      <c r="X1399">
        <v>65539.399999999994</v>
      </c>
      <c r="Y1399">
        <v>58711.8</v>
      </c>
    </row>
    <row r="1400" spans="1:25" x14ac:dyDescent="0.25">
      <c r="A1400" t="s">
        <v>1456</v>
      </c>
      <c r="B1400" s="1">
        <v>45324</v>
      </c>
      <c r="C1400">
        <v>2024</v>
      </c>
      <c r="D1400">
        <v>2</v>
      </c>
      <c r="E1400" t="s">
        <v>161</v>
      </c>
      <c r="F1400" t="s">
        <v>27</v>
      </c>
      <c r="G1400" t="s">
        <v>55</v>
      </c>
      <c r="H1400" t="s">
        <v>36</v>
      </c>
      <c r="I1400" t="s">
        <v>30</v>
      </c>
      <c r="J1400">
        <v>119</v>
      </c>
      <c r="K1400">
        <v>883.22</v>
      </c>
      <c r="L1400">
        <v>105102.65</v>
      </c>
      <c r="M1400">
        <v>62740.01</v>
      </c>
      <c r="N1400">
        <v>12568.21</v>
      </c>
      <c r="O1400">
        <v>5872.33</v>
      </c>
      <c r="P1400">
        <v>4244.26</v>
      </c>
      <c r="Q1400">
        <v>1456.93</v>
      </c>
      <c r="R1400">
        <v>3692.29</v>
      </c>
      <c r="S1400">
        <v>1890.31</v>
      </c>
      <c r="T1400">
        <v>92464.35</v>
      </c>
      <c r="U1400">
        <v>42362.64</v>
      </c>
      <c r="V1400">
        <v>12638.3</v>
      </c>
      <c r="W1400">
        <v>12038.47</v>
      </c>
      <c r="X1400">
        <v>115932.97</v>
      </c>
      <c r="Y1400">
        <v>87583.72</v>
      </c>
    </row>
    <row r="1401" spans="1:25" x14ac:dyDescent="0.25">
      <c r="A1401" t="s">
        <v>1457</v>
      </c>
      <c r="B1401" s="1">
        <v>45325</v>
      </c>
      <c r="C1401">
        <v>2024</v>
      </c>
      <c r="D1401">
        <v>2</v>
      </c>
      <c r="E1401" t="s">
        <v>161</v>
      </c>
      <c r="F1401" t="s">
        <v>27</v>
      </c>
      <c r="G1401" t="s">
        <v>44</v>
      </c>
      <c r="H1401" t="s">
        <v>58</v>
      </c>
      <c r="I1401" t="s">
        <v>50</v>
      </c>
      <c r="J1401">
        <v>29</v>
      </c>
      <c r="K1401">
        <v>1116.94</v>
      </c>
      <c r="L1401">
        <v>32391.22</v>
      </c>
      <c r="M1401">
        <v>18888.669999999998</v>
      </c>
      <c r="N1401">
        <v>3883.34</v>
      </c>
      <c r="O1401">
        <v>1803.4</v>
      </c>
      <c r="P1401">
        <v>623.19000000000005</v>
      </c>
      <c r="Q1401">
        <v>444.61</v>
      </c>
      <c r="R1401">
        <v>1570.19</v>
      </c>
      <c r="S1401">
        <v>727.83</v>
      </c>
      <c r="T1401">
        <v>27941.23</v>
      </c>
      <c r="U1401">
        <v>13502.55</v>
      </c>
      <c r="V1401">
        <v>4449.99</v>
      </c>
      <c r="W1401">
        <v>4401.3</v>
      </c>
      <c r="X1401">
        <v>33901.910000000003</v>
      </c>
      <c r="Y1401">
        <v>26840.33</v>
      </c>
    </row>
    <row r="1402" spans="1:25" x14ac:dyDescent="0.25">
      <c r="A1402" t="s">
        <v>1458</v>
      </c>
      <c r="B1402" s="1">
        <v>45325</v>
      </c>
      <c r="C1402">
        <v>2024</v>
      </c>
      <c r="D1402">
        <v>2</v>
      </c>
      <c r="E1402" t="s">
        <v>161</v>
      </c>
      <c r="F1402" t="s">
        <v>27</v>
      </c>
      <c r="G1402" t="s">
        <v>44</v>
      </c>
      <c r="H1402" t="s">
        <v>58</v>
      </c>
      <c r="I1402" t="s">
        <v>45</v>
      </c>
      <c r="J1402">
        <v>30</v>
      </c>
      <c r="K1402">
        <v>1094.1500000000001</v>
      </c>
      <c r="L1402">
        <v>32824.58</v>
      </c>
      <c r="M1402">
        <v>21210.23</v>
      </c>
      <c r="N1402">
        <v>2314.2800000000002</v>
      </c>
      <c r="O1402">
        <v>1417.08</v>
      </c>
      <c r="P1402">
        <v>1007.67</v>
      </c>
      <c r="Q1402">
        <v>324.64</v>
      </c>
      <c r="R1402">
        <v>1334.38</v>
      </c>
      <c r="S1402">
        <v>427.67</v>
      </c>
      <c r="T1402">
        <v>28035.95</v>
      </c>
      <c r="U1402">
        <v>11614.35</v>
      </c>
      <c r="V1402">
        <v>4788.62</v>
      </c>
      <c r="W1402">
        <v>4695.7299999999996</v>
      </c>
      <c r="X1402">
        <v>35437.89</v>
      </c>
      <c r="Y1402">
        <v>28193.18</v>
      </c>
    </row>
    <row r="1403" spans="1:25" x14ac:dyDescent="0.25">
      <c r="A1403" t="s">
        <v>1459</v>
      </c>
      <c r="B1403" s="1">
        <v>45325</v>
      </c>
      <c r="C1403">
        <v>2024</v>
      </c>
      <c r="D1403">
        <v>2</v>
      </c>
      <c r="E1403" t="s">
        <v>161</v>
      </c>
      <c r="F1403" t="s">
        <v>27</v>
      </c>
      <c r="G1403" t="s">
        <v>35</v>
      </c>
      <c r="H1403" t="s">
        <v>32</v>
      </c>
      <c r="I1403" t="s">
        <v>37</v>
      </c>
      <c r="J1403">
        <v>80</v>
      </c>
      <c r="K1403">
        <v>1001.65</v>
      </c>
      <c r="L1403">
        <v>80132</v>
      </c>
      <c r="M1403">
        <v>41867.040000000001</v>
      </c>
      <c r="N1403">
        <v>10367.86</v>
      </c>
      <c r="O1403">
        <v>4226.0600000000004</v>
      </c>
      <c r="P1403">
        <v>3376.35</v>
      </c>
      <c r="Q1403">
        <v>1133.0899999999999</v>
      </c>
      <c r="R1403">
        <v>5126.57</v>
      </c>
      <c r="S1403">
        <v>1068.5999999999999</v>
      </c>
      <c r="T1403">
        <v>67165.56</v>
      </c>
      <c r="U1403">
        <v>38264.959999999999</v>
      </c>
      <c r="V1403">
        <v>12966.44</v>
      </c>
      <c r="W1403">
        <v>11913.11</v>
      </c>
      <c r="X1403">
        <v>82030.539999999994</v>
      </c>
      <c r="Y1403">
        <v>67591.399999999994</v>
      </c>
    </row>
    <row r="1404" spans="1:25" x14ac:dyDescent="0.25">
      <c r="A1404" t="s">
        <v>1460</v>
      </c>
      <c r="B1404" s="1">
        <v>45325</v>
      </c>
      <c r="C1404">
        <v>2024</v>
      </c>
      <c r="D1404">
        <v>2</v>
      </c>
      <c r="E1404" t="s">
        <v>161</v>
      </c>
      <c r="F1404" t="s">
        <v>27</v>
      </c>
      <c r="G1404" t="s">
        <v>35</v>
      </c>
      <c r="H1404" t="s">
        <v>53</v>
      </c>
      <c r="I1404" t="s">
        <v>65</v>
      </c>
      <c r="J1404">
        <v>43</v>
      </c>
      <c r="K1404">
        <v>1032.6500000000001</v>
      </c>
      <c r="L1404">
        <v>44404.06</v>
      </c>
      <c r="M1404">
        <v>25743.17</v>
      </c>
      <c r="N1404">
        <v>4008.06</v>
      </c>
      <c r="O1404">
        <v>1278.97</v>
      </c>
      <c r="P1404">
        <v>1239.58</v>
      </c>
      <c r="Q1404">
        <v>559.4</v>
      </c>
      <c r="R1404">
        <v>1131.5</v>
      </c>
      <c r="S1404">
        <v>463.1</v>
      </c>
      <c r="T1404">
        <v>34423.78</v>
      </c>
      <c r="U1404">
        <v>18660.88</v>
      </c>
      <c r="V1404">
        <v>9980.2800000000007</v>
      </c>
      <c r="W1404">
        <v>9811.14</v>
      </c>
      <c r="X1404">
        <v>49346.87</v>
      </c>
      <c r="Y1404">
        <v>35669.46</v>
      </c>
    </row>
    <row r="1405" spans="1:25" x14ac:dyDescent="0.25">
      <c r="A1405" t="s">
        <v>1461</v>
      </c>
      <c r="B1405" s="1">
        <v>45325</v>
      </c>
      <c r="C1405">
        <v>2024</v>
      </c>
      <c r="D1405">
        <v>2</v>
      </c>
      <c r="E1405" t="s">
        <v>161</v>
      </c>
      <c r="F1405" t="s">
        <v>27</v>
      </c>
      <c r="G1405" t="s">
        <v>44</v>
      </c>
      <c r="H1405" t="s">
        <v>53</v>
      </c>
      <c r="I1405" t="s">
        <v>30</v>
      </c>
      <c r="J1405">
        <v>59</v>
      </c>
      <c r="K1405">
        <v>1231.97</v>
      </c>
      <c r="L1405">
        <v>72686.36</v>
      </c>
      <c r="M1405">
        <v>43928.46</v>
      </c>
      <c r="N1405">
        <v>8810.76</v>
      </c>
      <c r="O1405">
        <v>4841.08</v>
      </c>
      <c r="P1405">
        <v>2855.79</v>
      </c>
      <c r="Q1405">
        <v>876.04</v>
      </c>
      <c r="R1405">
        <v>2870.75</v>
      </c>
      <c r="S1405">
        <v>670.14</v>
      </c>
      <c r="T1405">
        <v>64853.03</v>
      </c>
      <c r="U1405">
        <v>28757.9</v>
      </c>
      <c r="V1405">
        <v>7833.33</v>
      </c>
      <c r="W1405">
        <v>7426.87</v>
      </c>
      <c r="X1405">
        <v>75597.78</v>
      </c>
      <c r="Y1405">
        <v>68205.94</v>
      </c>
    </row>
    <row r="1406" spans="1:25" x14ac:dyDescent="0.25">
      <c r="A1406" t="s">
        <v>1462</v>
      </c>
      <c r="B1406" s="1">
        <v>45325</v>
      </c>
      <c r="C1406">
        <v>2024</v>
      </c>
      <c r="D1406">
        <v>2</v>
      </c>
      <c r="E1406" t="s">
        <v>161</v>
      </c>
      <c r="F1406" t="s">
        <v>27</v>
      </c>
      <c r="G1406" t="s">
        <v>28</v>
      </c>
      <c r="H1406" t="s">
        <v>32</v>
      </c>
      <c r="I1406" t="s">
        <v>65</v>
      </c>
      <c r="J1406">
        <v>53</v>
      </c>
      <c r="K1406">
        <v>1730.97</v>
      </c>
      <c r="L1406">
        <v>91741.54</v>
      </c>
      <c r="M1406">
        <v>56189.26</v>
      </c>
      <c r="N1406">
        <v>8353.42</v>
      </c>
      <c r="O1406">
        <v>6782.9</v>
      </c>
      <c r="P1406">
        <v>1562.44</v>
      </c>
      <c r="Q1406">
        <v>869.17</v>
      </c>
      <c r="R1406">
        <v>4647.1499999999996</v>
      </c>
      <c r="S1406">
        <v>1327.28</v>
      </c>
      <c r="T1406">
        <v>79731.62</v>
      </c>
      <c r="U1406">
        <v>35552.29</v>
      </c>
      <c r="V1406">
        <v>12009.92</v>
      </c>
      <c r="W1406">
        <v>11119.23</v>
      </c>
      <c r="X1406">
        <v>86083.63</v>
      </c>
      <c r="Y1406">
        <v>85651.4</v>
      </c>
    </row>
    <row r="1407" spans="1:25" x14ac:dyDescent="0.25">
      <c r="A1407" t="s">
        <v>1463</v>
      </c>
      <c r="B1407" s="1">
        <v>45326</v>
      </c>
      <c r="C1407">
        <v>2024</v>
      </c>
      <c r="D1407">
        <v>2</v>
      </c>
      <c r="E1407" t="s">
        <v>161</v>
      </c>
      <c r="F1407" t="s">
        <v>27</v>
      </c>
      <c r="G1407" t="s">
        <v>28</v>
      </c>
      <c r="H1407" t="s">
        <v>29</v>
      </c>
      <c r="I1407" t="s">
        <v>45</v>
      </c>
      <c r="J1407">
        <v>47</v>
      </c>
      <c r="K1407">
        <v>1247.04</v>
      </c>
      <c r="L1407">
        <v>58611</v>
      </c>
      <c r="M1407">
        <v>37721.74</v>
      </c>
      <c r="N1407">
        <v>4388.53</v>
      </c>
      <c r="O1407">
        <v>2109.77</v>
      </c>
      <c r="P1407">
        <v>941.87</v>
      </c>
      <c r="Q1407">
        <v>670.25</v>
      </c>
      <c r="R1407">
        <v>2322.34</v>
      </c>
      <c r="S1407">
        <v>1327.01</v>
      </c>
      <c r="T1407">
        <v>49481.51</v>
      </c>
      <c r="U1407">
        <v>20889.259999999998</v>
      </c>
      <c r="V1407">
        <v>9129.49</v>
      </c>
      <c r="W1407">
        <v>8522.8700000000008</v>
      </c>
      <c r="X1407">
        <v>61178.720000000001</v>
      </c>
      <c r="Y1407">
        <v>53584.04</v>
      </c>
    </row>
    <row r="1408" spans="1:25" x14ac:dyDescent="0.25">
      <c r="A1408" t="s">
        <v>1464</v>
      </c>
      <c r="B1408" s="1">
        <v>45326</v>
      </c>
      <c r="C1408">
        <v>2024</v>
      </c>
      <c r="D1408">
        <v>2</v>
      </c>
      <c r="E1408" t="s">
        <v>161</v>
      </c>
      <c r="F1408" t="s">
        <v>27</v>
      </c>
      <c r="G1408" t="s">
        <v>44</v>
      </c>
      <c r="H1408" t="s">
        <v>36</v>
      </c>
      <c r="I1408" t="s">
        <v>30</v>
      </c>
      <c r="J1408">
        <v>80</v>
      </c>
      <c r="K1408">
        <v>891.11</v>
      </c>
      <c r="L1408">
        <v>71288.81</v>
      </c>
      <c r="M1408">
        <v>41788.699999999997</v>
      </c>
      <c r="N1408">
        <v>5077.2299999999996</v>
      </c>
      <c r="O1408">
        <v>4336.51</v>
      </c>
      <c r="P1408">
        <v>2231.85</v>
      </c>
      <c r="Q1408">
        <v>623.29999999999995</v>
      </c>
      <c r="R1408">
        <v>3276.94</v>
      </c>
      <c r="S1408">
        <v>1286.71</v>
      </c>
      <c r="T1408">
        <v>58621.24</v>
      </c>
      <c r="U1408">
        <v>29500.11</v>
      </c>
      <c r="V1408">
        <v>12667.57</v>
      </c>
      <c r="W1408">
        <v>11605.79</v>
      </c>
      <c r="X1408">
        <v>67952.570000000007</v>
      </c>
      <c r="Y1408">
        <v>61736.35</v>
      </c>
    </row>
    <row r="1409" spans="1:25" x14ac:dyDescent="0.25">
      <c r="A1409" t="s">
        <v>1465</v>
      </c>
      <c r="B1409" s="1">
        <v>45327</v>
      </c>
      <c r="C1409">
        <v>2024</v>
      </c>
      <c r="D1409">
        <v>2</v>
      </c>
      <c r="E1409" t="s">
        <v>161</v>
      </c>
      <c r="F1409" t="s">
        <v>27</v>
      </c>
      <c r="G1409" t="s">
        <v>35</v>
      </c>
      <c r="H1409" t="s">
        <v>32</v>
      </c>
      <c r="I1409" t="s">
        <v>56</v>
      </c>
      <c r="J1409">
        <v>35</v>
      </c>
      <c r="K1409">
        <v>1203.28</v>
      </c>
      <c r="L1409">
        <v>42114.65</v>
      </c>
      <c r="M1409">
        <v>20578.93</v>
      </c>
      <c r="N1409">
        <v>3821.21</v>
      </c>
      <c r="O1409">
        <v>2144.17</v>
      </c>
      <c r="P1409">
        <v>855.53</v>
      </c>
      <c r="Q1409">
        <v>370.5</v>
      </c>
      <c r="R1409">
        <v>2101.46</v>
      </c>
      <c r="S1409">
        <v>364.82</v>
      </c>
      <c r="T1409">
        <v>30236.63</v>
      </c>
      <c r="U1409">
        <v>21535.72</v>
      </c>
      <c r="V1409">
        <v>11878.02</v>
      </c>
      <c r="W1409">
        <v>11492.76</v>
      </c>
      <c r="X1409">
        <v>39815.29</v>
      </c>
      <c r="Y1409">
        <v>31500.02</v>
      </c>
    </row>
    <row r="1410" spans="1:25" x14ac:dyDescent="0.25">
      <c r="A1410" t="s">
        <v>1466</v>
      </c>
      <c r="B1410" s="1">
        <v>45327</v>
      </c>
      <c r="C1410">
        <v>2024</v>
      </c>
      <c r="D1410">
        <v>2</v>
      </c>
      <c r="E1410" t="s">
        <v>161</v>
      </c>
      <c r="F1410" t="s">
        <v>27</v>
      </c>
      <c r="G1410" t="s">
        <v>35</v>
      </c>
      <c r="H1410" t="s">
        <v>53</v>
      </c>
      <c r="I1410" t="s">
        <v>30</v>
      </c>
      <c r="J1410">
        <v>56</v>
      </c>
      <c r="K1410">
        <v>1119.8</v>
      </c>
      <c r="L1410">
        <v>62708.92</v>
      </c>
      <c r="M1410">
        <v>40175.26</v>
      </c>
      <c r="N1410">
        <v>6291.21</v>
      </c>
      <c r="O1410">
        <v>3579.09</v>
      </c>
      <c r="P1410">
        <v>2330.92</v>
      </c>
      <c r="Q1410">
        <v>842.7</v>
      </c>
      <c r="R1410">
        <v>3264.7</v>
      </c>
      <c r="S1410">
        <v>660.23</v>
      </c>
      <c r="T1410">
        <v>57144.1</v>
      </c>
      <c r="U1410">
        <v>22533.66</v>
      </c>
      <c r="V1410">
        <v>5564.82</v>
      </c>
      <c r="W1410">
        <v>5106.47</v>
      </c>
      <c r="X1410">
        <v>69266.22</v>
      </c>
      <c r="Y1410">
        <v>58940.59</v>
      </c>
    </row>
    <row r="1411" spans="1:25" x14ac:dyDescent="0.25">
      <c r="A1411" t="s">
        <v>1467</v>
      </c>
      <c r="B1411" s="1">
        <v>45327</v>
      </c>
      <c r="C1411">
        <v>2024</v>
      </c>
      <c r="D1411">
        <v>2</v>
      </c>
      <c r="E1411" t="s">
        <v>161</v>
      </c>
      <c r="F1411" t="s">
        <v>27</v>
      </c>
      <c r="G1411" t="s">
        <v>44</v>
      </c>
      <c r="H1411" t="s">
        <v>58</v>
      </c>
      <c r="I1411" t="s">
        <v>33</v>
      </c>
      <c r="J1411">
        <v>59</v>
      </c>
      <c r="K1411">
        <v>853.67</v>
      </c>
      <c r="L1411">
        <v>50366.38</v>
      </c>
      <c r="M1411">
        <v>31761.46</v>
      </c>
      <c r="N1411">
        <v>4519</v>
      </c>
      <c r="O1411">
        <v>3226.84</v>
      </c>
      <c r="P1411">
        <v>809.02</v>
      </c>
      <c r="Q1411">
        <v>425.38</v>
      </c>
      <c r="R1411">
        <v>2417.3000000000002</v>
      </c>
      <c r="S1411">
        <v>743.02</v>
      </c>
      <c r="T1411">
        <v>43902.01</v>
      </c>
      <c r="U1411">
        <v>18604.93</v>
      </c>
      <c r="V1411">
        <v>6464.38</v>
      </c>
      <c r="W1411">
        <v>5970.17</v>
      </c>
      <c r="X1411">
        <v>47650.61</v>
      </c>
      <c r="Y1411">
        <v>46737.17</v>
      </c>
    </row>
    <row r="1412" spans="1:25" x14ac:dyDescent="0.25">
      <c r="A1412" t="s">
        <v>1468</v>
      </c>
      <c r="B1412" s="1">
        <v>45327</v>
      </c>
      <c r="C1412">
        <v>2024</v>
      </c>
      <c r="D1412">
        <v>2</v>
      </c>
      <c r="E1412" t="s">
        <v>161</v>
      </c>
      <c r="F1412" t="s">
        <v>27</v>
      </c>
      <c r="G1412" t="s">
        <v>28</v>
      </c>
      <c r="H1412" t="s">
        <v>36</v>
      </c>
      <c r="I1412" t="s">
        <v>37</v>
      </c>
      <c r="J1412">
        <v>49</v>
      </c>
      <c r="K1412">
        <v>1487.67</v>
      </c>
      <c r="L1412">
        <v>72895.77</v>
      </c>
      <c r="M1412">
        <v>41985.34</v>
      </c>
      <c r="N1412">
        <v>8773.52</v>
      </c>
      <c r="O1412">
        <v>2202.1</v>
      </c>
      <c r="P1412">
        <v>2776.9</v>
      </c>
      <c r="Q1412">
        <v>1064.43</v>
      </c>
      <c r="R1412">
        <v>2680.48</v>
      </c>
      <c r="S1412">
        <v>922.18</v>
      </c>
      <c r="T1412">
        <v>60404.95</v>
      </c>
      <c r="U1412">
        <v>30910.43</v>
      </c>
      <c r="V1412">
        <v>12490.81</v>
      </c>
      <c r="W1412">
        <v>12733.97</v>
      </c>
      <c r="X1412">
        <v>73565.3</v>
      </c>
      <c r="Y1412">
        <v>62777.85</v>
      </c>
    </row>
    <row r="1413" spans="1:25" x14ac:dyDescent="0.25">
      <c r="A1413" t="s">
        <v>1469</v>
      </c>
      <c r="B1413" s="1">
        <v>45327</v>
      </c>
      <c r="C1413">
        <v>2024</v>
      </c>
      <c r="D1413">
        <v>2</v>
      </c>
      <c r="E1413" t="s">
        <v>161</v>
      </c>
      <c r="F1413" t="s">
        <v>27</v>
      </c>
      <c r="G1413" t="s">
        <v>55</v>
      </c>
      <c r="H1413" t="s">
        <v>36</v>
      </c>
      <c r="I1413" t="s">
        <v>65</v>
      </c>
      <c r="J1413">
        <v>36</v>
      </c>
      <c r="K1413">
        <v>1795.2</v>
      </c>
      <c r="L1413">
        <v>64627.3</v>
      </c>
      <c r="M1413">
        <v>39991.22</v>
      </c>
      <c r="N1413">
        <v>4785.01</v>
      </c>
      <c r="O1413">
        <v>3197.01</v>
      </c>
      <c r="P1413">
        <v>2321.77</v>
      </c>
      <c r="Q1413">
        <v>646.16</v>
      </c>
      <c r="R1413">
        <v>2817.38</v>
      </c>
      <c r="S1413">
        <v>1165.54</v>
      </c>
      <c r="T1413">
        <v>54924.1</v>
      </c>
      <c r="U1413">
        <v>24636.080000000002</v>
      </c>
      <c r="V1413">
        <v>9703.19</v>
      </c>
      <c r="W1413">
        <v>9557.74</v>
      </c>
      <c r="X1413">
        <v>68397.539999999994</v>
      </c>
      <c r="Y1413">
        <v>60259.79</v>
      </c>
    </row>
    <row r="1414" spans="1:25" x14ac:dyDescent="0.25">
      <c r="A1414" t="s">
        <v>1470</v>
      </c>
      <c r="B1414" s="1">
        <v>45327</v>
      </c>
      <c r="C1414">
        <v>2024</v>
      </c>
      <c r="D1414">
        <v>2</v>
      </c>
      <c r="E1414" t="s">
        <v>161</v>
      </c>
      <c r="F1414" t="s">
        <v>27</v>
      </c>
      <c r="G1414" t="s">
        <v>28</v>
      </c>
      <c r="H1414" t="s">
        <v>36</v>
      </c>
      <c r="I1414" t="s">
        <v>56</v>
      </c>
      <c r="J1414">
        <v>29</v>
      </c>
      <c r="K1414">
        <v>1115.99</v>
      </c>
      <c r="L1414">
        <v>32363.71</v>
      </c>
      <c r="M1414">
        <v>17565.09</v>
      </c>
      <c r="N1414">
        <v>3702.09</v>
      </c>
      <c r="O1414">
        <v>1355.2</v>
      </c>
      <c r="P1414">
        <v>1194.5</v>
      </c>
      <c r="Q1414">
        <v>512.15</v>
      </c>
      <c r="R1414">
        <v>976.06</v>
      </c>
      <c r="S1414">
        <v>616.72</v>
      </c>
      <c r="T1414">
        <v>25921.8</v>
      </c>
      <c r="U1414">
        <v>14798.63</v>
      </c>
      <c r="V1414">
        <v>6441.92</v>
      </c>
      <c r="W1414">
        <v>5784.86</v>
      </c>
      <c r="X1414">
        <v>35097.65</v>
      </c>
      <c r="Y1414">
        <v>24172.06</v>
      </c>
    </row>
    <row r="1415" spans="1:25" x14ac:dyDescent="0.25">
      <c r="A1415" t="s">
        <v>1471</v>
      </c>
      <c r="B1415" s="1">
        <v>45327</v>
      </c>
      <c r="C1415">
        <v>2024</v>
      </c>
      <c r="D1415">
        <v>2</v>
      </c>
      <c r="E1415" t="s">
        <v>161</v>
      </c>
      <c r="F1415" t="s">
        <v>27</v>
      </c>
      <c r="G1415" t="s">
        <v>28</v>
      </c>
      <c r="H1415" t="s">
        <v>29</v>
      </c>
      <c r="I1415" t="s">
        <v>56</v>
      </c>
      <c r="J1415">
        <v>42</v>
      </c>
      <c r="K1415">
        <v>954.13</v>
      </c>
      <c r="L1415">
        <v>40073.32</v>
      </c>
      <c r="M1415">
        <v>22111.439999999999</v>
      </c>
      <c r="N1415">
        <v>3185.5</v>
      </c>
      <c r="O1415">
        <v>1531.35</v>
      </c>
      <c r="P1415">
        <v>950.86</v>
      </c>
      <c r="Q1415">
        <v>662.2</v>
      </c>
      <c r="R1415">
        <v>1403.02</v>
      </c>
      <c r="S1415">
        <v>519.53</v>
      </c>
      <c r="T1415">
        <v>30363.9</v>
      </c>
      <c r="U1415">
        <v>17961.88</v>
      </c>
      <c r="V1415">
        <v>9709.42</v>
      </c>
      <c r="W1415">
        <v>8957.9699999999993</v>
      </c>
      <c r="X1415">
        <v>42148.74</v>
      </c>
      <c r="Y1415">
        <v>32131.52</v>
      </c>
    </row>
    <row r="1416" spans="1:25" x14ac:dyDescent="0.25">
      <c r="A1416" t="s">
        <v>1472</v>
      </c>
      <c r="B1416" s="1">
        <v>45327</v>
      </c>
      <c r="C1416">
        <v>2024</v>
      </c>
      <c r="D1416">
        <v>2</v>
      </c>
      <c r="E1416" t="s">
        <v>161</v>
      </c>
      <c r="F1416" t="s">
        <v>27</v>
      </c>
      <c r="G1416" t="s">
        <v>44</v>
      </c>
      <c r="H1416" t="s">
        <v>36</v>
      </c>
      <c r="I1416" t="s">
        <v>39</v>
      </c>
      <c r="J1416">
        <v>27</v>
      </c>
      <c r="K1416">
        <v>1658.96</v>
      </c>
      <c r="L1416">
        <v>44791.97</v>
      </c>
      <c r="M1416">
        <v>22436.51</v>
      </c>
      <c r="N1416">
        <v>3976.54</v>
      </c>
      <c r="O1416">
        <v>2706.48</v>
      </c>
      <c r="P1416">
        <v>1976.37</v>
      </c>
      <c r="Q1416">
        <v>722.45</v>
      </c>
      <c r="R1416">
        <v>1526.14</v>
      </c>
      <c r="S1416">
        <v>608.82000000000005</v>
      </c>
      <c r="T1416">
        <v>33953.31</v>
      </c>
      <c r="U1416">
        <v>22355.45</v>
      </c>
      <c r="V1416">
        <v>10838.66</v>
      </c>
      <c r="W1416">
        <v>10187.280000000001</v>
      </c>
      <c r="X1416">
        <v>43546.11</v>
      </c>
      <c r="Y1416">
        <v>36600.01</v>
      </c>
    </row>
    <row r="1417" spans="1:25" x14ac:dyDescent="0.25">
      <c r="A1417" t="s">
        <v>1473</v>
      </c>
      <c r="B1417" s="1">
        <v>45327</v>
      </c>
      <c r="C1417">
        <v>2024</v>
      </c>
      <c r="D1417">
        <v>2</v>
      </c>
      <c r="E1417" t="s">
        <v>161</v>
      </c>
      <c r="F1417" t="s">
        <v>27</v>
      </c>
      <c r="G1417" t="s">
        <v>55</v>
      </c>
      <c r="H1417" t="s">
        <v>32</v>
      </c>
      <c r="I1417" t="s">
        <v>50</v>
      </c>
      <c r="J1417">
        <v>59</v>
      </c>
      <c r="K1417">
        <v>1042.99</v>
      </c>
      <c r="L1417">
        <v>61536.35</v>
      </c>
      <c r="M1417">
        <v>39583.51</v>
      </c>
      <c r="N1417">
        <v>7716.23</v>
      </c>
      <c r="O1417">
        <v>1660.53</v>
      </c>
      <c r="P1417">
        <v>1263.3399999999999</v>
      </c>
      <c r="Q1417">
        <v>412.85</v>
      </c>
      <c r="R1417">
        <v>2074.77</v>
      </c>
      <c r="S1417">
        <v>1214.72</v>
      </c>
      <c r="T1417">
        <v>53925.95</v>
      </c>
      <c r="U1417">
        <v>21952.84</v>
      </c>
      <c r="V1417">
        <v>7610.4</v>
      </c>
      <c r="W1417">
        <v>6762</v>
      </c>
      <c r="X1417">
        <v>57002</v>
      </c>
      <c r="Y1417">
        <v>50667.87</v>
      </c>
    </row>
    <row r="1418" spans="1:25" x14ac:dyDescent="0.25">
      <c r="A1418" t="s">
        <v>1474</v>
      </c>
      <c r="B1418" s="1">
        <v>45328</v>
      </c>
      <c r="C1418">
        <v>2024</v>
      </c>
      <c r="D1418">
        <v>2</v>
      </c>
      <c r="E1418" t="s">
        <v>161</v>
      </c>
      <c r="F1418" t="s">
        <v>27</v>
      </c>
      <c r="G1418" t="s">
        <v>28</v>
      </c>
      <c r="H1418" t="s">
        <v>32</v>
      </c>
      <c r="I1418" t="s">
        <v>65</v>
      </c>
      <c r="J1418">
        <v>55</v>
      </c>
      <c r="K1418">
        <v>1594.55</v>
      </c>
      <c r="L1418">
        <v>87700.46</v>
      </c>
      <c r="M1418">
        <v>50800.98</v>
      </c>
      <c r="N1418">
        <v>9333.4</v>
      </c>
      <c r="O1418">
        <v>6533.44</v>
      </c>
      <c r="P1418">
        <v>3476.04</v>
      </c>
      <c r="Q1418">
        <v>855.62</v>
      </c>
      <c r="R1418">
        <v>2297.58</v>
      </c>
      <c r="S1418">
        <v>1477.86</v>
      </c>
      <c r="T1418">
        <v>74774.92</v>
      </c>
      <c r="U1418">
        <v>36899.480000000003</v>
      </c>
      <c r="V1418">
        <v>12925.54</v>
      </c>
      <c r="W1418">
        <v>12972.55</v>
      </c>
      <c r="X1418">
        <v>95158.01</v>
      </c>
      <c r="Y1418">
        <v>77946.990000000005</v>
      </c>
    </row>
    <row r="1419" spans="1:25" x14ac:dyDescent="0.25">
      <c r="A1419" t="s">
        <v>1475</v>
      </c>
      <c r="B1419" s="1">
        <v>45328</v>
      </c>
      <c r="C1419">
        <v>2024</v>
      </c>
      <c r="D1419">
        <v>2</v>
      </c>
      <c r="E1419" t="s">
        <v>161</v>
      </c>
      <c r="F1419" t="s">
        <v>27</v>
      </c>
      <c r="G1419" t="s">
        <v>55</v>
      </c>
      <c r="H1419" t="s">
        <v>32</v>
      </c>
      <c r="I1419" t="s">
        <v>45</v>
      </c>
      <c r="J1419">
        <v>64</v>
      </c>
      <c r="K1419">
        <v>1156.78</v>
      </c>
      <c r="L1419">
        <v>74034.14</v>
      </c>
      <c r="M1419">
        <v>40262.54</v>
      </c>
      <c r="N1419">
        <v>7051.03</v>
      </c>
      <c r="O1419">
        <v>2329.63</v>
      </c>
      <c r="P1419">
        <v>3331.29</v>
      </c>
      <c r="Q1419">
        <v>531.35</v>
      </c>
      <c r="R1419">
        <v>4759.54</v>
      </c>
      <c r="S1419">
        <v>929.66</v>
      </c>
      <c r="T1419">
        <v>59195.05</v>
      </c>
      <c r="U1419">
        <v>33771.589999999997</v>
      </c>
      <c r="V1419">
        <v>14839.08</v>
      </c>
      <c r="W1419">
        <v>13316.41</v>
      </c>
      <c r="X1419">
        <v>71277.429999999993</v>
      </c>
      <c r="Y1419">
        <v>56053.18</v>
      </c>
    </row>
    <row r="1420" spans="1:25" x14ac:dyDescent="0.25">
      <c r="A1420" t="s">
        <v>1476</v>
      </c>
      <c r="B1420" s="1">
        <v>45328</v>
      </c>
      <c r="C1420">
        <v>2024</v>
      </c>
      <c r="D1420">
        <v>2</v>
      </c>
      <c r="E1420" t="s">
        <v>161</v>
      </c>
      <c r="F1420" t="s">
        <v>27</v>
      </c>
      <c r="G1420" t="s">
        <v>28</v>
      </c>
      <c r="H1420" t="s">
        <v>32</v>
      </c>
      <c r="I1420" t="s">
        <v>30</v>
      </c>
      <c r="J1420">
        <v>93</v>
      </c>
      <c r="K1420">
        <v>1204.07</v>
      </c>
      <c r="L1420">
        <v>111978.82</v>
      </c>
      <c r="M1420">
        <v>70184.33</v>
      </c>
      <c r="N1420">
        <v>11676.42</v>
      </c>
      <c r="O1420">
        <v>7700.54</v>
      </c>
      <c r="P1420">
        <v>4818.24</v>
      </c>
      <c r="Q1420">
        <v>993.82</v>
      </c>
      <c r="R1420">
        <v>5826.22</v>
      </c>
      <c r="S1420">
        <v>1072.93</v>
      </c>
      <c r="T1420">
        <v>102272.49</v>
      </c>
      <c r="U1420">
        <v>41794.480000000003</v>
      </c>
      <c r="V1420">
        <v>9706.32</v>
      </c>
      <c r="W1420">
        <v>8880.76</v>
      </c>
      <c r="X1420">
        <v>111137.29</v>
      </c>
      <c r="Y1420">
        <v>97725.99</v>
      </c>
    </row>
    <row r="1421" spans="1:25" x14ac:dyDescent="0.25">
      <c r="A1421" t="s">
        <v>1477</v>
      </c>
      <c r="B1421" s="1">
        <v>45329</v>
      </c>
      <c r="C1421">
        <v>2024</v>
      </c>
      <c r="D1421">
        <v>2</v>
      </c>
      <c r="E1421" t="s">
        <v>161</v>
      </c>
      <c r="F1421" t="s">
        <v>27</v>
      </c>
      <c r="G1421" t="s">
        <v>35</v>
      </c>
      <c r="H1421" t="s">
        <v>36</v>
      </c>
      <c r="I1421" t="s">
        <v>65</v>
      </c>
      <c r="J1421">
        <v>63</v>
      </c>
      <c r="K1421">
        <v>864.85</v>
      </c>
      <c r="L1421">
        <v>54485.3</v>
      </c>
      <c r="M1421">
        <v>33147.629999999997</v>
      </c>
      <c r="N1421">
        <v>6020.26</v>
      </c>
      <c r="O1421">
        <v>2193.38</v>
      </c>
      <c r="P1421">
        <v>1571</v>
      </c>
      <c r="Q1421">
        <v>696.92</v>
      </c>
      <c r="R1421">
        <v>3501.82</v>
      </c>
      <c r="S1421">
        <v>515.14</v>
      </c>
      <c r="T1421">
        <v>47646.16</v>
      </c>
      <c r="U1421">
        <v>21337.67</v>
      </c>
      <c r="V1421">
        <v>6839.14</v>
      </c>
      <c r="W1421">
        <v>6316.65</v>
      </c>
      <c r="X1421">
        <v>54907.98</v>
      </c>
      <c r="Y1421">
        <v>52002.89</v>
      </c>
    </row>
    <row r="1422" spans="1:25" x14ac:dyDescent="0.25">
      <c r="A1422" t="s">
        <v>1478</v>
      </c>
      <c r="B1422" s="1">
        <v>45329</v>
      </c>
      <c r="C1422">
        <v>2024</v>
      </c>
      <c r="D1422">
        <v>2</v>
      </c>
      <c r="E1422" t="s">
        <v>161</v>
      </c>
      <c r="F1422" t="s">
        <v>27</v>
      </c>
      <c r="G1422" t="s">
        <v>28</v>
      </c>
      <c r="H1422" t="s">
        <v>32</v>
      </c>
      <c r="I1422" t="s">
        <v>30</v>
      </c>
      <c r="J1422">
        <v>85</v>
      </c>
      <c r="K1422">
        <v>1015.32</v>
      </c>
      <c r="L1422">
        <v>86302.080000000002</v>
      </c>
      <c r="M1422">
        <v>46857.34</v>
      </c>
      <c r="N1422">
        <v>10850.63</v>
      </c>
      <c r="O1422">
        <v>5127.7</v>
      </c>
      <c r="P1422">
        <v>1836.89</v>
      </c>
      <c r="Q1422">
        <v>657.48</v>
      </c>
      <c r="R1422">
        <v>5309.77</v>
      </c>
      <c r="S1422">
        <v>2094.9</v>
      </c>
      <c r="T1422">
        <v>72734.710000000006</v>
      </c>
      <c r="U1422">
        <v>39444.74</v>
      </c>
      <c r="V1422">
        <v>13567.37</v>
      </c>
      <c r="W1422">
        <v>13425.66</v>
      </c>
      <c r="X1422">
        <v>96465.54</v>
      </c>
      <c r="Y1422">
        <v>71539.429999999993</v>
      </c>
    </row>
    <row r="1423" spans="1:25" x14ac:dyDescent="0.25">
      <c r="A1423" t="s">
        <v>1479</v>
      </c>
      <c r="B1423" s="1">
        <v>45329</v>
      </c>
      <c r="C1423">
        <v>2024</v>
      </c>
      <c r="D1423">
        <v>2</v>
      </c>
      <c r="E1423" t="s">
        <v>161</v>
      </c>
      <c r="F1423" t="s">
        <v>27</v>
      </c>
      <c r="G1423" t="s">
        <v>28</v>
      </c>
      <c r="H1423" t="s">
        <v>29</v>
      </c>
      <c r="I1423" t="s">
        <v>45</v>
      </c>
      <c r="J1423">
        <v>35</v>
      </c>
      <c r="K1423">
        <v>1190.9000000000001</v>
      </c>
      <c r="L1423">
        <v>41681.42</v>
      </c>
      <c r="M1423">
        <v>26397.29</v>
      </c>
      <c r="N1423">
        <v>3071.1</v>
      </c>
      <c r="O1423">
        <v>2372.92</v>
      </c>
      <c r="P1423">
        <v>1794.07</v>
      </c>
      <c r="Q1423">
        <v>436.44</v>
      </c>
      <c r="R1423">
        <v>1901.34</v>
      </c>
      <c r="S1423">
        <v>548.84</v>
      </c>
      <c r="T1423">
        <v>36522</v>
      </c>
      <c r="U1423">
        <v>15284.13</v>
      </c>
      <c r="V1423">
        <v>5159.42</v>
      </c>
      <c r="W1423">
        <v>4591.05</v>
      </c>
      <c r="X1423">
        <v>42338.04</v>
      </c>
      <c r="Y1423">
        <v>34006.080000000002</v>
      </c>
    </row>
    <row r="1424" spans="1:25" x14ac:dyDescent="0.25">
      <c r="A1424" t="s">
        <v>1480</v>
      </c>
      <c r="B1424" s="1">
        <v>45330</v>
      </c>
      <c r="C1424">
        <v>2024</v>
      </c>
      <c r="D1424">
        <v>2</v>
      </c>
      <c r="E1424" t="s">
        <v>161</v>
      </c>
      <c r="F1424" t="s">
        <v>27</v>
      </c>
      <c r="G1424" t="s">
        <v>55</v>
      </c>
      <c r="H1424" t="s">
        <v>53</v>
      </c>
      <c r="I1424" t="s">
        <v>65</v>
      </c>
      <c r="J1424">
        <v>49</v>
      </c>
      <c r="K1424">
        <v>1452.66</v>
      </c>
      <c r="L1424">
        <v>71180.58</v>
      </c>
      <c r="M1424">
        <v>38240.699999999997</v>
      </c>
      <c r="N1424">
        <v>6970.18</v>
      </c>
      <c r="O1424">
        <v>4471.3900000000003</v>
      </c>
      <c r="P1424">
        <v>1418.85</v>
      </c>
      <c r="Q1424">
        <v>391.35</v>
      </c>
      <c r="R1424">
        <v>4319.6499999999996</v>
      </c>
      <c r="S1424">
        <v>1523.93</v>
      </c>
      <c r="T1424">
        <v>57336.05</v>
      </c>
      <c r="U1424">
        <v>32939.879999999997</v>
      </c>
      <c r="V1424">
        <v>13844.52</v>
      </c>
      <c r="W1424">
        <v>13681.35</v>
      </c>
      <c r="X1424">
        <v>79165.39</v>
      </c>
      <c r="Y1424">
        <v>60758.66</v>
      </c>
    </row>
    <row r="1425" spans="1:25" x14ac:dyDescent="0.25">
      <c r="A1425" t="s">
        <v>1481</v>
      </c>
      <c r="B1425" s="1">
        <v>45330</v>
      </c>
      <c r="C1425">
        <v>2024</v>
      </c>
      <c r="D1425">
        <v>2</v>
      </c>
      <c r="E1425" t="s">
        <v>161</v>
      </c>
      <c r="F1425" t="s">
        <v>27</v>
      </c>
      <c r="G1425" t="s">
        <v>28</v>
      </c>
      <c r="H1425" t="s">
        <v>29</v>
      </c>
      <c r="I1425" t="s">
        <v>30</v>
      </c>
      <c r="J1425">
        <v>77</v>
      </c>
      <c r="K1425">
        <v>1361.09</v>
      </c>
      <c r="L1425">
        <v>104804.3</v>
      </c>
      <c r="M1425">
        <v>55203.7</v>
      </c>
      <c r="N1425">
        <v>13612.94</v>
      </c>
      <c r="O1425">
        <v>7032.45</v>
      </c>
      <c r="P1425">
        <v>4652.63</v>
      </c>
      <c r="Q1425">
        <v>619.95000000000005</v>
      </c>
      <c r="R1425">
        <v>4493.37</v>
      </c>
      <c r="S1425">
        <v>2389.5</v>
      </c>
      <c r="T1425">
        <v>88004.52</v>
      </c>
      <c r="U1425">
        <v>49600.6</v>
      </c>
      <c r="V1425">
        <v>16799.77</v>
      </c>
      <c r="W1425">
        <v>17127.55</v>
      </c>
      <c r="X1425">
        <v>105503.25</v>
      </c>
      <c r="Y1425">
        <v>89151.52</v>
      </c>
    </row>
    <row r="1426" spans="1:25" x14ac:dyDescent="0.25">
      <c r="A1426" t="s">
        <v>1482</v>
      </c>
      <c r="B1426" s="1">
        <v>45330</v>
      </c>
      <c r="C1426">
        <v>2024</v>
      </c>
      <c r="D1426">
        <v>2</v>
      </c>
      <c r="E1426" t="s">
        <v>161</v>
      </c>
      <c r="F1426" t="s">
        <v>27</v>
      </c>
      <c r="G1426" t="s">
        <v>44</v>
      </c>
      <c r="H1426" t="s">
        <v>36</v>
      </c>
      <c r="I1426" t="s">
        <v>50</v>
      </c>
      <c r="J1426">
        <v>48</v>
      </c>
      <c r="K1426">
        <v>870.42</v>
      </c>
      <c r="L1426">
        <v>41780.22</v>
      </c>
      <c r="M1426">
        <v>26060.98</v>
      </c>
      <c r="N1426">
        <v>4010.07</v>
      </c>
      <c r="O1426">
        <v>2975.25</v>
      </c>
      <c r="P1426">
        <v>699.92</v>
      </c>
      <c r="Q1426">
        <v>549.85</v>
      </c>
      <c r="R1426">
        <v>2532.9499999999998</v>
      </c>
      <c r="S1426">
        <v>719.3</v>
      </c>
      <c r="T1426">
        <v>37548.31</v>
      </c>
      <c r="U1426">
        <v>15719.25</v>
      </c>
      <c r="V1426">
        <v>4231.92</v>
      </c>
      <c r="W1426">
        <v>3829.18</v>
      </c>
      <c r="X1426">
        <v>38950.870000000003</v>
      </c>
      <c r="Y1426">
        <v>35859.42</v>
      </c>
    </row>
    <row r="1427" spans="1:25" x14ac:dyDescent="0.25">
      <c r="A1427" t="s">
        <v>1483</v>
      </c>
      <c r="B1427" s="1">
        <v>45330</v>
      </c>
      <c r="C1427">
        <v>2024</v>
      </c>
      <c r="D1427">
        <v>2</v>
      </c>
      <c r="E1427" t="s">
        <v>161</v>
      </c>
      <c r="F1427" t="s">
        <v>27</v>
      </c>
      <c r="G1427" t="s">
        <v>35</v>
      </c>
      <c r="H1427" t="s">
        <v>53</v>
      </c>
      <c r="I1427" t="s">
        <v>65</v>
      </c>
      <c r="J1427">
        <v>29</v>
      </c>
      <c r="K1427">
        <v>1363.5</v>
      </c>
      <c r="L1427">
        <v>39541.449999999997</v>
      </c>
      <c r="M1427">
        <v>19760.07</v>
      </c>
      <c r="N1427">
        <v>4256.33</v>
      </c>
      <c r="O1427">
        <v>1176.53</v>
      </c>
      <c r="P1427">
        <v>936.49</v>
      </c>
      <c r="Q1427">
        <v>666.79</v>
      </c>
      <c r="R1427">
        <v>1962.48</v>
      </c>
      <c r="S1427">
        <v>355.58</v>
      </c>
      <c r="T1427">
        <v>29114.27</v>
      </c>
      <c r="U1427">
        <v>19781.38</v>
      </c>
      <c r="V1427">
        <v>10427.18</v>
      </c>
      <c r="W1427">
        <v>10387.25</v>
      </c>
      <c r="X1427">
        <v>37886.21</v>
      </c>
      <c r="Y1427">
        <v>28600.91</v>
      </c>
    </row>
    <row r="1428" spans="1:25" x14ac:dyDescent="0.25">
      <c r="A1428" t="s">
        <v>1484</v>
      </c>
      <c r="B1428" s="1">
        <v>45330</v>
      </c>
      <c r="C1428">
        <v>2024</v>
      </c>
      <c r="D1428">
        <v>2</v>
      </c>
      <c r="E1428" t="s">
        <v>161</v>
      </c>
      <c r="F1428" t="s">
        <v>27</v>
      </c>
      <c r="G1428" t="s">
        <v>44</v>
      </c>
      <c r="H1428" t="s">
        <v>29</v>
      </c>
      <c r="I1428" t="s">
        <v>30</v>
      </c>
      <c r="J1428">
        <v>46</v>
      </c>
      <c r="K1428">
        <v>1638.37</v>
      </c>
      <c r="L1428">
        <v>75365.179999999993</v>
      </c>
      <c r="M1428">
        <v>48783.53</v>
      </c>
      <c r="N1428">
        <v>9663.2900000000009</v>
      </c>
      <c r="O1428">
        <v>2814.57</v>
      </c>
      <c r="P1428">
        <v>2162.4</v>
      </c>
      <c r="Q1428">
        <v>788.71</v>
      </c>
      <c r="R1428">
        <v>3933.91</v>
      </c>
      <c r="S1428">
        <v>914.3</v>
      </c>
      <c r="T1428">
        <v>69060.710000000006</v>
      </c>
      <c r="U1428">
        <v>26581.66</v>
      </c>
      <c r="V1428">
        <v>6304.47</v>
      </c>
      <c r="W1428">
        <v>6397.13</v>
      </c>
      <c r="X1428">
        <v>84403.26</v>
      </c>
      <c r="Y1428">
        <v>67468.03</v>
      </c>
    </row>
    <row r="1429" spans="1:25" x14ac:dyDescent="0.25">
      <c r="A1429" t="s">
        <v>1485</v>
      </c>
      <c r="B1429" s="1">
        <v>45331</v>
      </c>
      <c r="C1429">
        <v>2024</v>
      </c>
      <c r="D1429">
        <v>2</v>
      </c>
      <c r="E1429" t="s">
        <v>161</v>
      </c>
      <c r="F1429" t="s">
        <v>27</v>
      </c>
      <c r="G1429" t="s">
        <v>28</v>
      </c>
      <c r="H1429" t="s">
        <v>29</v>
      </c>
      <c r="I1429" t="s">
        <v>50</v>
      </c>
      <c r="J1429">
        <v>45</v>
      </c>
      <c r="K1429">
        <v>1487.14</v>
      </c>
      <c r="L1429">
        <v>66921.16</v>
      </c>
      <c r="M1429">
        <v>38181.94</v>
      </c>
      <c r="N1429">
        <v>7316.89</v>
      </c>
      <c r="O1429">
        <v>2520.79</v>
      </c>
      <c r="P1429">
        <v>1311.55</v>
      </c>
      <c r="Q1429">
        <v>623.13</v>
      </c>
      <c r="R1429">
        <v>2841.18</v>
      </c>
      <c r="S1429">
        <v>536.77</v>
      </c>
      <c r="T1429">
        <v>53332.25</v>
      </c>
      <c r="U1429">
        <v>28739.22</v>
      </c>
      <c r="V1429">
        <v>13588.92</v>
      </c>
      <c r="W1429">
        <v>13321.53</v>
      </c>
      <c r="X1429">
        <v>65411.96</v>
      </c>
      <c r="Y1429">
        <v>56066.34</v>
      </c>
    </row>
    <row r="1430" spans="1:25" x14ac:dyDescent="0.25">
      <c r="A1430" t="s">
        <v>1486</v>
      </c>
      <c r="B1430" s="1">
        <v>45331</v>
      </c>
      <c r="C1430">
        <v>2024</v>
      </c>
      <c r="D1430">
        <v>2</v>
      </c>
      <c r="E1430" t="s">
        <v>161</v>
      </c>
      <c r="F1430" t="s">
        <v>27</v>
      </c>
      <c r="G1430" t="s">
        <v>55</v>
      </c>
      <c r="H1430" t="s">
        <v>36</v>
      </c>
      <c r="I1430" t="s">
        <v>65</v>
      </c>
      <c r="J1430">
        <v>50</v>
      </c>
      <c r="K1430">
        <v>1350.81</v>
      </c>
      <c r="L1430">
        <v>67540.63</v>
      </c>
      <c r="M1430">
        <v>37119.39</v>
      </c>
      <c r="N1430">
        <v>6468.66</v>
      </c>
      <c r="O1430">
        <v>3390.67</v>
      </c>
      <c r="P1430">
        <v>1191.32</v>
      </c>
      <c r="Q1430">
        <v>1065.92</v>
      </c>
      <c r="R1430">
        <v>3672.38</v>
      </c>
      <c r="S1430">
        <v>1427.55</v>
      </c>
      <c r="T1430">
        <v>54335.9</v>
      </c>
      <c r="U1430">
        <v>30421.24</v>
      </c>
      <c r="V1430">
        <v>13204.73</v>
      </c>
      <c r="W1430">
        <v>12748.88</v>
      </c>
      <c r="X1430">
        <v>67440.19</v>
      </c>
      <c r="Y1430">
        <v>51718.71</v>
      </c>
    </row>
    <row r="1431" spans="1:25" x14ac:dyDescent="0.25">
      <c r="A1431" t="s">
        <v>1487</v>
      </c>
      <c r="B1431" s="1">
        <v>45331</v>
      </c>
      <c r="C1431">
        <v>2024</v>
      </c>
      <c r="D1431">
        <v>2</v>
      </c>
      <c r="E1431" t="s">
        <v>161</v>
      </c>
      <c r="F1431" t="s">
        <v>27</v>
      </c>
      <c r="G1431" t="s">
        <v>28</v>
      </c>
      <c r="H1431" t="s">
        <v>36</v>
      </c>
      <c r="I1431" t="s">
        <v>30</v>
      </c>
      <c r="J1431">
        <v>133</v>
      </c>
      <c r="K1431">
        <v>889.52</v>
      </c>
      <c r="L1431">
        <v>118306.33</v>
      </c>
      <c r="M1431">
        <v>74011.88</v>
      </c>
      <c r="N1431">
        <v>10961.41</v>
      </c>
      <c r="O1431">
        <v>6133.11</v>
      </c>
      <c r="P1431">
        <v>2564.39</v>
      </c>
      <c r="Q1431">
        <v>1783.75</v>
      </c>
      <c r="R1431">
        <v>3421.17</v>
      </c>
      <c r="S1431">
        <v>1428.68</v>
      </c>
      <c r="T1431">
        <v>100304.4</v>
      </c>
      <c r="U1431">
        <v>44294.45</v>
      </c>
      <c r="V1431">
        <v>18001.93</v>
      </c>
      <c r="W1431">
        <v>16260.81</v>
      </c>
      <c r="X1431">
        <v>116788.28</v>
      </c>
      <c r="Y1431">
        <v>110331.73</v>
      </c>
    </row>
    <row r="1432" spans="1:25" x14ac:dyDescent="0.25">
      <c r="A1432" t="s">
        <v>1488</v>
      </c>
      <c r="B1432" s="1">
        <v>45331</v>
      </c>
      <c r="C1432">
        <v>2024</v>
      </c>
      <c r="D1432">
        <v>2</v>
      </c>
      <c r="E1432" t="s">
        <v>161</v>
      </c>
      <c r="F1432" t="s">
        <v>27</v>
      </c>
      <c r="G1432" t="s">
        <v>44</v>
      </c>
      <c r="H1432" t="s">
        <v>32</v>
      </c>
      <c r="I1432" t="s">
        <v>45</v>
      </c>
      <c r="J1432">
        <v>41</v>
      </c>
      <c r="K1432">
        <v>1513.22</v>
      </c>
      <c r="L1432">
        <v>62042.1</v>
      </c>
      <c r="M1432">
        <v>36901.019999999997</v>
      </c>
      <c r="N1432">
        <v>5206.4399999999996</v>
      </c>
      <c r="O1432">
        <v>3024.58</v>
      </c>
      <c r="P1432">
        <v>1966.51</v>
      </c>
      <c r="Q1432">
        <v>351.1</v>
      </c>
      <c r="R1432">
        <v>2454.91</v>
      </c>
      <c r="S1432">
        <v>1010.78</v>
      </c>
      <c r="T1432">
        <v>50915.34</v>
      </c>
      <c r="U1432">
        <v>25141.08</v>
      </c>
      <c r="V1432">
        <v>11126.76</v>
      </c>
      <c r="W1432">
        <v>10820.05</v>
      </c>
      <c r="X1432">
        <v>60990.62</v>
      </c>
      <c r="Y1432">
        <v>49524.98</v>
      </c>
    </row>
    <row r="1433" spans="1:25" x14ac:dyDescent="0.25">
      <c r="A1433" t="s">
        <v>1489</v>
      </c>
      <c r="B1433" s="1">
        <v>45331</v>
      </c>
      <c r="C1433">
        <v>2024</v>
      </c>
      <c r="D1433">
        <v>2</v>
      </c>
      <c r="E1433" t="s">
        <v>161</v>
      </c>
      <c r="F1433" t="s">
        <v>27</v>
      </c>
      <c r="G1433" t="s">
        <v>35</v>
      </c>
      <c r="H1433" t="s">
        <v>36</v>
      </c>
      <c r="I1433" t="s">
        <v>33</v>
      </c>
      <c r="J1433">
        <v>48</v>
      </c>
      <c r="K1433">
        <v>1650.12</v>
      </c>
      <c r="L1433">
        <v>79205.81</v>
      </c>
      <c r="M1433">
        <v>41176.870000000003</v>
      </c>
      <c r="N1433">
        <v>8912.0499999999993</v>
      </c>
      <c r="O1433">
        <v>4209.1499999999996</v>
      </c>
      <c r="P1433">
        <v>2600.19</v>
      </c>
      <c r="Q1433">
        <v>615.52</v>
      </c>
      <c r="R1433">
        <v>2798.15</v>
      </c>
      <c r="S1433">
        <v>1352.47</v>
      </c>
      <c r="T1433">
        <v>61664.4</v>
      </c>
      <c r="U1433">
        <v>38028.93</v>
      </c>
      <c r="V1433">
        <v>17541.400000000001</v>
      </c>
      <c r="W1433">
        <v>16653.25</v>
      </c>
      <c r="X1433">
        <v>83711.320000000007</v>
      </c>
      <c r="Y1433">
        <v>58902.97</v>
      </c>
    </row>
    <row r="1434" spans="1:25" x14ac:dyDescent="0.25">
      <c r="A1434" t="s">
        <v>1490</v>
      </c>
      <c r="B1434" s="1">
        <v>45332</v>
      </c>
      <c r="C1434">
        <v>2024</v>
      </c>
      <c r="D1434">
        <v>2</v>
      </c>
      <c r="E1434" t="s">
        <v>161</v>
      </c>
      <c r="F1434" t="s">
        <v>27</v>
      </c>
      <c r="G1434" t="s">
        <v>55</v>
      </c>
      <c r="H1434" t="s">
        <v>29</v>
      </c>
      <c r="I1434" t="s">
        <v>50</v>
      </c>
      <c r="J1434">
        <v>34</v>
      </c>
      <c r="K1434">
        <v>1340.23</v>
      </c>
      <c r="L1434">
        <v>45567.71</v>
      </c>
      <c r="M1434">
        <v>27247.4</v>
      </c>
      <c r="N1434">
        <v>3465.06</v>
      </c>
      <c r="O1434">
        <v>2774.54</v>
      </c>
      <c r="P1434">
        <v>1300.82</v>
      </c>
      <c r="Q1434">
        <v>428.64</v>
      </c>
      <c r="R1434">
        <v>1993.14</v>
      </c>
      <c r="S1434">
        <v>402.98</v>
      </c>
      <c r="T1434">
        <v>37612.589999999997</v>
      </c>
      <c r="U1434">
        <v>18320.3</v>
      </c>
      <c r="V1434">
        <v>7955.12</v>
      </c>
      <c r="W1434">
        <v>7616.73</v>
      </c>
      <c r="X1434">
        <v>45558.71</v>
      </c>
      <c r="Y1434">
        <v>37118.79</v>
      </c>
    </row>
    <row r="1435" spans="1:25" x14ac:dyDescent="0.25">
      <c r="A1435" t="s">
        <v>1491</v>
      </c>
      <c r="B1435" s="1">
        <v>45332</v>
      </c>
      <c r="C1435">
        <v>2024</v>
      </c>
      <c r="D1435">
        <v>2</v>
      </c>
      <c r="E1435" t="s">
        <v>161</v>
      </c>
      <c r="F1435" t="s">
        <v>27</v>
      </c>
      <c r="G1435" t="s">
        <v>44</v>
      </c>
      <c r="H1435" t="s">
        <v>32</v>
      </c>
      <c r="I1435" t="s">
        <v>45</v>
      </c>
      <c r="J1435">
        <v>52</v>
      </c>
      <c r="K1435">
        <v>1186.77</v>
      </c>
      <c r="L1435">
        <v>61712.22</v>
      </c>
      <c r="M1435">
        <v>39171.03</v>
      </c>
      <c r="N1435">
        <v>7821.94</v>
      </c>
      <c r="O1435">
        <v>2182.46</v>
      </c>
      <c r="P1435">
        <v>2474.02</v>
      </c>
      <c r="Q1435">
        <v>651.71</v>
      </c>
      <c r="R1435">
        <v>1936.61</v>
      </c>
      <c r="S1435">
        <v>874.36</v>
      </c>
      <c r="T1435">
        <v>55112.14</v>
      </c>
      <c r="U1435">
        <v>22541.200000000001</v>
      </c>
      <c r="V1435">
        <v>6600.08</v>
      </c>
      <c r="W1435">
        <v>6716.66</v>
      </c>
      <c r="X1435">
        <v>59309.67</v>
      </c>
      <c r="Y1435">
        <v>56116.71</v>
      </c>
    </row>
    <row r="1436" spans="1:25" x14ac:dyDescent="0.25">
      <c r="A1436" t="s">
        <v>1492</v>
      </c>
      <c r="B1436" s="1">
        <v>45332</v>
      </c>
      <c r="C1436">
        <v>2024</v>
      </c>
      <c r="D1436">
        <v>2</v>
      </c>
      <c r="E1436" t="s">
        <v>161</v>
      </c>
      <c r="F1436" t="s">
        <v>27</v>
      </c>
      <c r="G1436" t="s">
        <v>44</v>
      </c>
      <c r="H1436" t="s">
        <v>36</v>
      </c>
      <c r="I1436" t="s">
        <v>50</v>
      </c>
      <c r="J1436">
        <v>32</v>
      </c>
      <c r="K1436">
        <v>1226.69</v>
      </c>
      <c r="L1436">
        <v>39254.199999999997</v>
      </c>
      <c r="M1436">
        <v>21577.08</v>
      </c>
      <c r="N1436">
        <v>4126.28</v>
      </c>
      <c r="O1436">
        <v>1189.82</v>
      </c>
      <c r="P1436">
        <v>1764.4</v>
      </c>
      <c r="Q1436">
        <v>577.89</v>
      </c>
      <c r="R1436">
        <v>2285.16</v>
      </c>
      <c r="S1436">
        <v>647.96</v>
      </c>
      <c r="T1436">
        <v>32168.61</v>
      </c>
      <c r="U1436">
        <v>17677.11</v>
      </c>
      <c r="V1436">
        <v>7085.59</v>
      </c>
      <c r="W1436">
        <v>6600.26</v>
      </c>
      <c r="X1436">
        <v>36851.07</v>
      </c>
      <c r="Y1436">
        <v>34201.29</v>
      </c>
    </row>
    <row r="1437" spans="1:25" x14ac:dyDescent="0.25">
      <c r="A1437" t="s">
        <v>1493</v>
      </c>
      <c r="B1437" s="1">
        <v>45332</v>
      </c>
      <c r="C1437">
        <v>2024</v>
      </c>
      <c r="D1437">
        <v>2</v>
      </c>
      <c r="E1437" t="s">
        <v>161</v>
      </c>
      <c r="F1437" t="s">
        <v>27</v>
      </c>
      <c r="G1437" t="s">
        <v>55</v>
      </c>
      <c r="H1437" t="s">
        <v>29</v>
      </c>
      <c r="I1437" t="s">
        <v>65</v>
      </c>
      <c r="J1437">
        <v>50</v>
      </c>
      <c r="K1437">
        <v>1328.33</v>
      </c>
      <c r="L1437">
        <v>66416.320000000007</v>
      </c>
      <c r="M1437">
        <v>41986.3</v>
      </c>
      <c r="N1437">
        <v>5127.96</v>
      </c>
      <c r="O1437">
        <v>3966.68</v>
      </c>
      <c r="P1437">
        <v>2089.5100000000002</v>
      </c>
      <c r="Q1437">
        <v>838.99</v>
      </c>
      <c r="R1437">
        <v>3507.9</v>
      </c>
      <c r="S1437">
        <v>1090.71</v>
      </c>
      <c r="T1437">
        <v>58608.05</v>
      </c>
      <c r="U1437">
        <v>24430.02</v>
      </c>
      <c r="V1437">
        <v>7808.27</v>
      </c>
      <c r="W1437">
        <v>7387.62</v>
      </c>
      <c r="X1437">
        <v>62005.94</v>
      </c>
      <c r="Y1437">
        <v>59207.6</v>
      </c>
    </row>
    <row r="1438" spans="1:25" x14ac:dyDescent="0.25">
      <c r="A1438" t="s">
        <v>1494</v>
      </c>
      <c r="B1438" s="1">
        <v>45332</v>
      </c>
      <c r="C1438">
        <v>2024</v>
      </c>
      <c r="D1438">
        <v>2</v>
      </c>
      <c r="E1438" t="s">
        <v>161</v>
      </c>
      <c r="F1438" t="s">
        <v>27</v>
      </c>
      <c r="G1438" t="s">
        <v>28</v>
      </c>
      <c r="H1438" t="s">
        <v>53</v>
      </c>
      <c r="I1438" t="s">
        <v>30</v>
      </c>
      <c r="J1438">
        <v>69</v>
      </c>
      <c r="K1438">
        <v>1426.56</v>
      </c>
      <c r="L1438">
        <v>98432.61</v>
      </c>
      <c r="M1438">
        <v>63270.58</v>
      </c>
      <c r="N1438">
        <v>11608.28</v>
      </c>
      <c r="O1438">
        <v>5912.2</v>
      </c>
      <c r="P1438">
        <v>4255.3</v>
      </c>
      <c r="Q1438">
        <v>942.63</v>
      </c>
      <c r="R1438">
        <v>5681.23</v>
      </c>
      <c r="S1438">
        <v>1490.83</v>
      </c>
      <c r="T1438">
        <v>93161.05</v>
      </c>
      <c r="U1438">
        <v>35162.03</v>
      </c>
      <c r="V1438">
        <v>5271.56</v>
      </c>
      <c r="W1438">
        <v>4748.3900000000003</v>
      </c>
      <c r="X1438">
        <v>93571.21</v>
      </c>
      <c r="Y1438">
        <v>90720.36</v>
      </c>
    </row>
    <row r="1439" spans="1:25" x14ac:dyDescent="0.25">
      <c r="A1439" t="s">
        <v>1495</v>
      </c>
      <c r="B1439" s="1">
        <v>45332</v>
      </c>
      <c r="C1439">
        <v>2024</v>
      </c>
      <c r="D1439">
        <v>2</v>
      </c>
      <c r="E1439" t="s">
        <v>161</v>
      </c>
      <c r="F1439" t="s">
        <v>27</v>
      </c>
      <c r="G1439" t="s">
        <v>28</v>
      </c>
      <c r="H1439" t="s">
        <v>32</v>
      </c>
      <c r="I1439" t="s">
        <v>50</v>
      </c>
      <c r="J1439">
        <v>35</v>
      </c>
      <c r="K1439">
        <v>1669.15</v>
      </c>
      <c r="L1439">
        <v>58420.21</v>
      </c>
      <c r="M1439">
        <v>35247.550000000003</v>
      </c>
      <c r="N1439">
        <v>5009.51</v>
      </c>
      <c r="O1439">
        <v>3002.64</v>
      </c>
      <c r="P1439">
        <v>1420.18</v>
      </c>
      <c r="Q1439">
        <v>981.74</v>
      </c>
      <c r="R1439">
        <v>1789.98</v>
      </c>
      <c r="S1439">
        <v>815.02</v>
      </c>
      <c r="T1439">
        <v>48266.63</v>
      </c>
      <c r="U1439">
        <v>23172.66</v>
      </c>
      <c r="V1439">
        <v>10153.58</v>
      </c>
      <c r="W1439">
        <v>9277.43</v>
      </c>
      <c r="X1439">
        <v>62871.16</v>
      </c>
      <c r="Y1439">
        <v>52620.65</v>
      </c>
    </row>
    <row r="1440" spans="1:25" x14ac:dyDescent="0.25">
      <c r="A1440" t="s">
        <v>1496</v>
      </c>
      <c r="B1440" s="1">
        <v>45332</v>
      </c>
      <c r="C1440">
        <v>2024</v>
      </c>
      <c r="D1440">
        <v>2</v>
      </c>
      <c r="E1440" t="s">
        <v>161</v>
      </c>
      <c r="F1440" t="s">
        <v>27</v>
      </c>
      <c r="G1440" t="s">
        <v>28</v>
      </c>
      <c r="H1440" t="s">
        <v>32</v>
      </c>
      <c r="I1440" t="s">
        <v>30</v>
      </c>
      <c r="J1440">
        <v>59</v>
      </c>
      <c r="K1440">
        <v>1513.1</v>
      </c>
      <c r="L1440">
        <v>89273.17</v>
      </c>
      <c r="M1440">
        <v>57977.84</v>
      </c>
      <c r="N1440">
        <v>10187.66</v>
      </c>
      <c r="O1440">
        <v>4817.74</v>
      </c>
      <c r="P1440">
        <v>2132.36</v>
      </c>
      <c r="Q1440">
        <v>1349.24</v>
      </c>
      <c r="R1440">
        <v>4986.34</v>
      </c>
      <c r="S1440">
        <v>2021.95</v>
      </c>
      <c r="T1440">
        <v>83473.119999999995</v>
      </c>
      <c r="U1440">
        <v>31295.33</v>
      </c>
      <c r="V1440">
        <v>5800.05</v>
      </c>
      <c r="W1440">
        <v>5690.44</v>
      </c>
      <c r="X1440">
        <v>87601.13</v>
      </c>
      <c r="Y1440">
        <v>77632.44</v>
      </c>
    </row>
    <row r="1441" spans="1:25" x14ac:dyDescent="0.25">
      <c r="A1441" t="s">
        <v>1497</v>
      </c>
      <c r="B1441" s="1">
        <v>45333</v>
      </c>
      <c r="C1441">
        <v>2024</v>
      </c>
      <c r="D1441">
        <v>2</v>
      </c>
      <c r="E1441" t="s">
        <v>161</v>
      </c>
      <c r="F1441" t="s">
        <v>27</v>
      </c>
      <c r="G1441" t="s">
        <v>35</v>
      </c>
      <c r="H1441" t="s">
        <v>32</v>
      </c>
      <c r="I1441" t="s">
        <v>30</v>
      </c>
      <c r="J1441">
        <v>95</v>
      </c>
      <c r="K1441">
        <v>1191.75</v>
      </c>
      <c r="L1441">
        <v>113215.84</v>
      </c>
      <c r="M1441">
        <v>67226.27</v>
      </c>
      <c r="N1441">
        <v>13321.91</v>
      </c>
      <c r="O1441">
        <v>8041.07</v>
      </c>
      <c r="P1441">
        <v>3046.82</v>
      </c>
      <c r="Q1441">
        <v>1752.8</v>
      </c>
      <c r="R1441">
        <v>5088.91</v>
      </c>
      <c r="S1441">
        <v>2787.73</v>
      </c>
      <c r="T1441">
        <v>101265.5</v>
      </c>
      <c r="U1441">
        <v>45989.57</v>
      </c>
      <c r="V1441">
        <v>11950.34</v>
      </c>
      <c r="W1441">
        <v>11795.6</v>
      </c>
      <c r="X1441">
        <v>125813.3</v>
      </c>
      <c r="Y1441">
        <v>106373</v>
      </c>
    </row>
    <row r="1442" spans="1:25" x14ac:dyDescent="0.25">
      <c r="A1442" t="s">
        <v>1498</v>
      </c>
      <c r="B1442" s="1">
        <v>45333</v>
      </c>
      <c r="C1442">
        <v>2024</v>
      </c>
      <c r="D1442">
        <v>2</v>
      </c>
      <c r="E1442" t="s">
        <v>161</v>
      </c>
      <c r="F1442" t="s">
        <v>27</v>
      </c>
      <c r="G1442" t="s">
        <v>28</v>
      </c>
      <c r="H1442" t="s">
        <v>53</v>
      </c>
      <c r="I1442" t="s">
        <v>37</v>
      </c>
      <c r="J1442">
        <v>50</v>
      </c>
      <c r="K1442">
        <v>1340.18</v>
      </c>
      <c r="L1442">
        <v>67009.11</v>
      </c>
      <c r="M1442">
        <v>33228.589999999997</v>
      </c>
      <c r="N1442">
        <v>6762.9</v>
      </c>
      <c r="O1442">
        <v>1795.47</v>
      </c>
      <c r="P1442">
        <v>1609.39</v>
      </c>
      <c r="Q1442">
        <v>973.9</v>
      </c>
      <c r="R1442">
        <v>1952.2</v>
      </c>
      <c r="S1442">
        <v>848.83</v>
      </c>
      <c r="T1442">
        <v>47171.27</v>
      </c>
      <c r="U1442">
        <v>33780.519999999997</v>
      </c>
      <c r="V1442">
        <v>19837.84</v>
      </c>
      <c r="W1442">
        <v>17571.45</v>
      </c>
      <c r="X1442">
        <v>74396.38</v>
      </c>
      <c r="Y1442">
        <v>45741.23</v>
      </c>
    </row>
    <row r="1443" spans="1:25" x14ac:dyDescent="0.25">
      <c r="A1443" t="s">
        <v>1499</v>
      </c>
      <c r="B1443" s="1">
        <v>45333</v>
      </c>
      <c r="C1443">
        <v>2024</v>
      </c>
      <c r="D1443">
        <v>2</v>
      </c>
      <c r="E1443" t="s">
        <v>161</v>
      </c>
      <c r="F1443" t="s">
        <v>27</v>
      </c>
      <c r="G1443" t="s">
        <v>28</v>
      </c>
      <c r="H1443" t="s">
        <v>32</v>
      </c>
      <c r="I1443" t="s">
        <v>50</v>
      </c>
      <c r="J1443">
        <v>43</v>
      </c>
      <c r="K1443">
        <v>1770.51</v>
      </c>
      <c r="L1443">
        <v>76131.740000000005</v>
      </c>
      <c r="M1443">
        <v>39342.85</v>
      </c>
      <c r="N1443">
        <v>9190.16</v>
      </c>
      <c r="O1443">
        <v>2788.35</v>
      </c>
      <c r="P1443">
        <v>1194.54</v>
      </c>
      <c r="Q1443">
        <v>809.76</v>
      </c>
      <c r="R1443">
        <v>3499.48</v>
      </c>
      <c r="S1443">
        <v>1257.4100000000001</v>
      </c>
      <c r="T1443">
        <v>58082.559999999998</v>
      </c>
      <c r="U1443">
        <v>36788.89</v>
      </c>
      <c r="V1443">
        <v>18049.18</v>
      </c>
      <c r="W1443">
        <v>18342.18</v>
      </c>
      <c r="X1443">
        <v>79584.789999999994</v>
      </c>
      <c r="Y1443">
        <v>57558.06</v>
      </c>
    </row>
    <row r="1444" spans="1:25" x14ac:dyDescent="0.25">
      <c r="A1444" t="s">
        <v>1500</v>
      </c>
      <c r="B1444" s="1">
        <v>45333</v>
      </c>
      <c r="C1444">
        <v>2024</v>
      </c>
      <c r="D1444">
        <v>2</v>
      </c>
      <c r="E1444" t="s">
        <v>161</v>
      </c>
      <c r="F1444" t="s">
        <v>27</v>
      </c>
      <c r="G1444" t="s">
        <v>35</v>
      </c>
      <c r="H1444" t="s">
        <v>29</v>
      </c>
      <c r="I1444" t="s">
        <v>30</v>
      </c>
      <c r="J1444">
        <v>70</v>
      </c>
      <c r="K1444">
        <v>1469.75</v>
      </c>
      <c r="L1444">
        <v>102882.65</v>
      </c>
      <c r="M1444">
        <v>60317.02</v>
      </c>
      <c r="N1444">
        <v>11783.72</v>
      </c>
      <c r="O1444">
        <v>7272.77</v>
      </c>
      <c r="P1444">
        <v>4452.6099999999997</v>
      </c>
      <c r="Q1444">
        <v>825.31</v>
      </c>
      <c r="R1444">
        <v>4187.1499999999996</v>
      </c>
      <c r="S1444">
        <v>962.75</v>
      </c>
      <c r="T1444">
        <v>89801.34</v>
      </c>
      <c r="U1444">
        <v>42565.62</v>
      </c>
      <c r="V1444">
        <v>13081.31</v>
      </c>
      <c r="W1444">
        <v>11687.85</v>
      </c>
      <c r="X1444">
        <v>97479.81</v>
      </c>
      <c r="Y1444">
        <v>88815.91</v>
      </c>
    </row>
    <row r="1445" spans="1:25" x14ac:dyDescent="0.25">
      <c r="A1445" t="s">
        <v>1501</v>
      </c>
      <c r="B1445" s="1">
        <v>45333</v>
      </c>
      <c r="C1445">
        <v>2024</v>
      </c>
      <c r="D1445">
        <v>2</v>
      </c>
      <c r="E1445" t="s">
        <v>161</v>
      </c>
      <c r="F1445" t="s">
        <v>27</v>
      </c>
      <c r="G1445" t="s">
        <v>55</v>
      </c>
      <c r="H1445" t="s">
        <v>32</v>
      </c>
      <c r="I1445" t="s">
        <v>45</v>
      </c>
      <c r="J1445">
        <v>50</v>
      </c>
      <c r="K1445">
        <v>1289.8599999999999</v>
      </c>
      <c r="L1445">
        <v>64492.89</v>
      </c>
      <c r="M1445">
        <v>34064.19</v>
      </c>
      <c r="N1445">
        <v>6305.96</v>
      </c>
      <c r="O1445">
        <v>3916.75</v>
      </c>
      <c r="P1445">
        <v>2048.92</v>
      </c>
      <c r="Q1445">
        <v>749.21</v>
      </c>
      <c r="R1445">
        <v>2564.0300000000002</v>
      </c>
      <c r="S1445">
        <v>744.71</v>
      </c>
      <c r="T1445">
        <v>50393.77</v>
      </c>
      <c r="U1445">
        <v>30428.71</v>
      </c>
      <c r="V1445">
        <v>14099.13</v>
      </c>
      <c r="W1445">
        <v>13529.91</v>
      </c>
      <c r="X1445">
        <v>71755.78</v>
      </c>
      <c r="Y1445">
        <v>52562.29</v>
      </c>
    </row>
    <row r="1446" spans="1:25" x14ac:dyDescent="0.25">
      <c r="A1446" t="s">
        <v>1502</v>
      </c>
      <c r="B1446" s="1">
        <v>45334</v>
      </c>
      <c r="C1446">
        <v>2024</v>
      </c>
      <c r="D1446">
        <v>2</v>
      </c>
      <c r="E1446" t="s">
        <v>161</v>
      </c>
      <c r="F1446" t="s">
        <v>27</v>
      </c>
      <c r="G1446" t="s">
        <v>44</v>
      </c>
      <c r="H1446" t="s">
        <v>29</v>
      </c>
      <c r="I1446" t="s">
        <v>39</v>
      </c>
      <c r="J1446">
        <v>58</v>
      </c>
      <c r="K1446">
        <v>880.46</v>
      </c>
      <c r="L1446">
        <v>51066.67</v>
      </c>
      <c r="M1446">
        <v>32042.85</v>
      </c>
      <c r="N1446">
        <v>5937.1</v>
      </c>
      <c r="O1446">
        <v>2160.17</v>
      </c>
      <c r="P1446">
        <v>2278.0500000000002</v>
      </c>
      <c r="Q1446">
        <v>499.23</v>
      </c>
      <c r="R1446">
        <v>1992.43</v>
      </c>
      <c r="S1446">
        <v>1091.06</v>
      </c>
      <c r="T1446">
        <v>46000.89</v>
      </c>
      <c r="U1446">
        <v>19023.82</v>
      </c>
      <c r="V1446">
        <v>5065.78</v>
      </c>
      <c r="W1446">
        <v>5148.8999999999996</v>
      </c>
      <c r="X1446">
        <v>54863</v>
      </c>
      <c r="Y1446">
        <v>46138.05</v>
      </c>
    </row>
    <row r="1447" spans="1:25" x14ac:dyDescent="0.25">
      <c r="A1447" t="s">
        <v>1503</v>
      </c>
      <c r="B1447" s="1">
        <v>45334</v>
      </c>
      <c r="C1447">
        <v>2024</v>
      </c>
      <c r="D1447">
        <v>2</v>
      </c>
      <c r="E1447" t="s">
        <v>161</v>
      </c>
      <c r="F1447" t="s">
        <v>27</v>
      </c>
      <c r="G1447" t="s">
        <v>44</v>
      </c>
      <c r="H1447" t="s">
        <v>58</v>
      </c>
      <c r="I1447" t="s">
        <v>56</v>
      </c>
      <c r="J1447">
        <v>23</v>
      </c>
      <c r="K1447">
        <v>1418.09</v>
      </c>
      <c r="L1447">
        <v>32616.09</v>
      </c>
      <c r="M1447">
        <v>18366.669999999998</v>
      </c>
      <c r="N1447">
        <v>2575.5300000000002</v>
      </c>
      <c r="O1447">
        <v>1897.42</v>
      </c>
      <c r="P1447">
        <v>817.37</v>
      </c>
      <c r="Q1447">
        <v>466.56</v>
      </c>
      <c r="R1447">
        <v>1835.96</v>
      </c>
      <c r="S1447">
        <v>555.83000000000004</v>
      </c>
      <c r="T1447">
        <v>26515.34</v>
      </c>
      <c r="U1447">
        <v>14249.42</v>
      </c>
      <c r="V1447">
        <v>6100.76</v>
      </c>
      <c r="W1447">
        <v>5690.01</v>
      </c>
      <c r="X1447">
        <v>34189.25</v>
      </c>
      <c r="Y1447">
        <v>25163.26</v>
      </c>
    </row>
    <row r="1448" spans="1:25" x14ac:dyDescent="0.25">
      <c r="A1448" t="s">
        <v>1504</v>
      </c>
      <c r="B1448" s="1">
        <v>45334</v>
      </c>
      <c r="C1448">
        <v>2024</v>
      </c>
      <c r="D1448">
        <v>2</v>
      </c>
      <c r="E1448" t="s">
        <v>161</v>
      </c>
      <c r="F1448" t="s">
        <v>27</v>
      </c>
      <c r="G1448" t="s">
        <v>55</v>
      </c>
      <c r="H1448" t="s">
        <v>32</v>
      </c>
      <c r="I1448" t="s">
        <v>56</v>
      </c>
      <c r="J1448">
        <v>35</v>
      </c>
      <c r="K1448">
        <v>1452.73</v>
      </c>
      <c r="L1448">
        <v>50845.67</v>
      </c>
      <c r="M1448">
        <v>27417.64</v>
      </c>
      <c r="N1448">
        <v>5493.86</v>
      </c>
      <c r="O1448">
        <v>1580.29</v>
      </c>
      <c r="P1448">
        <v>2258.09</v>
      </c>
      <c r="Q1448">
        <v>633</v>
      </c>
      <c r="R1448">
        <v>1528.08</v>
      </c>
      <c r="S1448">
        <v>976.9</v>
      </c>
      <c r="T1448">
        <v>39887.870000000003</v>
      </c>
      <c r="U1448">
        <v>23428.03</v>
      </c>
      <c r="V1448">
        <v>10957.8</v>
      </c>
      <c r="W1448">
        <v>10912.16</v>
      </c>
      <c r="X1448">
        <v>55391.22</v>
      </c>
      <c r="Y1448">
        <v>42127.55</v>
      </c>
    </row>
    <row r="1449" spans="1:25" x14ac:dyDescent="0.25">
      <c r="A1449" t="s">
        <v>1505</v>
      </c>
      <c r="B1449" s="1">
        <v>45335</v>
      </c>
      <c r="C1449">
        <v>2024</v>
      </c>
      <c r="D1449">
        <v>2</v>
      </c>
      <c r="E1449" t="s">
        <v>161</v>
      </c>
      <c r="F1449" t="s">
        <v>27</v>
      </c>
      <c r="G1449" t="s">
        <v>44</v>
      </c>
      <c r="H1449" t="s">
        <v>32</v>
      </c>
      <c r="I1449" t="s">
        <v>30</v>
      </c>
      <c r="J1449">
        <v>68</v>
      </c>
      <c r="K1449">
        <v>1456.19</v>
      </c>
      <c r="L1449">
        <v>99020.73</v>
      </c>
      <c r="M1449">
        <v>47885.5</v>
      </c>
      <c r="N1449">
        <v>7805.52</v>
      </c>
      <c r="O1449">
        <v>2584.33</v>
      </c>
      <c r="P1449">
        <v>2041.31</v>
      </c>
      <c r="Q1449">
        <v>1393.76</v>
      </c>
      <c r="R1449">
        <v>3946.33</v>
      </c>
      <c r="S1449">
        <v>1388.6</v>
      </c>
      <c r="T1449">
        <v>67045.36</v>
      </c>
      <c r="U1449">
        <v>51135.22</v>
      </c>
      <c r="V1449">
        <v>31975.37</v>
      </c>
      <c r="W1449">
        <v>30426.18</v>
      </c>
      <c r="X1449">
        <v>110537.04</v>
      </c>
      <c r="Y1449">
        <v>65999.100000000006</v>
      </c>
    </row>
    <row r="1450" spans="1:25" x14ac:dyDescent="0.25">
      <c r="A1450" t="s">
        <v>1506</v>
      </c>
      <c r="B1450" s="1">
        <v>45336</v>
      </c>
      <c r="C1450">
        <v>2024</v>
      </c>
      <c r="D1450">
        <v>2</v>
      </c>
      <c r="E1450" t="s">
        <v>161</v>
      </c>
      <c r="F1450" t="s">
        <v>27</v>
      </c>
      <c r="G1450" t="s">
        <v>35</v>
      </c>
      <c r="H1450" t="s">
        <v>36</v>
      </c>
      <c r="I1450" t="s">
        <v>30</v>
      </c>
      <c r="J1450">
        <v>74</v>
      </c>
      <c r="K1450">
        <v>1175.08</v>
      </c>
      <c r="L1450">
        <v>86956.25</v>
      </c>
      <c r="M1450">
        <v>57469.46</v>
      </c>
      <c r="N1450">
        <v>7404.69</v>
      </c>
      <c r="O1450">
        <v>4384.2</v>
      </c>
      <c r="P1450">
        <v>2934.55</v>
      </c>
      <c r="Q1450">
        <v>1247.46</v>
      </c>
      <c r="R1450">
        <v>3918.74</v>
      </c>
      <c r="S1450">
        <v>696.13</v>
      </c>
      <c r="T1450">
        <v>78055.22</v>
      </c>
      <c r="U1450">
        <v>29486.79</v>
      </c>
      <c r="V1450">
        <v>8901.0300000000007</v>
      </c>
      <c r="W1450">
        <v>8983.3700000000008</v>
      </c>
      <c r="X1450">
        <v>80159.06</v>
      </c>
      <c r="Y1450">
        <v>76374.55</v>
      </c>
    </row>
    <row r="1451" spans="1:25" x14ac:dyDescent="0.25">
      <c r="A1451" t="s">
        <v>1507</v>
      </c>
      <c r="B1451" s="1">
        <v>45338</v>
      </c>
      <c r="C1451">
        <v>2024</v>
      </c>
      <c r="D1451">
        <v>2</v>
      </c>
      <c r="E1451" t="s">
        <v>161</v>
      </c>
      <c r="F1451" t="s">
        <v>27</v>
      </c>
      <c r="G1451" t="s">
        <v>44</v>
      </c>
      <c r="H1451" t="s">
        <v>36</v>
      </c>
      <c r="I1451" t="s">
        <v>65</v>
      </c>
      <c r="J1451">
        <v>50</v>
      </c>
      <c r="K1451">
        <v>1359.33</v>
      </c>
      <c r="L1451">
        <v>67966.289999999994</v>
      </c>
      <c r="M1451">
        <v>45440.75</v>
      </c>
      <c r="N1451">
        <v>5977.21</v>
      </c>
      <c r="O1451">
        <v>2564.61</v>
      </c>
      <c r="P1451">
        <v>1693.98</v>
      </c>
      <c r="Q1451">
        <v>1133.25</v>
      </c>
      <c r="R1451">
        <v>3617.88</v>
      </c>
      <c r="S1451">
        <v>1025.27</v>
      </c>
      <c r="T1451">
        <v>61452.94</v>
      </c>
      <c r="U1451">
        <v>22525.54</v>
      </c>
      <c r="V1451">
        <v>6513.34</v>
      </c>
      <c r="W1451">
        <v>6527.67</v>
      </c>
      <c r="X1451">
        <v>69022.63</v>
      </c>
      <c r="Y1451">
        <v>63005.81</v>
      </c>
    </row>
    <row r="1452" spans="1:25" x14ac:dyDescent="0.25">
      <c r="A1452" t="s">
        <v>1508</v>
      </c>
      <c r="B1452" s="1">
        <v>45338</v>
      </c>
      <c r="C1452">
        <v>2024</v>
      </c>
      <c r="D1452">
        <v>2</v>
      </c>
      <c r="E1452" t="s">
        <v>161</v>
      </c>
      <c r="F1452" t="s">
        <v>27</v>
      </c>
      <c r="G1452" t="s">
        <v>44</v>
      </c>
      <c r="H1452" t="s">
        <v>32</v>
      </c>
      <c r="I1452" t="s">
        <v>39</v>
      </c>
      <c r="J1452">
        <v>32</v>
      </c>
      <c r="K1452">
        <v>1426.35</v>
      </c>
      <c r="L1452">
        <v>45643.26</v>
      </c>
      <c r="M1452">
        <v>24970.35</v>
      </c>
      <c r="N1452">
        <v>3890.1</v>
      </c>
      <c r="O1452">
        <v>1694.22</v>
      </c>
      <c r="P1452">
        <v>1151.71</v>
      </c>
      <c r="Q1452">
        <v>544.11</v>
      </c>
      <c r="R1452">
        <v>2920.11</v>
      </c>
      <c r="S1452">
        <v>788.36</v>
      </c>
      <c r="T1452">
        <v>35958.97</v>
      </c>
      <c r="U1452">
        <v>20672.91</v>
      </c>
      <c r="V1452">
        <v>9684.2900000000009</v>
      </c>
      <c r="W1452">
        <v>9130.19</v>
      </c>
      <c r="X1452">
        <v>45452.73</v>
      </c>
      <c r="Y1452">
        <v>38389.129999999997</v>
      </c>
    </row>
    <row r="1453" spans="1:25" x14ac:dyDescent="0.25">
      <c r="A1453" t="s">
        <v>1509</v>
      </c>
      <c r="B1453" s="1">
        <v>45338</v>
      </c>
      <c r="C1453">
        <v>2024</v>
      </c>
      <c r="D1453">
        <v>2</v>
      </c>
      <c r="E1453" t="s">
        <v>161</v>
      </c>
      <c r="F1453" t="s">
        <v>27</v>
      </c>
      <c r="G1453" t="s">
        <v>55</v>
      </c>
      <c r="H1453" t="s">
        <v>32</v>
      </c>
      <c r="I1453" t="s">
        <v>30</v>
      </c>
      <c r="J1453">
        <v>89</v>
      </c>
      <c r="K1453">
        <v>1491.49</v>
      </c>
      <c r="L1453">
        <v>132742.71</v>
      </c>
      <c r="M1453">
        <v>70632.460000000006</v>
      </c>
      <c r="N1453">
        <v>16008.15</v>
      </c>
      <c r="O1453">
        <v>5065.8100000000004</v>
      </c>
      <c r="P1453">
        <v>5361.52</v>
      </c>
      <c r="Q1453">
        <v>1845.43</v>
      </c>
      <c r="R1453">
        <v>6137.72</v>
      </c>
      <c r="S1453">
        <v>1785.87</v>
      </c>
      <c r="T1453">
        <v>106836.96</v>
      </c>
      <c r="U1453">
        <v>62110.25</v>
      </c>
      <c r="V1453">
        <v>25905.75</v>
      </c>
      <c r="W1453">
        <v>25381.17</v>
      </c>
      <c r="X1453">
        <v>124063.49</v>
      </c>
      <c r="Y1453">
        <v>110088.1</v>
      </c>
    </row>
    <row r="1454" spans="1:25" x14ac:dyDescent="0.25">
      <c r="A1454" t="s">
        <v>1510</v>
      </c>
      <c r="B1454" s="1">
        <v>45338</v>
      </c>
      <c r="C1454">
        <v>2024</v>
      </c>
      <c r="D1454">
        <v>2</v>
      </c>
      <c r="E1454" t="s">
        <v>161</v>
      </c>
      <c r="F1454" t="s">
        <v>27</v>
      </c>
      <c r="G1454" t="s">
        <v>55</v>
      </c>
      <c r="H1454" t="s">
        <v>58</v>
      </c>
      <c r="I1454" t="s">
        <v>65</v>
      </c>
      <c r="J1454">
        <v>37</v>
      </c>
      <c r="K1454">
        <v>1783.65</v>
      </c>
      <c r="L1454">
        <v>65995.08</v>
      </c>
      <c r="M1454">
        <v>33055.31</v>
      </c>
      <c r="N1454">
        <v>7147.95</v>
      </c>
      <c r="O1454">
        <v>2977.63</v>
      </c>
      <c r="P1454">
        <v>1490.24</v>
      </c>
      <c r="Q1454">
        <v>869.94</v>
      </c>
      <c r="R1454">
        <v>3607.81</v>
      </c>
      <c r="S1454">
        <v>1118.1199999999999</v>
      </c>
      <c r="T1454">
        <v>50267</v>
      </c>
      <c r="U1454">
        <v>32939.769999999997</v>
      </c>
      <c r="V1454">
        <v>15728.09</v>
      </c>
      <c r="W1454">
        <v>14366.72</v>
      </c>
      <c r="X1454">
        <v>67955.73</v>
      </c>
      <c r="Y1454">
        <v>54580.68</v>
      </c>
    </row>
    <row r="1455" spans="1:25" x14ac:dyDescent="0.25">
      <c r="A1455" t="s">
        <v>1511</v>
      </c>
      <c r="B1455" s="1">
        <v>45339</v>
      </c>
      <c r="C1455">
        <v>2024</v>
      </c>
      <c r="D1455">
        <v>2</v>
      </c>
      <c r="E1455" t="s">
        <v>161</v>
      </c>
      <c r="F1455" t="s">
        <v>27</v>
      </c>
      <c r="G1455" t="s">
        <v>44</v>
      </c>
      <c r="H1455" t="s">
        <v>36</v>
      </c>
      <c r="I1455" t="s">
        <v>45</v>
      </c>
      <c r="J1455">
        <v>45</v>
      </c>
      <c r="K1455">
        <v>972.13</v>
      </c>
      <c r="L1455">
        <v>43745.91</v>
      </c>
      <c r="M1455">
        <v>24120.77</v>
      </c>
      <c r="N1455">
        <v>3440.48</v>
      </c>
      <c r="O1455">
        <v>1781.45</v>
      </c>
      <c r="P1455">
        <v>1043.8399999999999</v>
      </c>
      <c r="Q1455">
        <v>600.89</v>
      </c>
      <c r="R1455">
        <v>2613.4899999999998</v>
      </c>
      <c r="S1455">
        <v>577.34</v>
      </c>
      <c r="T1455">
        <v>34178.26</v>
      </c>
      <c r="U1455">
        <v>19625.14</v>
      </c>
      <c r="V1455">
        <v>9567.66</v>
      </c>
      <c r="W1455">
        <v>9445.68</v>
      </c>
      <c r="X1455">
        <v>48051.519999999997</v>
      </c>
      <c r="Y1455">
        <v>36110.379999999997</v>
      </c>
    </row>
    <row r="1456" spans="1:25" x14ac:dyDescent="0.25">
      <c r="A1456" t="s">
        <v>1512</v>
      </c>
      <c r="B1456" s="1">
        <v>45339</v>
      </c>
      <c r="C1456">
        <v>2024</v>
      </c>
      <c r="D1456">
        <v>2</v>
      </c>
      <c r="E1456" t="s">
        <v>161</v>
      </c>
      <c r="F1456" t="s">
        <v>27</v>
      </c>
      <c r="G1456" t="s">
        <v>28</v>
      </c>
      <c r="H1456" t="s">
        <v>32</v>
      </c>
      <c r="I1456" t="s">
        <v>37</v>
      </c>
      <c r="J1456">
        <v>105</v>
      </c>
      <c r="K1456">
        <v>872.26</v>
      </c>
      <c r="L1456">
        <v>91586.98</v>
      </c>
      <c r="M1456">
        <v>56979.32</v>
      </c>
      <c r="N1456">
        <v>7616.51</v>
      </c>
      <c r="O1456">
        <v>3541.78</v>
      </c>
      <c r="P1456">
        <v>3096.22</v>
      </c>
      <c r="Q1456">
        <v>643.22</v>
      </c>
      <c r="R1456">
        <v>3753.84</v>
      </c>
      <c r="S1456">
        <v>1562.22</v>
      </c>
      <c r="T1456">
        <v>77193.11</v>
      </c>
      <c r="U1456">
        <v>34607.65</v>
      </c>
      <c r="V1456">
        <v>14393.87</v>
      </c>
      <c r="W1456">
        <v>13730.58</v>
      </c>
      <c r="X1456">
        <v>100427.13</v>
      </c>
      <c r="Y1456">
        <v>77629.039999999994</v>
      </c>
    </row>
    <row r="1457" spans="1:25" x14ac:dyDescent="0.25">
      <c r="A1457" t="s">
        <v>1513</v>
      </c>
      <c r="B1457" s="1">
        <v>45339</v>
      </c>
      <c r="C1457">
        <v>2024</v>
      </c>
      <c r="D1457">
        <v>2</v>
      </c>
      <c r="E1457" t="s">
        <v>161</v>
      </c>
      <c r="F1457" t="s">
        <v>27</v>
      </c>
      <c r="G1457" t="s">
        <v>44</v>
      </c>
      <c r="H1457" t="s">
        <v>58</v>
      </c>
      <c r="I1457" t="s">
        <v>65</v>
      </c>
      <c r="J1457">
        <v>49</v>
      </c>
      <c r="K1457">
        <v>1177.8599999999999</v>
      </c>
      <c r="L1457">
        <v>57714.95</v>
      </c>
      <c r="M1457">
        <v>35460.75</v>
      </c>
      <c r="N1457">
        <v>4076.12</v>
      </c>
      <c r="O1457">
        <v>2179.6</v>
      </c>
      <c r="P1457">
        <v>922.4</v>
      </c>
      <c r="Q1457">
        <v>879.25</v>
      </c>
      <c r="R1457">
        <v>3050.18</v>
      </c>
      <c r="S1457">
        <v>707.8</v>
      </c>
      <c r="T1457">
        <v>47276.09</v>
      </c>
      <c r="U1457">
        <v>22254.21</v>
      </c>
      <c r="V1457">
        <v>10438.86</v>
      </c>
      <c r="W1457">
        <v>9603.35</v>
      </c>
      <c r="X1457">
        <v>54465.45</v>
      </c>
      <c r="Y1457">
        <v>45363.57</v>
      </c>
    </row>
    <row r="1458" spans="1:25" x14ac:dyDescent="0.25">
      <c r="A1458" t="s">
        <v>1514</v>
      </c>
      <c r="B1458" s="1">
        <v>45340</v>
      </c>
      <c r="C1458">
        <v>2024</v>
      </c>
      <c r="D1458">
        <v>2</v>
      </c>
      <c r="E1458" t="s">
        <v>161</v>
      </c>
      <c r="F1458" t="s">
        <v>27</v>
      </c>
      <c r="G1458" t="s">
        <v>35</v>
      </c>
      <c r="H1458" t="s">
        <v>29</v>
      </c>
      <c r="I1458" t="s">
        <v>56</v>
      </c>
      <c r="J1458">
        <v>24</v>
      </c>
      <c r="K1458">
        <v>1671.27</v>
      </c>
      <c r="L1458">
        <v>40110.57</v>
      </c>
      <c r="M1458">
        <v>21765.35</v>
      </c>
      <c r="N1458">
        <v>3327.62</v>
      </c>
      <c r="O1458">
        <v>2366.2600000000002</v>
      </c>
      <c r="P1458">
        <v>1344.83</v>
      </c>
      <c r="Q1458">
        <v>214.14</v>
      </c>
      <c r="R1458">
        <v>2102.33</v>
      </c>
      <c r="S1458">
        <v>536.64</v>
      </c>
      <c r="T1458">
        <v>31657.16</v>
      </c>
      <c r="U1458">
        <v>18345.22</v>
      </c>
      <c r="V1458">
        <v>8453.41</v>
      </c>
      <c r="W1458">
        <v>8587.49</v>
      </c>
      <c r="X1458">
        <v>36963.370000000003</v>
      </c>
      <c r="Y1458">
        <v>32254.81</v>
      </c>
    </row>
    <row r="1459" spans="1:25" x14ac:dyDescent="0.25">
      <c r="A1459" t="s">
        <v>1515</v>
      </c>
      <c r="B1459" s="1">
        <v>45340</v>
      </c>
      <c r="C1459">
        <v>2024</v>
      </c>
      <c r="D1459">
        <v>2</v>
      </c>
      <c r="E1459" t="s">
        <v>161</v>
      </c>
      <c r="F1459" t="s">
        <v>27</v>
      </c>
      <c r="G1459" t="s">
        <v>35</v>
      </c>
      <c r="H1459" t="s">
        <v>53</v>
      </c>
      <c r="I1459" t="s">
        <v>56</v>
      </c>
      <c r="J1459">
        <v>20</v>
      </c>
      <c r="K1459">
        <v>1562.29</v>
      </c>
      <c r="L1459">
        <v>31245.79</v>
      </c>
      <c r="M1459">
        <v>15496.03</v>
      </c>
      <c r="N1459">
        <v>3154.89</v>
      </c>
      <c r="O1459">
        <v>1461.31</v>
      </c>
      <c r="P1459">
        <v>491.85</v>
      </c>
      <c r="Q1459">
        <v>246.87</v>
      </c>
      <c r="R1459">
        <v>1175.18</v>
      </c>
      <c r="S1459">
        <v>454.35</v>
      </c>
      <c r="T1459">
        <v>22480.48</v>
      </c>
      <c r="U1459">
        <v>15749.75</v>
      </c>
      <c r="V1459">
        <v>8765.2999999999993</v>
      </c>
      <c r="W1459">
        <v>7846.54</v>
      </c>
      <c r="X1459">
        <v>32292</v>
      </c>
      <c r="Y1459">
        <v>22434.080000000002</v>
      </c>
    </row>
    <row r="1460" spans="1:25" x14ac:dyDescent="0.25">
      <c r="A1460" t="s">
        <v>1516</v>
      </c>
      <c r="B1460" s="1">
        <v>45340</v>
      </c>
      <c r="C1460">
        <v>2024</v>
      </c>
      <c r="D1460">
        <v>2</v>
      </c>
      <c r="E1460" t="s">
        <v>161</v>
      </c>
      <c r="F1460" t="s">
        <v>27</v>
      </c>
      <c r="G1460" t="s">
        <v>35</v>
      </c>
      <c r="H1460" t="s">
        <v>32</v>
      </c>
      <c r="I1460" t="s">
        <v>45</v>
      </c>
      <c r="J1460">
        <v>48</v>
      </c>
      <c r="K1460">
        <v>837.74</v>
      </c>
      <c r="L1460">
        <v>40211.760000000002</v>
      </c>
      <c r="M1460">
        <v>24321.53</v>
      </c>
      <c r="N1460">
        <v>3069.11</v>
      </c>
      <c r="O1460">
        <v>2811.46</v>
      </c>
      <c r="P1460">
        <v>898.36</v>
      </c>
      <c r="Q1460">
        <v>370.04</v>
      </c>
      <c r="R1460">
        <v>2421.73</v>
      </c>
      <c r="S1460">
        <v>327.67</v>
      </c>
      <c r="T1460">
        <v>34219.89</v>
      </c>
      <c r="U1460">
        <v>15890.23</v>
      </c>
      <c r="V1460">
        <v>5991.86</v>
      </c>
      <c r="W1460">
        <v>5976.88</v>
      </c>
      <c r="X1460">
        <v>38351.57</v>
      </c>
      <c r="Y1460">
        <v>33565.75</v>
      </c>
    </row>
    <row r="1461" spans="1:25" x14ac:dyDescent="0.25">
      <c r="A1461" t="s">
        <v>1517</v>
      </c>
      <c r="B1461" s="1">
        <v>45340</v>
      </c>
      <c r="C1461">
        <v>2024</v>
      </c>
      <c r="D1461">
        <v>2</v>
      </c>
      <c r="E1461" t="s">
        <v>161</v>
      </c>
      <c r="F1461" t="s">
        <v>27</v>
      </c>
      <c r="G1461" t="s">
        <v>44</v>
      </c>
      <c r="H1461" t="s">
        <v>36</v>
      </c>
      <c r="I1461" t="s">
        <v>30</v>
      </c>
      <c r="J1461">
        <v>54</v>
      </c>
      <c r="K1461">
        <v>1546.88</v>
      </c>
      <c r="L1461">
        <v>83531.27</v>
      </c>
      <c r="M1461">
        <v>40961.660000000003</v>
      </c>
      <c r="N1461">
        <v>9080.7000000000007</v>
      </c>
      <c r="O1461">
        <v>2513.88</v>
      </c>
      <c r="P1461">
        <v>1846.02</v>
      </c>
      <c r="Q1461">
        <v>418.23</v>
      </c>
      <c r="R1461">
        <v>3028.52</v>
      </c>
      <c r="S1461">
        <v>1480.31</v>
      </c>
      <c r="T1461">
        <v>59329.33</v>
      </c>
      <c r="U1461">
        <v>42569.599999999999</v>
      </c>
      <c r="V1461">
        <v>24201.94</v>
      </c>
      <c r="W1461">
        <v>21500.45</v>
      </c>
      <c r="X1461">
        <v>81335.899999999994</v>
      </c>
      <c r="Y1461">
        <v>58131.45</v>
      </c>
    </row>
    <row r="1462" spans="1:25" x14ac:dyDescent="0.25">
      <c r="A1462" t="s">
        <v>1518</v>
      </c>
      <c r="B1462" s="1">
        <v>45340</v>
      </c>
      <c r="C1462">
        <v>2024</v>
      </c>
      <c r="D1462">
        <v>2</v>
      </c>
      <c r="E1462" t="s">
        <v>161</v>
      </c>
      <c r="F1462" t="s">
        <v>27</v>
      </c>
      <c r="G1462" t="s">
        <v>55</v>
      </c>
      <c r="H1462" t="s">
        <v>36</v>
      </c>
      <c r="I1462" t="s">
        <v>56</v>
      </c>
      <c r="J1462">
        <v>17</v>
      </c>
      <c r="K1462">
        <v>1654.49</v>
      </c>
      <c r="L1462">
        <v>28126.27</v>
      </c>
      <c r="M1462">
        <v>18645.32</v>
      </c>
      <c r="N1462">
        <v>2078.14</v>
      </c>
      <c r="O1462">
        <v>2088.2399999999998</v>
      </c>
      <c r="P1462">
        <v>1197.01</v>
      </c>
      <c r="Q1462">
        <v>458.48</v>
      </c>
      <c r="R1462">
        <v>974.91</v>
      </c>
      <c r="S1462">
        <v>601.38</v>
      </c>
      <c r="T1462">
        <v>26043.48</v>
      </c>
      <c r="U1462">
        <v>9480.9500000000007</v>
      </c>
      <c r="V1462">
        <v>2082.8000000000002</v>
      </c>
      <c r="W1462">
        <v>1912.19</v>
      </c>
      <c r="X1462">
        <v>26061.81</v>
      </c>
      <c r="Y1462">
        <v>28180</v>
      </c>
    </row>
    <row r="1463" spans="1:25" x14ac:dyDescent="0.25">
      <c r="A1463" t="s">
        <v>1519</v>
      </c>
      <c r="B1463" s="1">
        <v>45340</v>
      </c>
      <c r="C1463">
        <v>2024</v>
      </c>
      <c r="D1463">
        <v>2</v>
      </c>
      <c r="E1463" t="s">
        <v>161</v>
      </c>
      <c r="F1463" t="s">
        <v>27</v>
      </c>
      <c r="G1463" t="s">
        <v>35</v>
      </c>
      <c r="H1463" t="s">
        <v>58</v>
      </c>
      <c r="I1463" t="s">
        <v>39</v>
      </c>
      <c r="J1463">
        <v>43</v>
      </c>
      <c r="K1463">
        <v>984.93</v>
      </c>
      <c r="L1463">
        <v>42352.06</v>
      </c>
      <c r="M1463">
        <v>21065.97</v>
      </c>
      <c r="N1463">
        <v>3885.27</v>
      </c>
      <c r="O1463">
        <v>1861.43</v>
      </c>
      <c r="P1463">
        <v>1779.96</v>
      </c>
      <c r="Q1463">
        <v>256.10000000000002</v>
      </c>
      <c r="R1463">
        <v>1201.54</v>
      </c>
      <c r="S1463">
        <v>1018.13</v>
      </c>
      <c r="T1463">
        <v>31068.39</v>
      </c>
      <c r="U1463">
        <v>21286.09</v>
      </c>
      <c r="V1463">
        <v>11283.66</v>
      </c>
      <c r="W1463">
        <v>11095.61</v>
      </c>
      <c r="X1463">
        <v>45456.25</v>
      </c>
      <c r="Y1463">
        <v>30416.799999999999</v>
      </c>
    </row>
    <row r="1464" spans="1:25" x14ac:dyDescent="0.25">
      <c r="A1464" t="s">
        <v>1520</v>
      </c>
      <c r="B1464" s="1">
        <v>45340</v>
      </c>
      <c r="C1464">
        <v>2024</v>
      </c>
      <c r="D1464">
        <v>2</v>
      </c>
      <c r="E1464" t="s">
        <v>161</v>
      </c>
      <c r="F1464" t="s">
        <v>27</v>
      </c>
      <c r="G1464" t="s">
        <v>35</v>
      </c>
      <c r="H1464" t="s">
        <v>53</v>
      </c>
      <c r="I1464" t="s">
        <v>50</v>
      </c>
      <c r="J1464">
        <v>23</v>
      </c>
      <c r="K1464">
        <v>1705.11</v>
      </c>
      <c r="L1464">
        <v>39217.599999999999</v>
      </c>
      <c r="M1464">
        <v>25858.38</v>
      </c>
      <c r="N1464">
        <v>3535.86</v>
      </c>
      <c r="O1464">
        <v>1535.86</v>
      </c>
      <c r="P1464">
        <v>1414.47</v>
      </c>
      <c r="Q1464">
        <v>378.08</v>
      </c>
      <c r="R1464">
        <v>1689.53</v>
      </c>
      <c r="S1464">
        <v>490.16</v>
      </c>
      <c r="T1464">
        <v>34902.339999999997</v>
      </c>
      <c r="U1464">
        <v>13359.22</v>
      </c>
      <c r="V1464">
        <v>4315.26</v>
      </c>
      <c r="W1464">
        <v>3887.74</v>
      </c>
      <c r="X1464">
        <v>38681.93</v>
      </c>
      <c r="Y1464">
        <v>33741.22</v>
      </c>
    </row>
    <row r="1465" spans="1:25" x14ac:dyDescent="0.25">
      <c r="A1465" t="s">
        <v>1521</v>
      </c>
      <c r="B1465" s="1">
        <v>45342</v>
      </c>
      <c r="C1465">
        <v>2024</v>
      </c>
      <c r="D1465">
        <v>2</v>
      </c>
      <c r="E1465" t="s">
        <v>161</v>
      </c>
      <c r="F1465" t="s">
        <v>27</v>
      </c>
      <c r="G1465" t="s">
        <v>35</v>
      </c>
      <c r="H1465" t="s">
        <v>36</v>
      </c>
      <c r="I1465" t="s">
        <v>65</v>
      </c>
      <c r="J1465">
        <v>35</v>
      </c>
      <c r="K1465">
        <v>1552.76</v>
      </c>
      <c r="L1465">
        <v>54346.58</v>
      </c>
      <c r="M1465">
        <v>26647.35</v>
      </c>
      <c r="N1465">
        <v>4537.7700000000004</v>
      </c>
      <c r="O1465">
        <v>2785.17</v>
      </c>
      <c r="P1465">
        <v>1595.5</v>
      </c>
      <c r="Q1465">
        <v>785.92</v>
      </c>
      <c r="R1465">
        <v>3409.39</v>
      </c>
      <c r="S1465">
        <v>1200.94</v>
      </c>
      <c r="T1465">
        <v>40962.04</v>
      </c>
      <c r="U1465">
        <v>27699.23</v>
      </c>
      <c r="V1465">
        <v>13384.54</v>
      </c>
      <c r="W1465">
        <v>13154.17</v>
      </c>
      <c r="X1465">
        <v>60488.81</v>
      </c>
      <c r="Y1465">
        <v>41928.629999999997</v>
      </c>
    </row>
    <row r="1466" spans="1:25" x14ac:dyDescent="0.25">
      <c r="A1466" t="s">
        <v>1522</v>
      </c>
      <c r="B1466" s="1">
        <v>45342</v>
      </c>
      <c r="C1466">
        <v>2024</v>
      </c>
      <c r="D1466">
        <v>2</v>
      </c>
      <c r="E1466" t="s">
        <v>161</v>
      </c>
      <c r="F1466" t="s">
        <v>27</v>
      </c>
      <c r="G1466" t="s">
        <v>28</v>
      </c>
      <c r="H1466" t="s">
        <v>36</v>
      </c>
      <c r="I1466" t="s">
        <v>50</v>
      </c>
      <c r="J1466">
        <v>43</v>
      </c>
      <c r="K1466">
        <v>1170.31</v>
      </c>
      <c r="L1466">
        <v>50323.43</v>
      </c>
      <c r="M1466">
        <v>26864.22</v>
      </c>
      <c r="N1466">
        <v>5935.12</v>
      </c>
      <c r="O1466">
        <v>1598.24</v>
      </c>
      <c r="P1466">
        <v>817.39</v>
      </c>
      <c r="Q1466">
        <v>526.9</v>
      </c>
      <c r="R1466">
        <v>2566.4499999999998</v>
      </c>
      <c r="S1466">
        <v>1174.26</v>
      </c>
      <c r="T1466">
        <v>39482.58</v>
      </c>
      <c r="U1466">
        <v>23459.21</v>
      </c>
      <c r="V1466">
        <v>10840.85</v>
      </c>
      <c r="W1466">
        <v>9777.2099999999991</v>
      </c>
      <c r="X1466">
        <v>48939.1</v>
      </c>
      <c r="Y1466">
        <v>42768.38</v>
      </c>
    </row>
    <row r="1467" spans="1:25" x14ac:dyDescent="0.25">
      <c r="A1467" t="s">
        <v>1523</v>
      </c>
      <c r="B1467" s="1">
        <v>45342</v>
      </c>
      <c r="C1467">
        <v>2024</v>
      </c>
      <c r="D1467">
        <v>2</v>
      </c>
      <c r="E1467" t="s">
        <v>161</v>
      </c>
      <c r="F1467" t="s">
        <v>27</v>
      </c>
      <c r="G1467" t="s">
        <v>55</v>
      </c>
      <c r="H1467" t="s">
        <v>32</v>
      </c>
      <c r="I1467" t="s">
        <v>50</v>
      </c>
      <c r="J1467">
        <v>54</v>
      </c>
      <c r="K1467">
        <v>1341.5</v>
      </c>
      <c r="L1467">
        <v>72440.77</v>
      </c>
      <c r="M1467">
        <v>46630.1</v>
      </c>
      <c r="N1467">
        <v>6769.67</v>
      </c>
      <c r="O1467">
        <v>3964.26</v>
      </c>
      <c r="P1467">
        <v>1682.99</v>
      </c>
      <c r="Q1467">
        <v>565.79</v>
      </c>
      <c r="R1467">
        <v>2599.71</v>
      </c>
      <c r="S1467">
        <v>790.94</v>
      </c>
      <c r="T1467">
        <v>63003.45</v>
      </c>
      <c r="U1467">
        <v>25810.67</v>
      </c>
      <c r="V1467">
        <v>9437.32</v>
      </c>
      <c r="W1467">
        <v>9054.69</v>
      </c>
      <c r="X1467">
        <v>73543.41</v>
      </c>
      <c r="Y1467">
        <v>59348.5</v>
      </c>
    </row>
    <row r="1468" spans="1:25" x14ac:dyDescent="0.25">
      <c r="A1468" t="s">
        <v>1524</v>
      </c>
      <c r="B1468" s="1">
        <v>45343</v>
      </c>
      <c r="C1468">
        <v>2024</v>
      </c>
      <c r="D1468">
        <v>2</v>
      </c>
      <c r="E1468" t="s">
        <v>161</v>
      </c>
      <c r="F1468" t="s">
        <v>27</v>
      </c>
      <c r="G1468" t="s">
        <v>35</v>
      </c>
      <c r="H1468" t="s">
        <v>32</v>
      </c>
      <c r="I1468" t="s">
        <v>50</v>
      </c>
      <c r="J1468">
        <v>58</v>
      </c>
      <c r="K1468">
        <v>1134.58</v>
      </c>
      <c r="L1468">
        <v>65805.89</v>
      </c>
      <c r="M1468">
        <v>37164.800000000003</v>
      </c>
      <c r="N1468">
        <v>8227.6</v>
      </c>
      <c r="O1468">
        <v>4896.71</v>
      </c>
      <c r="P1468">
        <v>1025.1300000000001</v>
      </c>
      <c r="Q1468">
        <v>1084.6099999999999</v>
      </c>
      <c r="R1468">
        <v>3592.57</v>
      </c>
      <c r="S1468">
        <v>661.41</v>
      </c>
      <c r="T1468">
        <v>56652.84</v>
      </c>
      <c r="U1468">
        <v>28641.09</v>
      </c>
      <c r="V1468">
        <v>9153.0499999999993</v>
      </c>
      <c r="W1468">
        <v>8706.7099999999991</v>
      </c>
      <c r="X1468">
        <v>61800.78</v>
      </c>
      <c r="Y1468">
        <v>54639.58</v>
      </c>
    </row>
    <row r="1469" spans="1:25" x14ac:dyDescent="0.25">
      <c r="A1469" t="s">
        <v>1525</v>
      </c>
      <c r="B1469" s="1">
        <v>45344</v>
      </c>
      <c r="C1469">
        <v>2024</v>
      </c>
      <c r="D1469">
        <v>2</v>
      </c>
      <c r="E1469" t="s">
        <v>161</v>
      </c>
      <c r="F1469" t="s">
        <v>27</v>
      </c>
      <c r="G1469" t="s">
        <v>35</v>
      </c>
      <c r="H1469" t="s">
        <v>32</v>
      </c>
      <c r="I1469" t="s">
        <v>56</v>
      </c>
      <c r="J1469">
        <v>48</v>
      </c>
      <c r="K1469">
        <v>895.86</v>
      </c>
      <c r="L1469">
        <v>43001.4</v>
      </c>
      <c r="M1469">
        <v>23159.62</v>
      </c>
      <c r="N1469">
        <v>5199</v>
      </c>
      <c r="O1469">
        <v>2399.38</v>
      </c>
      <c r="P1469">
        <v>654.58000000000004</v>
      </c>
      <c r="Q1469">
        <v>244.84</v>
      </c>
      <c r="R1469">
        <v>2195.2800000000002</v>
      </c>
      <c r="S1469">
        <v>934.38</v>
      </c>
      <c r="T1469">
        <v>34787.08</v>
      </c>
      <c r="U1469">
        <v>19841.78</v>
      </c>
      <c r="V1469">
        <v>8214.32</v>
      </c>
      <c r="W1469">
        <v>8228.5400000000009</v>
      </c>
      <c r="X1469">
        <v>45682.94</v>
      </c>
      <c r="Y1469">
        <v>37857.21</v>
      </c>
    </row>
    <row r="1470" spans="1:25" x14ac:dyDescent="0.25">
      <c r="A1470" t="s">
        <v>1526</v>
      </c>
      <c r="B1470" s="1">
        <v>45344</v>
      </c>
      <c r="C1470">
        <v>2024</v>
      </c>
      <c r="D1470">
        <v>2</v>
      </c>
      <c r="E1470" t="s">
        <v>161</v>
      </c>
      <c r="F1470" t="s">
        <v>27</v>
      </c>
      <c r="G1470" t="s">
        <v>55</v>
      </c>
      <c r="H1470" t="s">
        <v>36</v>
      </c>
      <c r="I1470" t="s">
        <v>30</v>
      </c>
      <c r="J1470">
        <v>53</v>
      </c>
      <c r="K1470">
        <v>1579.63</v>
      </c>
      <c r="L1470">
        <v>83720.479999999996</v>
      </c>
      <c r="M1470">
        <v>42632.21</v>
      </c>
      <c r="N1470">
        <v>8141.33</v>
      </c>
      <c r="O1470">
        <v>3473.05</v>
      </c>
      <c r="P1470">
        <v>2251.67</v>
      </c>
      <c r="Q1470">
        <v>929.67</v>
      </c>
      <c r="R1470">
        <v>3546.6</v>
      </c>
      <c r="S1470">
        <v>874.38</v>
      </c>
      <c r="T1470">
        <v>61848.91</v>
      </c>
      <c r="U1470">
        <v>41088.269999999997</v>
      </c>
      <c r="V1470">
        <v>21871.57</v>
      </c>
      <c r="W1470">
        <v>19607</v>
      </c>
      <c r="X1470">
        <v>87303.48</v>
      </c>
      <c r="Y1470">
        <v>57956.11</v>
      </c>
    </row>
    <row r="1471" spans="1:25" x14ac:dyDescent="0.25">
      <c r="A1471" t="s">
        <v>1527</v>
      </c>
      <c r="B1471" s="1">
        <v>45345</v>
      </c>
      <c r="C1471">
        <v>2024</v>
      </c>
      <c r="D1471">
        <v>2</v>
      </c>
      <c r="E1471" t="s">
        <v>161</v>
      </c>
      <c r="F1471" t="s">
        <v>27</v>
      </c>
      <c r="G1471" t="s">
        <v>44</v>
      </c>
      <c r="H1471" t="s">
        <v>53</v>
      </c>
      <c r="I1471" t="s">
        <v>30</v>
      </c>
      <c r="J1471">
        <v>52</v>
      </c>
      <c r="K1471">
        <v>1331.06</v>
      </c>
      <c r="L1471">
        <v>69215.070000000007</v>
      </c>
      <c r="M1471">
        <v>43520.01</v>
      </c>
      <c r="N1471">
        <v>8384.43</v>
      </c>
      <c r="O1471">
        <v>2752.59</v>
      </c>
      <c r="P1471">
        <v>2762.59</v>
      </c>
      <c r="Q1471">
        <v>859.92</v>
      </c>
      <c r="R1471">
        <v>2152.65</v>
      </c>
      <c r="S1471">
        <v>754.35</v>
      </c>
      <c r="T1471">
        <v>61186.52</v>
      </c>
      <c r="U1471">
        <v>25695.06</v>
      </c>
      <c r="V1471">
        <v>8028.55</v>
      </c>
      <c r="W1471">
        <v>7832.52</v>
      </c>
      <c r="X1471">
        <v>68477.64</v>
      </c>
      <c r="Y1471">
        <v>59544.88</v>
      </c>
    </row>
    <row r="1472" spans="1:25" x14ac:dyDescent="0.25">
      <c r="A1472" t="s">
        <v>1528</v>
      </c>
      <c r="B1472" s="1">
        <v>45345</v>
      </c>
      <c r="C1472">
        <v>2024</v>
      </c>
      <c r="D1472">
        <v>2</v>
      </c>
      <c r="E1472" t="s">
        <v>161</v>
      </c>
      <c r="F1472" t="s">
        <v>27</v>
      </c>
      <c r="G1472" t="s">
        <v>35</v>
      </c>
      <c r="H1472" t="s">
        <v>58</v>
      </c>
      <c r="I1472" t="s">
        <v>50</v>
      </c>
      <c r="J1472">
        <v>34</v>
      </c>
      <c r="K1472">
        <v>1338.52</v>
      </c>
      <c r="L1472">
        <v>45509.69</v>
      </c>
      <c r="M1472">
        <v>24815.94</v>
      </c>
      <c r="N1472">
        <v>4214.6000000000004</v>
      </c>
      <c r="O1472">
        <v>1324.88</v>
      </c>
      <c r="P1472">
        <v>1474.71</v>
      </c>
      <c r="Q1472">
        <v>747.07</v>
      </c>
      <c r="R1472">
        <v>1984.74</v>
      </c>
      <c r="S1472">
        <v>693.7</v>
      </c>
      <c r="T1472">
        <v>35255.64</v>
      </c>
      <c r="U1472">
        <v>20693.75</v>
      </c>
      <c r="V1472">
        <v>10254.049999999999</v>
      </c>
      <c r="W1472">
        <v>10036.23</v>
      </c>
      <c r="X1472">
        <v>48267.21</v>
      </c>
      <c r="Y1472">
        <v>36422.449999999997</v>
      </c>
    </row>
    <row r="1473" spans="1:25" x14ac:dyDescent="0.25">
      <c r="A1473" t="s">
        <v>1529</v>
      </c>
      <c r="B1473" s="1">
        <v>45345</v>
      </c>
      <c r="C1473">
        <v>2024</v>
      </c>
      <c r="D1473">
        <v>2</v>
      </c>
      <c r="E1473" t="s">
        <v>161</v>
      </c>
      <c r="F1473" t="s">
        <v>27</v>
      </c>
      <c r="G1473" t="s">
        <v>55</v>
      </c>
      <c r="H1473" t="s">
        <v>29</v>
      </c>
      <c r="I1473" t="s">
        <v>37</v>
      </c>
      <c r="J1473">
        <v>46</v>
      </c>
      <c r="K1473">
        <v>1728.34</v>
      </c>
      <c r="L1473">
        <v>79503.460000000006</v>
      </c>
      <c r="M1473">
        <v>53411.4</v>
      </c>
      <c r="N1473">
        <v>9642.23</v>
      </c>
      <c r="O1473">
        <v>3913.5</v>
      </c>
      <c r="P1473">
        <v>1549.05</v>
      </c>
      <c r="Q1473">
        <v>487.4</v>
      </c>
      <c r="R1473">
        <v>4497.67</v>
      </c>
      <c r="S1473">
        <v>978.18</v>
      </c>
      <c r="T1473">
        <v>74479.45</v>
      </c>
      <c r="U1473">
        <v>26092.05</v>
      </c>
      <c r="V1473">
        <v>5024.01</v>
      </c>
      <c r="W1473">
        <v>4590.67</v>
      </c>
      <c r="X1473">
        <v>80631.69</v>
      </c>
      <c r="Y1473">
        <v>73034.42</v>
      </c>
    </row>
    <row r="1474" spans="1:25" x14ac:dyDescent="0.25">
      <c r="A1474" t="s">
        <v>1530</v>
      </c>
      <c r="B1474" s="1">
        <v>45345</v>
      </c>
      <c r="C1474">
        <v>2024</v>
      </c>
      <c r="D1474">
        <v>2</v>
      </c>
      <c r="E1474" t="s">
        <v>161</v>
      </c>
      <c r="F1474" t="s">
        <v>27</v>
      </c>
      <c r="G1474" t="s">
        <v>28</v>
      </c>
      <c r="H1474" t="s">
        <v>32</v>
      </c>
      <c r="I1474" t="s">
        <v>65</v>
      </c>
      <c r="J1474">
        <v>38</v>
      </c>
      <c r="K1474">
        <v>1533.34</v>
      </c>
      <c r="L1474">
        <v>58267.09</v>
      </c>
      <c r="M1474">
        <v>29371.4</v>
      </c>
      <c r="N1474">
        <v>5114.3500000000004</v>
      </c>
      <c r="O1474">
        <v>2780.21</v>
      </c>
      <c r="P1474">
        <v>1532.43</v>
      </c>
      <c r="Q1474">
        <v>399.64</v>
      </c>
      <c r="R1474">
        <v>2975.62</v>
      </c>
      <c r="S1474">
        <v>1430.32</v>
      </c>
      <c r="T1474">
        <v>43603.97</v>
      </c>
      <c r="U1474">
        <v>28895.69</v>
      </c>
      <c r="V1474">
        <v>14663.12</v>
      </c>
      <c r="W1474">
        <v>12927.59</v>
      </c>
      <c r="X1474">
        <v>53943.08</v>
      </c>
      <c r="Y1474">
        <v>40975.72</v>
      </c>
    </row>
    <row r="1475" spans="1:25" x14ac:dyDescent="0.25">
      <c r="A1475" t="s">
        <v>1531</v>
      </c>
      <c r="B1475" s="1">
        <v>45346</v>
      </c>
      <c r="C1475">
        <v>2024</v>
      </c>
      <c r="D1475">
        <v>2</v>
      </c>
      <c r="E1475" t="s">
        <v>161</v>
      </c>
      <c r="F1475" t="s">
        <v>27</v>
      </c>
      <c r="G1475" t="s">
        <v>55</v>
      </c>
      <c r="H1475" t="s">
        <v>58</v>
      </c>
      <c r="I1475" t="s">
        <v>33</v>
      </c>
      <c r="J1475">
        <v>89</v>
      </c>
      <c r="K1475">
        <v>827.87</v>
      </c>
      <c r="L1475">
        <v>73680.72</v>
      </c>
      <c r="M1475">
        <v>46932.22</v>
      </c>
      <c r="N1475">
        <v>6955.9</v>
      </c>
      <c r="O1475">
        <v>4096.12</v>
      </c>
      <c r="P1475">
        <v>2207.38</v>
      </c>
      <c r="Q1475">
        <v>1057.51</v>
      </c>
      <c r="R1475">
        <v>3012.14</v>
      </c>
      <c r="S1475">
        <v>1400.58</v>
      </c>
      <c r="T1475">
        <v>65661.86</v>
      </c>
      <c r="U1475">
        <v>26748.49</v>
      </c>
      <c r="V1475">
        <v>8018.85</v>
      </c>
      <c r="W1475">
        <v>8110.07</v>
      </c>
      <c r="X1475">
        <v>72000.08</v>
      </c>
      <c r="Y1475">
        <v>66193</v>
      </c>
    </row>
    <row r="1476" spans="1:25" x14ac:dyDescent="0.25">
      <c r="A1476" t="s">
        <v>1532</v>
      </c>
      <c r="B1476" s="1">
        <v>45346</v>
      </c>
      <c r="C1476">
        <v>2024</v>
      </c>
      <c r="D1476">
        <v>2</v>
      </c>
      <c r="E1476" t="s">
        <v>161</v>
      </c>
      <c r="F1476" t="s">
        <v>27</v>
      </c>
      <c r="G1476" t="s">
        <v>55</v>
      </c>
      <c r="H1476" t="s">
        <v>29</v>
      </c>
      <c r="I1476" t="s">
        <v>39</v>
      </c>
      <c r="J1476">
        <v>30</v>
      </c>
      <c r="K1476">
        <v>1428.12</v>
      </c>
      <c r="L1476">
        <v>42843.61</v>
      </c>
      <c r="M1476">
        <v>25650.06</v>
      </c>
      <c r="N1476">
        <v>5135.04</v>
      </c>
      <c r="O1476">
        <v>2485.83</v>
      </c>
      <c r="P1476">
        <v>1779.95</v>
      </c>
      <c r="Q1476">
        <v>224.9</v>
      </c>
      <c r="R1476">
        <v>2195.48</v>
      </c>
      <c r="S1476">
        <v>571.70000000000005</v>
      </c>
      <c r="T1476">
        <v>38042.94</v>
      </c>
      <c r="U1476">
        <v>17193.560000000001</v>
      </c>
      <c r="V1476">
        <v>4800.67</v>
      </c>
      <c r="W1476">
        <v>4561.3</v>
      </c>
      <c r="X1476">
        <v>46812.54</v>
      </c>
      <c r="Y1476">
        <v>38973.449999999997</v>
      </c>
    </row>
    <row r="1477" spans="1:25" x14ac:dyDescent="0.25">
      <c r="A1477" t="s">
        <v>1533</v>
      </c>
      <c r="B1477" s="1">
        <v>45346</v>
      </c>
      <c r="C1477">
        <v>2024</v>
      </c>
      <c r="D1477">
        <v>2</v>
      </c>
      <c r="E1477" t="s">
        <v>161</v>
      </c>
      <c r="F1477" t="s">
        <v>27</v>
      </c>
      <c r="G1477" t="s">
        <v>44</v>
      </c>
      <c r="H1477" t="s">
        <v>53</v>
      </c>
      <c r="I1477" t="s">
        <v>65</v>
      </c>
      <c r="J1477">
        <v>39</v>
      </c>
      <c r="K1477">
        <v>1509.75</v>
      </c>
      <c r="L1477">
        <v>58880.27</v>
      </c>
      <c r="M1477">
        <v>34443.17</v>
      </c>
      <c r="N1477">
        <v>5710.96</v>
      </c>
      <c r="O1477">
        <v>3011.24</v>
      </c>
      <c r="P1477">
        <v>1918.81</v>
      </c>
      <c r="Q1477">
        <v>889.7</v>
      </c>
      <c r="R1477">
        <v>2448.1799999999998</v>
      </c>
      <c r="S1477">
        <v>1066.81</v>
      </c>
      <c r="T1477">
        <v>49488.89</v>
      </c>
      <c r="U1477">
        <v>24437.1</v>
      </c>
      <c r="V1477">
        <v>9391.3799999999992</v>
      </c>
      <c r="W1477">
        <v>9268.9</v>
      </c>
      <c r="X1477">
        <v>55793.56</v>
      </c>
      <c r="Y1477">
        <v>52100.08</v>
      </c>
    </row>
    <row r="1478" spans="1:25" x14ac:dyDescent="0.25">
      <c r="A1478" t="s">
        <v>1534</v>
      </c>
      <c r="B1478" s="1">
        <v>45346</v>
      </c>
      <c r="C1478">
        <v>2024</v>
      </c>
      <c r="D1478">
        <v>2</v>
      </c>
      <c r="E1478" t="s">
        <v>161</v>
      </c>
      <c r="F1478" t="s">
        <v>27</v>
      </c>
      <c r="G1478" t="s">
        <v>44</v>
      </c>
      <c r="H1478" t="s">
        <v>29</v>
      </c>
      <c r="I1478" t="s">
        <v>65</v>
      </c>
      <c r="J1478">
        <v>29</v>
      </c>
      <c r="K1478">
        <v>1690.19</v>
      </c>
      <c r="L1478">
        <v>49015.62</v>
      </c>
      <c r="M1478">
        <v>28284.36</v>
      </c>
      <c r="N1478">
        <v>4811.45</v>
      </c>
      <c r="O1478">
        <v>3109.63</v>
      </c>
      <c r="P1478">
        <v>1474.45</v>
      </c>
      <c r="Q1478">
        <v>566.71</v>
      </c>
      <c r="R1478">
        <v>2866.88</v>
      </c>
      <c r="S1478">
        <v>504.3</v>
      </c>
      <c r="T1478">
        <v>41617.769999999997</v>
      </c>
      <c r="U1478">
        <v>20731.259999999998</v>
      </c>
      <c r="V1478">
        <v>7397.85</v>
      </c>
      <c r="W1478">
        <v>6725.36</v>
      </c>
      <c r="X1478">
        <v>49177.7</v>
      </c>
      <c r="Y1478">
        <v>39488.629999999997</v>
      </c>
    </row>
    <row r="1479" spans="1:25" x14ac:dyDescent="0.25">
      <c r="A1479" t="s">
        <v>1535</v>
      </c>
      <c r="B1479" s="1">
        <v>45346</v>
      </c>
      <c r="C1479">
        <v>2024</v>
      </c>
      <c r="D1479">
        <v>2</v>
      </c>
      <c r="E1479" t="s">
        <v>161</v>
      </c>
      <c r="F1479" t="s">
        <v>27</v>
      </c>
      <c r="G1479" t="s">
        <v>28</v>
      </c>
      <c r="H1479" t="s">
        <v>32</v>
      </c>
      <c r="I1479" t="s">
        <v>56</v>
      </c>
      <c r="J1479">
        <v>34</v>
      </c>
      <c r="K1479">
        <v>1342.59</v>
      </c>
      <c r="L1479">
        <v>45648.02</v>
      </c>
      <c r="M1479">
        <v>30514.54</v>
      </c>
      <c r="N1479">
        <v>3985.5</v>
      </c>
      <c r="O1479">
        <v>3364.25</v>
      </c>
      <c r="P1479">
        <v>1359.78</v>
      </c>
      <c r="Q1479">
        <v>256.77</v>
      </c>
      <c r="R1479">
        <v>1971.53</v>
      </c>
      <c r="S1479">
        <v>1132.52</v>
      </c>
      <c r="T1479">
        <v>42584.9</v>
      </c>
      <c r="U1479">
        <v>15133.48</v>
      </c>
      <c r="V1479">
        <v>3063.12</v>
      </c>
      <c r="W1479">
        <v>3085.61</v>
      </c>
      <c r="X1479">
        <v>47568.959999999999</v>
      </c>
      <c r="Y1479">
        <v>45901.26</v>
      </c>
    </row>
    <row r="1480" spans="1:25" x14ac:dyDescent="0.25">
      <c r="A1480" t="s">
        <v>1536</v>
      </c>
      <c r="B1480" s="1">
        <v>45346</v>
      </c>
      <c r="C1480">
        <v>2024</v>
      </c>
      <c r="D1480">
        <v>2</v>
      </c>
      <c r="E1480" t="s">
        <v>161</v>
      </c>
      <c r="F1480" t="s">
        <v>27</v>
      </c>
      <c r="G1480" t="s">
        <v>35</v>
      </c>
      <c r="H1480" t="s">
        <v>32</v>
      </c>
      <c r="I1480" t="s">
        <v>65</v>
      </c>
      <c r="J1480">
        <v>37</v>
      </c>
      <c r="K1480">
        <v>1667.96</v>
      </c>
      <c r="L1480">
        <v>61714.45</v>
      </c>
      <c r="M1480">
        <v>34862.19</v>
      </c>
      <c r="N1480">
        <v>7105.79</v>
      </c>
      <c r="O1480">
        <v>3841.31</v>
      </c>
      <c r="P1480">
        <v>1453.38</v>
      </c>
      <c r="Q1480">
        <v>922.13</v>
      </c>
      <c r="R1480">
        <v>3794.19</v>
      </c>
      <c r="S1480">
        <v>1386.43</v>
      </c>
      <c r="T1480">
        <v>53365.42</v>
      </c>
      <c r="U1480">
        <v>26852.26</v>
      </c>
      <c r="V1480">
        <v>8349.0400000000009</v>
      </c>
      <c r="W1480">
        <v>7531.87</v>
      </c>
      <c r="X1480">
        <v>56794.2</v>
      </c>
      <c r="Y1480">
        <v>58198.79</v>
      </c>
    </row>
    <row r="1481" spans="1:25" x14ac:dyDescent="0.25">
      <c r="A1481" t="s">
        <v>1537</v>
      </c>
      <c r="B1481" s="1">
        <v>45346</v>
      </c>
      <c r="C1481">
        <v>2024</v>
      </c>
      <c r="D1481">
        <v>2</v>
      </c>
      <c r="E1481" t="s">
        <v>161</v>
      </c>
      <c r="F1481" t="s">
        <v>27</v>
      </c>
      <c r="G1481" t="s">
        <v>44</v>
      </c>
      <c r="H1481" t="s">
        <v>53</v>
      </c>
      <c r="I1481" t="s">
        <v>56</v>
      </c>
      <c r="J1481">
        <v>35</v>
      </c>
      <c r="K1481">
        <v>809.22</v>
      </c>
      <c r="L1481">
        <v>28322.63</v>
      </c>
      <c r="M1481">
        <v>14553.47</v>
      </c>
      <c r="N1481">
        <v>2150.2600000000002</v>
      </c>
      <c r="O1481">
        <v>2081.61</v>
      </c>
      <c r="P1481">
        <v>573.41</v>
      </c>
      <c r="Q1481">
        <v>492.13</v>
      </c>
      <c r="R1481">
        <v>1049.32</v>
      </c>
      <c r="S1481">
        <v>588.11</v>
      </c>
      <c r="T1481">
        <v>21488.3</v>
      </c>
      <c r="U1481">
        <v>13769.16</v>
      </c>
      <c r="V1481">
        <v>6834.33</v>
      </c>
      <c r="W1481">
        <v>6075.37</v>
      </c>
      <c r="X1481">
        <v>26647.71</v>
      </c>
      <c r="Y1481">
        <v>20034.349999999999</v>
      </c>
    </row>
    <row r="1482" spans="1:25" x14ac:dyDescent="0.25">
      <c r="A1482" t="s">
        <v>1538</v>
      </c>
      <c r="B1482" s="1">
        <v>45346</v>
      </c>
      <c r="C1482">
        <v>2024</v>
      </c>
      <c r="D1482">
        <v>2</v>
      </c>
      <c r="E1482" t="s">
        <v>161</v>
      </c>
      <c r="F1482" t="s">
        <v>27</v>
      </c>
      <c r="G1482" t="s">
        <v>28</v>
      </c>
      <c r="H1482" t="s">
        <v>32</v>
      </c>
      <c r="I1482" t="s">
        <v>37</v>
      </c>
      <c r="J1482">
        <v>70</v>
      </c>
      <c r="K1482">
        <v>1147.67</v>
      </c>
      <c r="L1482">
        <v>80337.03</v>
      </c>
      <c r="M1482">
        <v>43863.63</v>
      </c>
      <c r="N1482">
        <v>7432.32</v>
      </c>
      <c r="O1482">
        <v>2629.77</v>
      </c>
      <c r="P1482">
        <v>2613.5500000000002</v>
      </c>
      <c r="Q1482">
        <v>456.6</v>
      </c>
      <c r="R1482">
        <v>2449.71</v>
      </c>
      <c r="S1482">
        <v>1526.27</v>
      </c>
      <c r="T1482">
        <v>60971.85</v>
      </c>
      <c r="U1482">
        <v>36473.4</v>
      </c>
      <c r="V1482">
        <v>19365.18</v>
      </c>
      <c r="W1482">
        <v>17658.47</v>
      </c>
      <c r="X1482">
        <v>74706.710000000006</v>
      </c>
      <c r="Y1482">
        <v>63643.22</v>
      </c>
    </row>
    <row r="1483" spans="1:25" x14ac:dyDescent="0.25">
      <c r="A1483" t="s">
        <v>1539</v>
      </c>
      <c r="B1483" s="1">
        <v>45347</v>
      </c>
      <c r="C1483">
        <v>2024</v>
      </c>
      <c r="D1483">
        <v>2</v>
      </c>
      <c r="E1483" t="s">
        <v>161</v>
      </c>
      <c r="F1483" t="s">
        <v>27</v>
      </c>
      <c r="G1483" t="s">
        <v>28</v>
      </c>
      <c r="H1483" t="s">
        <v>32</v>
      </c>
      <c r="I1483" t="s">
        <v>65</v>
      </c>
      <c r="J1483">
        <v>70</v>
      </c>
      <c r="K1483">
        <v>1163.3599999999999</v>
      </c>
      <c r="L1483">
        <v>81434.89</v>
      </c>
      <c r="M1483">
        <v>48708.57</v>
      </c>
      <c r="N1483">
        <v>6066.67</v>
      </c>
      <c r="O1483">
        <v>5820.95</v>
      </c>
      <c r="P1483">
        <v>3025.23</v>
      </c>
      <c r="Q1483">
        <v>994.55</v>
      </c>
      <c r="R1483">
        <v>5036.3999999999996</v>
      </c>
      <c r="S1483">
        <v>1172.42</v>
      </c>
      <c r="T1483">
        <v>70824.81</v>
      </c>
      <c r="U1483">
        <v>32726.32</v>
      </c>
      <c r="V1483">
        <v>10610.08</v>
      </c>
      <c r="W1483">
        <v>10491.22</v>
      </c>
      <c r="X1483">
        <v>86438.74</v>
      </c>
      <c r="Y1483">
        <v>67448.740000000005</v>
      </c>
    </row>
    <row r="1484" spans="1:25" x14ac:dyDescent="0.25">
      <c r="A1484" t="s">
        <v>1540</v>
      </c>
      <c r="B1484" s="1">
        <v>45347</v>
      </c>
      <c r="C1484">
        <v>2024</v>
      </c>
      <c r="D1484">
        <v>2</v>
      </c>
      <c r="E1484" t="s">
        <v>161</v>
      </c>
      <c r="F1484" t="s">
        <v>27</v>
      </c>
      <c r="G1484" t="s">
        <v>44</v>
      </c>
      <c r="H1484" t="s">
        <v>53</v>
      </c>
      <c r="I1484" t="s">
        <v>45</v>
      </c>
      <c r="J1484">
        <v>43</v>
      </c>
      <c r="K1484">
        <v>1045.71</v>
      </c>
      <c r="L1484">
        <v>44965.61</v>
      </c>
      <c r="M1484">
        <v>24946.34</v>
      </c>
      <c r="N1484">
        <v>3271.72</v>
      </c>
      <c r="O1484">
        <v>1458.64</v>
      </c>
      <c r="P1484">
        <v>1682.92</v>
      </c>
      <c r="Q1484">
        <v>286.87</v>
      </c>
      <c r="R1484">
        <v>2718.73</v>
      </c>
      <c r="S1484">
        <v>505.87</v>
      </c>
      <c r="T1484">
        <v>34871.089999999997</v>
      </c>
      <c r="U1484">
        <v>20019.28</v>
      </c>
      <c r="V1484">
        <v>10094.52</v>
      </c>
      <c r="W1484">
        <v>9721</v>
      </c>
      <c r="X1484">
        <v>42203.51</v>
      </c>
      <c r="Y1484">
        <v>33539.550000000003</v>
      </c>
    </row>
    <row r="1485" spans="1:25" x14ac:dyDescent="0.25">
      <c r="A1485" t="s">
        <v>1541</v>
      </c>
      <c r="B1485" s="1">
        <v>45347</v>
      </c>
      <c r="C1485">
        <v>2024</v>
      </c>
      <c r="D1485">
        <v>2</v>
      </c>
      <c r="E1485" t="s">
        <v>161</v>
      </c>
      <c r="F1485" t="s">
        <v>27</v>
      </c>
      <c r="G1485" t="s">
        <v>28</v>
      </c>
      <c r="H1485" t="s">
        <v>36</v>
      </c>
      <c r="I1485" t="s">
        <v>65</v>
      </c>
      <c r="J1485">
        <v>40</v>
      </c>
      <c r="K1485">
        <v>1514.68</v>
      </c>
      <c r="L1485">
        <v>60587.32</v>
      </c>
      <c r="M1485">
        <v>36699.440000000002</v>
      </c>
      <c r="N1485">
        <v>4854.42</v>
      </c>
      <c r="O1485">
        <v>1740.17</v>
      </c>
      <c r="P1485">
        <v>2684.52</v>
      </c>
      <c r="Q1485">
        <v>758.35</v>
      </c>
      <c r="R1485">
        <v>2131.48</v>
      </c>
      <c r="S1485">
        <v>1321.99</v>
      </c>
      <c r="T1485">
        <v>50190.37</v>
      </c>
      <c r="U1485">
        <v>23887.87</v>
      </c>
      <c r="V1485">
        <v>10396.94</v>
      </c>
      <c r="W1485">
        <v>9778.58</v>
      </c>
      <c r="X1485">
        <v>60895.79</v>
      </c>
      <c r="Y1485">
        <v>53304.01</v>
      </c>
    </row>
    <row r="1486" spans="1:25" x14ac:dyDescent="0.25">
      <c r="A1486" t="s">
        <v>1542</v>
      </c>
      <c r="B1486" s="1">
        <v>45347</v>
      </c>
      <c r="C1486">
        <v>2024</v>
      </c>
      <c r="D1486">
        <v>2</v>
      </c>
      <c r="E1486" t="s">
        <v>161</v>
      </c>
      <c r="F1486" t="s">
        <v>27</v>
      </c>
      <c r="G1486" t="s">
        <v>55</v>
      </c>
      <c r="H1486" t="s">
        <v>32</v>
      </c>
      <c r="I1486" t="s">
        <v>45</v>
      </c>
      <c r="J1486">
        <v>65</v>
      </c>
      <c r="K1486">
        <v>1007.62</v>
      </c>
      <c r="L1486">
        <v>65495.08</v>
      </c>
      <c r="M1486">
        <v>42391.29</v>
      </c>
      <c r="N1486">
        <v>7476.45</v>
      </c>
      <c r="O1486">
        <v>4332.3500000000004</v>
      </c>
      <c r="P1486">
        <v>1549.74</v>
      </c>
      <c r="Q1486">
        <v>363.67</v>
      </c>
      <c r="R1486">
        <v>2390.54</v>
      </c>
      <c r="S1486">
        <v>636.80999999999995</v>
      </c>
      <c r="T1486">
        <v>59140.86</v>
      </c>
      <c r="U1486">
        <v>23103.79</v>
      </c>
      <c r="V1486">
        <v>6354.22</v>
      </c>
      <c r="W1486">
        <v>5681.64</v>
      </c>
      <c r="X1486">
        <v>72127.7</v>
      </c>
      <c r="Y1486">
        <v>57991.86</v>
      </c>
    </row>
    <row r="1487" spans="1:25" x14ac:dyDescent="0.25">
      <c r="A1487" t="s">
        <v>1543</v>
      </c>
      <c r="B1487" s="1">
        <v>45348</v>
      </c>
      <c r="C1487">
        <v>2024</v>
      </c>
      <c r="D1487">
        <v>2</v>
      </c>
      <c r="E1487" t="s">
        <v>161</v>
      </c>
      <c r="F1487" t="s">
        <v>27</v>
      </c>
      <c r="G1487" t="s">
        <v>28</v>
      </c>
      <c r="H1487" t="s">
        <v>58</v>
      </c>
      <c r="I1487" t="s">
        <v>33</v>
      </c>
      <c r="J1487">
        <v>74</v>
      </c>
      <c r="K1487">
        <v>1050.82</v>
      </c>
      <c r="L1487">
        <v>77760.44</v>
      </c>
      <c r="M1487">
        <v>39744.42</v>
      </c>
      <c r="N1487">
        <v>7758.49</v>
      </c>
      <c r="O1487">
        <v>2810.68</v>
      </c>
      <c r="P1487">
        <v>2541.21</v>
      </c>
      <c r="Q1487">
        <v>1099.97</v>
      </c>
      <c r="R1487">
        <v>3363.03</v>
      </c>
      <c r="S1487">
        <v>963.3</v>
      </c>
      <c r="T1487">
        <v>58281.11</v>
      </c>
      <c r="U1487">
        <v>38016.019999999997</v>
      </c>
      <c r="V1487">
        <v>19479.330000000002</v>
      </c>
      <c r="W1487">
        <v>18458.990000000002</v>
      </c>
      <c r="X1487">
        <v>84761.62</v>
      </c>
      <c r="Y1487">
        <v>56959.23</v>
      </c>
    </row>
    <row r="1488" spans="1:25" x14ac:dyDescent="0.25">
      <c r="A1488" t="s">
        <v>1544</v>
      </c>
      <c r="B1488" s="1">
        <v>45348</v>
      </c>
      <c r="C1488">
        <v>2024</v>
      </c>
      <c r="D1488">
        <v>2</v>
      </c>
      <c r="E1488" t="s">
        <v>161</v>
      </c>
      <c r="F1488" t="s">
        <v>27</v>
      </c>
      <c r="G1488" t="s">
        <v>55</v>
      </c>
      <c r="H1488" t="s">
        <v>53</v>
      </c>
      <c r="I1488" t="s">
        <v>39</v>
      </c>
      <c r="J1488">
        <v>33</v>
      </c>
      <c r="K1488">
        <v>1098.26</v>
      </c>
      <c r="L1488">
        <v>36242.74</v>
      </c>
      <c r="M1488">
        <v>19526.66</v>
      </c>
      <c r="N1488">
        <v>2933.84</v>
      </c>
      <c r="O1488">
        <v>1092.97</v>
      </c>
      <c r="P1488">
        <v>1480.53</v>
      </c>
      <c r="Q1488">
        <v>249.12</v>
      </c>
      <c r="R1488">
        <v>1968.31</v>
      </c>
      <c r="S1488">
        <v>579.9</v>
      </c>
      <c r="T1488">
        <v>27831.33</v>
      </c>
      <c r="U1488">
        <v>16716.09</v>
      </c>
      <c r="V1488">
        <v>8411.41</v>
      </c>
      <c r="W1488">
        <v>7795.58</v>
      </c>
      <c r="X1488">
        <v>37918.86</v>
      </c>
      <c r="Y1488">
        <v>29555.72</v>
      </c>
    </row>
    <row r="1489" spans="1:25" x14ac:dyDescent="0.25">
      <c r="A1489" t="s">
        <v>1545</v>
      </c>
      <c r="B1489" s="1">
        <v>45348</v>
      </c>
      <c r="C1489">
        <v>2024</v>
      </c>
      <c r="D1489">
        <v>2</v>
      </c>
      <c r="E1489" t="s">
        <v>161</v>
      </c>
      <c r="F1489" t="s">
        <v>27</v>
      </c>
      <c r="G1489" t="s">
        <v>55</v>
      </c>
      <c r="H1489" t="s">
        <v>29</v>
      </c>
      <c r="I1489" t="s">
        <v>65</v>
      </c>
      <c r="J1489">
        <v>39</v>
      </c>
      <c r="K1489">
        <v>1505.91</v>
      </c>
      <c r="L1489">
        <v>58730.559999999998</v>
      </c>
      <c r="M1489">
        <v>39516.839999999997</v>
      </c>
      <c r="N1489">
        <v>7490.52</v>
      </c>
      <c r="O1489">
        <v>3656.97</v>
      </c>
      <c r="P1489">
        <v>2116.23</v>
      </c>
      <c r="Q1489">
        <v>699.73</v>
      </c>
      <c r="R1489">
        <v>2659.81</v>
      </c>
      <c r="S1489">
        <v>970.21</v>
      </c>
      <c r="T1489">
        <v>57110.31</v>
      </c>
      <c r="U1489">
        <v>19213.72</v>
      </c>
      <c r="V1489">
        <v>1620.25</v>
      </c>
      <c r="W1489">
        <v>1594.2</v>
      </c>
      <c r="X1489">
        <v>56495.09</v>
      </c>
      <c r="Y1489">
        <v>54321.2</v>
      </c>
    </row>
    <row r="1490" spans="1:25" x14ac:dyDescent="0.25">
      <c r="A1490" t="s">
        <v>1546</v>
      </c>
      <c r="B1490" s="1">
        <v>45348</v>
      </c>
      <c r="C1490">
        <v>2024</v>
      </c>
      <c r="D1490">
        <v>2</v>
      </c>
      <c r="E1490" t="s">
        <v>161</v>
      </c>
      <c r="F1490" t="s">
        <v>27</v>
      </c>
      <c r="G1490" t="s">
        <v>44</v>
      </c>
      <c r="H1490" t="s">
        <v>36</v>
      </c>
      <c r="I1490" t="s">
        <v>45</v>
      </c>
      <c r="J1490">
        <v>21</v>
      </c>
      <c r="K1490">
        <v>1682.59</v>
      </c>
      <c r="L1490">
        <v>35334.370000000003</v>
      </c>
      <c r="M1490">
        <v>17876.43</v>
      </c>
      <c r="N1490">
        <v>3643.02</v>
      </c>
      <c r="O1490">
        <v>1951.44</v>
      </c>
      <c r="P1490">
        <v>1250.49</v>
      </c>
      <c r="Q1490">
        <v>560.61</v>
      </c>
      <c r="R1490">
        <v>1588.58</v>
      </c>
      <c r="S1490">
        <v>593.5</v>
      </c>
      <c r="T1490">
        <v>27464.07</v>
      </c>
      <c r="U1490">
        <v>17457.939999999999</v>
      </c>
      <c r="V1490">
        <v>7870.3</v>
      </c>
      <c r="W1490">
        <v>8025.65</v>
      </c>
      <c r="X1490">
        <v>35052.300000000003</v>
      </c>
      <c r="Y1490">
        <v>29436.15</v>
      </c>
    </row>
    <row r="1491" spans="1:25" x14ac:dyDescent="0.25">
      <c r="A1491" t="s">
        <v>1547</v>
      </c>
      <c r="B1491" s="1">
        <v>45348</v>
      </c>
      <c r="C1491">
        <v>2024</v>
      </c>
      <c r="D1491">
        <v>2</v>
      </c>
      <c r="E1491" t="s">
        <v>161</v>
      </c>
      <c r="F1491" t="s">
        <v>27</v>
      </c>
      <c r="G1491" t="s">
        <v>44</v>
      </c>
      <c r="H1491" t="s">
        <v>36</v>
      </c>
      <c r="I1491" t="s">
        <v>30</v>
      </c>
      <c r="J1491">
        <v>72</v>
      </c>
      <c r="K1491">
        <v>1303.95</v>
      </c>
      <c r="L1491">
        <v>93884.58</v>
      </c>
      <c r="M1491">
        <v>54215.39</v>
      </c>
      <c r="N1491">
        <v>6744.85</v>
      </c>
      <c r="O1491">
        <v>2444.38</v>
      </c>
      <c r="P1491">
        <v>3845.27</v>
      </c>
      <c r="Q1491">
        <v>776.8</v>
      </c>
      <c r="R1491">
        <v>3909.21</v>
      </c>
      <c r="S1491">
        <v>1855.68</v>
      </c>
      <c r="T1491">
        <v>73791.59</v>
      </c>
      <c r="U1491">
        <v>39669.19</v>
      </c>
      <c r="V1491">
        <v>20092.990000000002</v>
      </c>
      <c r="W1491">
        <v>19617.849999999999</v>
      </c>
      <c r="X1491">
        <v>96607.06</v>
      </c>
      <c r="Y1491">
        <v>75511.570000000007</v>
      </c>
    </row>
    <row r="1492" spans="1:25" x14ac:dyDescent="0.25">
      <c r="A1492" t="s">
        <v>1548</v>
      </c>
      <c r="B1492" s="1">
        <v>45349</v>
      </c>
      <c r="C1492">
        <v>2024</v>
      </c>
      <c r="D1492">
        <v>2</v>
      </c>
      <c r="E1492" t="s">
        <v>161</v>
      </c>
      <c r="F1492" t="s">
        <v>27</v>
      </c>
      <c r="G1492" t="s">
        <v>55</v>
      </c>
      <c r="H1492" t="s">
        <v>53</v>
      </c>
      <c r="I1492" t="s">
        <v>39</v>
      </c>
      <c r="J1492">
        <v>33</v>
      </c>
      <c r="K1492">
        <v>1392.65</v>
      </c>
      <c r="L1492">
        <v>45957.59</v>
      </c>
      <c r="M1492">
        <v>26571.96</v>
      </c>
      <c r="N1492">
        <v>5462.18</v>
      </c>
      <c r="O1492">
        <v>1387.58</v>
      </c>
      <c r="P1492">
        <v>1128.78</v>
      </c>
      <c r="Q1492">
        <v>607.08000000000004</v>
      </c>
      <c r="R1492">
        <v>1752.92</v>
      </c>
      <c r="S1492">
        <v>453.97</v>
      </c>
      <c r="T1492">
        <v>37364.46</v>
      </c>
      <c r="U1492">
        <v>19385.63</v>
      </c>
      <c r="V1492">
        <v>8593.1299999999992</v>
      </c>
      <c r="W1492">
        <v>8532.64</v>
      </c>
      <c r="X1492">
        <v>46922.7</v>
      </c>
      <c r="Y1492">
        <v>40055.050000000003</v>
      </c>
    </row>
    <row r="1493" spans="1:25" x14ac:dyDescent="0.25">
      <c r="A1493" t="s">
        <v>1549</v>
      </c>
      <c r="B1493" s="1">
        <v>45350</v>
      </c>
      <c r="C1493">
        <v>2024</v>
      </c>
      <c r="D1493">
        <v>2</v>
      </c>
      <c r="E1493" t="s">
        <v>161</v>
      </c>
      <c r="F1493" t="s">
        <v>27</v>
      </c>
      <c r="G1493" t="s">
        <v>55</v>
      </c>
      <c r="H1493" t="s">
        <v>36</v>
      </c>
      <c r="I1493" t="s">
        <v>37</v>
      </c>
      <c r="J1493">
        <v>61</v>
      </c>
      <c r="K1493">
        <v>1052.3499999999999</v>
      </c>
      <c r="L1493">
        <v>64193.37</v>
      </c>
      <c r="M1493">
        <v>43574.58</v>
      </c>
      <c r="N1493">
        <v>8166.14</v>
      </c>
      <c r="O1493">
        <v>2352.81</v>
      </c>
      <c r="P1493">
        <v>2099.7800000000002</v>
      </c>
      <c r="Q1493">
        <v>982.41</v>
      </c>
      <c r="R1493">
        <v>2085.46</v>
      </c>
      <c r="S1493">
        <v>1496.35</v>
      </c>
      <c r="T1493">
        <v>60757.52</v>
      </c>
      <c r="U1493">
        <v>20618.8</v>
      </c>
      <c r="V1493">
        <v>3435.85</v>
      </c>
      <c r="W1493">
        <v>3047.57</v>
      </c>
      <c r="X1493">
        <v>68373.009999999995</v>
      </c>
      <c r="Y1493">
        <v>58331.21</v>
      </c>
    </row>
    <row r="1494" spans="1:25" x14ac:dyDescent="0.25">
      <c r="A1494" t="s">
        <v>1550</v>
      </c>
      <c r="B1494" s="1">
        <v>45350</v>
      </c>
      <c r="C1494">
        <v>2024</v>
      </c>
      <c r="D1494">
        <v>2</v>
      </c>
      <c r="E1494" t="s">
        <v>161</v>
      </c>
      <c r="F1494" t="s">
        <v>27</v>
      </c>
      <c r="G1494" t="s">
        <v>55</v>
      </c>
      <c r="H1494" t="s">
        <v>32</v>
      </c>
      <c r="I1494" t="s">
        <v>65</v>
      </c>
      <c r="J1494">
        <v>45</v>
      </c>
      <c r="K1494">
        <v>1319.78</v>
      </c>
      <c r="L1494">
        <v>59390</v>
      </c>
      <c r="M1494">
        <v>35159.980000000003</v>
      </c>
      <c r="N1494">
        <v>4901.05</v>
      </c>
      <c r="O1494">
        <v>1704</v>
      </c>
      <c r="P1494">
        <v>2624</v>
      </c>
      <c r="Q1494">
        <v>685</v>
      </c>
      <c r="R1494">
        <v>3150.84</v>
      </c>
      <c r="S1494">
        <v>1145.55</v>
      </c>
      <c r="T1494">
        <v>49370.43</v>
      </c>
      <c r="U1494">
        <v>24230.02</v>
      </c>
      <c r="V1494">
        <v>10019.57</v>
      </c>
      <c r="W1494">
        <v>9578.5400000000009</v>
      </c>
      <c r="X1494">
        <v>58097.1</v>
      </c>
      <c r="Y1494">
        <v>49970.15</v>
      </c>
    </row>
    <row r="1495" spans="1:25" x14ac:dyDescent="0.25">
      <c r="A1495" t="s">
        <v>1551</v>
      </c>
      <c r="B1495" s="1">
        <v>45351</v>
      </c>
      <c r="C1495">
        <v>2024</v>
      </c>
      <c r="D1495">
        <v>2</v>
      </c>
      <c r="E1495" t="s">
        <v>161</v>
      </c>
      <c r="F1495" t="s">
        <v>27</v>
      </c>
      <c r="G1495" t="s">
        <v>35</v>
      </c>
      <c r="H1495" t="s">
        <v>32</v>
      </c>
      <c r="I1495" t="s">
        <v>37</v>
      </c>
      <c r="J1495">
        <v>59</v>
      </c>
      <c r="K1495">
        <v>1215.1400000000001</v>
      </c>
      <c r="L1495">
        <v>71693.17</v>
      </c>
      <c r="M1495">
        <v>45481.760000000002</v>
      </c>
      <c r="N1495">
        <v>5352.04</v>
      </c>
      <c r="O1495">
        <v>3321.66</v>
      </c>
      <c r="P1495">
        <v>2302.3200000000002</v>
      </c>
      <c r="Q1495">
        <v>1260.6099999999999</v>
      </c>
      <c r="R1495">
        <v>2399.67</v>
      </c>
      <c r="S1495">
        <v>1421.52</v>
      </c>
      <c r="T1495">
        <v>61539.6</v>
      </c>
      <c r="U1495">
        <v>26211.4</v>
      </c>
      <c r="V1495">
        <v>10153.57</v>
      </c>
      <c r="W1495">
        <v>9529.2999999999993</v>
      </c>
      <c r="X1495">
        <v>77706.03</v>
      </c>
      <c r="Y1495">
        <v>62691.48</v>
      </c>
    </row>
    <row r="1496" spans="1:25" x14ac:dyDescent="0.25">
      <c r="A1496" t="s">
        <v>1552</v>
      </c>
      <c r="B1496" s="1">
        <v>45351</v>
      </c>
      <c r="C1496">
        <v>2024</v>
      </c>
      <c r="D1496">
        <v>2</v>
      </c>
      <c r="E1496" t="s">
        <v>161</v>
      </c>
      <c r="F1496" t="s">
        <v>27</v>
      </c>
      <c r="G1496" t="s">
        <v>55</v>
      </c>
      <c r="H1496" t="s">
        <v>32</v>
      </c>
      <c r="I1496" t="s">
        <v>50</v>
      </c>
      <c r="J1496">
        <v>56</v>
      </c>
      <c r="K1496">
        <v>1267.23</v>
      </c>
      <c r="L1496">
        <v>70965.13</v>
      </c>
      <c r="M1496">
        <v>38485.440000000002</v>
      </c>
      <c r="N1496">
        <v>8580.2900000000009</v>
      </c>
      <c r="O1496">
        <v>3881.77</v>
      </c>
      <c r="P1496">
        <v>1527.24</v>
      </c>
      <c r="Q1496">
        <v>1055.8599999999999</v>
      </c>
      <c r="R1496">
        <v>3780.9</v>
      </c>
      <c r="S1496">
        <v>594.78</v>
      </c>
      <c r="T1496">
        <v>57906.28</v>
      </c>
      <c r="U1496">
        <v>32479.7</v>
      </c>
      <c r="V1496">
        <v>13058.85</v>
      </c>
      <c r="W1496">
        <v>12483.42</v>
      </c>
      <c r="X1496">
        <v>66395.94</v>
      </c>
      <c r="Y1496">
        <v>60510.41</v>
      </c>
    </row>
    <row r="1497" spans="1:25" x14ac:dyDescent="0.25">
      <c r="A1497" t="s">
        <v>1553</v>
      </c>
      <c r="B1497" s="1">
        <v>45351</v>
      </c>
      <c r="C1497">
        <v>2024</v>
      </c>
      <c r="D1497">
        <v>2</v>
      </c>
      <c r="E1497" t="s">
        <v>161</v>
      </c>
      <c r="F1497" t="s">
        <v>27</v>
      </c>
      <c r="G1497" t="s">
        <v>35</v>
      </c>
      <c r="H1497" t="s">
        <v>36</v>
      </c>
      <c r="I1497" t="s">
        <v>30</v>
      </c>
      <c r="J1497">
        <v>53</v>
      </c>
      <c r="K1497">
        <v>1752.51</v>
      </c>
      <c r="L1497">
        <v>92882.78</v>
      </c>
      <c r="M1497">
        <v>47370.63</v>
      </c>
      <c r="N1497">
        <v>12037.16</v>
      </c>
      <c r="O1497">
        <v>3056.34</v>
      </c>
      <c r="P1497">
        <v>3751.23</v>
      </c>
      <c r="Q1497">
        <v>1322.43</v>
      </c>
      <c r="R1497">
        <v>4774.8100000000004</v>
      </c>
      <c r="S1497">
        <v>1700.87</v>
      </c>
      <c r="T1497">
        <v>74013.47</v>
      </c>
      <c r="U1497">
        <v>45512.15</v>
      </c>
      <c r="V1497">
        <v>18869.310000000001</v>
      </c>
      <c r="W1497">
        <v>16711.849999999999</v>
      </c>
      <c r="X1497">
        <v>101723.39</v>
      </c>
      <c r="Y1497">
        <v>69085.86</v>
      </c>
    </row>
    <row r="1498" spans="1:25" x14ac:dyDescent="0.25">
      <c r="A1498" t="s">
        <v>1554</v>
      </c>
      <c r="B1498" s="1">
        <v>45351</v>
      </c>
      <c r="C1498">
        <v>2024</v>
      </c>
      <c r="D1498">
        <v>2</v>
      </c>
      <c r="E1498" t="s">
        <v>161</v>
      </c>
      <c r="F1498" t="s">
        <v>27</v>
      </c>
      <c r="G1498" t="s">
        <v>55</v>
      </c>
      <c r="H1498" t="s">
        <v>36</v>
      </c>
      <c r="I1498" t="s">
        <v>30</v>
      </c>
      <c r="J1498">
        <v>83</v>
      </c>
      <c r="K1498">
        <v>1309.3800000000001</v>
      </c>
      <c r="L1498">
        <v>108678.58</v>
      </c>
      <c r="M1498">
        <v>64244.06</v>
      </c>
      <c r="N1498">
        <v>12140.42</v>
      </c>
      <c r="O1498">
        <v>3507.61</v>
      </c>
      <c r="P1498">
        <v>4887.63</v>
      </c>
      <c r="Q1498">
        <v>646.76</v>
      </c>
      <c r="R1498">
        <v>4320.88</v>
      </c>
      <c r="S1498">
        <v>2232.14</v>
      </c>
      <c r="T1498">
        <v>91979.51</v>
      </c>
      <c r="U1498">
        <v>44434.51</v>
      </c>
      <c r="V1498">
        <v>16699.07</v>
      </c>
      <c r="W1498">
        <v>14992.86</v>
      </c>
      <c r="X1498">
        <v>109521.18</v>
      </c>
      <c r="Y1498">
        <v>86520.17</v>
      </c>
    </row>
    <row r="1499" spans="1:25" x14ac:dyDescent="0.25">
      <c r="A1499" t="s">
        <v>1555</v>
      </c>
      <c r="B1499" s="1">
        <v>45351</v>
      </c>
      <c r="C1499">
        <v>2024</v>
      </c>
      <c r="D1499">
        <v>2</v>
      </c>
      <c r="E1499" t="s">
        <v>161</v>
      </c>
      <c r="F1499" t="s">
        <v>27</v>
      </c>
      <c r="G1499" t="s">
        <v>55</v>
      </c>
      <c r="H1499" t="s">
        <v>53</v>
      </c>
      <c r="I1499" t="s">
        <v>33</v>
      </c>
      <c r="J1499">
        <v>74</v>
      </c>
      <c r="K1499">
        <v>1090.68</v>
      </c>
      <c r="L1499">
        <v>80710.289999999994</v>
      </c>
      <c r="M1499">
        <v>40009.25</v>
      </c>
      <c r="N1499">
        <v>6809.08</v>
      </c>
      <c r="O1499">
        <v>4317.0600000000004</v>
      </c>
      <c r="P1499">
        <v>2331.92</v>
      </c>
      <c r="Q1499">
        <v>407.46</v>
      </c>
      <c r="R1499">
        <v>4242.25</v>
      </c>
      <c r="S1499">
        <v>1336.71</v>
      </c>
      <c r="T1499">
        <v>59453.72</v>
      </c>
      <c r="U1499">
        <v>40701.040000000001</v>
      </c>
      <c r="V1499">
        <v>21256.57</v>
      </c>
      <c r="W1499">
        <v>18730.599999999999</v>
      </c>
      <c r="X1499">
        <v>80981.17</v>
      </c>
      <c r="Y1499">
        <v>60677.67</v>
      </c>
    </row>
    <row r="1500" spans="1:25" x14ac:dyDescent="0.25">
      <c r="A1500" t="s">
        <v>1556</v>
      </c>
      <c r="B1500" s="1">
        <v>45351</v>
      </c>
      <c r="C1500">
        <v>2024</v>
      </c>
      <c r="D1500">
        <v>2</v>
      </c>
      <c r="E1500" t="s">
        <v>161</v>
      </c>
      <c r="F1500" t="s">
        <v>27</v>
      </c>
      <c r="G1500" t="s">
        <v>44</v>
      </c>
      <c r="H1500" t="s">
        <v>58</v>
      </c>
      <c r="I1500" t="s">
        <v>45</v>
      </c>
      <c r="J1500">
        <v>41</v>
      </c>
      <c r="K1500">
        <v>1059.5999999999999</v>
      </c>
      <c r="L1500">
        <v>43443.56</v>
      </c>
      <c r="M1500">
        <v>24038.34</v>
      </c>
      <c r="N1500">
        <v>5518.97</v>
      </c>
      <c r="O1500">
        <v>1859</v>
      </c>
      <c r="P1500">
        <v>995.68</v>
      </c>
      <c r="Q1500">
        <v>228.13</v>
      </c>
      <c r="R1500">
        <v>2595.63</v>
      </c>
      <c r="S1500">
        <v>777.96</v>
      </c>
      <c r="T1500">
        <v>36013.71</v>
      </c>
      <c r="U1500">
        <v>19405.22</v>
      </c>
      <c r="V1500">
        <v>7429.85</v>
      </c>
      <c r="W1500">
        <v>7138.89</v>
      </c>
      <c r="X1500">
        <v>44468.87</v>
      </c>
      <c r="Y1500">
        <v>38363.82</v>
      </c>
    </row>
    <row r="1501" spans="1:25" x14ac:dyDescent="0.25">
      <c r="A1501" t="s">
        <v>1557</v>
      </c>
      <c r="B1501" s="1">
        <v>45351</v>
      </c>
      <c r="C1501">
        <v>2024</v>
      </c>
      <c r="D1501">
        <v>2</v>
      </c>
      <c r="E1501" t="s">
        <v>161</v>
      </c>
      <c r="F1501" t="s">
        <v>27</v>
      </c>
      <c r="G1501" t="s">
        <v>35</v>
      </c>
      <c r="H1501" t="s">
        <v>53</v>
      </c>
      <c r="I1501" t="s">
        <v>33</v>
      </c>
      <c r="J1501">
        <v>55</v>
      </c>
      <c r="K1501">
        <v>1005.92</v>
      </c>
      <c r="L1501">
        <v>55325.42</v>
      </c>
      <c r="M1501">
        <v>33059.910000000003</v>
      </c>
      <c r="N1501">
        <v>4983.1000000000004</v>
      </c>
      <c r="O1501">
        <v>2005.73</v>
      </c>
      <c r="P1501">
        <v>1590.87</v>
      </c>
      <c r="Q1501">
        <v>387.48</v>
      </c>
      <c r="R1501">
        <v>2536.85</v>
      </c>
      <c r="S1501">
        <v>1151.06</v>
      </c>
      <c r="T1501">
        <v>45715</v>
      </c>
      <c r="U1501">
        <v>22265.5</v>
      </c>
      <c r="V1501">
        <v>9610.41</v>
      </c>
      <c r="W1501">
        <v>9087.5</v>
      </c>
      <c r="X1501">
        <v>52439.67</v>
      </c>
      <c r="Y1501">
        <v>48620.38</v>
      </c>
    </row>
    <row r="1502" spans="1:25" x14ac:dyDescent="0.25">
      <c r="A1502" t="s">
        <v>1558</v>
      </c>
      <c r="B1502" s="1">
        <v>45352</v>
      </c>
      <c r="C1502">
        <v>2024</v>
      </c>
      <c r="D1502">
        <v>3</v>
      </c>
      <c r="E1502" t="s">
        <v>260</v>
      </c>
      <c r="F1502" t="s">
        <v>27</v>
      </c>
      <c r="G1502" t="s">
        <v>55</v>
      </c>
      <c r="H1502" t="s">
        <v>32</v>
      </c>
      <c r="I1502" t="s">
        <v>45</v>
      </c>
      <c r="J1502">
        <v>67</v>
      </c>
      <c r="K1502">
        <v>947.29</v>
      </c>
      <c r="L1502">
        <v>63468.25</v>
      </c>
      <c r="M1502">
        <v>31170.05</v>
      </c>
      <c r="N1502">
        <v>5037.16</v>
      </c>
      <c r="O1502">
        <v>1631.39</v>
      </c>
      <c r="P1502">
        <v>2123.59</v>
      </c>
      <c r="Q1502">
        <v>639.78</v>
      </c>
      <c r="R1502">
        <v>1971.25</v>
      </c>
      <c r="S1502">
        <v>1416.76</v>
      </c>
      <c r="T1502">
        <v>43989.97</v>
      </c>
      <c r="U1502">
        <v>32298.2</v>
      </c>
      <c r="V1502">
        <v>19478.29</v>
      </c>
      <c r="W1502">
        <v>19271.150000000001</v>
      </c>
      <c r="X1502">
        <v>59893.2</v>
      </c>
      <c r="Y1502">
        <v>45684.22</v>
      </c>
    </row>
    <row r="1503" spans="1:25" x14ac:dyDescent="0.25">
      <c r="A1503" t="s">
        <v>1559</v>
      </c>
      <c r="B1503" s="1">
        <v>45353</v>
      </c>
      <c r="C1503">
        <v>2024</v>
      </c>
      <c r="D1503">
        <v>3</v>
      </c>
      <c r="E1503" t="s">
        <v>260</v>
      </c>
      <c r="F1503" t="s">
        <v>27</v>
      </c>
      <c r="G1503" t="s">
        <v>55</v>
      </c>
      <c r="H1503" t="s">
        <v>32</v>
      </c>
      <c r="I1503" t="s">
        <v>50</v>
      </c>
      <c r="J1503">
        <v>37</v>
      </c>
      <c r="K1503">
        <v>1413.51</v>
      </c>
      <c r="L1503">
        <v>52299.86</v>
      </c>
      <c r="M1503">
        <v>29372.1</v>
      </c>
      <c r="N1503">
        <v>6777.92</v>
      </c>
      <c r="O1503">
        <v>2116.94</v>
      </c>
      <c r="P1503">
        <v>931.73</v>
      </c>
      <c r="Q1503">
        <v>335.96</v>
      </c>
      <c r="R1503">
        <v>3114.01</v>
      </c>
      <c r="S1503">
        <v>1210.93</v>
      </c>
      <c r="T1503">
        <v>43859.58</v>
      </c>
      <c r="U1503">
        <v>22927.759999999998</v>
      </c>
      <c r="V1503">
        <v>8440.2800000000007</v>
      </c>
      <c r="W1503">
        <v>8554.8799999999992</v>
      </c>
      <c r="X1503">
        <v>52526.03</v>
      </c>
      <c r="Y1503">
        <v>44857.56</v>
      </c>
    </row>
    <row r="1504" spans="1:25" x14ac:dyDescent="0.25">
      <c r="A1504" t="s">
        <v>1560</v>
      </c>
      <c r="B1504" s="1">
        <v>45353</v>
      </c>
      <c r="C1504">
        <v>2024</v>
      </c>
      <c r="D1504">
        <v>3</v>
      </c>
      <c r="E1504" t="s">
        <v>260</v>
      </c>
      <c r="F1504" t="s">
        <v>27</v>
      </c>
      <c r="G1504" t="s">
        <v>35</v>
      </c>
      <c r="H1504" t="s">
        <v>29</v>
      </c>
      <c r="I1504" t="s">
        <v>37</v>
      </c>
      <c r="J1504">
        <v>50</v>
      </c>
      <c r="K1504">
        <v>1288.49</v>
      </c>
      <c r="L1504">
        <v>64424.33</v>
      </c>
      <c r="M1504">
        <v>32918.660000000003</v>
      </c>
      <c r="N1504">
        <v>7243.2</v>
      </c>
      <c r="O1504">
        <v>3625.61</v>
      </c>
      <c r="P1504">
        <v>1555.72</v>
      </c>
      <c r="Q1504">
        <v>863.94</v>
      </c>
      <c r="R1504">
        <v>2015.84</v>
      </c>
      <c r="S1504">
        <v>825.4</v>
      </c>
      <c r="T1504">
        <v>49048.37</v>
      </c>
      <c r="U1504">
        <v>31505.67</v>
      </c>
      <c r="V1504">
        <v>15375.95</v>
      </c>
      <c r="W1504">
        <v>15092.32</v>
      </c>
      <c r="X1504">
        <v>66153.39</v>
      </c>
      <c r="Y1504">
        <v>45869.43</v>
      </c>
    </row>
    <row r="1505" spans="1:25" x14ac:dyDescent="0.25">
      <c r="A1505" t="s">
        <v>1561</v>
      </c>
      <c r="B1505" s="1">
        <v>45353</v>
      </c>
      <c r="C1505">
        <v>2024</v>
      </c>
      <c r="D1505">
        <v>3</v>
      </c>
      <c r="E1505" t="s">
        <v>260</v>
      </c>
      <c r="F1505" t="s">
        <v>27</v>
      </c>
      <c r="G1505" t="s">
        <v>55</v>
      </c>
      <c r="H1505" t="s">
        <v>58</v>
      </c>
      <c r="I1505" t="s">
        <v>39</v>
      </c>
      <c r="J1505">
        <v>29</v>
      </c>
      <c r="K1505">
        <v>1393.5</v>
      </c>
      <c r="L1505">
        <v>40411.57</v>
      </c>
      <c r="M1505">
        <v>25325.17</v>
      </c>
      <c r="N1505">
        <v>5058.24</v>
      </c>
      <c r="O1505">
        <v>1538.27</v>
      </c>
      <c r="P1505">
        <v>726.18</v>
      </c>
      <c r="Q1505">
        <v>324.41000000000003</v>
      </c>
      <c r="R1505">
        <v>1635.37</v>
      </c>
      <c r="S1505">
        <v>479.32</v>
      </c>
      <c r="T1505">
        <v>35086.97</v>
      </c>
      <c r="U1505">
        <v>15086.4</v>
      </c>
      <c r="V1505">
        <v>5324.6</v>
      </c>
      <c r="W1505">
        <v>4771.29</v>
      </c>
      <c r="X1505">
        <v>42856.02</v>
      </c>
      <c r="Y1505">
        <v>33898.019999999997</v>
      </c>
    </row>
    <row r="1506" spans="1:25" x14ac:dyDescent="0.25">
      <c r="A1506" t="s">
        <v>1562</v>
      </c>
      <c r="B1506" s="1">
        <v>45354</v>
      </c>
      <c r="C1506">
        <v>2024</v>
      </c>
      <c r="D1506">
        <v>3</v>
      </c>
      <c r="E1506" t="s">
        <v>260</v>
      </c>
      <c r="F1506" t="s">
        <v>27</v>
      </c>
      <c r="G1506" t="s">
        <v>28</v>
      </c>
      <c r="H1506" t="s">
        <v>53</v>
      </c>
      <c r="I1506" t="s">
        <v>33</v>
      </c>
      <c r="J1506">
        <v>82</v>
      </c>
      <c r="K1506">
        <v>845.75</v>
      </c>
      <c r="L1506">
        <v>69351.53</v>
      </c>
      <c r="M1506">
        <v>38036.76</v>
      </c>
      <c r="N1506">
        <v>5778.39</v>
      </c>
      <c r="O1506">
        <v>4740.68</v>
      </c>
      <c r="P1506">
        <v>1560.49</v>
      </c>
      <c r="Q1506">
        <v>684.65</v>
      </c>
      <c r="R1506">
        <v>3357.73</v>
      </c>
      <c r="S1506">
        <v>1669.44</v>
      </c>
      <c r="T1506">
        <v>55828.14</v>
      </c>
      <c r="U1506">
        <v>31314.76</v>
      </c>
      <c r="V1506">
        <v>13523.39</v>
      </c>
      <c r="W1506">
        <v>12135.42</v>
      </c>
      <c r="X1506">
        <v>71879.8</v>
      </c>
      <c r="Y1506">
        <v>57188.959999999999</v>
      </c>
    </row>
    <row r="1507" spans="1:25" x14ac:dyDescent="0.25">
      <c r="A1507" t="s">
        <v>1563</v>
      </c>
      <c r="B1507" s="1">
        <v>45354</v>
      </c>
      <c r="C1507">
        <v>2024</v>
      </c>
      <c r="D1507">
        <v>3</v>
      </c>
      <c r="E1507" t="s">
        <v>260</v>
      </c>
      <c r="F1507" t="s">
        <v>27</v>
      </c>
      <c r="G1507" t="s">
        <v>28</v>
      </c>
      <c r="H1507" t="s">
        <v>58</v>
      </c>
      <c r="I1507" t="s">
        <v>37</v>
      </c>
      <c r="J1507">
        <v>36</v>
      </c>
      <c r="K1507">
        <v>1599.48</v>
      </c>
      <c r="L1507">
        <v>57581.29</v>
      </c>
      <c r="M1507">
        <v>35061.89</v>
      </c>
      <c r="N1507">
        <v>4985.12</v>
      </c>
      <c r="O1507">
        <v>1540.84</v>
      </c>
      <c r="P1507">
        <v>1187.57</v>
      </c>
      <c r="Q1507">
        <v>349.1</v>
      </c>
      <c r="R1507">
        <v>3712.54</v>
      </c>
      <c r="S1507">
        <v>1293.0999999999999</v>
      </c>
      <c r="T1507">
        <v>48130.16</v>
      </c>
      <c r="U1507">
        <v>22519.4</v>
      </c>
      <c r="V1507">
        <v>9451.1200000000008</v>
      </c>
      <c r="W1507">
        <v>8747.41</v>
      </c>
      <c r="X1507">
        <v>54704.69</v>
      </c>
      <c r="Y1507">
        <v>50344.32</v>
      </c>
    </row>
    <row r="1508" spans="1:25" x14ac:dyDescent="0.25">
      <c r="A1508" t="s">
        <v>1564</v>
      </c>
      <c r="B1508" s="1">
        <v>45354</v>
      </c>
      <c r="C1508">
        <v>2024</v>
      </c>
      <c r="D1508">
        <v>3</v>
      </c>
      <c r="E1508" t="s">
        <v>260</v>
      </c>
      <c r="F1508" t="s">
        <v>27</v>
      </c>
      <c r="G1508" t="s">
        <v>28</v>
      </c>
      <c r="H1508" t="s">
        <v>32</v>
      </c>
      <c r="I1508" t="s">
        <v>45</v>
      </c>
      <c r="J1508">
        <v>47</v>
      </c>
      <c r="K1508">
        <v>1314.16</v>
      </c>
      <c r="L1508">
        <v>61765.71</v>
      </c>
      <c r="M1508">
        <v>38861.5</v>
      </c>
      <c r="N1508">
        <v>6209.98</v>
      </c>
      <c r="O1508">
        <v>2377.94</v>
      </c>
      <c r="P1508">
        <v>995.69</v>
      </c>
      <c r="Q1508">
        <v>860.22</v>
      </c>
      <c r="R1508">
        <v>3723.4</v>
      </c>
      <c r="S1508">
        <v>1161.49</v>
      </c>
      <c r="T1508">
        <v>54190.21</v>
      </c>
      <c r="U1508">
        <v>22904.21</v>
      </c>
      <c r="V1508">
        <v>7575.49</v>
      </c>
      <c r="W1508">
        <v>6721.51</v>
      </c>
      <c r="X1508">
        <v>64797.18</v>
      </c>
      <c r="Y1508">
        <v>56153.91</v>
      </c>
    </row>
    <row r="1509" spans="1:25" x14ac:dyDescent="0.25">
      <c r="A1509" t="s">
        <v>1565</v>
      </c>
      <c r="B1509" s="1">
        <v>45354</v>
      </c>
      <c r="C1509">
        <v>2024</v>
      </c>
      <c r="D1509">
        <v>3</v>
      </c>
      <c r="E1509" t="s">
        <v>260</v>
      </c>
      <c r="F1509" t="s">
        <v>27</v>
      </c>
      <c r="G1509" t="s">
        <v>28</v>
      </c>
      <c r="H1509" t="s">
        <v>29</v>
      </c>
      <c r="I1509" t="s">
        <v>30</v>
      </c>
      <c r="J1509">
        <v>102</v>
      </c>
      <c r="K1509">
        <v>1126.07</v>
      </c>
      <c r="L1509">
        <v>114859.06</v>
      </c>
      <c r="M1509">
        <v>61157.120000000003</v>
      </c>
      <c r="N1509">
        <v>13344.53</v>
      </c>
      <c r="O1509">
        <v>5730.01</v>
      </c>
      <c r="P1509">
        <v>3431.74</v>
      </c>
      <c r="Q1509">
        <v>840.29</v>
      </c>
      <c r="R1509">
        <v>6345.46</v>
      </c>
      <c r="S1509">
        <v>1941.7</v>
      </c>
      <c r="T1509">
        <v>92790.84</v>
      </c>
      <c r="U1509">
        <v>53701.94</v>
      </c>
      <c r="V1509">
        <v>22068.22</v>
      </c>
      <c r="W1509">
        <v>20648.259999999998</v>
      </c>
      <c r="X1509">
        <v>124595.53</v>
      </c>
      <c r="Y1509">
        <v>97180.31</v>
      </c>
    </row>
    <row r="1510" spans="1:25" x14ac:dyDescent="0.25">
      <c r="A1510" t="s">
        <v>1566</v>
      </c>
      <c r="B1510" s="1">
        <v>45355</v>
      </c>
      <c r="C1510">
        <v>2024</v>
      </c>
      <c r="D1510">
        <v>3</v>
      </c>
      <c r="E1510" t="s">
        <v>260</v>
      </c>
      <c r="F1510" t="s">
        <v>27</v>
      </c>
      <c r="G1510" t="s">
        <v>55</v>
      </c>
      <c r="H1510" t="s">
        <v>53</v>
      </c>
      <c r="I1510" t="s">
        <v>39</v>
      </c>
      <c r="J1510">
        <v>43</v>
      </c>
      <c r="K1510">
        <v>1093.6099999999999</v>
      </c>
      <c r="L1510">
        <v>47025.1</v>
      </c>
      <c r="M1510">
        <v>27261.95</v>
      </c>
      <c r="N1510">
        <v>5114.3599999999997</v>
      </c>
      <c r="O1510">
        <v>1242.1099999999999</v>
      </c>
      <c r="P1510">
        <v>1822.5</v>
      </c>
      <c r="Q1510">
        <v>316.02999999999997</v>
      </c>
      <c r="R1510">
        <v>1992.63</v>
      </c>
      <c r="S1510">
        <v>977.18</v>
      </c>
      <c r="T1510">
        <v>38726.769999999997</v>
      </c>
      <c r="U1510">
        <v>19763.14</v>
      </c>
      <c r="V1510">
        <v>8298.33</v>
      </c>
      <c r="W1510">
        <v>7925.27</v>
      </c>
      <c r="X1510">
        <v>51258.9</v>
      </c>
      <c r="Y1510">
        <v>38571.949999999997</v>
      </c>
    </row>
    <row r="1511" spans="1:25" x14ac:dyDescent="0.25">
      <c r="A1511" t="s">
        <v>1567</v>
      </c>
      <c r="B1511" s="1">
        <v>45355</v>
      </c>
      <c r="C1511">
        <v>2024</v>
      </c>
      <c r="D1511">
        <v>3</v>
      </c>
      <c r="E1511" t="s">
        <v>260</v>
      </c>
      <c r="F1511" t="s">
        <v>27</v>
      </c>
      <c r="G1511" t="s">
        <v>55</v>
      </c>
      <c r="H1511" t="s">
        <v>32</v>
      </c>
      <c r="I1511" t="s">
        <v>56</v>
      </c>
      <c r="J1511">
        <v>44</v>
      </c>
      <c r="K1511">
        <v>1278.46</v>
      </c>
      <c r="L1511">
        <v>56252.09</v>
      </c>
      <c r="M1511">
        <v>29524.33</v>
      </c>
      <c r="N1511">
        <v>4856.1099999999997</v>
      </c>
      <c r="O1511">
        <v>2620.2199999999998</v>
      </c>
      <c r="P1511">
        <v>2403.9</v>
      </c>
      <c r="Q1511">
        <v>722.16</v>
      </c>
      <c r="R1511">
        <v>2874.22</v>
      </c>
      <c r="S1511">
        <v>1122.9000000000001</v>
      </c>
      <c r="T1511">
        <v>44123.83</v>
      </c>
      <c r="U1511">
        <v>26727.77</v>
      </c>
      <c r="V1511">
        <v>12128.26</v>
      </c>
      <c r="W1511">
        <v>10781.18</v>
      </c>
      <c r="X1511">
        <v>58509.86</v>
      </c>
      <c r="Y1511">
        <v>41486.160000000003</v>
      </c>
    </row>
    <row r="1512" spans="1:25" x14ac:dyDescent="0.25">
      <c r="A1512" t="s">
        <v>1568</v>
      </c>
      <c r="B1512" s="1">
        <v>45356</v>
      </c>
      <c r="C1512">
        <v>2024</v>
      </c>
      <c r="D1512">
        <v>3</v>
      </c>
      <c r="E1512" t="s">
        <v>260</v>
      </c>
      <c r="F1512" t="s">
        <v>27</v>
      </c>
      <c r="G1512" t="s">
        <v>28</v>
      </c>
      <c r="H1512" t="s">
        <v>58</v>
      </c>
      <c r="I1512" t="s">
        <v>65</v>
      </c>
      <c r="J1512">
        <v>50</v>
      </c>
      <c r="K1512">
        <v>1110.68</v>
      </c>
      <c r="L1512">
        <v>55534.01</v>
      </c>
      <c r="M1512">
        <v>37539.769999999997</v>
      </c>
      <c r="N1512">
        <v>4393</v>
      </c>
      <c r="O1512">
        <v>3986.82</v>
      </c>
      <c r="P1512">
        <v>883.14</v>
      </c>
      <c r="Q1512">
        <v>347.95</v>
      </c>
      <c r="R1512">
        <v>2319.84</v>
      </c>
      <c r="S1512">
        <v>612.09</v>
      </c>
      <c r="T1512">
        <v>50082.61</v>
      </c>
      <c r="U1512">
        <v>17994.240000000002</v>
      </c>
      <c r="V1512">
        <v>5451.4</v>
      </c>
      <c r="W1512">
        <v>5444.84</v>
      </c>
      <c r="X1512">
        <v>57097.3</v>
      </c>
      <c r="Y1512">
        <v>54789.05</v>
      </c>
    </row>
    <row r="1513" spans="1:25" x14ac:dyDescent="0.25">
      <c r="A1513" t="s">
        <v>1569</v>
      </c>
      <c r="B1513" s="1">
        <v>45356</v>
      </c>
      <c r="C1513">
        <v>2024</v>
      </c>
      <c r="D1513">
        <v>3</v>
      </c>
      <c r="E1513" t="s">
        <v>260</v>
      </c>
      <c r="F1513" t="s">
        <v>27</v>
      </c>
      <c r="G1513" t="s">
        <v>44</v>
      </c>
      <c r="H1513" t="s">
        <v>53</v>
      </c>
      <c r="I1513" t="s">
        <v>50</v>
      </c>
      <c r="J1513">
        <v>29</v>
      </c>
      <c r="K1513">
        <v>1719.71</v>
      </c>
      <c r="L1513">
        <v>49871.6</v>
      </c>
      <c r="M1513">
        <v>29996.45</v>
      </c>
      <c r="N1513">
        <v>6328.67</v>
      </c>
      <c r="O1513">
        <v>3154.41</v>
      </c>
      <c r="P1513">
        <v>1342.53</v>
      </c>
      <c r="Q1513">
        <v>794.85</v>
      </c>
      <c r="R1513">
        <v>2609.31</v>
      </c>
      <c r="S1513">
        <v>799.33</v>
      </c>
      <c r="T1513">
        <v>45025.56</v>
      </c>
      <c r="U1513">
        <v>19875.150000000001</v>
      </c>
      <c r="V1513">
        <v>4846.04</v>
      </c>
      <c r="W1513">
        <v>4336.41</v>
      </c>
      <c r="X1513">
        <v>46310.559999999998</v>
      </c>
      <c r="Y1513">
        <v>45439.56</v>
      </c>
    </row>
    <row r="1514" spans="1:25" x14ac:dyDescent="0.25">
      <c r="A1514" t="s">
        <v>1570</v>
      </c>
      <c r="B1514" s="1">
        <v>45357</v>
      </c>
      <c r="C1514">
        <v>2024</v>
      </c>
      <c r="D1514">
        <v>3</v>
      </c>
      <c r="E1514" t="s">
        <v>260</v>
      </c>
      <c r="F1514" t="s">
        <v>27</v>
      </c>
      <c r="G1514" t="s">
        <v>35</v>
      </c>
      <c r="H1514" t="s">
        <v>36</v>
      </c>
      <c r="I1514" t="s">
        <v>45</v>
      </c>
      <c r="J1514">
        <v>25</v>
      </c>
      <c r="K1514">
        <v>1507.73</v>
      </c>
      <c r="L1514">
        <v>37693.300000000003</v>
      </c>
      <c r="M1514">
        <v>21096.880000000001</v>
      </c>
      <c r="N1514">
        <v>4124.8</v>
      </c>
      <c r="O1514">
        <v>1427.14</v>
      </c>
      <c r="P1514">
        <v>1257.6600000000001</v>
      </c>
      <c r="Q1514">
        <v>497.16</v>
      </c>
      <c r="R1514">
        <v>979.27</v>
      </c>
      <c r="S1514">
        <v>556.16</v>
      </c>
      <c r="T1514">
        <v>29939.08</v>
      </c>
      <c r="U1514">
        <v>16596.419999999998</v>
      </c>
      <c r="V1514">
        <v>7754.22</v>
      </c>
      <c r="W1514">
        <v>7217.32</v>
      </c>
      <c r="X1514">
        <v>38819.199999999997</v>
      </c>
      <c r="Y1514">
        <v>27933.21</v>
      </c>
    </row>
    <row r="1515" spans="1:25" x14ac:dyDescent="0.25">
      <c r="A1515" t="s">
        <v>1571</v>
      </c>
      <c r="B1515" s="1">
        <v>45357</v>
      </c>
      <c r="C1515">
        <v>2024</v>
      </c>
      <c r="D1515">
        <v>3</v>
      </c>
      <c r="E1515" t="s">
        <v>260</v>
      </c>
      <c r="F1515" t="s">
        <v>27</v>
      </c>
      <c r="G1515" t="s">
        <v>28</v>
      </c>
      <c r="H1515" t="s">
        <v>53</v>
      </c>
      <c r="I1515" t="s">
        <v>65</v>
      </c>
      <c r="J1515">
        <v>38</v>
      </c>
      <c r="K1515">
        <v>1421.03</v>
      </c>
      <c r="L1515">
        <v>53999.27</v>
      </c>
      <c r="M1515">
        <v>31488.39</v>
      </c>
      <c r="N1515">
        <v>5904.68</v>
      </c>
      <c r="O1515">
        <v>1384.51</v>
      </c>
      <c r="P1515">
        <v>1823.69</v>
      </c>
      <c r="Q1515">
        <v>518.38</v>
      </c>
      <c r="R1515">
        <v>2697.31</v>
      </c>
      <c r="S1515">
        <v>678.99</v>
      </c>
      <c r="T1515">
        <v>44495.96</v>
      </c>
      <c r="U1515">
        <v>22510.880000000001</v>
      </c>
      <c r="V1515">
        <v>9503.31</v>
      </c>
      <c r="W1515">
        <v>8957.64</v>
      </c>
      <c r="X1515">
        <v>54307.3</v>
      </c>
      <c r="Y1515">
        <v>47851.21</v>
      </c>
    </row>
    <row r="1516" spans="1:25" x14ac:dyDescent="0.25">
      <c r="A1516" t="s">
        <v>1572</v>
      </c>
      <c r="B1516" s="1">
        <v>45357</v>
      </c>
      <c r="C1516">
        <v>2024</v>
      </c>
      <c r="D1516">
        <v>3</v>
      </c>
      <c r="E1516" t="s">
        <v>260</v>
      </c>
      <c r="F1516" t="s">
        <v>27</v>
      </c>
      <c r="G1516" t="s">
        <v>44</v>
      </c>
      <c r="H1516" t="s">
        <v>36</v>
      </c>
      <c r="I1516" t="s">
        <v>33</v>
      </c>
      <c r="J1516">
        <v>70</v>
      </c>
      <c r="K1516">
        <v>1034.24</v>
      </c>
      <c r="L1516">
        <v>72396.59</v>
      </c>
      <c r="M1516">
        <v>44085.52</v>
      </c>
      <c r="N1516">
        <v>5121.5</v>
      </c>
      <c r="O1516">
        <v>4040.93</v>
      </c>
      <c r="P1516">
        <v>1354.62</v>
      </c>
      <c r="Q1516">
        <v>1301.78</v>
      </c>
      <c r="R1516">
        <v>4300.25</v>
      </c>
      <c r="S1516">
        <v>1050.29</v>
      </c>
      <c r="T1516">
        <v>61254.9</v>
      </c>
      <c r="U1516">
        <v>28311.07</v>
      </c>
      <c r="V1516">
        <v>11141.69</v>
      </c>
      <c r="W1516">
        <v>11070.27</v>
      </c>
      <c r="X1516">
        <v>69230.31</v>
      </c>
      <c r="Y1516">
        <v>66808.7</v>
      </c>
    </row>
    <row r="1517" spans="1:25" x14ac:dyDescent="0.25">
      <c r="A1517" t="s">
        <v>1573</v>
      </c>
      <c r="B1517" s="1">
        <v>45358</v>
      </c>
      <c r="C1517">
        <v>2024</v>
      </c>
      <c r="D1517">
        <v>3</v>
      </c>
      <c r="E1517" t="s">
        <v>260</v>
      </c>
      <c r="F1517" t="s">
        <v>27</v>
      </c>
      <c r="G1517" t="s">
        <v>55</v>
      </c>
      <c r="H1517" t="s">
        <v>53</v>
      </c>
      <c r="I1517" t="s">
        <v>56</v>
      </c>
      <c r="J1517">
        <v>21</v>
      </c>
      <c r="K1517">
        <v>1714.12</v>
      </c>
      <c r="L1517">
        <v>35996.54</v>
      </c>
      <c r="M1517">
        <v>18173.27</v>
      </c>
      <c r="N1517">
        <v>3366.17</v>
      </c>
      <c r="O1517">
        <v>1298.8</v>
      </c>
      <c r="P1517">
        <v>839.98</v>
      </c>
      <c r="Q1517">
        <v>258.62</v>
      </c>
      <c r="R1517">
        <v>1368.5</v>
      </c>
      <c r="S1517">
        <v>412.76</v>
      </c>
      <c r="T1517">
        <v>25718.11</v>
      </c>
      <c r="U1517">
        <v>17823.259999999998</v>
      </c>
      <c r="V1517">
        <v>10278.42</v>
      </c>
      <c r="W1517">
        <v>9529.65</v>
      </c>
      <c r="X1517">
        <v>35610.67</v>
      </c>
      <c r="Y1517">
        <v>25917.06</v>
      </c>
    </row>
    <row r="1518" spans="1:25" x14ac:dyDescent="0.25">
      <c r="A1518" t="s">
        <v>1574</v>
      </c>
      <c r="B1518" s="1">
        <v>45358</v>
      </c>
      <c r="C1518">
        <v>2024</v>
      </c>
      <c r="D1518">
        <v>3</v>
      </c>
      <c r="E1518" t="s">
        <v>260</v>
      </c>
      <c r="F1518" t="s">
        <v>27</v>
      </c>
      <c r="G1518" t="s">
        <v>55</v>
      </c>
      <c r="H1518" t="s">
        <v>53</v>
      </c>
      <c r="I1518" t="s">
        <v>45</v>
      </c>
      <c r="J1518">
        <v>61</v>
      </c>
      <c r="K1518">
        <v>855.64</v>
      </c>
      <c r="L1518">
        <v>52194.25</v>
      </c>
      <c r="M1518">
        <v>27692.73</v>
      </c>
      <c r="N1518">
        <v>4178.71</v>
      </c>
      <c r="O1518">
        <v>1925.21</v>
      </c>
      <c r="P1518">
        <v>1183.27</v>
      </c>
      <c r="Q1518">
        <v>305.14</v>
      </c>
      <c r="R1518">
        <v>2184.64</v>
      </c>
      <c r="S1518">
        <v>1249.25</v>
      </c>
      <c r="T1518">
        <v>38718.959999999999</v>
      </c>
      <c r="U1518">
        <v>24501.52</v>
      </c>
      <c r="V1518">
        <v>13475.29</v>
      </c>
      <c r="W1518">
        <v>12813.78</v>
      </c>
      <c r="X1518">
        <v>48597.75</v>
      </c>
      <c r="Y1518">
        <v>40369.620000000003</v>
      </c>
    </row>
    <row r="1519" spans="1:25" x14ac:dyDescent="0.25">
      <c r="A1519" t="s">
        <v>1575</v>
      </c>
      <c r="B1519" s="1">
        <v>45358</v>
      </c>
      <c r="C1519">
        <v>2024</v>
      </c>
      <c r="D1519">
        <v>3</v>
      </c>
      <c r="E1519" t="s">
        <v>260</v>
      </c>
      <c r="F1519" t="s">
        <v>27</v>
      </c>
      <c r="G1519" t="s">
        <v>44</v>
      </c>
      <c r="H1519" t="s">
        <v>36</v>
      </c>
      <c r="I1519" t="s">
        <v>45</v>
      </c>
      <c r="J1519">
        <v>28</v>
      </c>
      <c r="K1519">
        <v>1226.1300000000001</v>
      </c>
      <c r="L1519">
        <v>34331.65</v>
      </c>
      <c r="M1519">
        <v>18118.64</v>
      </c>
      <c r="N1519">
        <v>3411.91</v>
      </c>
      <c r="O1519">
        <v>2275.62</v>
      </c>
      <c r="P1519">
        <v>1401</v>
      </c>
      <c r="Q1519">
        <v>224.41</v>
      </c>
      <c r="R1519">
        <v>1274.51</v>
      </c>
      <c r="S1519">
        <v>295.26</v>
      </c>
      <c r="T1519">
        <v>27001.360000000001</v>
      </c>
      <c r="U1519">
        <v>16213.01</v>
      </c>
      <c r="V1519">
        <v>7330.29</v>
      </c>
      <c r="W1519">
        <v>6657.56</v>
      </c>
      <c r="X1519">
        <v>33201.599999999999</v>
      </c>
      <c r="Y1519">
        <v>29069.52</v>
      </c>
    </row>
    <row r="1520" spans="1:25" x14ac:dyDescent="0.25">
      <c r="A1520" t="s">
        <v>1576</v>
      </c>
      <c r="B1520" s="1">
        <v>45358</v>
      </c>
      <c r="C1520">
        <v>2024</v>
      </c>
      <c r="D1520">
        <v>3</v>
      </c>
      <c r="E1520" t="s">
        <v>260</v>
      </c>
      <c r="F1520" t="s">
        <v>27</v>
      </c>
      <c r="G1520" t="s">
        <v>44</v>
      </c>
      <c r="H1520" t="s">
        <v>29</v>
      </c>
      <c r="I1520" t="s">
        <v>45</v>
      </c>
      <c r="J1520">
        <v>40</v>
      </c>
      <c r="K1520">
        <v>1171.77</v>
      </c>
      <c r="L1520">
        <v>46870.91</v>
      </c>
      <c r="M1520">
        <v>30715.55</v>
      </c>
      <c r="N1520">
        <v>3873.13</v>
      </c>
      <c r="O1520">
        <v>3021.46</v>
      </c>
      <c r="P1520">
        <v>1201.1600000000001</v>
      </c>
      <c r="Q1520">
        <v>795.55</v>
      </c>
      <c r="R1520">
        <v>1768.7</v>
      </c>
      <c r="S1520">
        <v>717.26</v>
      </c>
      <c r="T1520">
        <v>42092.81</v>
      </c>
      <c r="U1520">
        <v>16155.36</v>
      </c>
      <c r="V1520">
        <v>4778.09</v>
      </c>
      <c r="W1520">
        <v>4452.76</v>
      </c>
      <c r="X1520">
        <v>45918.06</v>
      </c>
      <c r="Y1520">
        <v>40300.199999999997</v>
      </c>
    </row>
    <row r="1521" spans="1:25" x14ac:dyDescent="0.25">
      <c r="A1521" t="s">
        <v>1577</v>
      </c>
      <c r="B1521" s="1">
        <v>45359</v>
      </c>
      <c r="C1521">
        <v>2024</v>
      </c>
      <c r="D1521">
        <v>3</v>
      </c>
      <c r="E1521" t="s">
        <v>260</v>
      </c>
      <c r="F1521" t="s">
        <v>27</v>
      </c>
      <c r="G1521" t="s">
        <v>35</v>
      </c>
      <c r="H1521" t="s">
        <v>32</v>
      </c>
      <c r="I1521" t="s">
        <v>56</v>
      </c>
      <c r="J1521">
        <v>21</v>
      </c>
      <c r="K1521">
        <v>1373.65</v>
      </c>
      <c r="L1521">
        <v>28846.6</v>
      </c>
      <c r="M1521">
        <v>16756.04</v>
      </c>
      <c r="N1521">
        <v>2234.4299999999998</v>
      </c>
      <c r="O1521">
        <v>2009.25</v>
      </c>
      <c r="P1521">
        <v>910.83</v>
      </c>
      <c r="Q1521">
        <v>497.82</v>
      </c>
      <c r="R1521">
        <v>727.6</v>
      </c>
      <c r="S1521">
        <v>260.32</v>
      </c>
      <c r="T1521">
        <v>23396.29</v>
      </c>
      <c r="U1521">
        <v>12090.56</v>
      </c>
      <c r="V1521">
        <v>5450.31</v>
      </c>
      <c r="W1521">
        <v>4893.67</v>
      </c>
      <c r="X1521">
        <v>30021.27</v>
      </c>
      <c r="Y1521">
        <v>22321.01</v>
      </c>
    </row>
    <row r="1522" spans="1:25" x14ac:dyDescent="0.25">
      <c r="A1522" t="s">
        <v>1578</v>
      </c>
      <c r="B1522" s="1">
        <v>45360</v>
      </c>
      <c r="C1522">
        <v>2024</v>
      </c>
      <c r="D1522">
        <v>3</v>
      </c>
      <c r="E1522" t="s">
        <v>260</v>
      </c>
      <c r="F1522" t="s">
        <v>27</v>
      </c>
      <c r="G1522" t="s">
        <v>44</v>
      </c>
      <c r="H1522" t="s">
        <v>29</v>
      </c>
      <c r="I1522" t="s">
        <v>56</v>
      </c>
      <c r="J1522">
        <v>19</v>
      </c>
      <c r="K1522">
        <v>1486.59</v>
      </c>
      <c r="L1522">
        <v>28245.23</v>
      </c>
      <c r="M1522">
        <v>14527.14</v>
      </c>
      <c r="N1522">
        <v>2503.81</v>
      </c>
      <c r="O1522">
        <v>1338.19</v>
      </c>
      <c r="P1522">
        <v>1095</v>
      </c>
      <c r="Q1522">
        <v>424.91</v>
      </c>
      <c r="R1522">
        <v>801.1</v>
      </c>
      <c r="S1522">
        <v>407.21</v>
      </c>
      <c r="T1522">
        <v>21097.360000000001</v>
      </c>
      <c r="U1522">
        <v>13718.1</v>
      </c>
      <c r="V1522">
        <v>7147.88</v>
      </c>
      <c r="W1522">
        <v>6909.42</v>
      </c>
      <c r="X1522">
        <v>30251.33</v>
      </c>
      <c r="Y1522">
        <v>21879.84</v>
      </c>
    </row>
    <row r="1523" spans="1:25" x14ac:dyDescent="0.25">
      <c r="A1523" t="s">
        <v>1579</v>
      </c>
      <c r="B1523" s="1">
        <v>45360</v>
      </c>
      <c r="C1523">
        <v>2024</v>
      </c>
      <c r="D1523">
        <v>3</v>
      </c>
      <c r="E1523" t="s">
        <v>260</v>
      </c>
      <c r="F1523" t="s">
        <v>27</v>
      </c>
      <c r="G1523" t="s">
        <v>55</v>
      </c>
      <c r="H1523" t="s">
        <v>32</v>
      </c>
      <c r="I1523" t="s">
        <v>45</v>
      </c>
      <c r="J1523">
        <v>42</v>
      </c>
      <c r="K1523">
        <v>1246.0899999999999</v>
      </c>
      <c r="L1523">
        <v>52335.63</v>
      </c>
      <c r="M1523">
        <v>26840.19</v>
      </c>
      <c r="N1523">
        <v>4192.4799999999996</v>
      </c>
      <c r="O1523">
        <v>1318.3</v>
      </c>
      <c r="P1523">
        <v>1572.23</v>
      </c>
      <c r="Q1523">
        <v>675.87</v>
      </c>
      <c r="R1523">
        <v>2035.63</v>
      </c>
      <c r="S1523">
        <v>1298.3699999999999</v>
      </c>
      <c r="T1523">
        <v>37933.06</v>
      </c>
      <c r="U1523">
        <v>25495.439999999999</v>
      </c>
      <c r="V1523">
        <v>14402.57</v>
      </c>
      <c r="W1523">
        <v>13500.09</v>
      </c>
      <c r="X1523">
        <v>57254.23</v>
      </c>
      <c r="Y1523">
        <v>40545.82</v>
      </c>
    </row>
    <row r="1524" spans="1:25" x14ac:dyDescent="0.25">
      <c r="A1524" t="s">
        <v>1580</v>
      </c>
      <c r="B1524" s="1">
        <v>45360</v>
      </c>
      <c r="C1524">
        <v>2024</v>
      </c>
      <c r="D1524">
        <v>3</v>
      </c>
      <c r="E1524" t="s">
        <v>260</v>
      </c>
      <c r="F1524" t="s">
        <v>27</v>
      </c>
      <c r="G1524" t="s">
        <v>44</v>
      </c>
      <c r="H1524" t="s">
        <v>36</v>
      </c>
      <c r="I1524" t="s">
        <v>39</v>
      </c>
      <c r="J1524">
        <v>45</v>
      </c>
      <c r="K1524">
        <v>986.27</v>
      </c>
      <c r="L1524">
        <v>44382.35</v>
      </c>
      <c r="M1524">
        <v>30177.62</v>
      </c>
      <c r="N1524">
        <v>5733.38</v>
      </c>
      <c r="O1524">
        <v>2658.97</v>
      </c>
      <c r="P1524">
        <v>1105.7</v>
      </c>
      <c r="Q1524">
        <v>489.02</v>
      </c>
      <c r="R1524">
        <v>2577.9</v>
      </c>
      <c r="S1524">
        <v>496.57</v>
      </c>
      <c r="T1524">
        <v>43239.16</v>
      </c>
      <c r="U1524">
        <v>14204.73</v>
      </c>
      <c r="V1524">
        <v>1143.19</v>
      </c>
      <c r="W1524">
        <v>1065.05</v>
      </c>
      <c r="X1524">
        <v>42962.67</v>
      </c>
      <c r="Y1524">
        <v>46274.61</v>
      </c>
    </row>
    <row r="1525" spans="1:25" x14ac:dyDescent="0.25">
      <c r="A1525" t="s">
        <v>1581</v>
      </c>
      <c r="B1525" s="1">
        <v>45361</v>
      </c>
      <c r="C1525">
        <v>2024</v>
      </c>
      <c r="D1525">
        <v>3</v>
      </c>
      <c r="E1525" t="s">
        <v>260</v>
      </c>
      <c r="F1525" t="s">
        <v>27</v>
      </c>
      <c r="G1525" t="s">
        <v>55</v>
      </c>
      <c r="H1525" t="s">
        <v>32</v>
      </c>
      <c r="I1525" t="s">
        <v>45</v>
      </c>
      <c r="J1525">
        <v>40</v>
      </c>
      <c r="K1525">
        <v>1436.14</v>
      </c>
      <c r="L1525">
        <v>57445.61</v>
      </c>
      <c r="M1525">
        <v>37940.01</v>
      </c>
      <c r="N1525">
        <v>5962.39</v>
      </c>
      <c r="O1525">
        <v>3308.44</v>
      </c>
      <c r="P1525">
        <v>2504.88</v>
      </c>
      <c r="Q1525">
        <v>769.98</v>
      </c>
      <c r="R1525">
        <v>1956.96</v>
      </c>
      <c r="S1525">
        <v>915.64</v>
      </c>
      <c r="T1525">
        <v>53358.3</v>
      </c>
      <c r="U1525">
        <v>19505.599999999999</v>
      </c>
      <c r="V1525">
        <v>4087.31</v>
      </c>
      <c r="W1525">
        <v>3770.08</v>
      </c>
      <c r="X1525">
        <v>61859.7</v>
      </c>
      <c r="Y1525">
        <v>57738.15</v>
      </c>
    </row>
    <row r="1526" spans="1:25" x14ac:dyDescent="0.25">
      <c r="A1526" t="s">
        <v>1582</v>
      </c>
      <c r="B1526" s="1">
        <v>45361</v>
      </c>
      <c r="C1526">
        <v>2024</v>
      </c>
      <c r="D1526">
        <v>3</v>
      </c>
      <c r="E1526" t="s">
        <v>260</v>
      </c>
      <c r="F1526" t="s">
        <v>27</v>
      </c>
      <c r="G1526" t="s">
        <v>35</v>
      </c>
      <c r="H1526" t="s">
        <v>36</v>
      </c>
      <c r="I1526" t="s">
        <v>50</v>
      </c>
      <c r="J1526">
        <v>40</v>
      </c>
      <c r="K1526">
        <v>1266.22</v>
      </c>
      <c r="L1526">
        <v>50648.95</v>
      </c>
      <c r="M1526">
        <v>31058.17</v>
      </c>
      <c r="N1526">
        <v>6329.11</v>
      </c>
      <c r="O1526">
        <v>3424.27</v>
      </c>
      <c r="P1526">
        <v>1771.04</v>
      </c>
      <c r="Q1526">
        <v>766.37</v>
      </c>
      <c r="R1526">
        <v>1986.55</v>
      </c>
      <c r="S1526">
        <v>658.6</v>
      </c>
      <c r="T1526">
        <v>45994.12</v>
      </c>
      <c r="U1526">
        <v>19590.78</v>
      </c>
      <c r="V1526">
        <v>4654.83</v>
      </c>
      <c r="W1526">
        <v>4508.24</v>
      </c>
      <c r="X1526">
        <v>50221.62</v>
      </c>
      <c r="Y1526">
        <v>44236.73</v>
      </c>
    </row>
    <row r="1527" spans="1:25" x14ac:dyDescent="0.25">
      <c r="A1527" t="s">
        <v>1583</v>
      </c>
      <c r="B1527" s="1">
        <v>45361</v>
      </c>
      <c r="C1527">
        <v>2024</v>
      </c>
      <c r="D1527">
        <v>3</v>
      </c>
      <c r="E1527" t="s">
        <v>260</v>
      </c>
      <c r="F1527" t="s">
        <v>27</v>
      </c>
      <c r="G1527" t="s">
        <v>44</v>
      </c>
      <c r="H1527" t="s">
        <v>32</v>
      </c>
      <c r="I1527" t="s">
        <v>56</v>
      </c>
      <c r="J1527">
        <v>40</v>
      </c>
      <c r="K1527">
        <v>1188.27</v>
      </c>
      <c r="L1527">
        <v>47530.76</v>
      </c>
      <c r="M1527">
        <v>25881.32</v>
      </c>
      <c r="N1527">
        <v>3829.15</v>
      </c>
      <c r="O1527">
        <v>3299.33</v>
      </c>
      <c r="P1527">
        <v>2003.95</v>
      </c>
      <c r="Q1527">
        <v>585.95000000000005</v>
      </c>
      <c r="R1527">
        <v>2521.04</v>
      </c>
      <c r="S1527">
        <v>469.97</v>
      </c>
      <c r="T1527">
        <v>38590.720000000001</v>
      </c>
      <c r="U1527">
        <v>21649.439999999999</v>
      </c>
      <c r="V1527">
        <v>8940.0400000000009</v>
      </c>
      <c r="W1527">
        <v>8543.19</v>
      </c>
      <c r="X1527">
        <v>49212.57</v>
      </c>
      <c r="Y1527">
        <v>38169.019999999997</v>
      </c>
    </row>
    <row r="1528" spans="1:25" x14ac:dyDescent="0.25">
      <c r="A1528" t="s">
        <v>1584</v>
      </c>
      <c r="B1528" s="1">
        <v>45361</v>
      </c>
      <c r="C1528">
        <v>2024</v>
      </c>
      <c r="D1528">
        <v>3</v>
      </c>
      <c r="E1528" t="s">
        <v>260</v>
      </c>
      <c r="F1528" t="s">
        <v>27</v>
      </c>
      <c r="G1528" t="s">
        <v>35</v>
      </c>
      <c r="H1528" t="s">
        <v>36</v>
      </c>
      <c r="I1528" t="s">
        <v>30</v>
      </c>
      <c r="J1528">
        <v>45</v>
      </c>
      <c r="K1528">
        <v>1582.92</v>
      </c>
      <c r="L1528">
        <v>71231.240000000005</v>
      </c>
      <c r="M1528">
        <v>44207.13</v>
      </c>
      <c r="N1528">
        <v>8635.44</v>
      </c>
      <c r="O1528">
        <v>3944.68</v>
      </c>
      <c r="P1528">
        <v>2247.0300000000002</v>
      </c>
      <c r="Q1528">
        <v>766.13</v>
      </c>
      <c r="R1528">
        <v>2984.6</v>
      </c>
      <c r="S1528">
        <v>1166.6400000000001</v>
      </c>
      <c r="T1528">
        <v>63951.67</v>
      </c>
      <c r="U1528">
        <v>27024.11</v>
      </c>
      <c r="V1528">
        <v>7279.57</v>
      </c>
      <c r="W1528">
        <v>7392.5</v>
      </c>
      <c r="X1528">
        <v>67306.75</v>
      </c>
      <c r="Y1528">
        <v>67991.509999999995</v>
      </c>
    </row>
    <row r="1529" spans="1:25" x14ac:dyDescent="0.25">
      <c r="A1529" t="s">
        <v>1585</v>
      </c>
      <c r="B1529" s="1">
        <v>45361</v>
      </c>
      <c r="C1529">
        <v>2024</v>
      </c>
      <c r="D1529">
        <v>3</v>
      </c>
      <c r="E1529" t="s">
        <v>260</v>
      </c>
      <c r="F1529" t="s">
        <v>27</v>
      </c>
      <c r="G1529" t="s">
        <v>28</v>
      </c>
      <c r="H1529" t="s">
        <v>29</v>
      </c>
      <c r="I1529" t="s">
        <v>33</v>
      </c>
      <c r="J1529">
        <v>51</v>
      </c>
      <c r="K1529">
        <v>1626.72</v>
      </c>
      <c r="L1529">
        <v>82962.539999999994</v>
      </c>
      <c r="M1529">
        <v>49519.19</v>
      </c>
      <c r="N1529">
        <v>8796.9</v>
      </c>
      <c r="O1529">
        <v>2146.6999999999998</v>
      </c>
      <c r="P1529">
        <v>1723.44</v>
      </c>
      <c r="Q1529">
        <v>1477.33</v>
      </c>
      <c r="R1529">
        <v>4320.54</v>
      </c>
      <c r="S1529">
        <v>1027.56</v>
      </c>
      <c r="T1529">
        <v>69011.66</v>
      </c>
      <c r="U1529">
        <v>33443.360000000001</v>
      </c>
      <c r="V1529">
        <v>13950.88</v>
      </c>
      <c r="W1529">
        <v>13664.19</v>
      </c>
      <c r="X1529">
        <v>90840.91</v>
      </c>
      <c r="Y1529">
        <v>64950.21</v>
      </c>
    </row>
    <row r="1530" spans="1:25" x14ac:dyDescent="0.25">
      <c r="A1530" t="s">
        <v>1586</v>
      </c>
      <c r="B1530" s="1">
        <v>45361</v>
      </c>
      <c r="C1530">
        <v>2024</v>
      </c>
      <c r="D1530">
        <v>3</v>
      </c>
      <c r="E1530" t="s">
        <v>260</v>
      </c>
      <c r="F1530" t="s">
        <v>27</v>
      </c>
      <c r="G1530" t="s">
        <v>44</v>
      </c>
      <c r="H1530" t="s">
        <v>29</v>
      </c>
      <c r="I1530" t="s">
        <v>30</v>
      </c>
      <c r="J1530">
        <v>48</v>
      </c>
      <c r="K1530">
        <v>1707.82</v>
      </c>
      <c r="L1530">
        <v>81975.39</v>
      </c>
      <c r="M1530">
        <v>39655.199999999997</v>
      </c>
      <c r="N1530">
        <v>9783.1</v>
      </c>
      <c r="O1530">
        <v>3723.68</v>
      </c>
      <c r="P1530">
        <v>1913.16</v>
      </c>
      <c r="Q1530">
        <v>783.64</v>
      </c>
      <c r="R1530">
        <v>5259.06</v>
      </c>
      <c r="S1530">
        <v>1980.82</v>
      </c>
      <c r="T1530">
        <v>63098.67</v>
      </c>
      <c r="U1530">
        <v>42320.19</v>
      </c>
      <c r="V1530">
        <v>18876.72</v>
      </c>
      <c r="W1530">
        <v>17615.36</v>
      </c>
      <c r="X1530">
        <v>88618.13</v>
      </c>
      <c r="Y1530">
        <v>61474.34</v>
      </c>
    </row>
    <row r="1531" spans="1:25" x14ac:dyDescent="0.25">
      <c r="A1531" t="s">
        <v>1587</v>
      </c>
      <c r="B1531" s="1">
        <v>45362</v>
      </c>
      <c r="C1531">
        <v>2024</v>
      </c>
      <c r="D1531">
        <v>3</v>
      </c>
      <c r="E1531" t="s">
        <v>260</v>
      </c>
      <c r="F1531" t="s">
        <v>27</v>
      </c>
      <c r="G1531" t="s">
        <v>28</v>
      </c>
      <c r="H1531" t="s">
        <v>58</v>
      </c>
      <c r="I1531" t="s">
        <v>39</v>
      </c>
      <c r="J1531">
        <v>30</v>
      </c>
      <c r="K1531">
        <v>1389.49</v>
      </c>
      <c r="L1531">
        <v>41684.71</v>
      </c>
      <c r="M1531">
        <v>22714.98</v>
      </c>
      <c r="N1531">
        <v>3058.74</v>
      </c>
      <c r="O1531">
        <v>3043.05</v>
      </c>
      <c r="P1531">
        <v>1219.3599999999999</v>
      </c>
      <c r="Q1531">
        <v>427.38</v>
      </c>
      <c r="R1531">
        <v>1411.38</v>
      </c>
      <c r="S1531">
        <v>594.37</v>
      </c>
      <c r="T1531">
        <v>32469.26</v>
      </c>
      <c r="U1531">
        <v>18969.740000000002</v>
      </c>
      <c r="V1531">
        <v>9215.4500000000007</v>
      </c>
      <c r="W1531">
        <v>8398.0499999999993</v>
      </c>
      <c r="X1531">
        <v>43384.75</v>
      </c>
      <c r="Y1531">
        <v>31008.65</v>
      </c>
    </row>
    <row r="1532" spans="1:25" x14ac:dyDescent="0.25">
      <c r="A1532" t="s">
        <v>1588</v>
      </c>
      <c r="B1532" s="1">
        <v>45362</v>
      </c>
      <c r="C1532">
        <v>2024</v>
      </c>
      <c r="D1532">
        <v>3</v>
      </c>
      <c r="E1532" t="s">
        <v>260</v>
      </c>
      <c r="F1532" t="s">
        <v>27</v>
      </c>
      <c r="G1532" t="s">
        <v>55</v>
      </c>
      <c r="H1532" t="s">
        <v>58</v>
      </c>
      <c r="I1532" t="s">
        <v>56</v>
      </c>
      <c r="J1532">
        <v>33</v>
      </c>
      <c r="K1532">
        <v>1274.8900000000001</v>
      </c>
      <c r="L1532">
        <v>42071.42</v>
      </c>
      <c r="M1532">
        <v>27529.51</v>
      </c>
      <c r="N1532">
        <v>3364.03</v>
      </c>
      <c r="O1532">
        <v>2088.5700000000002</v>
      </c>
      <c r="P1532">
        <v>1500.5</v>
      </c>
      <c r="Q1532">
        <v>274.98</v>
      </c>
      <c r="R1532">
        <v>1410.54</v>
      </c>
      <c r="S1532">
        <v>369.33</v>
      </c>
      <c r="T1532">
        <v>36537.46</v>
      </c>
      <c r="U1532">
        <v>14541.92</v>
      </c>
      <c r="V1532">
        <v>5533.97</v>
      </c>
      <c r="W1532">
        <v>5148.0600000000004</v>
      </c>
      <c r="X1532">
        <v>40570.33</v>
      </c>
      <c r="Y1532">
        <v>37336.82</v>
      </c>
    </row>
    <row r="1533" spans="1:25" x14ac:dyDescent="0.25">
      <c r="A1533" t="s">
        <v>1589</v>
      </c>
      <c r="B1533" s="1">
        <v>45362</v>
      </c>
      <c r="C1533">
        <v>2024</v>
      </c>
      <c r="D1533">
        <v>3</v>
      </c>
      <c r="E1533" t="s">
        <v>260</v>
      </c>
      <c r="F1533" t="s">
        <v>27</v>
      </c>
      <c r="G1533" t="s">
        <v>35</v>
      </c>
      <c r="H1533" t="s">
        <v>29</v>
      </c>
      <c r="I1533" t="s">
        <v>50</v>
      </c>
      <c r="J1533">
        <v>40</v>
      </c>
      <c r="K1533">
        <v>1184.3699999999999</v>
      </c>
      <c r="L1533">
        <v>47374.98</v>
      </c>
      <c r="M1533">
        <v>25707.72</v>
      </c>
      <c r="N1533">
        <v>5607.18</v>
      </c>
      <c r="O1533">
        <v>2178.4299999999998</v>
      </c>
      <c r="P1533">
        <v>2063.58</v>
      </c>
      <c r="Q1533">
        <v>476.02</v>
      </c>
      <c r="R1533">
        <v>1186.51</v>
      </c>
      <c r="S1533">
        <v>798.24</v>
      </c>
      <c r="T1533">
        <v>38017.67</v>
      </c>
      <c r="U1533">
        <v>21667.26</v>
      </c>
      <c r="V1533">
        <v>9357.31</v>
      </c>
      <c r="W1533">
        <v>8452.84</v>
      </c>
      <c r="X1533">
        <v>52056.77</v>
      </c>
      <c r="Y1533">
        <v>36573.769999999997</v>
      </c>
    </row>
    <row r="1534" spans="1:25" x14ac:dyDescent="0.25">
      <c r="A1534" t="s">
        <v>1590</v>
      </c>
      <c r="B1534" s="1">
        <v>45363</v>
      </c>
      <c r="C1534">
        <v>2024</v>
      </c>
      <c r="D1534">
        <v>3</v>
      </c>
      <c r="E1534" t="s">
        <v>260</v>
      </c>
      <c r="F1534" t="s">
        <v>27</v>
      </c>
      <c r="G1534" t="s">
        <v>55</v>
      </c>
      <c r="H1534" t="s">
        <v>29</v>
      </c>
      <c r="I1534" t="s">
        <v>65</v>
      </c>
      <c r="J1534">
        <v>47</v>
      </c>
      <c r="K1534">
        <v>1494.83</v>
      </c>
      <c r="L1534">
        <v>70256.84</v>
      </c>
      <c r="M1534">
        <v>40848.449999999997</v>
      </c>
      <c r="N1534">
        <v>6446.05</v>
      </c>
      <c r="O1534">
        <v>4534.88</v>
      </c>
      <c r="P1534">
        <v>2057.1799999999998</v>
      </c>
      <c r="Q1534">
        <v>626.17999999999995</v>
      </c>
      <c r="R1534">
        <v>3251.72</v>
      </c>
      <c r="S1534">
        <v>757.9</v>
      </c>
      <c r="T1534">
        <v>58522.37</v>
      </c>
      <c r="U1534">
        <v>29408.39</v>
      </c>
      <c r="V1534">
        <v>11734.47</v>
      </c>
      <c r="W1534">
        <v>10554.87</v>
      </c>
      <c r="X1534">
        <v>74817.429999999993</v>
      </c>
      <c r="Y1534">
        <v>61647.4</v>
      </c>
    </row>
    <row r="1535" spans="1:25" x14ac:dyDescent="0.25">
      <c r="A1535" t="s">
        <v>1591</v>
      </c>
      <c r="B1535" s="1">
        <v>45364</v>
      </c>
      <c r="C1535">
        <v>2024</v>
      </c>
      <c r="D1535">
        <v>3</v>
      </c>
      <c r="E1535" t="s">
        <v>260</v>
      </c>
      <c r="F1535" t="s">
        <v>27</v>
      </c>
      <c r="G1535" t="s">
        <v>55</v>
      </c>
      <c r="H1535" t="s">
        <v>29</v>
      </c>
      <c r="I1535" t="s">
        <v>56</v>
      </c>
      <c r="J1535">
        <v>37</v>
      </c>
      <c r="K1535">
        <v>1210.21</v>
      </c>
      <c r="L1535">
        <v>44777.74</v>
      </c>
      <c r="M1535">
        <v>23118.95</v>
      </c>
      <c r="N1535">
        <v>5396.95</v>
      </c>
      <c r="O1535">
        <v>2064.89</v>
      </c>
      <c r="P1535">
        <v>1704.24</v>
      </c>
      <c r="Q1535">
        <v>421.67</v>
      </c>
      <c r="R1535">
        <v>1586.25</v>
      </c>
      <c r="S1535">
        <v>903.18</v>
      </c>
      <c r="T1535">
        <v>35196.14</v>
      </c>
      <c r="U1535">
        <v>21658.79</v>
      </c>
      <c r="V1535">
        <v>9581.6</v>
      </c>
      <c r="W1535">
        <v>9389.7099999999991</v>
      </c>
      <c r="X1535">
        <v>45222.5</v>
      </c>
      <c r="Y1535">
        <v>33877.81</v>
      </c>
    </row>
    <row r="1536" spans="1:25" x14ac:dyDescent="0.25">
      <c r="A1536" t="s">
        <v>1592</v>
      </c>
      <c r="B1536" s="1">
        <v>45364</v>
      </c>
      <c r="C1536">
        <v>2024</v>
      </c>
      <c r="D1536">
        <v>3</v>
      </c>
      <c r="E1536" t="s">
        <v>260</v>
      </c>
      <c r="F1536" t="s">
        <v>27</v>
      </c>
      <c r="G1536" t="s">
        <v>28</v>
      </c>
      <c r="H1536" t="s">
        <v>53</v>
      </c>
      <c r="I1536" t="s">
        <v>37</v>
      </c>
      <c r="J1536">
        <v>44</v>
      </c>
      <c r="K1536">
        <v>1655.95</v>
      </c>
      <c r="L1536">
        <v>72861.63</v>
      </c>
      <c r="M1536">
        <v>48266.49</v>
      </c>
      <c r="N1536">
        <v>7787.76</v>
      </c>
      <c r="O1536">
        <v>4587.84</v>
      </c>
      <c r="P1536">
        <v>2807.46</v>
      </c>
      <c r="Q1536">
        <v>792.57</v>
      </c>
      <c r="R1536">
        <v>4594.5200000000004</v>
      </c>
      <c r="S1536">
        <v>1375.17</v>
      </c>
      <c r="T1536">
        <v>70211.820000000007</v>
      </c>
      <c r="U1536">
        <v>24595.14</v>
      </c>
      <c r="V1536">
        <v>2649.81</v>
      </c>
      <c r="W1536">
        <v>2544.65</v>
      </c>
      <c r="X1536">
        <v>67195.72</v>
      </c>
      <c r="Y1536">
        <v>76424.820000000007</v>
      </c>
    </row>
    <row r="1537" spans="1:25" x14ac:dyDescent="0.25">
      <c r="A1537" t="s">
        <v>1593</v>
      </c>
      <c r="B1537" s="1">
        <v>45364</v>
      </c>
      <c r="C1537">
        <v>2024</v>
      </c>
      <c r="D1537">
        <v>3</v>
      </c>
      <c r="E1537" t="s">
        <v>260</v>
      </c>
      <c r="F1537" t="s">
        <v>27</v>
      </c>
      <c r="G1537" t="s">
        <v>44</v>
      </c>
      <c r="H1537" t="s">
        <v>32</v>
      </c>
      <c r="I1537" t="s">
        <v>56</v>
      </c>
      <c r="J1537">
        <v>20</v>
      </c>
      <c r="K1537">
        <v>1745.85</v>
      </c>
      <c r="L1537">
        <v>34917.01</v>
      </c>
      <c r="M1537">
        <v>21275.57</v>
      </c>
      <c r="N1537">
        <v>4517.04</v>
      </c>
      <c r="O1537">
        <v>2529.0500000000002</v>
      </c>
      <c r="P1537">
        <v>592.27</v>
      </c>
      <c r="Q1537">
        <v>472.1</v>
      </c>
      <c r="R1537">
        <v>1841.78</v>
      </c>
      <c r="S1537">
        <v>798.26</v>
      </c>
      <c r="T1537">
        <v>32026.07</v>
      </c>
      <c r="U1537">
        <v>13641.44</v>
      </c>
      <c r="V1537">
        <v>2890.94</v>
      </c>
      <c r="W1537">
        <v>2799.13</v>
      </c>
      <c r="X1537">
        <v>35152.769999999997</v>
      </c>
      <c r="Y1537">
        <v>31215.62</v>
      </c>
    </row>
    <row r="1538" spans="1:25" x14ac:dyDescent="0.25">
      <c r="A1538" t="s">
        <v>1594</v>
      </c>
      <c r="B1538" s="1">
        <v>45365</v>
      </c>
      <c r="C1538">
        <v>2024</v>
      </c>
      <c r="D1538">
        <v>3</v>
      </c>
      <c r="E1538" t="s">
        <v>260</v>
      </c>
      <c r="F1538" t="s">
        <v>27</v>
      </c>
      <c r="G1538" t="s">
        <v>35</v>
      </c>
      <c r="H1538" t="s">
        <v>53</v>
      </c>
      <c r="I1538" t="s">
        <v>56</v>
      </c>
      <c r="J1538">
        <v>22</v>
      </c>
      <c r="K1538">
        <v>1527.3</v>
      </c>
      <c r="L1538">
        <v>33600.65</v>
      </c>
      <c r="M1538">
        <v>19328.8</v>
      </c>
      <c r="N1538">
        <v>2434.29</v>
      </c>
      <c r="O1538">
        <v>1306.79</v>
      </c>
      <c r="P1538">
        <v>661.2</v>
      </c>
      <c r="Q1538">
        <v>303.73</v>
      </c>
      <c r="R1538">
        <v>1876.09</v>
      </c>
      <c r="S1538">
        <v>670.78</v>
      </c>
      <c r="T1538">
        <v>26581.66</v>
      </c>
      <c r="U1538">
        <v>14271.85</v>
      </c>
      <c r="V1538">
        <v>7018.98</v>
      </c>
      <c r="W1538">
        <v>6317.41</v>
      </c>
      <c r="X1538">
        <v>34326.58</v>
      </c>
      <c r="Y1538">
        <v>26560.94</v>
      </c>
    </row>
    <row r="1539" spans="1:25" x14ac:dyDescent="0.25">
      <c r="A1539" t="s">
        <v>1595</v>
      </c>
      <c r="B1539" s="1">
        <v>45366</v>
      </c>
      <c r="C1539">
        <v>2024</v>
      </c>
      <c r="D1539">
        <v>3</v>
      </c>
      <c r="E1539" t="s">
        <v>260</v>
      </c>
      <c r="F1539" t="s">
        <v>27</v>
      </c>
      <c r="G1539" t="s">
        <v>28</v>
      </c>
      <c r="H1539" t="s">
        <v>32</v>
      </c>
      <c r="I1539" t="s">
        <v>65</v>
      </c>
      <c r="J1539">
        <v>82</v>
      </c>
      <c r="K1539">
        <v>942.39</v>
      </c>
      <c r="L1539">
        <v>77275.87</v>
      </c>
      <c r="M1539">
        <v>51596.58</v>
      </c>
      <c r="N1539">
        <v>7301.78</v>
      </c>
      <c r="O1539">
        <v>2464.35</v>
      </c>
      <c r="P1539">
        <v>2682.35</v>
      </c>
      <c r="Q1539">
        <v>996.23</v>
      </c>
      <c r="R1539">
        <v>4082.58</v>
      </c>
      <c r="S1539">
        <v>665.56</v>
      </c>
      <c r="T1539">
        <v>69789.429999999993</v>
      </c>
      <c r="U1539">
        <v>25679.29</v>
      </c>
      <c r="V1539">
        <v>7486.44</v>
      </c>
      <c r="W1539">
        <v>7284.74</v>
      </c>
      <c r="X1539">
        <v>73062.570000000007</v>
      </c>
      <c r="Y1539">
        <v>68628.67</v>
      </c>
    </row>
    <row r="1540" spans="1:25" x14ac:dyDescent="0.25">
      <c r="A1540" t="s">
        <v>1596</v>
      </c>
      <c r="B1540" s="1">
        <v>45367</v>
      </c>
      <c r="C1540">
        <v>2024</v>
      </c>
      <c r="D1540">
        <v>3</v>
      </c>
      <c r="E1540" t="s">
        <v>260</v>
      </c>
      <c r="F1540" t="s">
        <v>27</v>
      </c>
      <c r="G1540" t="s">
        <v>35</v>
      </c>
      <c r="H1540" t="s">
        <v>32</v>
      </c>
      <c r="I1540" t="s">
        <v>50</v>
      </c>
      <c r="J1540">
        <v>62</v>
      </c>
      <c r="K1540">
        <v>1065.18</v>
      </c>
      <c r="L1540">
        <v>66041.440000000002</v>
      </c>
      <c r="M1540">
        <v>31761.38</v>
      </c>
      <c r="N1540">
        <v>7459.36</v>
      </c>
      <c r="O1540">
        <v>2603.1999999999998</v>
      </c>
      <c r="P1540">
        <v>1049.29</v>
      </c>
      <c r="Q1540">
        <v>717.81</v>
      </c>
      <c r="R1540">
        <v>2710.57</v>
      </c>
      <c r="S1540">
        <v>716.45</v>
      </c>
      <c r="T1540">
        <v>47018.07</v>
      </c>
      <c r="U1540">
        <v>34280.06</v>
      </c>
      <c r="V1540">
        <v>19023.37</v>
      </c>
      <c r="W1540">
        <v>18991.16</v>
      </c>
      <c r="X1540">
        <v>73473.14</v>
      </c>
      <c r="Y1540">
        <v>49617.08</v>
      </c>
    </row>
    <row r="1541" spans="1:25" x14ac:dyDescent="0.25">
      <c r="A1541" t="s">
        <v>1597</v>
      </c>
      <c r="B1541" s="1">
        <v>45367</v>
      </c>
      <c r="C1541">
        <v>2024</v>
      </c>
      <c r="D1541">
        <v>3</v>
      </c>
      <c r="E1541" t="s">
        <v>260</v>
      </c>
      <c r="F1541" t="s">
        <v>27</v>
      </c>
      <c r="G1541" t="s">
        <v>55</v>
      </c>
      <c r="H1541" t="s">
        <v>32</v>
      </c>
      <c r="I1541" t="s">
        <v>30</v>
      </c>
      <c r="J1541">
        <v>164</v>
      </c>
      <c r="K1541">
        <v>913.31</v>
      </c>
      <c r="L1541">
        <v>149782.12</v>
      </c>
      <c r="M1541">
        <v>87850.58</v>
      </c>
      <c r="N1541">
        <v>11395.97</v>
      </c>
      <c r="O1541">
        <v>6792.33</v>
      </c>
      <c r="P1541">
        <v>5808.09</v>
      </c>
      <c r="Q1541">
        <v>2002.16</v>
      </c>
      <c r="R1541">
        <v>7990.57</v>
      </c>
      <c r="S1541">
        <v>1754.48</v>
      </c>
      <c r="T1541">
        <v>123594.17</v>
      </c>
      <c r="U1541">
        <v>61931.55</v>
      </c>
      <c r="V1541">
        <v>26187.95</v>
      </c>
      <c r="W1541">
        <v>23403.79</v>
      </c>
      <c r="X1541">
        <v>156064.04</v>
      </c>
      <c r="Y1541">
        <v>133487.82999999999</v>
      </c>
    </row>
    <row r="1542" spans="1:25" x14ac:dyDescent="0.25">
      <c r="A1542" t="s">
        <v>1598</v>
      </c>
      <c r="B1542" s="1">
        <v>45368</v>
      </c>
      <c r="C1542">
        <v>2024</v>
      </c>
      <c r="D1542">
        <v>3</v>
      </c>
      <c r="E1542" t="s">
        <v>260</v>
      </c>
      <c r="F1542" t="s">
        <v>27</v>
      </c>
      <c r="G1542" t="s">
        <v>28</v>
      </c>
      <c r="H1542" t="s">
        <v>36</v>
      </c>
      <c r="I1542" t="s">
        <v>39</v>
      </c>
      <c r="J1542">
        <v>64</v>
      </c>
      <c r="K1542">
        <v>844.26</v>
      </c>
      <c r="L1542">
        <v>54032.33</v>
      </c>
      <c r="M1542">
        <v>31042.33</v>
      </c>
      <c r="N1542">
        <v>6294.5</v>
      </c>
      <c r="O1542">
        <v>1671.41</v>
      </c>
      <c r="P1542">
        <v>1646.01</v>
      </c>
      <c r="Q1542">
        <v>893.44</v>
      </c>
      <c r="R1542">
        <v>2128.65</v>
      </c>
      <c r="S1542">
        <v>938.7</v>
      </c>
      <c r="T1542">
        <v>44615.040000000001</v>
      </c>
      <c r="U1542">
        <v>22990</v>
      </c>
      <c r="V1542">
        <v>9417.2900000000009</v>
      </c>
      <c r="W1542">
        <v>9562.49</v>
      </c>
      <c r="X1542">
        <v>49993.96</v>
      </c>
      <c r="Y1542">
        <v>43046.89</v>
      </c>
    </row>
    <row r="1543" spans="1:25" x14ac:dyDescent="0.25">
      <c r="A1543" t="s">
        <v>1599</v>
      </c>
      <c r="B1543" s="1">
        <v>45368</v>
      </c>
      <c r="C1543">
        <v>2024</v>
      </c>
      <c r="D1543">
        <v>3</v>
      </c>
      <c r="E1543" t="s">
        <v>260</v>
      </c>
      <c r="F1543" t="s">
        <v>27</v>
      </c>
      <c r="G1543" t="s">
        <v>35</v>
      </c>
      <c r="H1543" t="s">
        <v>53</v>
      </c>
      <c r="I1543" t="s">
        <v>65</v>
      </c>
      <c r="J1543">
        <v>49</v>
      </c>
      <c r="K1543">
        <v>1176.18</v>
      </c>
      <c r="L1543">
        <v>57632.69</v>
      </c>
      <c r="M1543">
        <v>28279.51</v>
      </c>
      <c r="N1543">
        <v>5722.98</v>
      </c>
      <c r="O1543">
        <v>1926.54</v>
      </c>
      <c r="P1543">
        <v>917.38</v>
      </c>
      <c r="Q1543">
        <v>706.23</v>
      </c>
      <c r="R1543">
        <v>2589.77</v>
      </c>
      <c r="S1543">
        <v>817.67</v>
      </c>
      <c r="T1543">
        <v>40960.089999999997</v>
      </c>
      <c r="U1543">
        <v>29353.18</v>
      </c>
      <c r="V1543">
        <v>16672.599999999999</v>
      </c>
      <c r="W1543">
        <v>16756.48</v>
      </c>
      <c r="X1543">
        <v>58249.33</v>
      </c>
      <c r="Y1543">
        <v>43550.79</v>
      </c>
    </row>
    <row r="1544" spans="1:25" x14ac:dyDescent="0.25">
      <c r="A1544" t="s">
        <v>1600</v>
      </c>
      <c r="B1544" s="1">
        <v>45368</v>
      </c>
      <c r="C1544">
        <v>2024</v>
      </c>
      <c r="D1544">
        <v>3</v>
      </c>
      <c r="E1544" t="s">
        <v>260</v>
      </c>
      <c r="F1544" t="s">
        <v>27</v>
      </c>
      <c r="G1544" t="s">
        <v>28</v>
      </c>
      <c r="H1544" t="s">
        <v>58</v>
      </c>
      <c r="I1544" t="s">
        <v>37</v>
      </c>
      <c r="J1544">
        <v>73</v>
      </c>
      <c r="K1544">
        <v>1103.67</v>
      </c>
      <c r="L1544">
        <v>80567.570000000007</v>
      </c>
      <c r="M1544">
        <v>51876.87</v>
      </c>
      <c r="N1544">
        <v>7122.04</v>
      </c>
      <c r="O1544">
        <v>3398.65</v>
      </c>
      <c r="P1544">
        <v>1324.89</v>
      </c>
      <c r="Q1544">
        <v>805.93</v>
      </c>
      <c r="R1544">
        <v>2353.6999999999998</v>
      </c>
      <c r="S1544">
        <v>1000.15</v>
      </c>
      <c r="T1544">
        <v>67882.240000000005</v>
      </c>
      <c r="U1544">
        <v>28690.7</v>
      </c>
      <c r="V1544">
        <v>12685.33</v>
      </c>
      <c r="W1544">
        <v>11505.21</v>
      </c>
      <c r="X1544">
        <v>84907.67</v>
      </c>
      <c r="Y1544">
        <v>69768.08</v>
      </c>
    </row>
    <row r="1545" spans="1:25" x14ac:dyDescent="0.25">
      <c r="A1545" t="s">
        <v>1601</v>
      </c>
      <c r="B1545" s="1">
        <v>45368</v>
      </c>
      <c r="C1545">
        <v>2024</v>
      </c>
      <c r="D1545">
        <v>3</v>
      </c>
      <c r="E1545" t="s">
        <v>260</v>
      </c>
      <c r="F1545" t="s">
        <v>27</v>
      </c>
      <c r="G1545" t="s">
        <v>44</v>
      </c>
      <c r="H1545" t="s">
        <v>32</v>
      </c>
      <c r="I1545" t="s">
        <v>65</v>
      </c>
      <c r="J1545">
        <v>45</v>
      </c>
      <c r="K1545">
        <v>1665.7</v>
      </c>
      <c r="L1545">
        <v>74956.3</v>
      </c>
      <c r="M1545">
        <v>37450.06</v>
      </c>
      <c r="N1545">
        <v>7465.61</v>
      </c>
      <c r="O1545">
        <v>4271.17</v>
      </c>
      <c r="P1545">
        <v>2295.9699999999998</v>
      </c>
      <c r="Q1545">
        <v>381.06</v>
      </c>
      <c r="R1545">
        <v>4106.07</v>
      </c>
      <c r="S1545">
        <v>1815.17</v>
      </c>
      <c r="T1545">
        <v>57785.11</v>
      </c>
      <c r="U1545">
        <v>37506.230000000003</v>
      </c>
      <c r="V1545">
        <v>17171.18</v>
      </c>
      <c r="W1545">
        <v>15514.28</v>
      </c>
      <c r="X1545">
        <v>71731.429999999993</v>
      </c>
      <c r="Y1545">
        <v>56942.22</v>
      </c>
    </row>
    <row r="1546" spans="1:25" x14ac:dyDescent="0.25">
      <c r="A1546" t="s">
        <v>1602</v>
      </c>
      <c r="B1546" s="1">
        <v>45368</v>
      </c>
      <c r="C1546">
        <v>2024</v>
      </c>
      <c r="D1546">
        <v>3</v>
      </c>
      <c r="E1546" t="s">
        <v>260</v>
      </c>
      <c r="F1546" t="s">
        <v>27</v>
      </c>
      <c r="G1546" t="s">
        <v>28</v>
      </c>
      <c r="H1546" t="s">
        <v>58</v>
      </c>
      <c r="I1546" t="s">
        <v>65</v>
      </c>
      <c r="J1546">
        <v>45</v>
      </c>
      <c r="K1546">
        <v>1586.37</v>
      </c>
      <c r="L1546">
        <v>71386.62</v>
      </c>
      <c r="M1546">
        <v>42886.559999999998</v>
      </c>
      <c r="N1546">
        <v>7732.26</v>
      </c>
      <c r="O1546">
        <v>1925.78</v>
      </c>
      <c r="P1546">
        <v>1326.43</v>
      </c>
      <c r="Q1546">
        <v>470.63</v>
      </c>
      <c r="R1546">
        <v>4167.45</v>
      </c>
      <c r="S1546">
        <v>753.33</v>
      </c>
      <c r="T1546">
        <v>59262.43</v>
      </c>
      <c r="U1546">
        <v>28500.06</v>
      </c>
      <c r="V1546">
        <v>12124.19</v>
      </c>
      <c r="W1546">
        <v>11973.04</v>
      </c>
      <c r="X1546">
        <v>69747.98</v>
      </c>
      <c r="Y1546">
        <v>59319.62</v>
      </c>
    </row>
    <row r="1547" spans="1:25" x14ac:dyDescent="0.25">
      <c r="A1547" t="s">
        <v>1603</v>
      </c>
      <c r="B1547" s="1">
        <v>45369</v>
      </c>
      <c r="C1547">
        <v>2024</v>
      </c>
      <c r="D1547">
        <v>3</v>
      </c>
      <c r="E1547" t="s">
        <v>260</v>
      </c>
      <c r="F1547" t="s">
        <v>27</v>
      </c>
      <c r="G1547" t="s">
        <v>55</v>
      </c>
      <c r="H1547" t="s">
        <v>32</v>
      </c>
      <c r="I1547" t="s">
        <v>65</v>
      </c>
      <c r="J1547">
        <v>77</v>
      </c>
      <c r="K1547">
        <v>1303.57</v>
      </c>
      <c r="L1547">
        <v>100374.65</v>
      </c>
      <c r="M1547">
        <v>50776.65</v>
      </c>
      <c r="N1547">
        <v>12329.22</v>
      </c>
      <c r="O1547">
        <v>7014.36</v>
      </c>
      <c r="P1547">
        <v>1597.1</v>
      </c>
      <c r="Q1547">
        <v>893.97</v>
      </c>
      <c r="R1547">
        <v>5395.17</v>
      </c>
      <c r="S1547">
        <v>838.03</v>
      </c>
      <c r="T1547">
        <v>78844.490000000005</v>
      </c>
      <c r="U1547">
        <v>49598</v>
      </c>
      <c r="V1547">
        <v>21530.16</v>
      </c>
      <c r="W1547">
        <v>19483.89</v>
      </c>
      <c r="X1547">
        <v>110857.53</v>
      </c>
      <c r="Y1547">
        <v>75775.41</v>
      </c>
    </row>
    <row r="1548" spans="1:25" x14ac:dyDescent="0.25">
      <c r="A1548" t="s">
        <v>1604</v>
      </c>
      <c r="B1548" s="1">
        <v>45369</v>
      </c>
      <c r="C1548">
        <v>2024</v>
      </c>
      <c r="D1548">
        <v>3</v>
      </c>
      <c r="E1548" t="s">
        <v>260</v>
      </c>
      <c r="F1548" t="s">
        <v>27</v>
      </c>
      <c r="G1548" t="s">
        <v>28</v>
      </c>
      <c r="H1548" t="s">
        <v>32</v>
      </c>
      <c r="I1548" t="s">
        <v>45</v>
      </c>
      <c r="J1548">
        <v>52</v>
      </c>
      <c r="K1548">
        <v>854.34</v>
      </c>
      <c r="L1548">
        <v>44425.59</v>
      </c>
      <c r="M1548">
        <v>21848.74</v>
      </c>
      <c r="N1548">
        <v>3848.79</v>
      </c>
      <c r="O1548">
        <v>2232.5</v>
      </c>
      <c r="P1548">
        <v>912</v>
      </c>
      <c r="Q1548">
        <v>761.83</v>
      </c>
      <c r="R1548">
        <v>1661.47</v>
      </c>
      <c r="S1548">
        <v>605.99</v>
      </c>
      <c r="T1548">
        <v>31871.33</v>
      </c>
      <c r="U1548">
        <v>22576.85</v>
      </c>
      <c r="V1548">
        <v>12554.26</v>
      </c>
      <c r="W1548">
        <v>12664.53</v>
      </c>
      <c r="X1548">
        <v>42195.12</v>
      </c>
      <c r="Y1548">
        <v>33685.43</v>
      </c>
    </row>
    <row r="1549" spans="1:25" x14ac:dyDescent="0.25">
      <c r="A1549" t="s">
        <v>1605</v>
      </c>
      <c r="B1549" s="1">
        <v>45369</v>
      </c>
      <c r="C1549">
        <v>2024</v>
      </c>
      <c r="D1549">
        <v>3</v>
      </c>
      <c r="E1549" t="s">
        <v>260</v>
      </c>
      <c r="F1549" t="s">
        <v>27</v>
      </c>
      <c r="G1549" t="s">
        <v>44</v>
      </c>
      <c r="H1549" t="s">
        <v>36</v>
      </c>
      <c r="I1549" t="s">
        <v>30</v>
      </c>
      <c r="J1549">
        <v>41</v>
      </c>
      <c r="K1549">
        <v>1636.74</v>
      </c>
      <c r="L1549">
        <v>67106.37</v>
      </c>
      <c r="M1549">
        <v>32238.66</v>
      </c>
      <c r="N1549">
        <v>5640.27</v>
      </c>
      <c r="O1549">
        <v>3178.9</v>
      </c>
      <c r="P1549">
        <v>2215.71</v>
      </c>
      <c r="Q1549">
        <v>955.61</v>
      </c>
      <c r="R1549">
        <v>2604.87</v>
      </c>
      <c r="S1549">
        <v>1587.87</v>
      </c>
      <c r="T1549">
        <v>48421.91</v>
      </c>
      <c r="U1549">
        <v>34867.699999999997</v>
      </c>
      <c r="V1549">
        <v>18684.46</v>
      </c>
      <c r="W1549">
        <v>17414.900000000001</v>
      </c>
      <c r="X1549">
        <v>68261.59</v>
      </c>
      <c r="Y1549">
        <v>50767.7</v>
      </c>
    </row>
    <row r="1550" spans="1:25" x14ac:dyDescent="0.25">
      <c r="A1550" t="s">
        <v>1606</v>
      </c>
      <c r="B1550" s="1">
        <v>45369</v>
      </c>
      <c r="C1550">
        <v>2024</v>
      </c>
      <c r="D1550">
        <v>3</v>
      </c>
      <c r="E1550" t="s">
        <v>260</v>
      </c>
      <c r="F1550" t="s">
        <v>27</v>
      </c>
      <c r="G1550" t="s">
        <v>28</v>
      </c>
      <c r="H1550" t="s">
        <v>32</v>
      </c>
      <c r="I1550" t="s">
        <v>30</v>
      </c>
      <c r="J1550">
        <v>99</v>
      </c>
      <c r="K1550">
        <v>1363.41</v>
      </c>
      <c r="L1550">
        <v>134977.56</v>
      </c>
      <c r="M1550">
        <v>90146.39</v>
      </c>
      <c r="N1550">
        <v>14230.62</v>
      </c>
      <c r="O1550">
        <v>9502.64</v>
      </c>
      <c r="P1550">
        <v>4482.33</v>
      </c>
      <c r="Q1550">
        <v>1926.33</v>
      </c>
      <c r="R1550">
        <v>8676.0400000000009</v>
      </c>
      <c r="S1550">
        <v>2704.62</v>
      </c>
      <c r="T1550">
        <v>131668.97</v>
      </c>
      <c r="U1550">
        <v>44831.17</v>
      </c>
      <c r="V1550">
        <v>3308.59</v>
      </c>
      <c r="W1550">
        <v>3299.06</v>
      </c>
      <c r="X1550">
        <v>150875.26999999999</v>
      </c>
      <c r="Y1550">
        <v>125207.27</v>
      </c>
    </row>
    <row r="1551" spans="1:25" x14ac:dyDescent="0.25">
      <c r="A1551" t="s">
        <v>1607</v>
      </c>
      <c r="B1551" s="1">
        <v>45370</v>
      </c>
      <c r="C1551">
        <v>2024</v>
      </c>
      <c r="D1551">
        <v>3</v>
      </c>
      <c r="E1551" t="s">
        <v>260</v>
      </c>
      <c r="F1551" t="s">
        <v>27</v>
      </c>
      <c r="G1551" t="s">
        <v>28</v>
      </c>
      <c r="H1551" t="s">
        <v>32</v>
      </c>
      <c r="I1551" t="s">
        <v>65</v>
      </c>
      <c r="J1551">
        <v>46</v>
      </c>
      <c r="K1551">
        <v>1325.67</v>
      </c>
      <c r="L1551">
        <v>60980.6</v>
      </c>
      <c r="M1551">
        <v>31761.91</v>
      </c>
      <c r="N1551">
        <v>7481.72</v>
      </c>
      <c r="O1551">
        <v>3148.71</v>
      </c>
      <c r="P1551">
        <v>2685.2</v>
      </c>
      <c r="Q1551">
        <v>403.55</v>
      </c>
      <c r="R1551">
        <v>2698.18</v>
      </c>
      <c r="S1551">
        <v>1487.06</v>
      </c>
      <c r="T1551">
        <v>49666.32</v>
      </c>
      <c r="U1551">
        <v>29218.69</v>
      </c>
      <c r="V1551">
        <v>11314.27</v>
      </c>
      <c r="W1551">
        <v>10211.84</v>
      </c>
      <c r="X1551">
        <v>60337.54</v>
      </c>
      <c r="Y1551">
        <v>51421</v>
      </c>
    </row>
    <row r="1552" spans="1:25" x14ac:dyDescent="0.25">
      <c r="A1552" t="s">
        <v>1608</v>
      </c>
      <c r="B1552" s="1">
        <v>45370</v>
      </c>
      <c r="C1552">
        <v>2024</v>
      </c>
      <c r="D1552">
        <v>3</v>
      </c>
      <c r="E1552" t="s">
        <v>260</v>
      </c>
      <c r="F1552" t="s">
        <v>27</v>
      </c>
      <c r="G1552" t="s">
        <v>35</v>
      </c>
      <c r="H1552" t="s">
        <v>58</v>
      </c>
      <c r="I1552" t="s">
        <v>50</v>
      </c>
      <c r="J1552">
        <v>37</v>
      </c>
      <c r="K1552">
        <v>1059.1199999999999</v>
      </c>
      <c r="L1552">
        <v>39187.379999999997</v>
      </c>
      <c r="M1552">
        <v>26192.46</v>
      </c>
      <c r="N1552">
        <v>4975.47</v>
      </c>
      <c r="O1552">
        <v>1981.14</v>
      </c>
      <c r="P1552">
        <v>1142.93</v>
      </c>
      <c r="Q1552">
        <v>650.80999999999995</v>
      </c>
      <c r="R1552">
        <v>1091.3900000000001</v>
      </c>
      <c r="S1552">
        <v>418.67</v>
      </c>
      <c r="T1552">
        <v>36452.870000000003</v>
      </c>
      <c r="U1552">
        <v>12994.92</v>
      </c>
      <c r="V1552">
        <v>2734.51</v>
      </c>
      <c r="W1552">
        <v>2558.2600000000002</v>
      </c>
      <c r="X1552">
        <v>41970.22</v>
      </c>
      <c r="Y1552">
        <v>35177.379999999997</v>
      </c>
    </row>
    <row r="1553" spans="1:25" x14ac:dyDescent="0.25">
      <c r="A1553" t="s">
        <v>1609</v>
      </c>
      <c r="B1553" s="1">
        <v>45371</v>
      </c>
      <c r="C1553">
        <v>2024</v>
      </c>
      <c r="D1553">
        <v>3</v>
      </c>
      <c r="E1553" t="s">
        <v>260</v>
      </c>
      <c r="F1553" t="s">
        <v>27</v>
      </c>
      <c r="G1553" t="s">
        <v>35</v>
      </c>
      <c r="H1553" t="s">
        <v>36</v>
      </c>
      <c r="I1553" t="s">
        <v>56</v>
      </c>
      <c r="J1553">
        <v>22</v>
      </c>
      <c r="K1553">
        <v>1092.9100000000001</v>
      </c>
      <c r="L1553">
        <v>24043.94</v>
      </c>
      <c r="M1553">
        <v>12669.86</v>
      </c>
      <c r="N1553">
        <v>2835.17</v>
      </c>
      <c r="O1553">
        <v>969.79</v>
      </c>
      <c r="P1553">
        <v>573.54999999999995</v>
      </c>
      <c r="Q1553">
        <v>136.12</v>
      </c>
      <c r="R1553">
        <v>664.71</v>
      </c>
      <c r="S1553">
        <v>258.20999999999998</v>
      </c>
      <c r="T1553">
        <v>18107.419999999998</v>
      </c>
      <c r="U1553">
        <v>11374.08</v>
      </c>
      <c r="V1553">
        <v>5936.52</v>
      </c>
      <c r="W1553">
        <v>5762.71</v>
      </c>
      <c r="X1553">
        <v>23231.93</v>
      </c>
      <c r="Y1553">
        <v>18379.400000000001</v>
      </c>
    </row>
    <row r="1554" spans="1:25" x14ac:dyDescent="0.25">
      <c r="A1554" t="s">
        <v>1610</v>
      </c>
      <c r="B1554" s="1">
        <v>45371</v>
      </c>
      <c r="C1554">
        <v>2024</v>
      </c>
      <c r="D1554">
        <v>3</v>
      </c>
      <c r="E1554" t="s">
        <v>260</v>
      </c>
      <c r="F1554" t="s">
        <v>27</v>
      </c>
      <c r="G1554" t="s">
        <v>35</v>
      </c>
      <c r="H1554" t="s">
        <v>58</v>
      </c>
      <c r="I1554" t="s">
        <v>65</v>
      </c>
      <c r="J1554">
        <v>32</v>
      </c>
      <c r="K1554">
        <v>1422.8</v>
      </c>
      <c r="L1554">
        <v>45529.55</v>
      </c>
      <c r="M1554">
        <v>22855.15</v>
      </c>
      <c r="N1554">
        <v>5391.63</v>
      </c>
      <c r="O1554">
        <v>1943.94</v>
      </c>
      <c r="P1554">
        <v>1948.45</v>
      </c>
      <c r="Q1554">
        <v>589.21</v>
      </c>
      <c r="R1554">
        <v>2157.69</v>
      </c>
      <c r="S1554">
        <v>777.41</v>
      </c>
      <c r="T1554">
        <v>35663.480000000003</v>
      </c>
      <c r="U1554">
        <v>22674.400000000001</v>
      </c>
      <c r="V1554">
        <v>9866.07</v>
      </c>
      <c r="W1554">
        <v>9300.69</v>
      </c>
      <c r="X1554">
        <v>49590.28</v>
      </c>
      <c r="Y1554">
        <v>34137.57</v>
      </c>
    </row>
    <row r="1555" spans="1:25" x14ac:dyDescent="0.25">
      <c r="A1555" t="s">
        <v>1611</v>
      </c>
      <c r="B1555" s="1">
        <v>45371</v>
      </c>
      <c r="C1555">
        <v>2024</v>
      </c>
      <c r="D1555">
        <v>3</v>
      </c>
      <c r="E1555" t="s">
        <v>260</v>
      </c>
      <c r="F1555" t="s">
        <v>27</v>
      </c>
      <c r="G1555" t="s">
        <v>35</v>
      </c>
      <c r="H1555" t="s">
        <v>53</v>
      </c>
      <c r="I1555" t="s">
        <v>39</v>
      </c>
      <c r="J1555">
        <v>23</v>
      </c>
      <c r="K1555">
        <v>1785.3</v>
      </c>
      <c r="L1555">
        <v>41061.870000000003</v>
      </c>
      <c r="M1555">
        <v>24539.919999999998</v>
      </c>
      <c r="N1555">
        <v>3046.94</v>
      </c>
      <c r="O1555">
        <v>1629.79</v>
      </c>
      <c r="P1555">
        <v>1313.12</v>
      </c>
      <c r="Q1555">
        <v>331.72</v>
      </c>
      <c r="R1555">
        <v>1245.17</v>
      </c>
      <c r="S1555">
        <v>584.91</v>
      </c>
      <c r="T1555">
        <v>32691.57</v>
      </c>
      <c r="U1555">
        <v>16521.95</v>
      </c>
      <c r="V1555">
        <v>8370.31</v>
      </c>
      <c r="W1555">
        <v>7538.13</v>
      </c>
      <c r="X1555">
        <v>39735.410000000003</v>
      </c>
      <c r="Y1555">
        <v>35418.949999999997</v>
      </c>
    </row>
    <row r="1556" spans="1:25" x14ac:dyDescent="0.25">
      <c r="A1556" t="s">
        <v>1612</v>
      </c>
      <c r="B1556" s="1">
        <v>45371</v>
      </c>
      <c r="C1556">
        <v>2024</v>
      </c>
      <c r="D1556">
        <v>3</v>
      </c>
      <c r="E1556" t="s">
        <v>260</v>
      </c>
      <c r="F1556" t="s">
        <v>27</v>
      </c>
      <c r="G1556" t="s">
        <v>44</v>
      </c>
      <c r="H1556" t="s">
        <v>32</v>
      </c>
      <c r="I1556" t="s">
        <v>50</v>
      </c>
      <c r="J1556">
        <v>40</v>
      </c>
      <c r="K1556">
        <v>1692.01</v>
      </c>
      <c r="L1556">
        <v>67680.25</v>
      </c>
      <c r="M1556">
        <v>40649.040000000001</v>
      </c>
      <c r="N1556">
        <v>5593.3</v>
      </c>
      <c r="O1556">
        <v>1858.11</v>
      </c>
      <c r="P1556">
        <v>2265.86</v>
      </c>
      <c r="Q1556">
        <v>535.5</v>
      </c>
      <c r="R1556">
        <v>3009.6</v>
      </c>
      <c r="S1556">
        <v>1079.53</v>
      </c>
      <c r="T1556">
        <v>54990.94</v>
      </c>
      <c r="U1556">
        <v>27031.21</v>
      </c>
      <c r="V1556">
        <v>12689.3</v>
      </c>
      <c r="W1556">
        <v>12757.57</v>
      </c>
      <c r="X1556">
        <v>68563.179999999993</v>
      </c>
      <c r="Y1556">
        <v>58218.71</v>
      </c>
    </row>
    <row r="1557" spans="1:25" x14ac:dyDescent="0.25">
      <c r="A1557" t="s">
        <v>1613</v>
      </c>
      <c r="B1557" s="1">
        <v>45371</v>
      </c>
      <c r="C1557">
        <v>2024</v>
      </c>
      <c r="D1557">
        <v>3</v>
      </c>
      <c r="E1557" t="s">
        <v>260</v>
      </c>
      <c r="F1557" t="s">
        <v>27</v>
      </c>
      <c r="G1557" t="s">
        <v>28</v>
      </c>
      <c r="H1557" t="s">
        <v>36</v>
      </c>
      <c r="I1557" t="s">
        <v>56</v>
      </c>
      <c r="J1557">
        <v>40</v>
      </c>
      <c r="K1557">
        <v>937.98</v>
      </c>
      <c r="L1557">
        <v>37519.26</v>
      </c>
      <c r="M1557">
        <v>22376.81</v>
      </c>
      <c r="N1557">
        <v>4188.49</v>
      </c>
      <c r="O1557">
        <v>1138.94</v>
      </c>
      <c r="P1557">
        <v>737.82</v>
      </c>
      <c r="Q1557">
        <v>213.05</v>
      </c>
      <c r="R1557">
        <v>1724.3</v>
      </c>
      <c r="S1557">
        <v>483.12</v>
      </c>
      <c r="T1557">
        <v>30862.53</v>
      </c>
      <c r="U1557">
        <v>15142.45</v>
      </c>
      <c r="V1557">
        <v>6656.73</v>
      </c>
      <c r="W1557">
        <v>6589.67</v>
      </c>
      <c r="X1557">
        <v>39959.040000000001</v>
      </c>
      <c r="Y1557">
        <v>30901.95</v>
      </c>
    </row>
    <row r="1558" spans="1:25" x14ac:dyDescent="0.25">
      <c r="A1558" t="s">
        <v>1614</v>
      </c>
      <c r="B1558" s="1">
        <v>45371</v>
      </c>
      <c r="C1558">
        <v>2024</v>
      </c>
      <c r="D1558">
        <v>3</v>
      </c>
      <c r="E1558" t="s">
        <v>260</v>
      </c>
      <c r="F1558" t="s">
        <v>27</v>
      </c>
      <c r="G1558" t="s">
        <v>35</v>
      </c>
      <c r="H1558" t="s">
        <v>29</v>
      </c>
      <c r="I1558" t="s">
        <v>65</v>
      </c>
      <c r="J1558">
        <v>43</v>
      </c>
      <c r="K1558">
        <v>1348.3</v>
      </c>
      <c r="L1558">
        <v>57976.78</v>
      </c>
      <c r="M1558">
        <v>29239.68</v>
      </c>
      <c r="N1558">
        <v>7390.18</v>
      </c>
      <c r="O1558">
        <v>2013.96</v>
      </c>
      <c r="P1558">
        <v>1327.5</v>
      </c>
      <c r="Q1558">
        <v>526.98</v>
      </c>
      <c r="R1558">
        <v>2716.73</v>
      </c>
      <c r="S1558">
        <v>771.13</v>
      </c>
      <c r="T1558">
        <v>43986.16</v>
      </c>
      <c r="U1558">
        <v>28737.1</v>
      </c>
      <c r="V1558">
        <v>13990.62</v>
      </c>
      <c r="W1558">
        <v>12661.35</v>
      </c>
      <c r="X1558">
        <v>54075.67</v>
      </c>
      <c r="Y1558">
        <v>43266.09</v>
      </c>
    </row>
    <row r="1559" spans="1:25" x14ac:dyDescent="0.25">
      <c r="A1559" t="s">
        <v>1615</v>
      </c>
      <c r="B1559" s="1">
        <v>45371</v>
      </c>
      <c r="C1559">
        <v>2024</v>
      </c>
      <c r="D1559">
        <v>3</v>
      </c>
      <c r="E1559" t="s">
        <v>260</v>
      </c>
      <c r="F1559" t="s">
        <v>27</v>
      </c>
      <c r="G1559" t="s">
        <v>55</v>
      </c>
      <c r="H1559" t="s">
        <v>58</v>
      </c>
      <c r="I1559" t="s">
        <v>37</v>
      </c>
      <c r="J1559">
        <v>67</v>
      </c>
      <c r="K1559">
        <v>1221.02</v>
      </c>
      <c r="L1559">
        <v>81808.460000000006</v>
      </c>
      <c r="M1559">
        <v>52977.52</v>
      </c>
      <c r="N1559">
        <v>7098.3</v>
      </c>
      <c r="O1559">
        <v>3347</v>
      </c>
      <c r="P1559">
        <v>2624.27</v>
      </c>
      <c r="Q1559">
        <v>1073.43</v>
      </c>
      <c r="R1559">
        <v>2485.42</v>
      </c>
      <c r="S1559">
        <v>1695.62</v>
      </c>
      <c r="T1559">
        <v>71301.56</v>
      </c>
      <c r="U1559">
        <v>28830.94</v>
      </c>
      <c r="V1559">
        <v>10506.9</v>
      </c>
      <c r="W1559">
        <v>9792.19</v>
      </c>
      <c r="X1559">
        <v>77785.91</v>
      </c>
      <c r="Y1559">
        <v>69401.63</v>
      </c>
    </row>
    <row r="1560" spans="1:25" x14ac:dyDescent="0.25">
      <c r="A1560" t="s">
        <v>1616</v>
      </c>
      <c r="B1560" s="1">
        <v>45372</v>
      </c>
      <c r="C1560">
        <v>2024</v>
      </c>
      <c r="D1560">
        <v>3</v>
      </c>
      <c r="E1560" t="s">
        <v>260</v>
      </c>
      <c r="F1560" t="s">
        <v>27</v>
      </c>
      <c r="G1560" t="s">
        <v>28</v>
      </c>
      <c r="H1560" t="s">
        <v>58</v>
      </c>
      <c r="I1560" t="s">
        <v>33</v>
      </c>
      <c r="J1560">
        <v>58</v>
      </c>
      <c r="K1560">
        <v>1352.85</v>
      </c>
      <c r="L1560">
        <v>78465.11</v>
      </c>
      <c r="M1560">
        <v>40418.69</v>
      </c>
      <c r="N1560">
        <v>9266.83</v>
      </c>
      <c r="O1560">
        <v>2389.56</v>
      </c>
      <c r="P1560">
        <v>3067.01</v>
      </c>
      <c r="Q1560">
        <v>444.55</v>
      </c>
      <c r="R1560">
        <v>4588.75</v>
      </c>
      <c r="S1560">
        <v>728.95</v>
      </c>
      <c r="T1560">
        <v>60904.34</v>
      </c>
      <c r="U1560">
        <v>38046.42</v>
      </c>
      <c r="V1560">
        <v>17560.77</v>
      </c>
      <c r="W1560">
        <v>15935.51</v>
      </c>
      <c r="X1560">
        <v>77770.77</v>
      </c>
      <c r="Y1560">
        <v>64968.81</v>
      </c>
    </row>
    <row r="1561" spans="1:25" x14ac:dyDescent="0.25">
      <c r="A1561" t="s">
        <v>1617</v>
      </c>
      <c r="B1561" s="1">
        <v>45372</v>
      </c>
      <c r="C1561">
        <v>2024</v>
      </c>
      <c r="D1561">
        <v>3</v>
      </c>
      <c r="E1561" t="s">
        <v>260</v>
      </c>
      <c r="F1561" t="s">
        <v>27</v>
      </c>
      <c r="G1561" t="s">
        <v>55</v>
      </c>
      <c r="H1561" t="s">
        <v>32</v>
      </c>
      <c r="I1561" t="s">
        <v>45</v>
      </c>
      <c r="J1561">
        <v>80</v>
      </c>
      <c r="K1561">
        <v>807.85</v>
      </c>
      <c r="L1561">
        <v>64627.85</v>
      </c>
      <c r="M1561">
        <v>38602.269999999997</v>
      </c>
      <c r="N1561">
        <v>5483.52</v>
      </c>
      <c r="O1561">
        <v>3696.44</v>
      </c>
      <c r="P1561">
        <v>1387.45</v>
      </c>
      <c r="Q1561">
        <v>451.44</v>
      </c>
      <c r="R1561">
        <v>2550.0100000000002</v>
      </c>
      <c r="S1561">
        <v>546.54</v>
      </c>
      <c r="T1561">
        <v>52717.66</v>
      </c>
      <c r="U1561">
        <v>26025.59</v>
      </c>
      <c r="V1561">
        <v>11910.19</v>
      </c>
      <c r="W1561">
        <v>11348.96</v>
      </c>
      <c r="X1561">
        <v>59727.96</v>
      </c>
      <c r="Y1561">
        <v>53880.82</v>
      </c>
    </row>
    <row r="1562" spans="1:25" x14ac:dyDescent="0.25">
      <c r="A1562" t="s">
        <v>1618</v>
      </c>
      <c r="B1562" s="1">
        <v>45372</v>
      </c>
      <c r="C1562">
        <v>2024</v>
      </c>
      <c r="D1562">
        <v>3</v>
      </c>
      <c r="E1562" t="s">
        <v>260</v>
      </c>
      <c r="F1562" t="s">
        <v>27</v>
      </c>
      <c r="G1562" t="s">
        <v>35</v>
      </c>
      <c r="H1562" t="s">
        <v>29</v>
      </c>
      <c r="I1562" t="s">
        <v>65</v>
      </c>
      <c r="J1562">
        <v>56</v>
      </c>
      <c r="K1562">
        <v>978.89</v>
      </c>
      <c r="L1562">
        <v>54817.81</v>
      </c>
      <c r="M1562">
        <v>36566.43</v>
      </c>
      <c r="N1562">
        <v>6250.31</v>
      </c>
      <c r="O1562">
        <v>4070.91</v>
      </c>
      <c r="P1562">
        <v>1904.26</v>
      </c>
      <c r="Q1562">
        <v>556.66999999999996</v>
      </c>
      <c r="R1562">
        <v>2913.52</v>
      </c>
      <c r="S1562">
        <v>1028.6600000000001</v>
      </c>
      <c r="T1562">
        <v>53290.75</v>
      </c>
      <c r="U1562">
        <v>18251.38</v>
      </c>
      <c r="V1562">
        <v>1527.06</v>
      </c>
      <c r="W1562">
        <v>1503.98</v>
      </c>
      <c r="X1562">
        <v>50929.31</v>
      </c>
      <c r="Y1562">
        <v>58173.96</v>
      </c>
    </row>
    <row r="1563" spans="1:25" x14ac:dyDescent="0.25">
      <c r="A1563" t="s">
        <v>1619</v>
      </c>
      <c r="B1563" s="1">
        <v>45373</v>
      </c>
      <c r="C1563">
        <v>2024</v>
      </c>
      <c r="D1563">
        <v>3</v>
      </c>
      <c r="E1563" t="s">
        <v>260</v>
      </c>
      <c r="F1563" t="s">
        <v>27</v>
      </c>
      <c r="G1563" t="s">
        <v>55</v>
      </c>
      <c r="H1563" t="s">
        <v>53</v>
      </c>
      <c r="I1563" t="s">
        <v>37</v>
      </c>
      <c r="J1563">
        <v>61</v>
      </c>
      <c r="K1563">
        <v>1007.12</v>
      </c>
      <c r="L1563">
        <v>61434.080000000002</v>
      </c>
      <c r="M1563">
        <v>36540.800000000003</v>
      </c>
      <c r="N1563">
        <v>6119.35</v>
      </c>
      <c r="O1563">
        <v>3180.78</v>
      </c>
      <c r="P1563">
        <v>1067.19</v>
      </c>
      <c r="Q1563">
        <v>632.27</v>
      </c>
      <c r="R1563">
        <v>3610.36</v>
      </c>
      <c r="S1563">
        <v>506.25</v>
      </c>
      <c r="T1563">
        <v>51657</v>
      </c>
      <c r="U1563">
        <v>24893.279999999999</v>
      </c>
      <c r="V1563">
        <v>9777.08</v>
      </c>
      <c r="W1563">
        <v>8982.0400000000009</v>
      </c>
      <c r="X1563">
        <v>62922.23</v>
      </c>
      <c r="Y1563">
        <v>54198.18</v>
      </c>
    </row>
    <row r="1564" spans="1:25" x14ac:dyDescent="0.25">
      <c r="A1564" t="s">
        <v>1620</v>
      </c>
      <c r="B1564" s="1">
        <v>45373</v>
      </c>
      <c r="C1564">
        <v>2024</v>
      </c>
      <c r="D1564">
        <v>3</v>
      </c>
      <c r="E1564" t="s">
        <v>260</v>
      </c>
      <c r="F1564" t="s">
        <v>27</v>
      </c>
      <c r="G1564" t="s">
        <v>28</v>
      </c>
      <c r="H1564" t="s">
        <v>32</v>
      </c>
      <c r="I1564" t="s">
        <v>30</v>
      </c>
      <c r="J1564">
        <v>79</v>
      </c>
      <c r="K1564">
        <v>1622.9</v>
      </c>
      <c r="L1564">
        <v>128208.71</v>
      </c>
      <c r="M1564">
        <v>72208.100000000006</v>
      </c>
      <c r="N1564">
        <v>10863.11</v>
      </c>
      <c r="O1564">
        <v>8320.8700000000008</v>
      </c>
      <c r="P1564">
        <v>4647.93</v>
      </c>
      <c r="Q1564">
        <v>1248.07</v>
      </c>
      <c r="R1564">
        <v>4747.03</v>
      </c>
      <c r="S1564">
        <v>1464.96</v>
      </c>
      <c r="T1564">
        <v>103500.06</v>
      </c>
      <c r="U1564">
        <v>56000.62</v>
      </c>
      <c r="V1564">
        <v>24708.66</v>
      </c>
      <c r="W1564">
        <v>23772.05</v>
      </c>
      <c r="X1564">
        <v>141744.24</v>
      </c>
      <c r="Y1564">
        <v>105984.36</v>
      </c>
    </row>
    <row r="1565" spans="1:25" x14ac:dyDescent="0.25">
      <c r="A1565" t="s">
        <v>1621</v>
      </c>
      <c r="B1565" s="1">
        <v>45373</v>
      </c>
      <c r="C1565">
        <v>2024</v>
      </c>
      <c r="D1565">
        <v>3</v>
      </c>
      <c r="E1565" t="s">
        <v>260</v>
      </c>
      <c r="F1565" t="s">
        <v>27</v>
      </c>
      <c r="G1565" t="s">
        <v>55</v>
      </c>
      <c r="H1565" t="s">
        <v>29</v>
      </c>
      <c r="I1565" t="s">
        <v>30</v>
      </c>
      <c r="J1565">
        <v>65</v>
      </c>
      <c r="K1565">
        <v>1242.6199999999999</v>
      </c>
      <c r="L1565">
        <v>80770.05</v>
      </c>
      <c r="M1565">
        <v>54293.77</v>
      </c>
      <c r="N1565">
        <v>7848.33</v>
      </c>
      <c r="O1565">
        <v>5590.13</v>
      </c>
      <c r="P1565">
        <v>2433.37</v>
      </c>
      <c r="Q1565">
        <v>1199.95</v>
      </c>
      <c r="R1565">
        <v>3840.78</v>
      </c>
      <c r="S1565">
        <v>1800.29</v>
      </c>
      <c r="T1565">
        <v>77006.62</v>
      </c>
      <c r="U1565">
        <v>26476.28</v>
      </c>
      <c r="V1565">
        <v>3763.43</v>
      </c>
      <c r="W1565">
        <v>3807.77</v>
      </c>
      <c r="X1565">
        <v>77458.59</v>
      </c>
      <c r="Y1565">
        <v>73029.8</v>
      </c>
    </row>
    <row r="1566" spans="1:25" x14ac:dyDescent="0.25">
      <c r="A1566" t="s">
        <v>1622</v>
      </c>
      <c r="B1566" s="1">
        <v>45373</v>
      </c>
      <c r="C1566">
        <v>2024</v>
      </c>
      <c r="D1566">
        <v>3</v>
      </c>
      <c r="E1566" t="s">
        <v>260</v>
      </c>
      <c r="F1566" t="s">
        <v>27</v>
      </c>
      <c r="G1566" t="s">
        <v>28</v>
      </c>
      <c r="H1566" t="s">
        <v>36</v>
      </c>
      <c r="I1566" t="s">
        <v>56</v>
      </c>
      <c r="J1566">
        <v>32</v>
      </c>
      <c r="K1566">
        <v>1026.82</v>
      </c>
      <c r="L1566">
        <v>32858.17</v>
      </c>
      <c r="M1566">
        <v>19889.240000000002</v>
      </c>
      <c r="N1566">
        <v>2856.65</v>
      </c>
      <c r="O1566">
        <v>966.47</v>
      </c>
      <c r="P1566">
        <v>857.94</v>
      </c>
      <c r="Q1566">
        <v>503.31</v>
      </c>
      <c r="R1566">
        <v>1414.56</v>
      </c>
      <c r="S1566">
        <v>763.83</v>
      </c>
      <c r="T1566">
        <v>27251.99</v>
      </c>
      <c r="U1566">
        <v>12968.93</v>
      </c>
      <c r="V1566">
        <v>5606.18</v>
      </c>
      <c r="W1566">
        <v>5336.19</v>
      </c>
      <c r="X1566">
        <v>33068.46</v>
      </c>
      <c r="Y1566">
        <v>29703.49</v>
      </c>
    </row>
    <row r="1567" spans="1:25" x14ac:dyDescent="0.25">
      <c r="A1567" t="s">
        <v>1623</v>
      </c>
      <c r="B1567" s="1">
        <v>45373</v>
      </c>
      <c r="C1567">
        <v>2024</v>
      </c>
      <c r="D1567">
        <v>3</v>
      </c>
      <c r="E1567" t="s">
        <v>260</v>
      </c>
      <c r="F1567" t="s">
        <v>27</v>
      </c>
      <c r="G1567" t="s">
        <v>44</v>
      </c>
      <c r="H1567" t="s">
        <v>29</v>
      </c>
      <c r="I1567" t="s">
        <v>56</v>
      </c>
      <c r="J1567">
        <v>49</v>
      </c>
      <c r="K1567">
        <v>861.06</v>
      </c>
      <c r="L1567">
        <v>42191.74</v>
      </c>
      <c r="M1567">
        <v>27642.89</v>
      </c>
      <c r="N1567">
        <v>5466.84</v>
      </c>
      <c r="O1567">
        <v>2591.5</v>
      </c>
      <c r="P1567">
        <v>1545.63</v>
      </c>
      <c r="Q1567">
        <v>434.43</v>
      </c>
      <c r="R1567">
        <v>1387.28</v>
      </c>
      <c r="S1567">
        <v>380.38</v>
      </c>
      <c r="T1567">
        <v>39448.949999999997</v>
      </c>
      <c r="U1567">
        <v>14548.85</v>
      </c>
      <c r="V1567">
        <v>2742.79</v>
      </c>
      <c r="W1567">
        <v>2654.7</v>
      </c>
      <c r="X1567">
        <v>45273.33</v>
      </c>
      <c r="Y1567">
        <v>37660.79</v>
      </c>
    </row>
    <row r="1568" spans="1:25" x14ac:dyDescent="0.25">
      <c r="A1568" t="s">
        <v>1624</v>
      </c>
      <c r="B1568" s="1">
        <v>45374</v>
      </c>
      <c r="C1568">
        <v>2024</v>
      </c>
      <c r="D1568">
        <v>3</v>
      </c>
      <c r="E1568" t="s">
        <v>260</v>
      </c>
      <c r="F1568" t="s">
        <v>27</v>
      </c>
      <c r="G1568" t="s">
        <v>55</v>
      </c>
      <c r="H1568" t="s">
        <v>53</v>
      </c>
      <c r="I1568" t="s">
        <v>45</v>
      </c>
      <c r="J1568">
        <v>21</v>
      </c>
      <c r="K1568">
        <v>1580.33</v>
      </c>
      <c r="L1568">
        <v>33186.949999999997</v>
      </c>
      <c r="M1568">
        <v>20741.439999999999</v>
      </c>
      <c r="N1568">
        <v>2407.0100000000002</v>
      </c>
      <c r="O1568">
        <v>897.71</v>
      </c>
      <c r="P1568">
        <v>835.49</v>
      </c>
      <c r="Q1568">
        <v>379.14</v>
      </c>
      <c r="R1568">
        <v>1537.82</v>
      </c>
      <c r="S1568">
        <v>293.45999999999998</v>
      </c>
      <c r="T1568">
        <v>27092.06</v>
      </c>
      <c r="U1568">
        <v>12445.51</v>
      </c>
      <c r="V1568">
        <v>6094.89</v>
      </c>
      <c r="W1568">
        <v>5906.27</v>
      </c>
      <c r="X1568">
        <v>33755.71</v>
      </c>
      <c r="Y1568">
        <v>27116.36</v>
      </c>
    </row>
    <row r="1569" spans="1:25" x14ac:dyDescent="0.25">
      <c r="A1569" t="s">
        <v>1625</v>
      </c>
      <c r="B1569" s="1">
        <v>45374</v>
      </c>
      <c r="C1569">
        <v>2024</v>
      </c>
      <c r="D1569">
        <v>3</v>
      </c>
      <c r="E1569" t="s">
        <v>260</v>
      </c>
      <c r="F1569" t="s">
        <v>27</v>
      </c>
      <c r="G1569" t="s">
        <v>55</v>
      </c>
      <c r="H1569" t="s">
        <v>32</v>
      </c>
      <c r="I1569" t="s">
        <v>30</v>
      </c>
      <c r="J1569">
        <v>128</v>
      </c>
      <c r="K1569">
        <v>892.72</v>
      </c>
      <c r="L1569">
        <v>114268.73</v>
      </c>
      <c r="M1569">
        <v>74777.88</v>
      </c>
      <c r="N1569">
        <v>9018.19</v>
      </c>
      <c r="O1569">
        <v>8076.89</v>
      </c>
      <c r="P1569">
        <v>4193.2299999999996</v>
      </c>
      <c r="Q1569">
        <v>1934.11</v>
      </c>
      <c r="R1569">
        <v>5689.18</v>
      </c>
      <c r="S1569">
        <v>2571.15</v>
      </c>
      <c r="T1569">
        <v>106260.63</v>
      </c>
      <c r="U1569">
        <v>39490.839999999997</v>
      </c>
      <c r="V1569">
        <v>8008.1</v>
      </c>
      <c r="W1569">
        <v>7526.9</v>
      </c>
      <c r="X1569">
        <v>120632.97</v>
      </c>
      <c r="Y1569">
        <v>114515.27</v>
      </c>
    </row>
    <row r="1570" spans="1:25" x14ac:dyDescent="0.25">
      <c r="A1570" t="s">
        <v>1626</v>
      </c>
      <c r="B1570" s="1">
        <v>45375</v>
      </c>
      <c r="C1570">
        <v>2024</v>
      </c>
      <c r="D1570">
        <v>3</v>
      </c>
      <c r="E1570" t="s">
        <v>260</v>
      </c>
      <c r="F1570" t="s">
        <v>27</v>
      </c>
      <c r="G1570" t="s">
        <v>28</v>
      </c>
      <c r="H1570" t="s">
        <v>53</v>
      </c>
      <c r="I1570" t="s">
        <v>50</v>
      </c>
      <c r="J1570">
        <v>55</v>
      </c>
      <c r="K1570">
        <v>1040.6500000000001</v>
      </c>
      <c r="L1570">
        <v>57235.95</v>
      </c>
      <c r="M1570">
        <v>38517.57</v>
      </c>
      <c r="N1570">
        <v>4330.57</v>
      </c>
      <c r="O1570">
        <v>1528.08</v>
      </c>
      <c r="P1570">
        <v>2533.19</v>
      </c>
      <c r="Q1570">
        <v>765.86</v>
      </c>
      <c r="R1570">
        <v>3139.44</v>
      </c>
      <c r="S1570">
        <v>542.36</v>
      </c>
      <c r="T1570">
        <v>51357.08</v>
      </c>
      <c r="U1570">
        <v>18718.38</v>
      </c>
      <c r="V1570">
        <v>5878.88</v>
      </c>
      <c r="W1570">
        <v>5610.09</v>
      </c>
      <c r="X1570">
        <v>58196.4</v>
      </c>
      <c r="Y1570">
        <v>55170.48</v>
      </c>
    </row>
    <row r="1571" spans="1:25" x14ac:dyDescent="0.25">
      <c r="A1571" t="s">
        <v>1627</v>
      </c>
      <c r="B1571" s="1">
        <v>45375</v>
      </c>
      <c r="C1571">
        <v>2024</v>
      </c>
      <c r="D1571">
        <v>3</v>
      </c>
      <c r="E1571" t="s">
        <v>260</v>
      </c>
      <c r="F1571" t="s">
        <v>27</v>
      </c>
      <c r="G1571" t="s">
        <v>35</v>
      </c>
      <c r="H1571" t="s">
        <v>29</v>
      </c>
      <c r="I1571" t="s">
        <v>33</v>
      </c>
      <c r="J1571">
        <v>35</v>
      </c>
      <c r="K1571">
        <v>1603.32</v>
      </c>
      <c r="L1571">
        <v>56116.2</v>
      </c>
      <c r="M1571">
        <v>30131.03</v>
      </c>
      <c r="N1571">
        <v>7144.27</v>
      </c>
      <c r="O1571">
        <v>2159.5500000000002</v>
      </c>
      <c r="P1571">
        <v>1228.6199999999999</v>
      </c>
      <c r="Q1571">
        <v>383.89</v>
      </c>
      <c r="R1571">
        <v>3133.91</v>
      </c>
      <c r="S1571">
        <v>919.9</v>
      </c>
      <c r="T1571">
        <v>45101.18</v>
      </c>
      <c r="U1571">
        <v>25985.18</v>
      </c>
      <c r="V1571">
        <v>11015.03</v>
      </c>
      <c r="W1571">
        <v>10386.81</v>
      </c>
      <c r="X1571">
        <v>54009.91</v>
      </c>
      <c r="Y1571">
        <v>46344.84</v>
      </c>
    </row>
    <row r="1572" spans="1:25" x14ac:dyDescent="0.25">
      <c r="A1572" t="s">
        <v>1628</v>
      </c>
      <c r="B1572" s="1">
        <v>45375</v>
      </c>
      <c r="C1572">
        <v>2024</v>
      </c>
      <c r="D1572">
        <v>3</v>
      </c>
      <c r="E1572" t="s">
        <v>260</v>
      </c>
      <c r="F1572" t="s">
        <v>27</v>
      </c>
      <c r="G1572" t="s">
        <v>28</v>
      </c>
      <c r="H1572" t="s">
        <v>53</v>
      </c>
      <c r="I1572" t="s">
        <v>45</v>
      </c>
      <c r="J1572">
        <v>27</v>
      </c>
      <c r="K1572">
        <v>1329.53</v>
      </c>
      <c r="L1572">
        <v>35897.4</v>
      </c>
      <c r="M1572">
        <v>24308.04</v>
      </c>
      <c r="N1572">
        <v>3576.53</v>
      </c>
      <c r="O1572">
        <v>1306.42</v>
      </c>
      <c r="P1572">
        <v>1055.22</v>
      </c>
      <c r="Q1572">
        <v>466.64</v>
      </c>
      <c r="R1572">
        <v>1539.38</v>
      </c>
      <c r="S1572">
        <v>858.04</v>
      </c>
      <c r="T1572">
        <v>33110.26</v>
      </c>
      <c r="U1572">
        <v>11589.36</v>
      </c>
      <c r="V1572">
        <v>2787.13</v>
      </c>
      <c r="W1572">
        <v>2552.23</v>
      </c>
      <c r="X1572">
        <v>39217.78</v>
      </c>
      <c r="Y1572">
        <v>32933.019999999997</v>
      </c>
    </row>
    <row r="1573" spans="1:25" x14ac:dyDescent="0.25">
      <c r="A1573" t="s">
        <v>1629</v>
      </c>
      <c r="B1573" s="1">
        <v>45375</v>
      </c>
      <c r="C1573">
        <v>2024</v>
      </c>
      <c r="D1573">
        <v>3</v>
      </c>
      <c r="E1573" t="s">
        <v>260</v>
      </c>
      <c r="F1573" t="s">
        <v>27</v>
      </c>
      <c r="G1573" t="s">
        <v>55</v>
      </c>
      <c r="H1573" t="s">
        <v>32</v>
      </c>
      <c r="I1573" t="s">
        <v>65</v>
      </c>
      <c r="J1573">
        <v>54</v>
      </c>
      <c r="K1573">
        <v>1405.74</v>
      </c>
      <c r="L1573">
        <v>75910.03</v>
      </c>
      <c r="M1573">
        <v>47752.73</v>
      </c>
      <c r="N1573">
        <v>8122.77</v>
      </c>
      <c r="O1573">
        <v>5337.11</v>
      </c>
      <c r="P1573">
        <v>1468.44</v>
      </c>
      <c r="Q1573">
        <v>1238.49</v>
      </c>
      <c r="R1573">
        <v>2333.64</v>
      </c>
      <c r="S1573">
        <v>1239.52</v>
      </c>
      <c r="T1573">
        <v>67492.69</v>
      </c>
      <c r="U1573">
        <v>28157.3</v>
      </c>
      <c r="V1573">
        <v>8417.34</v>
      </c>
      <c r="W1573">
        <v>8469.9699999999993</v>
      </c>
      <c r="X1573">
        <v>83192.3</v>
      </c>
      <c r="Y1573">
        <v>64363.71</v>
      </c>
    </row>
    <row r="1574" spans="1:25" x14ac:dyDescent="0.25">
      <c r="A1574" t="s">
        <v>1630</v>
      </c>
      <c r="B1574" s="1">
        <v>45375</v>
      </c>
      <c r="C1574">
        <v>2024</v>
      </c>
      <c r="D1574">
        <v>3</v>
      </c>
      <c r="E1574" t="s">
        <v>260</v>
      </c>
      <c r="F1574" t="s">
        <v>27</v>
      </c>
      <c r="G1574" t="s">
        <v>35</v>
      </c>
      <c r="H1574" t="s">
        <v>58</v>
      </c>
      <c r="I1574" t="s">
        <v>65</v>
      </c>
      <c r="J1574">
        <v>25</v>
      </c>
      <c r="K1574">
        <v>1607.38</v>
      </c>
      <c r="L1574">
        <v>40184.449999999997</v>
      </c>
      <c r="M1574">
        <v>22656.57</v>
      </c>
      <c r="N1574">
        <v>3416.8</v>
      </c>
      <c r="O1574">
        <v>2420.7399999999998</v>
      </c>
      <c r="P1574">
        <v>1329.79</v>
      </c>
      <c r="Q1574">
        <v>716.25</v>
      </c>
      <c r="R1574">
        <v>2250.6</v>
      </c>
      <c r="S1574">
        <v>469.33</v>
      </c>
      <c r="T1574">
        <v>33260.080000000002</v>
      </c>
      <c r="U1574">
        <v>17527.88</v>
      </c>
      <c r="V1574">
        <v>6924.37</v>
      </c>
      <c r="W1574">
        <v>6902.07</v>
      </c>
      <c r="X1574">
        <v>38644.980000000003</v>
      </c>
      <c r="Y1574">
        <v>31037.360000000001</v>
      </c>
    </row>
    <row r="1575" spans="1:25" x14ac:dyDescent="0.25">
      <c r="A1575" t="s">
        <v>1631</v>
      </c>
      <c r="B1575" s="1">
        <v>45376</v>
      </c>
      <c r="C1575">
        <v>2024</v>
      </c>
      <c r="D1575">
        <v>3</v>
      </c>
      <c r="E1575" t="s">
        <v>260</v>
      </c>
      <c r="F1575" t="s">
        <v>27</v>
      </c>
      <c r="G1575" t="s">
        <v>55</v>
      </c>
      <c r="H1575" t="s">
        <v>53</v>
      </c>
      <c r="I1575" t="s">
        <v>39</v>
      </c>
      <c r="J1575">
        <v>45</v>
      </c>
      <c r="K1575">
        <v>1042.75</v>
      </c>
      <c r="L1575">
        <v>46923.91</v>
      </c>
      <c r="M1575">
        <v>26865.89</v>
      </c>
      <c r="N1575">
        <v>4510.0200000000004</v>
      </c>
      <c r="O1575">
        <v>2551.0500000000002</v>
      </c>
      <c r="P1575">
        <v>1093.1500000000001</v>
      </c>
      <c r="Q1575">
        <v>484.24</v>
      </c>
      <c r="R1575">
        <v>2723.05</v>
      </c>
      <c r="S1575">
        <v>1073.7</v>
      </c>
      <c r="T1575">
        <v>39301.11</v>
      </c>
      <c r="U1575">
        <v>20058.02</v>
      </c>
      <c r="V1575">
        <v>7622.81</v>
      </c>
      <c r="W1575">
        <v>7363.47</v>
      </c>
      <c r="X1575">
        <v>43571.34</v>
      </c>
      <c r="Y1575">
        <v>41004.550000000003</v>
      </c>
    </row>
    <row r="1576" spans="1:25" x14ac:dyDescent="0.25">
      <c r="A1576" t="s">
        <v>1632</v>
      </c>
      <c r="B1576" s="1">
        <v>45376</v>
      </c>
      <c r="C1576">
        <v>2024</v>
      </c>
      <c r="D1576">
        <v>3</v>
      </c>
      <c r="E1576" t="s">
        <v>260</v>
      </c>
      <c r="F1576" t="s">
        <v>27</v>
      </c>
      <c r="G1576" t="s">
        <v>55</v>
      </c>
      <c r="H1576" t="s">
        <v>32</v>
      </c>
      <c r="I1576" t="s">
        <v>30</v>
      </c>
      <c r="J1576">
        <v>146</v>
      </c>
      <c r="K1576">
        <v>938.66</v>
      </c>
      <c r="L1576">
        <v>137044.03</v>
      </c>
      <c r="M1576">
        <v>77500.61</v>
      </c>
      <c r="N1576">
        <v>17571</v>
      </c>
      <c r="O1576">
        <v>4904.33</v>
      </c>
      <c r="P1576">
        <v>5985.16</v>
      </c>
      <c r="Q1576">
        <v>971.61</v>
      </c>
      <c r="R1576">
        <v>6769.87</v>
      </c>
      <c r="S1576">
        <v>1602</v>
      </c>
      <c r="T1576">
        <v>115304.58</v>
      </c>
      <c r="U1576">
        <v>59543.42</v>
      </c>
      <c r="V1576">
        <v>21739.45</v>
      </c>
      <c r="W1576">
        <v>20823.62</v>
      </c>
      <c r="X1576">
        <v>128613.51</v>
      </c>
      <c r="Y1576">
        <v>119976.5</v>
      </c>
    </row>
    <row r="1577" spans="1:25" x14ac:dyDescent="0.25">
      <c r="A1577" t="s">
        <v>1633</v>
      </c>
      <c r="B1577" s="1">
        <v>45376</v>
      </c>
      <c r="C1577">
        <v>2024</v>
      </c>
      <c r="D1577">
        <v>3</v>
      </c>
      <c r="E1577" t="s">
        <v>260</v>
      </c>
      <c r="F1577" t="s">
        <v>27</v>
      </c>
      <c r="G1577" t="s">
        <v>35</v>
      </c>
      <c r="H1577" t="s">
        <v>32</v>
      </c>
      <c r="I1577" t="s">
        <v>39</v>
      </c>
      <c r="J1577">
        <v>24</v>
      </c>
      <c r="K1577">
        <v>1672.18</v>
      </c>
      <c r="L1577">
        <v>40132.25</v>
      </c>
      <c r="M1577">
        <v>19447.330000000002</v>
      </c>
      <c r="N1577">
        <v>4570.8999999999996</v>
      </c>
      <c r="O1577">
        <v>2786.57</v>
      </c>
      <c r="P1577">
        <v>1164.48</v>
      </c>
      <c r="Q1577">
        <v>365.78</v>
      </c>
      <c r="R1577">
        <v>1245.8399999999999</v>
      </c>
      <c r="S1577">
        <v>443.56</v>
      </c>
      <c r="T1577">
        <v>30024.47</v>
      </c>
      <c r="U1577">
        <v>20684.919999999998</v>
      </c>
      <c r="V1577">
        <v>10107.780000000001</v>
      </c>
      <c r="W1577">
        <v>9282.67</v>
      </c>
      <c r="X1577">
        <v>39807.96</v>
      </c>
      <c r="Y1577">
        <v>31572.78</v>
      </c>
    </row>
    <row r="1578" spans="1:25" x14ac:dyDescent="0.25">
      <c r="A1578" t="s">
        <v>1634</v>
      </c>
      <c r="B1578" s="1">
        <v>45376</v>
      </c>
      <c r="C1578">
        <v>2024</v>
      </c>
      <c r="D1578">
        <v>3</v>
      </c>
      <c r="E1578" t="s">
        <v>260</v>
      </c>
      <c r="F1578" t="s">
        <v>27</v>
      </c>
      <c r="G1578" t="s">
        <v>35</v>
      </c>
      <c r="H1578" t="s">
        <v>36</v>
      </c>
      <c r="I1578" t="s">
        <v>37</v>
      </c>
      <c r="J1578">
        <v>54</v>
      </c>
      <c r="K1578">
        <v>1176.93</v>
      </c>
      <c r="L1578">
        <v>63554.25</v>
      </c>
      <c r="M1578">
        <v>31793.759999999998</v>
      </c>
      <c r="N1578">
        <v>7343.86</v>
      </c>
      <c r="O1578">
        <v>2195.12</v>
      </c>
      <c r="P1578">
        <v>2020.69</v>
      </c>
      <c r="Q1578">
        <v>614.73</v>
      </c>
      <c r="R1578">
        <v>2550.16</v>
      </c>
      <c r="S1578">
        <v>883.22</v>
      </c>
      <c r="T1578">
        <v>47401.53</v>
      </c>
      <c r="U1578">
        <v>31760.5</v>
      </c>
      <c r="V1578">
        <v>16152.72</v>
      </c>
      <c r="W1578">
        <v>14399.46</v>
      </c>
      <c r="X1578">
        <v>70308.33</v>
      </c>
      <c r="Y1578">
        <v>48899.03</v>
      </c>
    </row>
    <row r="1579" spans="1:25" x14ac:dyDescent="0.25">
      <c r="A1579" t="s">
        <v>1635</v>
      </c>
      <c r="B1579" s="1">
        <v>45376</v>
      </c>
      <c r="C1579">
        <v>2024</v>
      </c>
      <c r="D1579">
        <v>3</v>
      </c>
      <c r="E1579" t="s">
        <v>260</v>
      </c>
      <c r="F1579" t="s">
        <v>27</v>
      </c>
      <c r="G1579" t="s">
        <v>55</v>
      </c>
      <c r="H1579" t="s">
        <v>36</v>
      </c>
      <c r="I1579" t="s">
        <v>45</v>
      </c>
      <c r="J1579">
        <v>44</v>
      </c>
      <c r="K1579">
        <v>1398.43</v>
      </c>
      <c r="L1579">
        <v>61531.03</v>
      </c>
      <c r="M1579">
        <v>30913.53</v>
      </c>
      <c r="N1579">
        <v>6694.19</v>
      </c>
      <c r="O1579">
        <v>4471.16</v>
      </c>
      <c r="P1579">
        <v>1200.0899999999999</v>
      </c>
      <c r="Q1579">
        <v>1034.75</v>
      </c>
      <c r="R1579">
        <v>3011.04</v>
      </c>
      <c r="S1579">
        <v>1192.56</v>
      </c>
      <c r="T1579">
        <v>48517.33</v>
      </c>
      <c r="U1579">
        <v>30617.49</v>
      </c>
      <c r="V1579">
        <v>13013.7</v>
      </c>
      <c r="W1579">
        <v>11666.79</v>
      </c>
      <c r="X1579">
        <v>56853.87</v>
      </c>
      <c r="Y1579">
        <v>48498.07</v>
      </c>
    </row>
    <row r="1580" spans="1:25" x14ac:dyDescent="0.25">
      <c r="A1580" t="s">
        <v>1636</v>
      </c>
      <c r="B1580" s="1">
        <v>45377</v>
      </c>
      <c r="C1580">
        <v>2024</v>
      </c>
      <c r="D1580">
        <v>3</v>
      </c>
      <c r="E1580" t="s">
        <v>260</v>
      </c>
      <c r="F1580" t="s">
        <v>27</v>
      </c>
      <c r="G1580" t="s">
        <v>28</v>
      </c>
      <c r="H1580" t="s">
        <v>58</v>
      </c>
      <c r="I1580" t="s">
        <v>30</v>
      </c>
      <c r="J1580">
        <v>44</v>
      </c>
      <c r="K1580">
        <v>1567.72</v>
      </c>
      <c r="L1580">
        <v>68979.67</v>
      </c>
      <c r="M1580">
        <v>42874.86</v>
      </c>
      <c r="N1580">
        <v>7661.22</v>
      </c>
      <c r="O1580">
        <v>2199.1</v>
      </c>
      <c r="P1580">
        <v>1376.43</v>
      </c>
      <c r="Q1580">
        <v>984</v>
      </c>
      <c r="R1580">
        <v>2127.27</v>
      </c>
      <c r="S1580">
        <v>1115.8699999999999</v>
      </c>
      <c r="T1580">
        <v>58338.76</v>
      </c>
      <c r="U1580">
        <v>26104.82</v>
      </c>
      <c r="V1580">
        <v>10640.91</v>
      </c>
      <c r="W1580">
        <v>9432.1200000000008</v>
      </c>
      <c r="X1580">
        <v>70239.67</v>
      </c>
      <c r="Y1580">
        <v>55310.59</v>
      </c>
    </row>
    <row r="1581" spans="1:25" x14ac:dyDescent="0.25">
      <c r="A1581" t="s">
        <v>1637</v>
      </c>
      <c r="B1581" s="1">
        <v>45378</v>
      </c>
      <c r="C1581">
        <v>2024</v>
      </c>
      <c r="D1581">
        <v>3</v>
      </c>
      <c r="E1581" t="s">
        <v>260</v>
      </c>
      <c r="F1581" t="s">
        <v>27</v>
      </c>
      <c r="G1581" t="s">
        <v>55</v>
      </c>
      <c r="H1581" t="s">
        <v>53</v>
      </c>
      <c r="I1581" t="s">
        <v>33</v>
      </c>
      <c r="J1581">
        <v>57</v>
      </c>
      <c r="K1581">
        <v>1592.74</v>
      </c>
      <c r="L1581">
        <v>90786.09</v>
      </c>
      <c r="M1581">
        <v>51580.15</v>
      </c>
      <c r="N1581">
        <v>7503.3</v>
      </c>
      <c r="O1581">
        <v>5358.51</v>
      </c>
      <c r="P1581">
        <v>2921.76</v>
      </c>
      <c r="Q1581">
        <v>507.92</v>
      </c>
      <c r="R1581">
        <v>5763.92</v>
      </c>
      <c r="S1581">
        <v>1179.1600000000001</v>
      </c>
      <c r="T1581">
        <v>74814.720000000001</v>
      </c>
      <c r="U1581">
        <v>39205.94</v>
      </c>
      <c r="V1581">
        <v>15971.37</v>
      </c>
      <c r="W1581">
        <v>14402.24</v>
      </c>
      <c r="X1581">
        <v>84615.82</v>
      </c>
      <c r="Y1581">
        <v>71341.05</v>
      </c>
    </row>
    <row r="1582" spans="1:25" x14ac:dyDescent="0.25">
      <c r="A1582" t="s">
        <v>1638</v>
      </c>
      <c r="B1582" s="1">
        <v>45378</v>
      </c>
      <c r="C1582">
        <v>2024</v>
      </c>
      <c r="D1582">
        <v>3</v>
      </c>
      <c r="E1582" t="s">
        <v>260</v>
      </c>
      <c r="F1582" t="s">
        <v>27</v>
      </c>
      <c r="G1582" t="s">
        <v>44</v>
      </c>
      <c r="H1582" t="s">
        <v>29</v>
      </c>
      <c r="I1582" t="s">
        <v>37</v>
      </c>
      <c r="J1582">
        <v>44</v>
      </c>
      <c r="K1582">
        <v>1227.68</v>
      </c>
      <c r="L1582">
        <v>54017.71</v>
      </c>
      <c r="M1582">
        <v>29374.76</v>
      </c>
      <c r="N1582">
        <v>6328.52</v>
      </c>
      <c r="O1582">
        <v>3228.08</v>
      </c>
      <c r="P1582">
        <v>2353.83</v>
      </c>
      <c r="Q1582">
        <v>566.16</v>
      </c>
      <c r="R1582">
        <v>1669.57</v>
      </c>
      <c r="S1582">
        <v>489.9</v>
      </c>
      <c r="T1582">
        <v>44010.83</v>
      </c>
      <c r="U1582">
        <v>24642.94</v>
      </c>
      <c r="V1582">
        <v>10006.879999999999</v>
      </c>
      <c r="W1582">
        <v>8901.8700000000008</v>
      </c>
      <c r="X1582">
        <v>59628.57</v>
      </c>
      <c r="Y1582">
        <v>45353.29</v>
      </c>
    </row>
    <row r="1583" spans="1:25" x14ac:dyDescent="0.25">
      <c r="A1583" t="s">
        <v>1639</v>
      </c>
      <c r="B1583" s="1">
        <v>45378</v>
      </c>
      <c r="C1583">
        <v>2024</v>
      </c>
      <c r="D1583">
        <v>3</v>
      </c>
      <c r="E1583" t="s">
        <v>260</v>
      </c>
      <c r="F1583" t="s">
        <v>27</v>
      </c>
      <c r="G1583" t="s">
        <v>55</v>
      </c>
      <c r="H1583" t="s">
        <v>29</v>
      </c>
      <c r="I1583" t="s">
        <v>50</v>
      </c>
      <c r="J1583">
        <v>36</v>
      </c>
      <c r="K1583">
        <v>1542.63</v>
      </c>
      <c r="L1583">
        <v>55534.82</v>
      </c>
      <c r="M1583">
        <v>27772.59</v>
      </c>
      <c r="N1583">
        <v>5559.18</v>
      </c>
      <c r="O1583">
        <v>2134.92</v>
      </c>
      <c r="P1583">
        <v>1915.44</v>
      </c>
      <c r="Q1583">
        <v>895.84</v>
      </c>
      <c r="R1583">
        <v>1811.61</v>
      </c>
      <c r="S1583">
        <v>505.54</v>
      </c>
      <c r="T1583">
        <v>40595.120000000003</v>
      </c>
      <c r="U1583">
        <v>27762.23</v>
      </c>
      <c r="V1583">
        <v>14939.71</v>
      </c>
      <c r="W1583">
        <v>14174.16</v>
      </c>
      <c r="X1583">
        <v>55584.92</v>
      </c>
      <c r="Y1583">
        <v>41195.01</v>
      </c>
    </row>
    <row r="1584" spans="1:25" x14ac:dyDescent="0.25">
      <c r="A1584" t="s">
        <v>1640</v>
      </c>
      <c r="B1584" s="1">
        <v>45379</v>
      </c>
      <c r="C1584">
        <v>2024</v>
      </c>
      <c r="D1584">
        <v>3</v>
      </c>
      <c r="E1584" t="s">
        <v>260</v>
      </c>
      <c r="F1584" t="s">
        <v>27</v>
      </c>
      <c r="G1584" t="s">
        <v>44</v>
      </c>
      <c r="H1584" t="s">
        <v>32</v>
      </c>
      <c r="I1584" t="s">
        <v>56</v>
      </c>
      <c r="J1584">
        <v>24</v>
      </c>
      <c r="K1584">
        <v>1776.6</v>
      </c>
      <c r="L1584">
        <v>42638.47</v>
      </c>
      <c r="M1584">
        <v>21336.97</v>
      </c>
      <c r="N1584">
        <v>4207.82</v>
      </c>
      <c r="O1584">
        <v>1326.34</v>
      </c>
      <c r="P1584">
        <v>1245.9000000000001</v>
      </c>
      <c r="Q1584">
        <v>570.59</v>
      </c>
      <c r="R1584">
        <v>2492.02</v>
      </c>
      <c r="S1584">
        <v>514.39</v>
      </c>
      <c r="T1584">
        <v>31694.04</v>
      </c>
      <c r="U1584">
        <v>21301.5</v>
      </c>
      <c r="V1584">
        <v>10944.43</v>
      </c>
      <c r="W1584">
        <v>11113.02</v>
      </c>
      <c r="X1584">
        <v>44528.75</v>
      </c>
      <c r="Y1584">
        <v>31090.82</v>
      </c>
    </row>
    <row r="1585" spans="1:25" x14ac:dyDescent="0.25">
      <c r="A1585" t="s">
        <v>1641</v>
      </c>
      <c r="B1585" s="1">
        <v>45379</v>
      </c>
      <c r="C1585">
        <v>2024</v>
      </c>
      <c r="D1585">
        <v>3</v>
      </c>
      <c r="E1585" t="s">
        <v>260</v>
      </c>
      <c r="F1585" t="s">
        <v>27</v>
      </c>
      <c r="G1585" t="s">
        <v>44</v>
      </c>
      <c r="H1585" t="s">
        <v>32</v>
      </c>
      <c r="I1585" t="s">
        <v>50</v>
      </c>
      <c r="J1585">
        <v>33</v>
      </c>
      <c r="K1585">
        <v>1334.45</v>
      </c>
      <c r="L1585">
        <v>44036.93</v>
      </c>
      <c r="M1585">
        <v>24323.29</v>
      </c>
      <c r="N1585">
        <v>3199.28</v>
      </c>
      <c r="O1585">
        <v>2888.34</v>
      </c>
      <c r="P1585">
        <v>1114.75</v>
      </c>
      <c r="Q1585">
        <v>502.48</v>
      </c>
      <c r="R1585">
        <v>1430.59</v>
      </c>
      <c r="S1585">
        <v>1096.8499999999999</v>
      </c>
      <c r="T1585">
        <v>34555.57</v>
      </c>
      <c r="U1585">
        <v>19713.64</v>
      </c>
      <c r="V1585">
        <v>9481.36</v>
      </c>
      <c r="W1585">
        <v>9492.9699999999993</v>
      </c>
      <c r="X1585">
        <v>44147.199999999997</v>
      </c>
      <c r="Y1585">
        <v>35981.54</v>
      </c>
    </row>
    <row r="1586" spans="1:25" x14ac:dyDescent="0.25">
      <c r="A1586" t="s">
        <v>1642</v>
      </c>
      <c r="B1586" s="1">
        <v>45379</v>
      </c>
      <c r="C1586">
        <v>2024</v>
      </c>
      <c r="D1586">
        <v>3</v>
      </c>
      <c r="E1586" t="s">
        <v>260</v>
      </c>
      <c r="F1586" t="s">
        <v>27</v>
      </c>
      <c r="G1586" t="s">
        <v>28</v>
      </c>
      <c r="H1586" t="s">
        <v>32</v>
      </c>
      <c r="I1586" t="s">
        <v>45</v>
      </c>
      <c r="J1586">
        <v>65</v>
      </c>
      <c r="K1586">
        <v>919</v>
      </c>
      <c r="L1586">
        <v>59734.99</v>
      </c>
      <c r="M1586">
        <v>38117.040000000001</v>
      </c>
      <c r="N1586">
        <v>6626.97</v>
      </c>
      <c r="O1586">
        <v>2948.05</v>
      </c>
      <c r="P1586">
        <v>1106.28</v>
      </c>
      <c r="Q1586">
        <v>301.51</v>
      </c>
      <c r="R1586">
        <v>2152.08</v>
      </c>
      <c r="S1586">
        <v>556.21</v>
      </c>
      <c r="T1586">
        <v>51808.13</v>
      </c>
      <c r="U1586">
        <v>21617.95</v>
      </c>
      <c r="V1586">
        <v>7926.86</v>
      </c>
      <c r="W1586">
        <v>7630.78</v>
      </c>
      <c r="X1586">
        <v>55564.12</v>
      </c>
      <c r="Y1586">
        <v>49887.7</v>
      </c>
    </row>
    <row r="1587" spans="1:25" x14ac:dyDescent="0.25">
      <c r="A1587" t="s">
        <v>1643</v>
      </c>
      <c r="B1587" s="1">
        <v>45379</v>
      </c>
      <c r="C1587">
        <v>2024</v>
      </c>
      <c r="D1587">
        <v>3</v>
      </c>
      <c r="E1587" t="s">
        <v>260</v>
      </c>
      <c r="F1587" t="s">
        <v>27</v>
      </c>
      <c r="G1587" t="s">
        <v>35</v>
      </c>
      <c r="H1587" t="s">
        <v>36</v>
      </c>
      <c r="I1587" t="s">
        <v>37</v>
      </c>
      <c r="J1587">
        <v>48</v>
      </c>
      <c r="K1587">
        <v>1163.6099999999999</v>
      </c>
      <c r="L1587">
        <v>55853.42</v>
      </c>
      <c r="M1587">
        <v>31646.31</v>
      </c>
      <c r="N1587">
        <v>4417.4799999999996</v>
      </c>
      <c r="O1587">
        <v>2110.7800000000002</v>
      </c>
      <c r="P1587">
        <v>1915.7</v>
      </c>
      <c r="Q1587">
        <v>947.74</v>
      </c>
      <c r="R1587">
        <v>3521.67</v>
      </c>
      <c r="S1587">
        <v>1207.93</v>
      </c>
      <c r="T1587">
        <v>45767.6</v>
      </c>
      <c r="U1587">
        <v>24207.11</v>
      </c>
      <c r="V1587">
        <v>10085.81</v>
      </c>
      <c r="W1587">
        <v>9495.89</v>
      </c>
      <c r="X1587">
        <v>52102.86</v>
      </c>
      <c r="Y1587">
        <v>46419.61</v>
      </c>
    </row>
    <row r="1588" spans="1:25" x14ac:dyDescent="0.25">
      <c r="A1588" t="s">
        <v>1644</v>
      </c>
      <c r="B1588" s="1">
        <v>45379</v>
      </c>
      <c r="C1588">
        <v>2024</v>
      </c>
      <c r="D1588">
        <v>3</v>
      </c>
      <c r="E1588" t="s">
        <v>260</v>
      </c>
      <c r="F1588" t="s">
        <v>27</v>
      </c>
      <c r="G1588" t="s">
        <v>28</v>
      </c>
      <c r="H1588" t="s">
        <v>29</v>
      </c>
      <c r="I1588" t="s">
        <v>37</v>
      </c>
      <c r="J1588">
        <v>44</v>
      </c>
      <c r="K1588">
        <v>1383.24</v>
      </c>
      <c r="L1588">
        <v>60862.37</v>
      </c>
      <c r="M1588">
        <v>33884.36</v>
      </c>
      <c r="N1588">
        <v>7166.59</v>
      </c>
      <c r="O1588">
        <v>4540.3599999999997</v>
      </c>
      <c r="P1588">
        <v>2684.73</v>
      </c>
      <c r="Q1588">
        <v>654.07000000000005</v>
      </c>
      <c r="R1588">
        <v>2882.6</v>
      </c>
      <c r="S1588">
        <v>516.32000000000005</v>
      </c>
      <c r="T1588">
        <v>52329.03</v>
      </c>
      <c r="U1588">
        <v>26978.01</v>
      </c>
      <c r="V1588">
        <v>8533.34</v>
      </c>
      <c r="W1588">
        <v>8363.89</v>
      </c>
      <c r="X1588">
        <v>58199.27</v>
      </c>
      <c r="Y1588">
        <v>53030.5</v>
      </c>
    </row>
    <row r="1589" spans="1:25" x14ac:dyDescent="0.25">
      <c r="A1589" t="s">
        <v>1645</v>
      </c>
      <c r="B1589" s="1">
        <v>45379</v>
      </c>
      <c r="C1589">
        <v>2024</v>
      </c>
      <c r="D1589">
        <v>3</v>
      </c>
      <c r="E1589" t="s">
        <v>260</v>
      </c>
      <c r="F1589" t="s">
        <v>27</v>
      </c>
      <c r="G1589" t="s">
        <v>28</v>
      </c>
      <c r="H1589" t="s">
        <v>32</v>
      </c>
      <c r="I1589" t="s">
        <v>56</v>
      </c>
      <c r="J1589">
        <v>23</v>
      </c>
      <c r="K1589">
        <v>1518.39</v>
      </c>
      <c r="L1589">
        <v>34922.92</v>
      </c>
      <c r="M1589">
        <v>22822.69</v>
      </c>
      <c r="N1589">
        <v>2716.02</v>
      </c>
      <c r="O1589">
        <v>1851.63</v>
      </c>
      <c r="P1589">
        <v>1444</v>
      </c>
      <c r="Q1589">
        <v>324.66000000000003</v>
      </c>
      <c r="R1589">
        <v>1049.33</v>
      </c>
      <c r="S1589">
        <v>621.48</v>
      </c>
      <c r="T1589">
        <v>30829.82</v>
      </c>
      <c r="U1589">
        <v>12100.23</v>
      </c>
      <c r="V1589">
        <v>4093.1</v>
      </c>
      <c r="W1589">
        <v>3649.5</v>
      </c>
      <c r="X1589">
        <v>34358.68</v>
      </c>
      <c r="Y1589">
        <v>31720.26</v>
      </c>
    </row>
    <row r="1590" spans="1:25" x14ac:dyDescent="0.25">
      <c r="A1590" t="s">
        <v>1646</v>
      </c>
      <c r="B1590" s="1">
        <v>45380</v>
      </c>
      <c r="C1590">
        <v>2024</v>
      </c>
      <c r="D1590">
        <v>3</v>
      </c>
      <c r="E1590" t="s">
        <v>260</v>
      </c>
      <c r="F1590" t="s">
        <v>27</v>
      </c>
      <c r="G1590" t="s">
        <v>55</v>
      </c>
      <c r="H1590" t="s">
        <v>32</v>
      </c>
      <c r="I1590" t="s">
        <v>30</v>
      </c>
      <c r="J1590">
        <v>64</v>
      </c>
      <c r="K1590">
        <v>1728.26</v>
      </c>
      <c r="L1590">
        <v>110608.45</v>
      </c>
      <c r="M1590">
        <v>61913.42</v>
      </c>
      <c r="N1590">
        <v>10944.93</v>
      </c>
      <c r="O1590">
        <v>5998.56</v>
      </c>
      <c r="P1590">
        <v>3249.07</v>
      </c>
      <c r="Q1590">
        <v>1916.9</v>
      </c>
      <c r="R1590">
        <v>3282.22</v>
      </c>
      <c r="S1590">
        <v>1899.27</v>
      </c>
      <c r="T1590">
        <v>89204.37</v>
      </c>
      <c r="U1590">
        <v>48695.03</v>
      </c>
      <c r="V1590">
        <v>21404.080000000002</v>
      </c>
      <c r="W1590">
        <v>19717.09</v>
      </c>
      <c r="X1590">
        <v>102475.68</v>
      </c>
      <c r="Y1590">
        <v>88160.17</v>
      </c>
    </row>
    <row r="1591" spans="1:25" x14ac:dyDescent="0.25">
      <c r="A1591" t="s">
        <v>1647</v>
      </c>
      <c r="B1591" s="1">
        <v>45380</v>
      </c>
      <c r="C1591">
        <v>2024</v>
      </c>
      <c r="D1591">
        <v>3</v>
      </c>
      <c r="E1591" t="s">
        <v>260</v>
      </c>
      <c r="F1591" t="s">
        <v>27</v>
      </c>
      <c r="G1591" t="s">
        <v>35</v>
      </c>
      <c r="H1591" t="s">
        <v>32</v>
      </c>
      <c r="I1591" t="s">
        <v>30</v>
      </c>
      <c r="J1591">
        <v>69</v>
      </c>
      <c r="K1591">
        <v>1593.31</v>
      </c>
      <c r="L1591">
        <v>109938.05</v>
      </c>
      <c r="M1591">
        <v>57061.21</v>
      </c>
      <c r="N1591">
        <v>12710.98</v>
      </c>
      <c r="O1591">
        <v>7821.26</v>
      </c>
      <c r="P1591">
        <v>3759.66</v>
      </c>
      <c r="Q1591">
        <v>951.68</v>
      </c>
      <c r="R1591">
        <v>5987.45</v>
      </c>
      <c r="S1591">
        <v>2108.75</v>
      </c>
      <c r="T1591">
        <v>90400.99</v>
      </c>
      <c r="U1591">
        <v>52876.84</v>
      </c>
      <c r="V1591">
        <v>19537.060000000001</v>
      </c>
      <c r="W1591">
        <v>17444.87</v>
      </c>
      <c r="X1591">
        <v>110458.73</v>
      </c>
      <c r="Y1591">
        <v>87024.85</v>
      </c>
    </row>
    <row r="1592" spans="1:25" x14ac:dyDescent="0.25">
      <c r="A1592" t="s">
        <v>1648</v>
      </c>
      <c r="B1592" s="1">
        <v>45380</v>
      </c>
      <c r="C1592">
        <v>2024</v>
      </c>
      <c r="D1592">
        <v>3</v>
      </c>
      <c r="E1592" t="s">
        <v>260</v>
      </c>
      <c r="F1592" t="s">
        <v>27</v>
      </c>
      <c r="G1592" t="s">
        <v>44</v>
      </c>
      <c r="H1592" t="s">
        <v>58</v>
      </c>
      <c r="I1592" t="s">
        <v>39</v>
      </c>
      <c r="J1592">
        <v>19</v>
      </c>
      <c r="K1592">
        <v>1699.74</v>
      </c>
      <c r="L1592">
        <v>32295.09</v>
      </c>
      <c r="M1592">
        <v>18828.66</v>
      </c>
      <c r="N1592">
        <v>3036.62</v>
      </c>
      <c r="O1592">
        <v>840.2</v>
      </c>
      <c r="P1592">
        <v>1127.92</v>
      </c>
      <c r="Q1592">
        <v>173.09</v>
      </c>
      <c r="R1592">
        <v>1767.67</v>
      </c>
      <c r="S1592">
        <v>694.34</v>
      </c>
      <c r="T1592">
        <v>26468.51</v>
      </c>
      <c r="U1592">
        <v>13466.43</v>
      </c>
      <c r="V1592">
        <v>5826.58</v>
      </c>
      <c r="W1592">
        <v>5298.29</v>
      </c>
      <c r="X1592">
        <v>33980.86</v>
      </c>
      <c r="Y1592">
        <v>26504.07</v>
      </c>
    </row>
    <row r="1593" spans="1:25" x14ac:dyDescent="0.25">
      <c r="A1593" t="s">
        <v>1649</v>
      </c>
      <c r="B1593" s="1">
        <v>45380</v>
      </c>
      <c r="C1593">
        <v>2024</v>
      </c>
      <c r="D1593">
        <v>3</v>
      </c>
      <c r="E1593" t="s">
        <v>260</v>
      </c>
      <c r="F1593" t="s">
        <v>27</v>
      </c>
      <c r="G1593" t="s">
        <v>55</v>
      </c>
      <c r="H1593" t="s">
        <v>32</v>
      </c>
      <c r="I1593" t="s">
        <v>33</v>
      </c>
      <c r="J1593">
        <v>71</v>
      </c>
      <c r="K1593">
        <v>1158.94</v>
      </c>
      <c r="L1593">
        <v>82284.83</v>
      </c>
      <c r="M1593">
        <v>53114.89</v>
      </c>
      <c r="N1593">
        <v>10206.11</v>
      </c>
      <c r="O1593">
        <v>3349.79</v>
      </c>
      <c r="P1593">
        <v>1603.56</v>
      </c>
      <c r="Q1593">
        <v>1047.8</v>
      </c>
      <c r="R1593">
        <v>2612.83</v>
      </c>
      <c r="S1593">
        <v>820.38</v>
      </c>
      <c r="T1593">
        <v>72755.38</v>
      </c>
      <c r="U1593">
        <v>29169.93</v>
      </c>
      <c r="V1593">
        <v>9529.4500000000007</v>
      </c>
      <c r="W1593">
        <v>9131.9</v>
      </c>
      <c r="X1593">
        <v>78018.720000000001</v>
      </c>
      <c r="Y1593">
        <v>68042.509999999995</v>
      </c>
    </row>
    <row r="1594" spans="1:25" x14ac:dyDescent="0.25">
      <c r="A1594" t="s">
        <v>1650</v>
      </c>
      <c r="B1594" s="1">
        <v>45381</v>
      </c>
      <c r="C1594">
        <v>2024</v>
      </c>
      <c r="D1594">
        <v>3</v>
      </c>
      <c r="E1594" t="s">
        <v>260</v>
      </c>
      <c r="F1594" t="s">
        <v>27</v>
      </c>
      <c r="G1594" t="s">
        <v>55</v>
      </c>
      <c r="H1594" t="s">
        <v>32</v>
      </c>
      <c r="I1594" t="s">
        <v>50</v>
      </c>
      <c r="J1594">
        <v>67</v>
      </c>
      <c r="K1594">
        <v>1226.01</v>
      </c>
      <c r="L1594">
        <v>82142.78</v>
      </c>
      <c r="M1594">
        <v>44502.36</v>
      </c>
      <c r="N1594">
        <v>6523.12</v>
      </c>
      <c r="O1594">
        <v>5127.7299999999996</v>
      </c>
      <c r="P1594">
        <v>1239.74</v>
      </c>
      <c r="Q1594">
        <v>497.63</v>
      </c>
      <c r="R1594">
        <v>2769.23</v>
      </c>
      <c r="S1594">
        <v>1979.44</v>
      </c>
      <c r="T1594">
        <v>62639.25</v>
      </c>
      <c r="U1594">
        <v>37640.42</v>
      </c>
      <c r="V1594">
        <v>19503.53</v>
      </c>
      <c r="W1594">
        <v>17690.63</v>
      </c>
      <c r="X1594">
        <v>83322.28</v>
      </c>
      <c r="Y1594">
        <v>62630.93</v>
      </c>
    </row>
    <row r="1595" spans="1:25" x14ac:dyDescent="0.25">
      <c r="A1595" t="s">
        <v>1651</v>
      </c>
      <c r="B1595" s="1">
        <v>45381</v>
      </c>
      <c r="C1595">
        <v>2024</v>
      </c>
      <c r="D1595">
        <v>3</v>
      </c>
      <c r="E1595" t="s">
        <v>260</v>
      </c>
      <c r="F1595" t="s">
        <v>27</v>
      </c>
      <c r="G1595" t="s">
        <v>55</v>
      </c>
      <c r="H1595" t="s">
        <v>36</v>
      </c>
      <c r="I1595" t="s">
        <v>33</v>
      </c>
      <c r="J1595">
        <v>53</v>
      </c>
      <c r="K1595">
        <v>1661.47</v>
      </c>
      <c r="L1595">
        <v>88057.86</v>
      </c>
      <c r="M1595">
        <v>48344.29</v>
      </c>
      <c r="N1595">
        <v>7270.24</v>
      </c>
      <c r="O1595">
        <v>6362.38</v>
      </c>
      <c r="P1595">
        <v>1539</v>
      </c>
      <c r="Q1595">
        <v>564.22</v>
      </c>
      <c r="R1595">
        <v>4173.46</v>
      </c>
      <c r="S1595">
        <v>1201.3900000000001</v>
      </c>
      <c r="T1595">
        <v>69454.98</v>
      </c>
      <c r="U1595">
        <v>39713.57</v>
      </c>
      <c r="V1595">
        <v>18602.88</v>
      </c>
      <c r="W1595">
        <v>16401.259999999998</v>
      </c>
      <c r="X1595">
        <v>83232.17</v>
      </c>
      <c r="Y1595">
        <v>66808.12</v>
      </c>
    </row>
    <row r="1596" spans="1:25" x14ac:dyDescent="0.25">
      <c r="A1596" t="s">
        <v>1652</v>
      </c>
      <c r="B1596" s="1">
        <v>45381</v>
      </c>
      <c r="C1596">
        <v>2024</v>
      </c>
      <c r="D1596">
        <v>3</v>
      </c>
      <c r="E1596" t="s">
        <v>260</v>
      </c>
      <c r="F1596" t="s">
        <v>27</v>
      </c>
      <c r="G1596" t="s">
        <v>35</v>
      </c>
      <c r="H1596" t="s">
        <v>32</v>
      </c>
      <c r="I1596" t="s">
        <v>56</v>
      </c>
      <c r="J1596">
        <v>30</v>
      </c>
      <c r="K1596">
        <v>1556.25</v>
      </c>
      <c r="L1596">
        <v>46687.41</v>
      </c>
      <c r="M1596">
        <v>29214.26</v>
      </c>
      <c r="N1596">
        <v>5654.05</v>
      </c>
      <c r="O1596">
        <v>3304.05</v>
      </c>
      <c r="P1596">
        <v>1128.8699999999999</v>
      </c>
      <c r="Q1596">
        <v>502.96</v>
      </c>
      <c r="R1596">
        <v>2738.92</v>
      </c>
      <c r="S1596">
        <v>442.78</v>
      </c>
      <c r="T1596">
        <v>42985.88</v>
      </c>
      <c r="U1596">
        <v>17473.150000000001</v>
      </c>
      <c r="V1596">
        <v>3701.53</v>
      </c>
      <c r="W1596">
        <v>3695.89</v>
      </c>
      <c r="X1596">
        <v>44853.8</v>
      </c>
      <c r="Y1596">
        <v>40245.410000000003</v>
      </c>
    </row>
    <row r="1597" spans="1:25" x14ac:dyDescent="0.25">
      <c r="A1597" t="s">
        <v>1653</v>
      </c>
      <c r="B1597" s="1">
        <v>45381</v>
      </c>
      <c r="C1597">
        <v>2024</v>
      </c>
      <c r="D1597">
        <v>3</v>
      </c>
      <c r="E1597" t="s">
        <v>260</v>
      </c>
      <c r="F1597" t="s">
        <v>27</v>
      </c>
      <c r="G1597" t="s">
        <v>44</v>
      </c>
      <c r="H1597" t="s">
        <v>53</v>
      </c>
      <c r="I1597" t="s">
        <v>50</v>
      </c>
      <c r="J1597">
        <v>40</v>
      </c>
      <c r="K1597">
        <v>1100.1300000000001</v>
      </c>
      <c r="L1597">
        <v>44005.21</v>
      </c>
      <c r="M1597">
        <v>27332.54</v>
      </c>
      <c r="N1597">
        <v>5143.6000000000004</v>
      </c>
      <c r="O1597">
        <v>3002.66</v>
      </c>
      <c r="P1597">
        <v>1952.85</v>
      </c>
      <c r="Q1597">
        <v>563.42999999999995</v>
      </c>
      <c r="R1597">
        <v>1830.2</v>
      </c>
      <c r="S1597">
        <v>1043.29</v>
      </c>
      <c r="T1597">
        <v>40868.57</v>
      </c>
      <c r="U1597">
        <v>16672.669999999998</v>
      </c>
      <c r="V1597">
        <v>3136.64</v>
      </c>
      <c r="W1597">
        <v>2940.32</v>
      </c>
      <c r="X1597">
        <v>44085.46</v>
      </c>
      <c r="Y1597">
        <v>40601.75</v>
      </c>
    </row>
    <row r="1598" spans="1:25" x14ac:dyDescent="0.25">
      <c r="A1598" t="s">
        <v>1654</v>
      </c>
      <c r="B1598" s="1">
        <v>45381</v>
      </c>
      <c r="C1598">
        <v>2024</v>
      </c>
      <c r="D1598">
        <v>3</v>
      </c>
      <c r="E1598" t="s">
        <v>260</v>
      </c>
      <c r="F1598" t="s">
        <v>27</v>
      </c>
      <c r="G1598" t="s">
        <v>28</v>
      </c>
      <c r="H1598" t="s">
        <v>32</v>
      </c>
      <c r="I1598" t="s">
        <v>50</v>
      </c>
      <c r="J1598">
        <v>50</v>
      </c>
      <c r="K1598">
        <v>1543.16</v>
      </c>
      <c r="L1598">
        <v>77157.87</v>
      </c>
      <c r="M1598">
        <v>39331.629999999997</v>
      </c>
      <c r="N1598">
        <v>7932.77</v>
      </c>
      <c r="O1598">
        <v>2262.2199999999998</v>
      </c>
      <c r="P1598">
        <v>2888.67</v>
      </c>
      <c r="Q1598">
        <v>885.44</v>
      </c>
      <c r="R1598">
        <v>3377.24</v>
      </c>
      <c r="S1598">
        <v>990.17</v>
      </c>
      <c r="T1598">
        <v>57668.15</v>
      </c>
      <c r="U1598">
        <v>37826.239999999998</v>
      </c>
      <c r="V1598">
        <v>19489.72</v>
      </c>
      <c r="W1598">
        <v>17717.18</v>
      </c>
      <c r="X1598">
        <v>83167.98</v>
      </c>
      <c r="Y1598">
        <v>55891.88</v>
      </c>
    </row>
    <row r="1599" spans="1:25" x14ac:dyDescent="0.25">
      <c r="A1599" t="s">
        <v>1655</v>
      </c>
      <c r="B1599" s="1">
        <v>45381</v>
      </c>
      <c r="C1599">
        <v>2024</v>
      </c>
      <c r="D1599">
        <v>3</v>
      </c>
      <c r="E1599" t="s">
        <v>260</v>
      </c>
      <c r="F1599" t="s">
        <v>27</v>
      </c>
      <c r="G1599" t="s">
        <v>35</v>
      </c>
      <c r="H1599" t="s">
        <v>32</v>
      </c>
      <c r="I1599" t="s">
        <v>37</v>
      </c>
      <c r="J1599">
        <v>54</v>
      </c>
      <c r="K1599">
        <v>1129.19</v>
      </c>
      <c r="L1599">
        <v>60976.42</v>
      </c>
      <c r="M1599">
        <v>31151.31</v>
      </c>
      <c r="N1599">
        <v>5459.25</v>
      </c>
      <c r="O1599">
        <v>3042.13</v>
      </c>
      <c r="P1599">
        <v>1548.46</v>
      </c>
      <c r="Q1599">
        <v>600.71</v>
      </c>
      <c r="R1599">
        <v>3349.04</v>
      </c>
      <c r="S1599">
        <v>1402.33</v>
      </c>
      <c r="T1599">
        <v>46553.23</v>
      </c>
      <c r="U1599">
        <v>29825.11</v>
      </c>
      <c r="V1599">
        <v>14423.19</v>
      </c>
      <c r="W1599">
        <v>13268.54</v>
      </c>
      <c r="X1599">
        <v>59779.7</v>
      </c>
      <c r="Y1599">
        <v>47338.15</v>
      </c>
    </row>
    <row r="1600" spans="1:25" x14ac:dyDescent="0.25">
      <c r="A1600" t="s">
        <v>1656</v>
      </c>
      <c r="B1600" s="1">
        <v>45381</v>
      </c>
      <c r="C1600">
        <v>2024</v>
      </c>
      <c r="D1600">
        <v>3</v>
      </c>
      <c r="E1600" t="s">
        <v>260</v>
      </c>
      <c r="F1600" t="s">
        <v>27</v>
      </c>
      <c r="G1600" t="s">
        <v>44</v>
      </c>
      <c r="H1600" t="s">
        <v>29</v>
      </c>
      <c r="I1600" t="s">
        <v>39</v>
      </c>
      <c r="J1600">
        <v>24</v>
      </c>
      <c r="K1600">
        <v>1591.67</v>
      </c>
      <c r="L1600">
        <v>38200.089999999997</v>
      </c>
      <c r="M1600">
        <v>25636.31</v>
      </c>
      <c r="N1600">
        <v>3608</v>
      </c>
      <c r="O1600">
        <v>2084.69</v>
      </c>
      <c r="P1600">
        <v>1591.12</v>
      </c>
      <c r="Q1600">
        <v>353.35</v>
      </c>
      <c r="R1600">
        <v>2112.75</v>
      </c>
      <c r="S1600">
        <v>382.76</v>
      </c>
      <c r="T1600">
        <v>35769</v>
      </c>
      <c r="U1600">
        <v>12563.78</v>
      </c>
      <c r="V1600">
        <v>2431.09</v>
      </c>
      <c r="W1600">
        <v>2366.62</v>
      </c>
      <c r="X1600">
        <v>39284.199999999997</v>
      </c>
      <c r="Y1600">
        <v>33702.89</v>
      </c>
    </row>
    <row r="1601" spans="1:25" x14ac:dyDescent="0.25">
      <c r="A1601" t="s">
        <v>1657</v>
      </c>
      <c r="B1601" s="1">
        <v>45382</v>
      </c>
      <c r="C1601">
        <v>2024</v>
      </c>
      <c r="D1601">
        <v>3</v>
      </c>
      <c r="E1601" t="s">
        <v>260</v>
      </c>
      <c r="F1601" t="s">
        <v>27</v>
      </c>
      <c r="G1601" t="s">
        <v>44</v>
      </c>
      <c r="H1601" t="s">
        <v>36</v>
      </c>
      <c r="I1601" t="s">
        <v>30</v>
      </c>
      <c r="J1601">
        <v>56</v>
      </c>
      <c r="K1601">
        <v>1443.67</v>
      </c>
      <c r="L1601">
        <v>80845.8</v>
      </c>
      <c r="M1601">
        <v>51180.45</v>
      </c>
      <c r="N1601">
        <v>8216.48</v>
      </c>
      <c r="O1601">
        <v>3807.27</v>
      </c>
      <c r="P1601">
        <v>1328.1</v>
      </c>
      <c r="Q1601">
        <v>646.79</v>
      </c>
      <c r="R1601">
        <v>2734.36</v>
      </c>
      <c r="S1601">
        <v>1468.63</v>
      </c>
      <c r="T1601">
        <v>69382.070000000007</v>
      </c>
      <c r="U1601">
        <v>29665.35</v>
      </c>
      <c r="V1601">
        <v>11463.73</v>
      </c>
      <c r="W1601">
        <v>11229.91</v>
      </c>
      <c r="X1601">
        <v>87152.16</v>
      </c>
      <c r="Y1601">
        <v>65036.65</v>
      </c>
    </row>
    <row r="1602" spans="1:25" x14ac:dyDescent="0.25">
      <c r="A1602" t="s">
        <v>1658</v>
      </c>
      <c r="B1602" s="1">
        <v>45382</v>
      </c>
      <c r="C1602">
        <v>2024</v>
      </c>
      <c r="D1602">
        <v>3</v>
      </c>
      <c r="E1602" t="s">
        <v>260</v>
      </c>
      <c r="F1602" t="s">
        <v>27</v>
      </c>
      <c r="G1602" t="s">
        <v>55</v>
      </c>
      <c r="H1602" t="s">
        <v>36</v>
      </c>
      <c r="I1602" t="s">
        <v>56</v>
      </c>
      <c r="J1602">
        <v>24</v>
      </c>
      <c r="K1602">
        <v>1655.48</v>
      </c>
      <c r="L1602">
        <v>39731.43</v>
      </c>
      <c r="M1602">
        <v>20469.02</v>
      </c>
      <c r="N1602">
        <v>4663.9399999999996</v>
      </c>
      <c r="O1602">
        <v>2664.45</v>
      </c>
      <c r="P1602">
        <v>1078.96</v>
      </c>
      <c r="Q1602">
        <v>565.74</v>
      </c>
      <c r="R1602">
        <v>2509.6999999999998</v>
      </c>
      <c r="S1602">
        <v>478.3</v>
      </c>
      <c r="T1602">
        <v>32430.11</v>
      </c>
      <c r="U1602">
        <v>19262.41</v>
      </c>
      <c r="V1602">
        <v>7301.32</v>
      </c>
      <c r="W1602">
        <v>7171.32</v>
      </c>
      <c r="X1602">
        <v>40940.61</v>
      </c>
      <c r="Y1602">
        <v>33282.800000000003</v>
      </c>
    </row>
    <row r="1603" spans="1:25" x14ac:dyDescent="0.25">
      <c r="A1603" t="s">
        <v>1659</v>
      </c>
      <c r="B1603" s="1">
        <v>45382</v>
      </c>
      <c r="C1603">
        <v>2024</v>
      </c>
      <c r="D1603">
        <v>3</v>
      </c>
      <c r="E1603" t="s">
        <v>260</v>
      </c>
      <c r="F1603" t="s">
        <v>27</v>
      </c>
      <c r="G1603" t="s">
        <v>55</v>
      </c>
      <c r="H1603" t="s">
        <v>32</v>
      </c>
      <c r="I1603" t="s">
        <v>50</v>
      </c>
      <c r="J1603">
        <v>95</v>
      </c>
      <c r="K1603">
        <v>844.37</v>
      </c>
      <c r="L1603">
        <v>80214.78</v>
      </c>
      <c r="M1603">
        <v>42823.73</v>
      </c>
      <c r="N1603">
        <v>6828.62</v>
      </c>
      <c r="O1603">
        <v>5714.1</v>
      </c>
      <c r="P1603">
        <v>3390.03</v>
      </c>
      <c r="Q1603">
        <v>847.34</v>
      </c>
      <c r="R1603">
        <v>3161.27</v>
      </c>
      <c r="S1603">
        <v>1704.28</v>
      </c>
      <c r="T1603">
        <v>64469.37</v>
      </c>
      <c r="U1603">
        <v>37391.050000000003</v>
      </c>
      <c r="V1603">
        <v>15745.41</v>
      </c>
      <c r="W1603">
        <v>15943.81</v>
      </c>
      <c r="X1603">
        <v>77504.509999999995</v>
      </c>
      <c r="Y1603">
        <v>69367.97</v>
      </c>
    </row>
    <row r="1604" spans="1:25" x14ac:dyDescent="0.25">
      <c r="A1604" t="s">
        <v>1660</v>
      </c>
      <c r="B1604" s="1">
        <v>45382</v>
      </c>
      <c r="C1604">
        <v>2024</v>
      </c>
      <c r="D1604">
        <v>3</v>
      </c>
      <c r="E1604" t="s">
        <v>260</v>
      </c>
      <c r="F1604" t="s">
        <v>27</v>
      </c>
      <c r="G1604" t="s">
        <v>55</v>
      </c>
      <c r="H1604" t="s">
        <v>32</v>
      </c>
      <c r="I1604" t="s">
        <v>33</v>
      </c>
      <c r="J1604">
        <v>78</v>
      </c>
      <c r="K1604">
        <v>1357.04</v>
      </c>
      <c r="L1604">
        <v>105849.18</v>
      </c>
      <c r="M1604">
        <v>56752.36</v>
      </c>
      <c r="N1604">
        <v>10147.75</v>
      </c>
      <c r="O1604">
        <v>5057.25</v>
      </c>
      <c r="P1604">
        <v>4446.3</v>
      </c>
      <c r="Q1604">
        <v>1298.57</v>
      </c>
      <c r="R1604">
        <v>3759.18</v>
      </c>
      <c r="S1604">
        <v>2225.59</v>
      </c>
      <c r="T1604">
        <v>83687</v>
      </c>
      <c r="U1604">
        <v>49096.82</v>
      </c>
      <c r="V1604">
        <v>22162.18</v>
      </c>
      <c r="W1604">
        <v>22331.78</v>
      </c>
      <c r="X1604">
        <v>103156.26</v>
      </c>
      <c r="Y1604">
        <v>90205.84</v>
      </c>
    </row>
    <row r="1605" spans="1:25" x14ac:dyDescent="0.25">
      <c r="A1605" t="s">
        <v>1661</v>
      </c>
      <c r="B1605" s="1">
        <v>45382</v>
      </c>
      <c r="C1605">
        <v>2024</v>
      </c>
      <c r="D1605">
        <v>3</v>
      </c>
      <c r="E1605" t="s">
        <v>260</v>
      </c>
      <c r="F1605" t="s">
        <v>27</v>
      </c>
      <c r="G1605" t="s">
        <v>44</v>
      </c>
      <c r="H1605" t="s">
        <v>53</v>
      </c>
      <c r="I1605" t="s">
        <v>65</v>
      </c>
      <c r="J1605">
        <v>23</v>
      </c>
      <c r="K1605">
        <v>1647.27</v>
      </c>
      <c r="L1605">
        <v>37887.129999999997</v>
      </c>
      <c r="M1605">
        <v>20331.72</v>
      </c>
      <c r="N1605">
        <v>2884.7</v>
      </c>
      <c r="O1605">
        <v>1597.98</v>
      </c>
      <c r="P1605">
        <v>1550.19</v>
      </c>
      <c r="Q1605">
        <v>427.01</v>
      </c>
      <c r="R1605">
        <v>1901.14</v>
      </c>
      <c r="S1605">
        <v>490.01</v>
      </c>
      <c r="T1605">
        <v>29182.75</v>
      </c>
      <c r="U1605">
        <v>17555.41</v>
      </c>
      <c r="V1605">
        <v>8704.39</v>
      </c>
      <c r="W1605">
        <v>8064.27</v>
      </c>
      <c r="X1605">
        <v>42209.29</v>
      </c>
      <c r="Y1605">
        <v>30864.37</v>
      </c>
    </row>
    <row r="1606" spans="1:25" x14ac:dyDescent="0.25">
      <c r="A1606" t="s">
        <v>1662</v>
      </c>
      <c r="B1606" s="1">
        <v>45382</v>
      </c>
      <c r="C1606">
        <v>2024</v>
      </c>
      <c r="D1606">
        <v>3</v>
      </c>
      <c r="E1606" t="s">
        <v>260</v>
      </c>
      <c r="F1606" t="s">
        <v>27</v>
      </c>
      <c r="G1606" t="s">
        <v>28</v>
      </c>
      <c r="H1606" t="s">
        <v>32</v>
      </c>
      <c r="I1606" t="s">
        <v>33</v>
      </c>
      <c r="J1606">
        <v>66</v>
      </c>
      <c r="K1606">
        <v>1203.6300000000001</v>
      </c>
      <c r="L1606">
        <v>79439.67</v>
      </c>
      <c r="M1606">
        <v>46397.35</v>
      </c>
      <c r="N1606">
        <v>9103.25</v>
      </c>
      <c r="O1606">
        <v>3907.06</v>
      </c>
      <c r="P1606">
        <v>3072.39</v>
      </c>
      <c r="Q1606">
        <v>795.75</v>
      </c>
      <c r="R1606">
        <v>2718.32</v>
      </c>
      <c r="S1606">
        <v>1236.6099999999999</v>
      </c>
      <c r="T1606">
        <v>67230.73</v>
      </c>
      <c r="U1606">
        <v>33042.31</v>
      </c>
      <c r="V1606">
        <v>12208.93</v>
      </c>
      <c r="W1606">
        <v>11666.78</v>
      </c>
      <c r="X1606">
        <v>86557.440000000002</v>
      </c>
      <c r="Y1606">
        <v>69391.37</v>
      </c>
    </row>
    <row r="1607" spans="1:25" x14ac:dyDescent="0.25">
      <c r="A1607" t="s">
        <v>1663</v>
      </c>
      <c r="B1607" s="1">
        <v>45383</v>
      </c>
      <c r="C1607">
        <v>2024</v>
      </c>
      <c r="D1607">
        <v>4</v>
      </c>
      <c r="E1607" t="s">
        <v>357</v>
      </c>
      <c r="F1607" t="s">
        <v>358</v>
      </c>
      <c r="G1607" t="s">
        <v>28</v>
      </c>
      <c r="H1607" t="s">
        <v>32</v>
      </c>
      <c r="I1607" t="s">
        <v>45</v>
      </c>
      <c r="J1607">
        <v>33</v>
      </c>
      <c r="K1607">
        <v>1330.41</v>
      </c>
      <c r="L1607">
        <v>43903.41</v>
      </c>
      <c r="M1607">
        <v>22108.76</v>
      </c>
      <c r="N1607">
        <v>4215.26</v>
      </c>
      <c r="O1607">
        <v>2977.99</v>
      </c>
      <c r="P1607">
        <v>1928.56</v>
      </c>
      <c r="Q1607">
        <v>243.92</v>
      </c>
      <c r="R1607">
        <v>1466.36</v>
      </c>
      <c r="S1607">
        <v>548.61</v>
      </c>
      <c r="T1607">
        <v>33489.449999999997</v>
      </c>
      <c r="U1607">
        <v>21794.66</v>
      </c>
      <c r="V1607">
        <v>10413.959999999999</v>
      </c>
      <c r="W1607">
        <v>9254.76</v>
      </c>
      <c r="X1607">
        <v>41963.14</v>
      </c>
      <c r="Y1607">
        <v>33128.97</v>
      </c>
    </row>
    <row r="1608" spans="1:25" x14ac:dyDescent="0.25">
      <c r="A1608" t="s">
        <v>1664</v>
      </c>
      <c r="B1608" s="1">
        <v>45383</v>
      </c>
      <c r="C1608">
        <v>2024</v>
      </c>
      <c r="D1608">
        <v>4</v>
      </c>
      <c r="E1608" t="s">
        <v>357</v>
      </c>
      <c r="F1608" t="s">
        <v>358</v>
      </c>
      <c r="G1608" t="s">
        <v>44</v>
      </c>
      <c r="H1608" t="s">
        <v>36</v>
      </c>
      <c r="I1608" t="s">
        <v>50</v>
      </c>
      <c r="J1608">
        <v>21</v>
      </c>
      <c r="K1608">
        <v>1773.42</v>
      </c>
      <c r="L1608">
        <v>37241.83</v>
      </c>
      <c r="M1608">
        <v>22513.96</v>
      </c>
      <c r="N1608">
        <v>4549.33</v>
      </c>
      <c r="O1608">
        <v>1485.04</v>
      </c>
      <c r="P1608">
        <v>804.84</v>
      </c>
      <c r="Q1608">
        <v>477.11</v>
      </c>
      <c r="R1608">
        <v>2164.12</v>
      </c>
      <c r="S1608">
        <v>654.04</v>
      </c>
      <c r="T1608">
        <v>32648.46</v>
      </c>
      <c r="U1608">
        <v>14727.87</v>
      </c>
      <c r="V1608">
        <v>4593.37</v>
      </c>
      <c r="W1608">
        <v>4535.8999999999996</v>
      </c>
      <c r="X1608">
        <v>39242.559999999998</v>
      </c>
      <c r="Y1608">
        <v>31234.3</v>
      </c>
    </row>
    <row r="1609" spans="1:25" x14ac:dyDescent="0.25">
      <c r="A1609" t="s">
        <v>1665</v>
      </c>
      <c r="B1609" s="1">
        <v>45383</v>
      </c>
      <c r="C1609">
        <v>2024</v>
      </c>
      <c r="D1609">
        <v>4</v>
      </c>
      <c r="E1609" t="s">
        <v>357</v>
      </c>
      <c r="F1609" t="s">
        <v>358</v>
      </c>
      <c r="G1609" t="s">
        <v>44</v>
      </c>
      <c r="H1609" t="s">
        <v>53</v>
      </c>
      <c r="I1609" t="s">
        <v>30</v>
      </c>
      <c r="J1609">
        <v>47</v>
      </c>
      <c r="K1609">
        <v>1752.23</v>
      </c>
      <c r="L1609">
        <v>82354.759999999995</v>
      </c>
      <c r="M1609">
        <v>49273.919999999998</v>
      </c>
      <c r="N1609">
        <v>6267.95</v>
      </c>
      <c r="O1609">
        <v>4252.07</v>
      </c>
      <c r="P1609">
        <v>1685.04</v>
      </c>
      <c r="Q1609">
        <v>487.81</v>
      </c>
      <c r="R1609">
        <v>4118.8100000000004</v>
      </c>
      <c r="S1609">
        <v>1912.96</v>
      </c>
      <c r="T1609">
        <v>67998.559999999998</v>
      </c>
      <c r="U1609">
        <v>33080.839999999997</v>
      </c>
      <c r="V1609">
        <v>14356.21</v>
      </c>
      <c r="W1609">
        <v>12998.7</v>
      </c>
      <c r="X1609">
        <v>84074.07</v>
      </c>
      <c r="Y1609">
        <v>67947.740000000005</v>
      </c>
    </row>
    <row r="1610" spans="1:25" x14ac:dyDescent="0.25">
      <c r="A1610" t="s">
        <v>1666</v>
      </c>
      <c r="B1610" s="1">
        <v>45383</v>
      </c>
      <c r="C1610">
        <v>2024</v>
      </c>
      <c r="D1610">
        <v>4</v>
      </c>
      <c r="E1610" t="s">
        <v>357</v>
      </c>
      <c r="F1610" t="s">
        <v>358</v>
      </c>
      <c r="G1610" t="s">
        <v>35</v>
      </c>
      <c r="H1610" t="s">
        <v>29</v>
      </c>
      <c r="I1610" t="s">
        <v>56</v>
      </c>
      <c r="J1610">
        <v>29</v>
      </c>
      <c r="K1610">
        <v>1408.74</v>
      </c>
      <c r="L1610">
        <v>40853.5</v>
      </c>
      <c r="M1610">
        <v>21340.97</v>
      </c>
      <c r="N1610">
        <v>4301.82</v>
      </c>
      <c r="O1610">
        <v>1790.44</v>
      </c>
      <c r="P1610">
        <v>1697.44</v>
      </c>
      <c r="Q1610">
        <v>579.61</v>
      </c>
      <c r="R1610">
        <v>1741.03</v>
      </c>
      <c r="S1610">
        <v>753.51</v>
      </c>
      <c r="T1610">
        <v>32204.83</v>
      </c>
      <c r="U1610">
        <v>19512.53</v>
      </c>
      <c r="V1610">
        <v>8648.67</v>
      </c>
      <c r="W1610">
        <v>8453.49</v>
      </c>
      <c r="X1610">
        <v>38627.46</v>
      </c>
      <c r="Y1610">
        <v>33176.120000000003</v>
      </c>
    </row>
    <row r="1611" spans="1:25" x14ac:dyDescent="0.25">
      <c r="A1611" t="s">
        <v>1667</v>
      </c>
      <c r="B1611" s="1">
        <v>45383</v>
      </c>
      <c r="C1611">
        <v>2024</v>
      </c>
      <c r="D1611">
        <v>4</v>
      </c>
      <c r="E1611" t="s">
        <v>357</v>
      </c>
      <c r="F1611" t="s">
        <v>358</v>
      </c>
      <c r="G1611" t="s">
        <v>55</v>
      </c>
      <c r="H1611" t="s">
        <v>29</v>
      </c>
      <c r="I1611" t="s">
        <v>45</v>
      </c>
      <c r="J1611">
        <v>33</v>
      </c>
      <c r="K1611">
        <v>1377.08</v>
      </c>
      <c r="L1611">
        <v>45443.69</v>
      </c>
      <c r="M1611">
        <v>29322.21</v>
      </c>
      <c r="N1611">
        <v>4399.1000000000004</v>
      </c>
      <c r="O1611">
        <v>2893.3</v>
      </c>
      <c r="P1611">
        <v>1081.19</v>
      </c>
      <c r="Q1611">
        <v>297.89</v>
      </c>
      <c r="R1611">
        <v>2441.39</v>
      </c>
      <c r="S1611">
        <v>530.51</v>
      </c>
      <c r="T1611">
        <v>40965.589999999997</v>
      </c>
      <c r="U1611">
        <v>16121.48</v>
      </c>
      <c r="V1611">
        <v>4478.09</v>
      </c>
      <c r="W1611">
        <v>4262.43</v>
      </c>
      <c r="X1611">
        <v>42788.94</v>
      </c>
      <c r="Y1611">
        <v>45031.05</v>
      </c>
    </row>
    <row r="1612" spans="1:25" x14ac:dyDescent="0.25">
      <c r="A1612" t="s">
        <v>1668</v>
      </c>
      <c r="B1612" s="1">
        <v>45383</v>
      </c>
      <c r="C1612">
        <v>2024</v>
      </c>
      <c r="D1612">
        <v>4</v>
      </c>
      <c r="E1612" t="s">
        <v>357</v>
      </c>
      <c r="F1612" t="s">
        <v>358</v>
      </c>
      <c r="G1612" t="s">
        <v>44</v>
      </c>
      <c r="H1612" t="s">
        <v>36</v>
      </c>
      <c r="I1612" t="s">
        <v>39</v>
      </c>
      <c r="J1612">
        <v>17</v>
      </c>
      <c r="K1612">
        <v>1748.62</v>
      </c>
      <c r="L1612">
        <v>29726.53</v>
      </c>
      <c r="M1612">
        <v>17645.07</v>
      </c>
      <c r="N1612">
        <v>3717.01</v>
      </c>
      <c r="O1612">
        <v>1389.88</v>
      </c>
      <c r="P1612">
        <v>591.55999999999995</v>
      </c>
      <c r="Q1612">
        <v>474.13</v>
      </c>
      <c r="R1612">
        <v>1690.23</v>
      </c>
      <c r="S1612">
        <v>742.85</v>
      </c>
      <c r="T1612">
        <v>26250.720000000001</v>
      </c>
      <c r="U1612">
        <v>12081.47</v>
      </c>
      <c r="V1612">
        <v>3475.82</v>
      </c>
      <c r="W1612">
        <v>3148.09</v>
      </c>
      <c r="X1612">
        <v>31941.68</v>
      </c>
      <c r="Y1612">
        <v>24860.29</v>
      </c>
    </row>
    <row r="1613" spans="1:25" x14ac:dyDescent="0.25">
      <c r="A1613" t="s">
        <v>1669</v>
      </c>
      <c r="B1613" s="1">
        <v>45384</v>
      </c>
      <c r="C1613">
        <v>2024</v>
      </c>
      <c r="D1613">
        <v>4</v>
      </c>
      <c r="E1613" t="s">
        <v>357</v>
      </c>
      <c r="F1613" t="s">
        <v>358</v>
      </c>
      <c r="G1613" t="s">
        <v>55</v>
      </c>
      <c r="H1613" t="s">
        <v>36</v>
      </c>
      <c r="I1613" t="s">
        <v>30</v>
      </c>
      <c r="J1613">
        <v>82</v>
      </c>
      <c r="K1613">
        <v>1396.83</v>
      </c>
      <c r="L1613">
        <v>114540.47</v>
      </c>
      <c r="M1613">
        <v>68165.31</v>
      </c>
      <c r="N1613">
        <v>13052.05</v>
      </c>
      <c r="O1613">
        <v>7256.58</v>
      </c>
      <c r="P1613">
        <v>1935.13</v>
      </c>
      <c r="Q1613">
        <v>1634.06</v>
      </c>
      <c r="R1613">
        <v>4667.13</v>
      </c>
      <c r="S1613">
        <v>2226.42</v>
      </c>
      <c r="T1613">
        <v>98936.68</v>
      </c>
      <c r="U1613">
        <v>46375.16</v>
      </c>
      <c r="V1613">
        <v>15603.79</v>
      </c>
      <c r="W1613">
        <v>15698.74</v>
      </c>
      <c r="X1613">
        <v>114297.31</v>
      </c>
      <c r="Y1613">
        <v>99252.94</v>
      </c>
    </row>
    <row r="1614" spans="1:25" x14ac:dyDescent="0.25">
      <c r="A1614" t="s">
        <v>1670</v>
      </c>
      <c r="B1614" s="1">
        <v>45384</v>
      </c>
      <c r="C1614">
        <v>2024</v>
      </c>
      <c r="D1614">
        <v>4</v>
      </c>
      <c r="E1614" t="s">
        <v>357</v>
      </c>
      <c r="F1614" t="s">
        <v>358</v>
      </c>
      <c r="G1614" t="s">
        <v>28</v>
      </c>
      <c r="H1614" t="s">
        <v>36</v>
      </c>
      <c r="I1614" t="s">
        <v>50</v>
      </c>
      <c r="J1614">
        <v>40</v>
      </c>
      <c r="K1614">
        <v>1463.87</v>
      </c>
      <c r="L1614">
        <v>58554.69</v>
      </c>
      <c r="M1614">
        <v>38446.39</v>
      </c>
      <c r="N1614">
        <v>6770.98</v>
      </c>
      <c r="O1614">
        <v>3817.23</v>
      </c>
      <c r="P1614">
        <v>1418.11</v>
      </c>
      <c r="Q1614">
        <v>1044.67</v>
      </c>
      <c r="R1614">
        <v>2993.73</v>
      </c>
      <c r="S1614">
        <v>535.78</v>
      </c>
      <c r="T1614">
        <v>55026.879999999997</v>
      </c>
      <c r="U1614">
        <v>20108.3</v>
      </c>
      <c r="V1614">
        <v>3527.81</v>
      </c>
      <c r="W1614">
        <v>3523.4</v>
      </c>
      <c r="X1614">
        <v>56735.89</v>
      </c>
      <c r="Y1614">
        <v>53279.23</v>
      </c>
    </row>
    <row r="1615" spans="1:25" x14ac:dyDescent="0.25">
      <c r="A1615" t="s">
        <v>1671</v>
      </c>
      <c r="B1615" s="1">
        <v>45385</v>
      </c>
      <c r="C1615">
        <v>2024</v>
      </c>
      <c r="D1615">
        <v>4</v>
      </c>
      <c r="E1615" t="s">
        <v>357</v>
      </c>
      <c r="F1615" t="s">
        <v>358</v>
      </c>
      <c r="G1615" t="s">
        <v>28</v>
      </c>
      <c r="H1615" t="s">
        <v>32</v>
      </c>
      <c r="I1615" t="s">
        <v>30</v>
      </c>
      <c r="J1615">
        <v>60</v>
      </c>
      <c r="K1615">
        <v>1485.01</v>
      </c>
      <c r="L1615">
        <v>89100.7</v>
      </c>
      <c r="M1615">
        <v>54323.66</v>
      </c>
      <c r="N1615">
        <v>9548.56</v>
      </c>
      <c r="O1615">
        <v>2737.44</v>
      </c>
      <c r="P1615">
        <v>3480.22</v>
      </c>
      <c r="Q1615">
        <v>1557.09</v>
      </c>
      <c r="R1615">
        <v>5205.0600000000004</v>
      </c>
      <c r="S1615">
        <v>1824.6</v>
      </c>
      <c r="T1615">
        <v>78676.639999999999</v>
      </c>
      <c r="U1615">
        <v>34777.040000000001</v>
      </c>
      <c r="V1615">
        <v>10424.06</v>
      </c>
      <c r="W1615">
        <v>10362</v>
      </c>
      <c r="X1615">
        <v>86561.49</v>
      </c>
      <c r="Y1615">
        <v>86202.73</v>
      </c>
    </row>
    <row r="1616" spans="1:25" x14ac:dyDescent="0.25">
      <c r="A1616" t="s">
        <v>1672</v>
      </c>
      <c r="B1616" s="1">
        <v>45385</v>
      </c>
      <c r="C1616">
        <v>2024</v>
      </c>
      <c r="D1616">
        <v>4</v>
      </c>
      <c r="E1616" t="s">
        <v>357</v>
      </c>
      <c r="F1616" t="s">
        <v>358</v>
      </c>
      <c r="G1616" t="s">
        <v>55</v>
      </c>
      <c r="H1616" t="s">
        <v>53</v>
      </c>
      <c r="I1616" t="s">
        <v>37</v>
      </c>
      <c r="J1616">
        <v>77</v>
      </c>
      <c r="K1616">
        <v>873.96</v>
      </c>
      <c r="L1616">
        <v>67294.850000000006</v>
      </c>
      <c r="M1616">
        <v>36149.019999999997</v>
      </c>
      <c r="N1616">
        <v>5192.6099999999997</v>
      </c>
      <c r="O1616">
        <v>1725.02</v>
      </c>
      <c r="P1616">
        <v>1688.55</v>
      </c>
      <c r="Q1616">
        <v>1209.8599999999999</v>
      </c>
      <c r="R1616">
        <v>2636.44</v>
      </c>
      <c r="S1616">
        <v>1011.16</v>
      </c>
      <c r="T1616">
        <v>49612.66</v>
      </c>
      <c r="U1616">
        <v>31145.84</v>
      </c>
      <c r="V1616">
        <v>17682.189999999999</v>
      </c>
      <c r="W1616">
        <v>16665.330000000002</v>
      </c>
      <c r="X1616">
        <v>67942.19</v>
      </c>
      <c r="Y1616">
        <v>53034.02</v>
      </c>
    </row>
    <row r="1617" spans="1:25" x14ac:dyDescent="0.25">
      <c r="A1617" t="s">
        <v>1673</v>
      </c>
      <c r="B1617" s="1">
        <v>45385</v>
      </c>
      <c r="C1617">
        <v>2024</v>
      </c>
      <c r="D1617">
        <v>4</v>
      </c>
      <c r="E1617" t="s">
        <v>357</v>
      </c>
      <c r="F1617" t="s">
        <v>358</v>
      </c>
      <c r="G1617" t="s">
        <v>35</v>
      </c>
      <c r="H1617" t="s">
        <v>32</v>
      </c>
      <c r="I1617" t="s">
        <v>37</v>
      </c>
      <c r="J1617">
        <v>55</v>
      </c>
      <c r="K1617">
        <v>966.46</v>
      </c>
      <c r="L1617">
        <v>53155.12</v>
      </c>
      <c r="M1617">
        <v>26573.54</v>
      </c>
      <c r="N1617">
        <v>6462.92</v>
      </c>
      <c r="O1617">
        <v>3552.81</v>
      </c>
      <c r="P1617">
        <v>1514.82</v>
      </c>
      <c r="Q1617">
        <v>265.99</v>
      </c>
      <c r="R1617">
        <v>3429.41</v>
      </c>
      <c r="S1617">
        <v>949.48</v>
      </c>
      <c r="T1617">
        <v>42748.98</v>
      </c>
      <c r="U1617">
        <v>26581.58</v>
      </c>
      <c r="V1617">
        <v>10406.15</v>
      </c>
      <c r="W1617">
        <v>9695.3700000000008</v>
      </c>
      <c r="X1617">
        <v>54553.14</v>
      </c>
      <c r="Y1617">
        <v>43499.79</v>
      </c>
    </row>
    <row r="1618" spans="1:25" x14ac:dyDescent="0.25">
      <c r="A1618" t="s">
        <v>1674</v>
      </c>
      <c r="B1618" s="1">
        <v>45385</v>
      </c>
      <c r="C1618">
        <v>2024</v>
      </c>
      <c r="D1618">
        <v>4</v>
      </c>
      <c r="E1618" t="s">
        <v>357</v>
      </c>
      <c r="F1618" t="s">
        <v>358</v>
      </c>
      <c r="G1618" t="s">
        <v>44</v>
      </c>
      <c r="H1618" t="s">
        <v>29</v>
      </c>
      <c r="I1618" t="s">
        <v>39</v>
      </c>
      <c r="J1618">
        <v>37</v>
      </c>
      <c r="K1618">
        <v>1004.41</v>
      </c>
      <c r="L1618">
        <v>37163.07</v>
      </c>
      <c r="M1618">
        <v>24650.54</v>
      </c>
      <c r="N1618">
        <v>3444.36</v>
      </c>
      <c r="O1618">
        <v>982.63</v>
      </c>
      <c r="P1618">
        <v>597.27</v>
      </c>
      <c r="Q1618">
        <v>294.33</v>
      </c>
      <c r="R1618">
        <v>1819.78</v>
      </c>
      <c r="S1618">
        <v>299.22000000000003</v>
      </c>
      <c r="T1618">
        <v>32088.14</v>
      </c>
      <c r="U1618">
        <v>12512.53</v>
      </c>
      <c r="V1618">
        <v>5074.9399999999996</v>
      </c>
      <c r="W1618">
        <v>4940.5600000000004</v>
      </c>
      <c r="X1618">
        <v>40619.57</v>
      </c>
      <c r="Y1618">
        <v>31549.89</v>
      </c>
    </row>
    <row r="1619" spans="1:25" x14ac:dyDescent="0.25">
      <c r="A1619" t="s">
        <v>1675</v>
      </c>
      <c r="B1619" s="1">
        <v>45385</v>
      </c>
      <c r="C1619">
        <v>2024</v>
      </c>
      <c r="D1619">
        <v>4</v>
      </c>
      <c r="E1619" t="s">
        <v>357</v>
      </c>
      <c r="F1619" t="s">
        <v>358</v>
      </c>
      <c r="G1619" t="s">
        <v>28</v>
      </c>
      <c r="H1619" t="s">
        <v>53</v>
      </c>
      <c r="I1619" t="s">
        <v>39</v>
      </c>
      <c r="J1619">
        <v>41</v>
      </c>
      <c r="K1619">
        <v>964.97</v>
      </c>
      <c r="L1619">
        <v>39563.68</v>
      </c>
      <c r="M1619">
        <v>20350.060000000001</v>
      </c>
      <c r="N1619">
        <v>4856.5200000000004</v>
      </c>
      <c r="O1619">
        <v>1804.07</v>
      </c>
      <c r="P1619">
        <v>833.99</v>
      </c>
      <c r="Q1619">
        <v>350.83</v>
      </c>
      <c r="R1619">
        <v>1450.61</v>
      </c>
      <c r="S1619">
        <v>934.8</v>
      </c>
      <c r="T1619">
        <v>30580.87</v>
      </c>
      <c r="U1619">
        <v>19213.62</v>
      </c>
      <c r="V1619">
        <v>8982.81</v>
      </c>
      <c r="W1619">
        <v>8710.6</v>
      </c>
      <c r="X1619">
        <v>40289.699999999997</v>
      </c>
      <c r="Y1619">
        <v>28790.720000000001</v>
      </c>
    </row>
    <row r="1620" spans="1:25" x14ac:dyDescent="0.25">
      <c r="A1620" t="s">
        <v>1676</v>
      </c>
      <c r="B1620" s="1">
        <v>45386</v>
      </c>
      <c r="C1620">
        <v>2024</v>
      </c>
      <c r="D1620">
        <v>4</v>
      </c>
      <c r="E1620" t="s">
        <v>357</v>
      </c>
      <c r="F1620" t="s">
        <v>358</v>
      </c>
      <c r="G1620" t="s">
        <v>35</v>
      </c>
      <c r="H1620" t="s">
        <v>32</v>
      </c>
      <c r="I1620" t="s">
        <v>39</v>
      </c>
      <c r="J1620">
        <v>32</v>
      </c>
      <c r="K1620">
        <v>1416.33</v>
      </c>
      <c r="L1620">
        <v>45322.65</v>
      </c>
      <c r="M1620">
        <v>30393.41</v>
      </c>
      <c r="N1620">
        <v>5463.18</v>
      </c>
      <c r="O1620">
        <v>1369.09</v>
      </c>
      <c r="P1620">
        <v>1465.25</v>
      </c>
      <c r="Q1620">
        <v>521.9</v>
      </c>
      <c r="R1620">
        <v>2871.54</v>
      </c>
      <c r="S1620">
        <v>625.66</v>
      </c>
      <c r="T1620">
        <v>42710.03</v>
      </c>
      <c r="U1620">
        <v>14929.24</v>
      </c>
      <c r="V1620">
        <v>2612.62</v>
      </c>
      <c r="W1620">
        <v>2366.9</v>
      </c>
      <c r="X1620">
        <v>47846.64</v>
      </c>
      <c r="Y1620">
        <v>43452.25</v>
      </c>
    </row>
    <row r="1621" spans="1:25" x14ac:dyDescent="0.25">
      <c r="A1621" t="s">
        <v>1677</v>
      </c>
      <c r="B1621" s="1">
        <v>45386</v>
      </c>
      <c r="C1621">
        <v>2024</v>
      </c>
      <c r="D1621">
        <v>4</v>
      </c>
      <c r="E1621" t="s">
        <v>357</v>
      </c>
      <c r="F1621" t="s">
        <v>358</v>
      </c>
      <c r="G1621" t="s">
        <v>28</v>
      </c>
      <c r="H1621" t="s">
        <v>58</v>
      </c>
      <c r="I1621" t="s">
        <v>56</v>
      </c>
      <c r="J1621">
        <v>19</v>
      </c>
      <c r="K1621">
        <v>1755.75</v>
      </c>
      <c r="L1621">
        <v>33359.339999999997</v>
      </c>
      <c r="M1621">
        <v>19721.21</v>
      </c>
      <c r="N1621">
        <v>2943.58</v>
      </c>
      <c r="O1621">
        <v>2206.1799999999998</v>
      </c>
      <c r="P1621">
        <v>505.24</v>
      </c>
      <c r="Q1621">
        <v>447</v>
      </c>
      <c r="R1621">
        <v>1609.59</v>
      </c>
      <c r="S1621">
        <v>394.82</v>
      </c>
      <c r="T1621">
        <v>27827.62</v>
      </c>
      <c r="U1621">
        <v>13638.14</v>
      </c>
      <c r="V1621">
        <v>5531.72</v>
      </c>
      <c r="W1621">
        <v>5580.35</v>
      </c>
      <c r="X1621">
        <v>36365.4</v>
      </c>
      <c r="Y1621">
        <v>25984.23</v>
      </c>
    </row>
    <row r="1622" spans="1:25" x14ac:dyDescent="0.25">
      <c r="A1622" t="s">
        <v>1678</v>
      </c>
      <c r="B1622" s="1">
        <v>45386</v>
      </c>
      <c r="C1622">
        <v>2024</v>
      </c>
      <c r="D1622">
        <v>4</v>
      </c>
      <c r="E1622" t="s">
        <v>357</v>
      </c>
      <c r="F1622" t="s">
        <v>358</v>
      </c>
      <c r="G1622" t="s">
        <v>44</v>
      </c>
      <c r="H1622" t="s">
        <v>36</v>
      </c>
      <c r="I1622" t="s">
        <v>65</v>
      </c>
      <c r="J1622">
        <v>58</v>
      </c>
      <c r="K1622">
        <v>910.41</v>
      </c>
      <c r="L1622">
        <v>52803.76</v>
      </c>
      <c r="M1622">
        <v>30615.51</v>
      </c>
      <c r="N1622">
        <v>6538.59</v>
      </c>
      <c r="O1622">
        <v>2656.42</v>
      </c>
      <c r="P1622">
        <v>1306.1300000000001</v>
      </c>
      <c r="Q1622">
        <v>391.86</v>
      </c>
      <c r="R1622">
        <v>1346.05</v>
      </c>
      <c r="S1622">
        <v>784.12</v>
      </c>
      <c r="T1622">
        <v>43638.67</v>
      </c>
      <c r="U1622">
        <v>22188.25</v>
      </c>
      <c r="V1622">
        <v>9165.09</v>
      </c>
      <c r="W1622">
        <v>9034.5300000000007</v>
      </c>
      <c r="X1622">
        <v>55586.33</v>
      </c>
      <c r="Y1622">
        <v>40590.44</v>
      </c>
    </row>
    <row r="1623" spans="1:25" x14ac:dyDescent="0.25">
      <c r="A1623" t="s">
        <v>1679</v>
      </c>
      <c r="B1623" s="1">
        <v>45386</v>
      </c>
      <c r="C1623">
        <v>2024</v>
      </c>
      <c r="D1623">
        <v>4</v>
      </c>
      <c r="E1623" t="s">
        <v>357</v>
      </c>
      <c r="F1623" t="s">
        <v>358</v>
      </c>
      <c r="G1623" t="s">
        <v>55</v>
      </c>
      <c r="H1623" t="s">
        <v>29</v>
      </c>
      <c r="I1623" t="s">
        <v>56</v>
      </c>
      <c r="J1623">
        <v>47</v>
      </c>
      <c r="K1623">
        <v>975.65</v>
      </c>
      <c r="L1623">
        <v>45855.6</v>
      </c>
      <c r="M1623">
        <v>28555.86</v>
      </c>
      <c r="N1623">
        <v>3506.81</v>
      </c>
      <c r="O1623">
        <v>1303.97</v>
      </c>
      <c r="P1623">
        <v>1174.33</v>
      </c>
      <c r="Q1623">
        <v>702.75</v>
      </c>
      <c r="R1623">
        <v>2873.67</v>
      </c>
      <c r="S1623">
        <v>746.83</v>
      </c>
      <c r="T1623">
        <v>38864.21</v>
      </c>
      <c r="U1623">
        <v>17299.740000000002</v>
      </c>
      <c r="V1623">
        <v>6991.38</v>
      </c>
      <c r="W1623">
        <v>6208.67</v>
      </c>
      <c r="X1623">
        <v>42861.51</v>
      </c>
      <c r="Y1623">
        <v>40288.57</v>
      </c>
    </row>
    <row r="1624" spans="1:25" x14ac:dyDescent="0.25">
      <c r="A1624" t="s">
        <v>1680</v>
      </c>
      <c r="B1624" s="1">
        <v>45386</v>
      </c>
      <c r="C1624">
        <v>2024</v>
      </c>
      <c r="D1624">
        <v>4</v>
      </c>
      <c r="E1624" t="s">
        <v>357</v>
      </c>
      <c r="F1624" t="s">
        <v>358</v>
      </c>
      <c r="G1624" t="s">
        <v>35</v>
      </c>
      <c r="H1624" t="s">
        <v>29</v>
      </c>
      <c r="I1624" t="s">
        <v>39</v>
      </c>
      <c r="J1624">
        <v>44</v>
      </c>
      <c r="K1624">
        <v>831.83</v>
      </c>
      <c r="L1624">
        <v>36600.54</v>
      </c>
      <c r="M1624">
        <v>18043.72</v>
      </c>
      <c r="N1624">
        <v>4008.87</v>
      </c>
      <c r="O1624">
        <v>1269.7</v>
      </c>
      <c r="P1624">
        <v>1152</v>
      </c>
      <c r="Q1624">
        <v>525.33000000000004</v>
      </c>
      <c r="R1624">
        <v>1435.61</v>
      </c>
      <c r="S1624">
        <v>499.95</v>
      </c>
      <c r="T1624">
        <v>26935.18</v>
      </c>
      <c r="U1624">
        <v>18556.82</v>
      </c>
      <c r="V1624">
        <v>9665.3700000000008</v>
      </c>
      <c r="W1624">
        <v>9059.2000000000007</v>
      </c>
      <c r="X1624">
        <v>34763.81</v>
      </c>
      <c r="Y1624">
        <v>26972.71</v>
      </c>
    </row>
    <row r="1625" spans="1:25" x14ac:dyDescent="0.25">
      <c r="A1625" t="s">
        <v>1681</v>
      </c>
      <c r="B1625" s="1">
        <v>45386</v>
      </c>
      <c r="C1625">
        <v>2024</v>
      </c>
      <c r="D1625">
        <v>4</v>
      </c>
      <c r="E1625" t="s">
        <v>357</v>
      </c>
      <c r="F1625" t="s">
        <v>358</v>
      </c>
      <c r="G1625" t="s">
        <v>44</v>
      </c>
      <c r="H1625" t="s">
        <v>53</v>
      </c>
      <c r="I1625" t="s">
        <v>39</v>
      </c>
      <c r="J1625">
        <v>29</v>
      </c>
      <c r="K1625">
        <v>988.09</v>
      </c>
      <c r="L1625">
        <v>28654.53</v>
      </c>
      <c r="M1625">
        <v>14808.5</v>
      </c>
      <c r="N1625">
        <v>2862.66</v>
      </c>
      <c r="O1625">
        <v>1490.09</v>
      </c>
      <c r="P1625">
        <v>436.89</v>
      </c>
      <c r="Q1625">
        <v>249.83</v>
      </c>
      <c r="R1625">
        <v>959.03</v>
      </c>
      <c r="S1625">
        <v>533.37</v>
      </c>
      <c r="T1625">
        <v>21340.37</v>
      </c>
      <c r="U1625">
        <v>13846.03</v>
      </c>
      <c r="V1625">
        <v>7314.16</v>
      </c>
      <c r="W1625">
        <v>6773.29</v>
      </c>
      <c r="X1625">
        <v>28726.45</v>
      </c>
      <c r="Y1625">
        <v>21407.52</v>
      </c>
    </row>
    <row r="1626" spans="1:25" x14ac:dyDescent="0.25">
      <c r="A1626" t="s">
        <v>1682</v>
      </c>
      <c r="B1626" s="1">
        <v>45386</v>
      </c>
      <c r="C1626">
        <v>2024</v>
      </c>
      <c r="D1626">
        <v>4</v>
      </c>
      <c r="E1626" t="s">
        <v>357</v>
      </c>
      <c r="F1626" t="s">
        <v>358</v>
      </c>
      <c r="G1626" t="s">
        <v>35</v>
      </c>
      <c r="H1626" t="s">
        <v>58</v>
      </c>
      <c r="I1626" t="s">
        <v>39</v>
      </c>
      <c r="J1626">
        <v>29</v>
      </c>
      <c r="K1626">
        <v>1229.08</v>
      </c>
      <c r="L1626">
        <v>35643.29</v>
      </c>
      <c r="M1626">
        <v>20421.78</v>
      </c>
      <c r="N1626">
        <v>2692.73</v>
      </c>
      <c r="O1626">
        <v>2057.23</v>
      </c>
      <c r="P1626">
        <v>724.69</v>
      </c>
      <c r="Q1626">
        <v>478.66</v>
      </c>
      <c r="R1626">
        <v>2038.31</v>
      </c>
      <c r="S1626">
        <v>850.73</v>
      </c>
      <c r="T1626">
        <v>29264.12</v>
      </c>
      <c r="U1626">
        <v>15221.51</v>
      </c>
      <c r="V1626">
        <v>6379.17</v>
      </c>
      <c r="W1626">
        <v>6419.21</v>
      </c>
      <c r="X1626">
        <v>33648.199999999997</v>
      </c>
      <c r="Y1626">
        <v>31632.76</v>
      </c>
    </row>
    <row r="1627" spans="1:25" x14ac:dyDescent="0.25">
      <c r="A1627" t="s">
        <v>1683</v>
      </c>
      <c r="B1627" s="1">
        <v>45386</v>
      </c>
      <c r="C1627">
        <v>2024</v>
      </c>
      <c r="D1627">
        <v>4</v>
      </c>
      <c r="E1627" t="s">
        <v>357</v>
      </c>
      <c r="F1627" t="s">
        <v>358</v>
      </c>
      <c r="G1627" t="s">
        <v>28</v>
      </c>
      <c r="H1627" t="s">
        <v>29</v>
      </c>
      <c r="I1627" t="s">
        <v>50</v>
      </c>
      <c r="J1627">
        <v>49</v>
      </c>
      <c r="K1627">
        <v>833.36</v>
      </c>
      <c r="L1627">
        <v>40834.699999999997</v>
      </c>
      <c r="M1627">
        <v>19655.71</v>
      </c>
      <c r="N1627">
        <v>5028.24</v>
      </c>
      <c r="O1627">
        <v>2948.67</v>
      </c>
      <c r="P1627">
        <v>766.53</v>
      </c>
      <c r="Q1627">
        <v>366.97</v>
      </c>
      <c r="R1627">
        <v>1229.8499999999999</v>
      </c>
      <c r="S1627">
        <v>1006.39</v>
      </c>
      <c r="T1627">
        <v>31002.36</v>
      </c>
      <c r="U1627">
        <v>21179</v>
      </c>
      <c r="V1627">
        <v>9832.34</v>
      </c>
      <c r="W1627">
        <v>8768.6299999999992</v>
      </c>
      <c r="X1627">
        <v>40920.03</v>
      </c>
      <c r="Y1627">
        <v>30872.63</v>
      </c>
    </row>
    <row r="1628" spans="1:25" x14ac:dyDescent="0.25">
      <c r="A1628" t="s">
        <v>1684</v>
      </c>
      <c r="B1628" s="1">
        <v>45387</v>
      </c>
      <c r="C1628">
        <v>2024</v>
      </c>
      <c r="D1628">
        <v>4</v>
      </c>
      <c r="E1628" t="s">
        <v>357</v>
      </c>
      <c r="F1628" t="s">
        <v>358</v>
      </c>
      <c r="G1628" t="s">
        <v>44</v>
      </c>
      <c r="H1628" t="s">
        <v>29</v>
      </c>
      <c r="I1628" t="s">
        <v>45</v>
      </c>
      <c r="J1628">
        <v>28</v>
      </c>
      <c r="K1628">
        <v>1372.27</v>
      </c>
      <c r="L1628">
        <v>38423.449999999997</v>
      </c>
      <c r="M1628">
        <v>20310.27</v>
      </c>
      <c r="N1628">
        <v>3839.69</v>
      </c>
      <c r="O1628">
        <v>2213.71</v>
      </c>
      <c r="P1628">
        <v>1142.07</v>
      </c>
      <c r="Q1628">
        <v>211.86</v>
      </c>
      <c r="R1628">
        <v>1963.49</v>
      </c>
      <c r="S1628">
        <v>470.11</v>
      </c>
      <c r="T1628">
        <v>30151.19</v>
      </c>
      <c r="U1628">
        <v>18113.18</v>
      </c>
      <c r="V1628">
        <v>8272.26</v>
      </c>
      <c r="W1628">
        <v>7522.57</v>
      </c>
      <c r="X1628">
        <v>39866.559999999998</v>
      </c>
      <c r="Y1628">
        <v>30851.34</v>
      </c>
    </row>
    <row r="1629" spans="1:25" x14ac:dyDescent="0.25">
      <c r="A1629" t="s">
        <v>1685</v>
      </c>
      <c r="B1629" s="1">
        <v>45387</v>
      </c>
      <c r="C1629">
        <v>2024</v>
      </c>
      <c r="D1629">
        <v>4</v>
      </c>
      <c r="E1629" t="s">
        <v>357</v>
      </c>
      <c r="F1629" t="s">
        <v>358</v>
      </c>
      <c r="G1629" t="s">
        <v>55</v>
      </c>
      <c r="H1629" t="s">
        <v>36</v>
      </c>
      <c r="I1629" t="s">
        <v>50</v>
      </c>
      <c r="J1629">
        <v>28</v>
      </c>
      <c r="K1629">
        <v>1595.19</v>
      </c>
      <c r="L1629">
        <v>44665.23</v>
      </c>
      <c r="M1629">
        <v>23140.43</v>
      </c>
      <c r="N1629">
        <v>4202.2</v>
      </c>
      <c r="O1629">
        <v>2844.05</v>
      </c>
      <c r="P1629">
        <v>1028</v>
      </c>
      <c r="Q1629">
        <v>787.79</v>
      </c>
      <c r="R1629">
        <v>1861.5</v>
      </c>
      <c r="S1629">
        <v>1072.07</v>
      </c>
      <c r="T1629">
        <v>34936.03</v>
      </c>
      <c r="U1629">
        <v>21524.81</v>
      </c>
      <c r="V1629">
        <v>9729.2099999999991</v>
      </c>
      <c r="W1629">
        <v>9312.99</v>
      </c>
      <c r="X1629">
        <v>47149.86</v>
      </c>
      <c r="Y1629">
        <v>36253.660000000003</v>
      </c>
    </row>
    <row r="1630" spans="1:25" x14ac:dyDescent="0.25">
      <c r="A1630" t="s">
        <v>1686</v>
      </c>
      <c r="B1630" s="1">
        <v>45387</v>
      </c>
      <c r="C1630">
        <v>2024</v>
      </c>
      <c r="D1630">
        <v>4</v>
      </c>
      <c r="E1630" t="s">
        <v>357</v>
      </c>
      <c r="F1630" t="s">
        <v>358</v>
      </c>
      <c r="G1630" t="s">
        <v>55</v>
      </c>
      <c r="H1630" t="s">
        <v>53</v>
      </c>
      <c r="I1630" t="s">
        <v>39</v>
      </c>
      <c r="J1630">
        <v>20</v>
      </c>
      <c r="K1630">
        <v>1609.05</v>
      </c>
      <c r="L1630">
        <v>32181.040000000001</v>
      </c>
      <c r="M1630">
        <v>19435.09</v>
      </c>
      <c r="N1630">
        <v>3199.51</v>
      </c>
      <c r="O1630">
        <v>1315.88</v>
      </c>
      <c r="P1630">
        <v>1186.47</v>
      </c>
      <c r="Q1630">
        <v>168.39</v>
      </c>
      <c r="R1630">
        <v>2020.76</v>
      </c>
      <c r="S1630">
        <v>309.26</v>
      </c>
      <c r="T1630">
        <v>27635.360000000001</v>
      </c>
      <c r="U1630">
        <v>12745.95</v>
      </c>
      <c r="V1630">
        <v>4545.68</v>
      </c>
      <c r="W1630">
        <v>4052.92</v>
      </c>
      <c r="X1630">
        <v>32971.26</v>
      </c>
      <c r="Y1630">
        <v>27984.45</v>
      </c>
    </row>
    <row r="1631" spans="1:25" x14ac:dyDescent="0.25">
      <c r="A1631" t="s">
        <v>1687</v>
      </c>
      <c r="B1631" s="1">
        <v>45388</v>
      </c>
      <c r="C1631">
        <v>2024</v>
      </c>
      <c r="D1631">
        <v>4</v>
      </c>
      <c r="E1631" t="s">
        <v>357</v>
      </c>
      <c r="F1631" t="s">
        <v>358</v>
      </c>
      <c r="G1631" t="s">
        <v>35</v>
      </c>
      <c r="H1631" t="s">
        <v>53</v>
      </c>
      <c r="I1631" t="s">
        <v>65</v>
      </c>
      <c r="J1631">
        <v>38</v>
      </c>
      <c r="K1631">
        <v>1526.35</v>
      </c>
      <c r="L1631">
        <v>58001.279999999999</v>
      </c>
      <c r="M1631">
        <v>29731.65</v>
      </c>
      <c r="N1631">
        <v>6924.17</v>
      </c>
      <c r="O1631">
        <v>1884.49</v>
      </c>
      <c r="P1631">
        <v>1843.25</v>
      </c>
      <c r="Q1631">
        <v>481.03</v>
      </c>
      <c r="R1631">
        <v>3433.83</v>
      </c>
      <c r="S1631">
        <v>1183.1099999999999</v>
      </c>
      <c r="T1631">
        <v>45481.55</v>
      </c>
      <c r="U1631">
        <v>28269.63</v>
      </c>
      <c r="V1631">
        <v>12519.73</v>
      </c>
      <c r="W1631">
        <v>11780.27</v>
      </c>
      <c r="X1631">
        <v>58934.15</v>
      </c>
      <c r="Y1631">
        <v>49979.44</v>
      </c>
    </row>
    <row r="1632" spans="1:25" x14ac:dyDescent="0.25">
      <c r="A1632" t="s">
        <v>1688</v>
      </c>
      <c r="B1632" s="1">
        <v>45388</v>
      </c>
      <c r="C1632">
        <v>2024</v>
      </c>
      <c r="D1632">
        <v>4</v>
      </c>
      <c r="E1632" t="s">
        <v>357</v>
      </c>
      <c r="F1632" t="s">
        <v>358</v>
      </c>
      <c r="G1632" t="s">
        <v>44</v>
      </c>
      <c r="H1632" t="s">
        <v>29</v>
      </c>
      <c r="I1632" t="s">
        <v>56</v>
      </c>
      <c r="J1632">
        <v>17</v>
      </c>
      <c r="K1632">
        <v>1713.48</v>
      </c>
      <c r="L1632">
        <v>29129.11</v>
      </c>
      <c r="M1632">
        <v>18739.46</v>
      </c>
      <c r="N1632">
        <v>2406.19</v>
      </c>
      <c r="O1632">
        <v>1879.53</v>
      </c>
      <c r="P1632">
        <v>621.15</v>
      </c>
      <c r="Q1632">
        <v>326.33</v>
      </c>
      <c r="R1632">
        <v>1760.39</v>
      </c>
      <c r="S1632">
        <v>646.72</v>
      </c>
      <c r="T1632">
        <v>26379.78</v>
      </c>
      <c r="U1632">
        <v>10389.65</v>
      </c>
      <c r="V1632">
        <v>2749.33</v>
      </c>
      <c r="W1632">
        <v>2504.9899999999998</v>
      </c>
      <c r="X1632">
        <v>28811.200000000001</v>
      </c>
      <c r="Y1632">
        <v>24839.88</v>
      </c>
    </row>
    <row r="1633" spans="1:25" x14ac:dyDescent="0.25">
      <c r="A1633" t="s">
        <v>1689</v>
      </c>
      <c r="B1633" s="1">
        <v>45389</v>
      </c>
      <c r="C1633">
        <v>2024</v>
      </c>
      <c r="D1633">
        <v>4</v>
      </c>
      <c r="E1633" t="s">
        <v>357</v>
      </c>
      <c r="F1633" t="s">
        <v>358</v>
      </c>
      <c r="G1633" t="s">
        <v>28</v>
      </c>
      <c r="H1633" t="s">
        <v>29</v>
      </c>
      <c r="I1633" t="s">
        <v>37</v>
      </c>
      <c r="J1633">
        <v>75</v>
      </c>
      <c r="K1633">
        <v>1154.2</v>
      </c>
      <c r="L1633">
        <v>86565.09</v>
      </c>
      <c r="M1633">
        <v>45486.9</v>
      </c>
      <c r="N1633">
        <v>9553.9599999999991</v>
      </c>
      <c r="O1633">
        <v>4300.45</v>
      </c>
      <c r="P1633">
        <v>2167.84</v>
      </c>
      <c r="Q1633">
        <v>1052</v>
      </c>
      <c r="R1633">
        <v>4130.78</v>
      </c>
      <c r="S1633">
        <v>1617.17</v>
      </c>
      <c r="T1633">
        <v>68309.100000000006</v>
      </c>
      <c r="U1633">
        <v>41078.199999999997</v>
      </c>
      <c r="V1633">
        <v>18256</v>
      </c>
      <c r="W1633">
        <v>17373.25</v>
      </c>
      <c r="X1633">
        <v>94788.56</v>
      </c>
      <c r="Y1633">
        <v>71230.12</v>
      </c>
    </row>
    <row r="1634" spans="1:25" x14ac:dyDescent="0.25">
      <c r="A1634" t="s">
        <v>1690</v>
      </c>
      <c r="B1634" s="1">
        <v>45389</v>
      </c>
      <c r="C1634">
        <v>2024</v>
      </c>
      <c r="D1634">
        <v>4</v>
      </c>
      <c r="E1634" t="s">
        <v>357</v>
      </c>
      <c r="F1634" t="s">
        <v>358</v>
      </c>
      <c r="G1634" t="s">
        <v>28</v>
      </c>
      <c r="H1634" t="s">
        <v>29</v>
      </c>
      <c r="I1634" t="s">
        <v>56</v>
      </c>
      <c r="J1634">
        <v>38</v>
      </c>
      <c r="K1634">
        <v>1275.31</v>
      </c>
      <c r="L1634">
        <v>48461.95</v>
      </c>
      <c r="M1634">
        <v>30326.45</v>
      </c>
      <c r="N1634">
        <v>3929.94</v>
      </c>
      <c r="O1634">
        <v>3459.68</v>
      </c>
      <c r="P1634">
        <v>1108.93</v>
      </c>
      <c r="Q1634">
        <v>602</v>
      </c>
      <c r="R1634">
        <v>1867.05</v>
      </c>
      <c r="S1634">
        <v>697.62</v>
      </c>
      <c r="T1634">
        <v>41991.67</v>
      </c>
      <c r="U1634">
        <v>18135.509999999998</v>
      </c>
      <c r="V1634">
        <v>6470.29</v>
      </c>
      <c r="W1634">
        <v>6196.3</v>
      </c>
      <c r="X1634">
        <v>54210.53</v>
      </c>
      <c r="Y1634">
        <v>42500.91</v>
      </c>
    </row>
    <row r="1635" spans="1:25" x14ac:dyDescent="0.25">
      <c r="A1635" t="s">
        <v>1691</v>
      </c>
      <c r="B1635" s="1">
        <v>45390</v>
      </c>
      <c r="C1635">
        <v>2024</v>
      </c>
      <c r="D1635">
        <v>4</v>
      </c>
      <c r="E1635" t="s">
        <v>357</v>
      </c>
      <c r="F1635" t="s">
        <v>358</v>
      </c>
      <c r="G1635" t="s">
        <v>44</v>
      </c>
      <c r="H1635" t="s">
        <v>29</v>
      </c>
      <c r="I1635" t="s">
        <v>50</v>
      </c>
      <c r="J1635">
        <v>34</v>
      </c>
      <c r="K1635">
        <v>1177.8699999999999</v>
      </c>
      <c r="L1635">
        <v>40047.599999999999</v>
      </c>
      <c r="M1635">
        <v>27225.46</v>
      </c>
      <c r="N1635">
        <v>4987.8500000000004</v>
      </c>
      <c r="O1635">
        <v>1423.55</v>
      </c>
      <c r="P1635">
        <v>1386.36</v>
      </c>
      <c r="Q1635">
        <v>377.73</v>
      </c>
      <c r="R1635">
        <v>1354.95</v>
      </c>
      <c r="S1635">
        <v>352.79</v>
      </c>
      <c r="T1635">
        <v>37108.69</v>
      </c>
      <c r="U1635">
        <v>12822.14</v>
      </c>
      <c r="V1635">
        <v>2938.91</v>
      </c>
      <c r="W1635">
        <v>2673.25</v>
      </c>
      <c r="X1635">
        <v>42872.94</v>
      </c>
      <c r="Y1635">
        <v>38222.42</v>
      </c>
    </row>
    <row r="1636" spans="1:25" x14ac:dyDescent="0.25">
      <c r="A1636" t="s">
        <v>1692</v>
      </c>
      <c r="B1636" s="1">
        <v>45390</v>
      </c>
      <c r="C1636">
        <v>2024</v>
      </c>
      <c r="D1636">
        <v>4</v>
      </c>
      <c r="E1636" t="s">
        <v>357</v>
      </c>
      <c r="F1636" t="s">
        <v>358</v>
      </c>
      <c r="G1636" t="s">
        <v>44</v>
      </c>
      <c r="H1636" t="s">
        <v>32</v>
      </c>
      <c r="I1636" t="s">
        <v>33</v>
      </c>
      <c r="J1636">
        <v>86</v>
      </c>
      <c r="K1636">
        <v>874.46</v>
      </c>
      <c r="L1636">
        <v>75203.19</v>
      </c>
      <c r="M1636">
        <v>37492.480000000003</v>
      </c>
      <c r="N1636">
        <v>7567.95</v>
      </c>
      <c r="O1636">
        <v>2559.71</v>
      </c>
      <c r="P1636">
        <v>1402.82</v>
      </c>
      <c r="Q1636">
        <v>451.37</v>
      </c>
      <c r="R1636">
        <v>4180.26</v>
      </c>
      <c r="S1636">
        <v>1408.58</v>
      </c>
      <c r="T1636">
        <v>55063.17</v>
      </c>
      <c r="U1636">
        <v>37710.71</v>
      </c>
      <c r="V1636">
        <v>20140.03</v>
      </c>
      <c r="W1636">
        <v>19905.2</v>
      </c>
      <c r="X1636">
        <v>80227.53</v>
      </c>
      <c r="Y1636">
        <v>59658.35</v>
      </c>
    </row>
    <row r="1637" spans="1:25" x14ac:dyDescent="0.25">
      <c r="A1637" t="s">
        <v>1693</v>
      </c>
      <c r="B1637" s="1">
        <v>45390</v>
      </c>
      <c r="C1637">
        <v>2024</v>
      </c>
      <c r="D1637">
        <v>4</v>
      </c>
      <c r="E1637" t="s">
        <v>357</v>
      </c>
      <c r="F1637" t="s">
        <v>358</v>
      </c>
      <c r="G1637" t="s">
        <v>55</v>
      </c>
      <c r="H1637" t="s">
        <v>32</v>
      </c>
      <c r="I1637" t="s">
        <v>39</v>
      </c>
      <c r="J1637">
        <v>52</v>
      </c>
      <c r="K1637">
        <v>1220.22</v>
      </c>
      <c r="L1637">
        <v>63451.43</v>
      </c>
      <c r="M1637">
        <v>36892.699999999997</v>
      </c>
      <c r="N1637">
        <v>6565.74</v>
      </c>
      <c r="O1637">
        <v>4633.72</v>
      </c>
      <c r="P1637">
        <v>1634.83</v>
      </c>
      <c r="Q1637">
        <v>1028.72</v>
      </c>
      <c r="R1637">
        <v>3323.15</v>
      </c>
      <c r="S1637">
        <v>1071.32</v>
      </c>
      <c r="T1637">
        <v>55150.18</v>
      </c>
      <c r="U1637">
        <v>26558.73</v>
      </c>
      <c r="V1637">
        <v>8301.25</v>
      </c>
      <c r="W1637">
        <v>7691.95</v>
      </c>
      <c r="X1637">
        <v>69192.460000000006</v>
      </c>
      <c r="Y1637">
        <v>57614.11</v>
      </c>
    </row>
    <row r="1638" spans="1:25" x14ac:dyDescent="0.25">
      <c r="A1638" t="s">
        <v>1694</v>
      </c>
      <c r="B1638" s="1">
        <v>45391</v>
      </c>
      <c r="C1638">
        <v>2024</v>
      </c>
      <c r="D1638">
        <v>4</v>
      </c>
      <c r="E1638" t="s">
        <v>357</v>
      </c>
      <c r="F1638" t="s">
        <v>358</v>
      </c>
      <c r="G1638" t="s">
        <v>55</v>
      </c>
      <c r="H1638" t="s">
        <v>32</v>
      </c>
      <c r="I1638" t="s">
        <v>33</v>
      </c>
      <c r="J1638">
        <v>107</v>
      </c>
      <c r="K1638">
        <v>1153.56</v>
      </c>
      <c r="L1638">
        <v>123431.07</v>
      </c>
      <c r="M1638">
        <v>79046.070000000007</v>
      </c>
      <c r="N1638">
        <v>11509.8</v>
      </c>
      <c r="O1638">
        <v>3272.97</v>
      </c>
      <c r="P1638">
        <v>4626.25</v>
      </c>
      <c r="Q1638">
        <v>1361.21</v>
      </c>
      <c r="R1638">
        <v>4580.01</v>
      </c>
      <c r="S1638">
        <v>1160.49</v>
      </c>
      <c r="T1638">
        <v>105556.8</v>
      </c>
      <c r="U1638">
        <v>44385.01</v>
      </c>
      <c r="V1638">
        <v>17874.27</v>
      </c>
      <c r="W1638">
        <v>16824.689999999999</v>
      </c>
      <c r="X1638">
        <v>115852.87</v>
      </c>
      <c r="Y1638">
        <v>114781.45</v>
      </c>
    </row>
    <row r="1639" spans="1:25" x14ac:dyDescent="0.25">
      <c r="A1639" t="s">
        <v>1695</v>
      </c>
      <c r="B1639" s="1">
        <v>45391</v>
      </c>
      <c r="C1639">
        <v>2024</v>
      </c>
      <c r="D1639">
        <v>4</v>
      </c>
      <c r="E1639" t="s">
        <v>357</v>
      </c>
      <c r="F1639" t="s">
        <v>358</v>
      </c>
      <c r="G1639" t="s">
        <v>55</v>
      </c>
      <c r="H1639" t="s">
        <v>32</v>
      </c>
      <c r="I1639" t="s">
        <v>45</v>
      </c>
      <c r="J1639">
        <v>51</v>
      </c>
      <c r="K1639">
        <v>1432.86</v>
      </c>
      <c r="L1639">
        <v>73075.87</v>
      </c>
      <c r="M1639">
        <v>37957.019999999997</v>
      </c>
      <c r="N1639">
        <v>7310.05</v>
      </c>
      <c r="O1639">
        <v>4058.97</v>
      </c>
      <c r="P1639">
        <v>1205.25</v>
      </c>
      <c r="Q1639">
        <v>765.77</v>
      </c>
      <c r="R1639">
        <v>4373.76</v>
      </c>
      <c r="S1639">
        <v>1260.52</v>
      </c>
      <c r="T1639">
        <v>56931.35</v>
      </c>
      <c r="U1639">
        <v>35118.85</v>
      </c>
      <c r="V1639">
        <v>16144.52</v>
      </c>
      <c r="W1639">
        <v>15710.21</v>
      </c>
      <c r="X1639">
        <v>67948.14</v>
      </c>
      <c r="Y1639">
        <v>60797.02</v>
      </c>
    </row>
    <row r="1640" spans="1:25" x14ac:dyDescent="0.25">
      <c r="A1640" t="s">
        <v>1696</v>
      </c>
      <c r="B1640" s="1">
        <v>45391</v>
      </c>
      <c r="C1640">
        <v>2024</v>
      </c>
      <c r="D1640">
        <v>4</v>
      </c>
      <c r="E1640" t="s">
        <v>357</v>
      </c>
      <c r="F1640" t="s">
        <v>358</v>
      </c>
      <c r="G1640" t="s">
        <v>28</v>
      </c>
      <c r="H1640" t="s">
        <v>29</v>
      </c>
      <c r="I1640" t="s">
        <v>33</v>
      </c>
      <c r="J1640">
        <v>83</v>
      </c>
      <c r="K1640">
        <v>1114.3800000000001</v>
      </c>
      <c r="L1640">
        <v>92493.85</v>
      </c>
      <c r="M1640">
        <v>47156.6</v>
      </c>
      <c r="N1640">
        <v>10356.48</v>
      </c>
      <c r="O1640">
        <v>6556.4</v>
      </c>
      <c r="P1640">
        <v>1816.75</v>
      </c>
      <c r="Q1640">
        <v>1614.45</v>
      </c>
      <c r="R1640">
        <v>3821.38</v>
      </c>
      <c r="S1640">
        <v>1807.01</v>
      </c>
      <c r="T1640">
        <v>73129.06</v>
      </c>
      <c r="U1640">
        <v>45337.25</v>
      </c>
      <c r="V1640">
        <v>19364.78</v>
      </c>
      <c r="W1640">
        <v>19300.8</v>
      </c>
      <c r="X1640">
        <v>95009.16</v>
      </c>
      <c r="Y1640">
        <v>68760.89</v>
      </c>
    </row>
    <row r="1641" spans="1:25" x14ac:dyDescent="0.25">
      <c r="A1641" t="s">
        <v>1697</v>
      </c>
      <c r="B1641" s="1">
        <v>45391</v>
      </c>
      <c r="C1641">
        <v>2024</v>
      </c>
      <c r="D1641">
        <v>4</v>
      </c>
      <c r="E1641" t="s">
        <v>357</v>
      </c>
      <c r="F1641" t="s">
        <v>358</v>
      </c>
      <c r="G1641" t="s">
        <v>55</v>
      </c>
      <c r="H1641" t="s">
        <v>53</v>
      </c>
      <c r="I1641" t="s">
        <v>33</v>
      </c>
      <c r="J1641">
        <v>45</v>
      </c>
      <c r="K1641">
        <v>1664.55</v>
      </c>
      <c r="L1641">
        <v>74904.639999999999</v>
      </c>
      <c r="M1641">
        <v>39891.230000000003</v>
      </c>
      <c r="N1641">
        <v>9207.2900000000009</v>
      </c>
      <c r="O1641">
        <v>4356.18</v>
      </c>
      <c r="P1641">
        <v>2148.67</v>
      </c>
      <c r="Q1641">
        <v>1105</v>
      </c>
      <c r="R1641">
        <v>2310.39</v>
      </c>
      <c r="S1641">
        <v>1650.44</v>
      </c>
      <c r="T1641">
        <v>60669.2</v>
      </c>
      <c r="U1641">
        <v>35013.410000000003</v>
      </c>
      <c r="V1641">
        <v>14235.45</v>
      </c>
      <c r="W1641">
        <v>13149.97</v>
      </c>
      <c r="X1641">
        <v>76759.87</v>
      </c>
      <c r="Y1641">
        <v>59954.36</v>
      </c>
    </row>
    <row r="1642" spans="1:25" x14ac:dyDescent="0.25">
      <c r="A1642" t="s">
        <v>1698</v>
      </c>
      <c r="B1642" s="1">
        <v>45391</v>
      </c>
      <c r="C1642">
        <v>2024</v>
      </c>
      <c r="D1642">
        <v>4</v>
      </c>
      <c r="E1642" t="s">
        <v>357</v>
      </c>
      <c r="F1642" t="s">
        <v>358</v>
      </c>
      <c r="G1642" t="s">
        <v>44</v>
      </c>
      <c r="H1642" t="s">
        <v>53</v>
      </c>
      <c r="I1642" t="s">
        <v>37</v>
      </c>
      <c r="J1642">
        <v>31</v>
      </c>
      <c r="K1642">
        <v>1811.93</v>
      </c>
      <c r="L1642">
        <v>56169.8</v>
      </c>
      <c r="M1642">
        <v>33157.9</v>
      </c>
      <c r="N1642">
        <v>5152.16</v>
      </c>
      <c r="O1642">
        <v>1748.8</v>
      </c>
      <c r="P1642">
        <v>1055.42</v>
      </c>
      <c r="Q1642">
        <v>651.47</v>
      </c>
      <c r="R1642">
        <v>3122.67</v>
      </c>
      <c r="S1642">
        <v>813.45</v>
      </c>
      <c r="T1642">
        <v>45701.87</v>
      </c>
      <c r="U1642">
        <v>23011.9</v>
      </c>
      <c r="V1642">
        <v>10467.93</v>
      </c>
      <c r="W1642">
        <v>10250.120000000001</v>
      </c>
      <c r="X1642">
        <v>56269.94</v>
      </c>
      <c r="Y1642">
        <v>42763.89</v>
      </c>
    </row>
    <row r="1643" spans="1:25" x14ac:dyDescent="0.25">
      <c r="A1643" t="s">
        <v>1699</v>
      </c>
      <c r="B1643" s="1">
        <v>45392</v>
      </c>
      <c r="C1643">
        <v>2024</v>
      </c>
      <c r="D1643">
        <v>4</v>
      </c>
      <c r="E1643" t="s">
        <v>357</v>
      </c>
      <c r="F1643" t="s">
        <v>358</v>
      </c>
      <c r="G1643" t="s">
        <v>55</v>
      </c>
      <c r="H1643" t="s">
        <v>32</v>
      </c>
      <c r="I1643" t="s">
        <v>30</v>
      </c>
      <c r="J1643">
        <v>82</v>
      </c>
      <c r="K1643">
        <v>1388.11</v>
      </c>
      <c r="L1643">
        <v>113824.74</v>
      </c>
      <c r="M1643">
        <v>60927.67</v>
      </c>
      <c r="N1643">
        <v>11604.33</v>
      </c>
      <c r="O1643">
        <v>4753.92</v>
      </c>
      <c r="P1643">
        <v>3472.2</v>
      </c>
      <c r="Q1643">
        <v>1410.49</v>
      </c>
      <c r="R1643">
        <v>3236.09</v>
      </c>
      <c r="S1643">
        <v>2148.7199999999998</v>
      </c>
      <c r="T1643">
        <v>87553.42</v>
      </c>
      <c r="U1643">
        <v>52897.07</v>
      </c>
      <c r="V1643">
        <v>26271.31</v>
      </c>
      <c r="W1643">
        <v>24147.91</v>
      </c>
      <c r="X1643">
        <v>126933.98</v>
      </c>
      <c r="Y1643">
        <v>86213.18</v>
      </c>
    </row>
    <row r="1644" spans="1:25" x14ac:dyDescent="0.25">
      <c r="A1644" t="s">
        <v>1700</v>
      </c>
      <c r="B1644" s="1">
        <v>45393</v>
      </c>
      <c r="C1644">
        <v>2024</v>
      </c>
      <c r="D1644">
        <v>4</v>
      </c>
      <c r="E1644" t="s">
        <v>357</v>
      </c>
      <c r="F1644" t="s">
        <v>358</v>
      </c>
      <c r="G1644" t="s">
        <v>28</v>
      </c>
      <c r="H1644" t="s">
        <v>53</v>
      </c>
      <c r="I1644" t="s">
        <v>30</v>
      </c>
      <c r="J1644">
        <v>57</v>
      </c>
      <c r="K1644">
        <v>1180.23</v>
      </c>
      <c r="L1644">
        <v>67273.070000000007</v>
      </c>
      <c r="M1644">
        <v>34889.53</v>
      </c>
      <c r="N1644">
        <v>7284.07</v>
      </c>
      <c r="O1644">
        <v>5014.37</v>
      </c>
      <c r="P1644">
        <v>1779.17</v>
      </c>
      <c r="Q1644">
        <v>678.41</v>
      </c>
      <c r="R1644">
        <v>2806.28</v>
      </c>
      <c r="S1644">
        <v>933.72</v>
      </c>
      <c r="T1644">
        <v>53385.54</v>
      </c>
      <c r="U1644">
        <v>32383.54</v>
      </c>
      <c r="V1644">
        <v>13887.53</v>
      </c>
      <c r="W1644">
        <v>13317.81</v>
      </c>
      <c r="X1644">
        <v>70401.009999999995</v>
      </c>
      <c r="Y1644">
        <v>58305.91</v>
      </c>
    </row>
    <row r="1645" spans="1:25" x14ac:dyDescent="0.25">
      <c r="A1645" t="s">
        <v>1701</v>
      </c>
      <c r="B1645" s="1">
        <v>45393</v>
      </c>
      <c r="C1645">
        <v>2024</v>
      </c>
      <c r="D1645">
        <v>4</v>
      </c>
      <c r="E1645" t="s">
        <v>357</v>
      </c>
      <c r="F1645" t="s">
        <v>358</v>
      </c>
      <c r="G1645" t="s">
        <v>55</v>
      </c>
      <c r="H1645" t="s">
        <v>32</v>
      </c>
      <c r="I1645" t="s">
        <v>30</v>
      </c>
      <c r="J1645">
        <v>80</v>
      </c>
      <c r="K1645">
        <v>1772.76</v>
      </c>
      <c r="L1645">
        <v>141820.84</v>
      </c>
      <c r="M1645">
        <v>90796.19</v>
      </c>
      <c r="N1645">
        <v>10803.04</v>
      </c>
      <c r="O1645">
        <v>3779.78</v>
      </c>
      <c r="P1645">
        <v>2379.09</v>
      </c>
      <c r="Q1645">
        <v>2552.17</v>
      </c>
      <c r="R1645">
        <v>6106.72</v>
      </c>
      <c r="S1645">
        <v>1941.53</v>
      </c>
      <c r="T1645">
        <v>118358.52</v>
      </c>
      <c r="U1645">
        <v>51024.65</v>
      </c>
      <c r="V1645">
        <v>23462.32</v>
      </c>
      <c r="W1645">
        <v>23836.1</v>
      </c>
      <c r="X1645">
        <v>154977.99</v>
      </c>
      <c r="Y1645">
        <v>118179.8</v>
      </c>
    </row>
    <row r="1646" spans="1:25" x14ac:dyDescent="0.25">
      <c r="A1646" t="s">
        <v>1702</v>
      </c>
      <c r="B1646" s="1">
        <v>45393</v>
      </c>
      <c r="C1646">
        <v>2024</v>
      </c>
      <c r="D1646">
        <v>4</v>
      </c>
      <c r="E1646" t="s">
        <v>357</v>
      </c>
      <c r="F1646" t="s">
        <v>358</v>
      </c>
      <c r="G1646" t="s">
        <v>35</v>
      </c>
      <c r="H1646" t="s">
        <v>29</v>
      </c>
      <c r="I1646" t="s">
        <v>56</v>
      </c>
      <c r="J1646">
        <v>26</v>
      </c>
      <c r="K1646">
        <v>1569.18</v>
      </c>
      <c r="L1646">
        <v>40798.69</v>
      </c>
      <c r="M1646">
        <v>21361.32</v>
      </c>
      <c r="N1646">
        <v>4229</v>
      </c>
      <c r="O1646">
        <v>2432.04</v>
      </c>
      <c r="P1646">
        <v>736.82</v>
      </c>
      <c r="Q1646">
        <v>654.02</v>
      </c>
      <c r="R1646">
        <v>1832.71</v>
      </c>
      <c r="S1646">
        <v>587.15</v>
      </c>
      <c r="T1646">
        <v>31833.06</v>
      </c>
      <c r="U1646">
        <v>19437.37</v>
      </c>
      <c r="V1646">
        <v>8965.6299999999992</v>
      </c>
      <c r="W1646">
        <v>9095.91</v>
      </c>
      <c r="X1646">
        <v>44971.85</v>
      </c>
      <c r="Y1646">
        <v>31583.13</v>
      </c>
    </row>
    <row r="1647" spans="1:25" x14ac:dyDescent="0.25">
      <c r="A1647" t="s">
        <v>1703</v>
      </c>
      <c r="B1647" s="1">
        <v>45393</v>
      </c>
      <c r="C1647">
        <v>2024</v>
      </c>
      <c r="D1647">
        <v>4</v>
      </c>
      <c r="E1647" t="s">
        <v>357</v>
      </c>
      <c r="F1647" t="s">
        <v>358</v>
      </c>
      <c r="G1647" t="s">
        <v>55</v>
      </c>
      <c r="H1647" t="s">
        <v>29</v>
      </c>
      <c r="I1647" t="s">
        <v>56</v>
      </c>
      <c r="J1647">
        <v>40</v>
      </c>
      <c r="K1647">
        <v>1159.08</v>
      </c>
      <c r="L1647">
        <v>46363.34</v>
      </c>
      <c r="M1647">
        <v>30297.41</v>
      </c>
      <c r="N1647">
        <v>5097.55</v>
      </c>
      <c r="O1647">
        <v>2769.77</v>
      </c>
      <c r="P1647">
        <v>1859.26</v>
      </c>
      <c r="Q1647">
        <v>430.94</v>
      </c>
      <c r="R1647">
        <v>1658.89</v>
      </c>
      <c r="S1647">
        <v>575.27</v>
      </c>
      <c r="T1647">
        <v>42689.1</v>
      </c>
      <c r="U1647">
        <v>16065.92</v>
      </c>
      <c r="V1647">
        <v>3674.24</v>
      </c>
      <c r="W1647">
        <v>3569.26</v>
      </c>
      <c r="X1647">
        <v>43161.64</v>
      </c>
      <c r="Y1647">
        <v>41660.1</v>
      </c>
    </row>
    <row r="1648" spans="1:25" x14ac:dyDescent="0.25">
      <c r="A1648" t="s">
        <v>1704</v>
      </c>
      <c r="B1648" s="1">
        <v>45394</v>
      </c>
      <c r="C1648">
        <v>2024</v>
      </c>
      <c r="D1648">
        <v>4</v>
      </c>
      <c r="E1648" t="s">
        <v>357</v>
      </c>
      <c r="F1648" t="s">
        <v>358</v>
      </c>
      <c r="G1648" t="s">
        <v>28</v>
      </c>
      <c r="H1648" t="s">
        <v>29</v>
      </c>
      <c r="I1648" t="s">
        <v>56</v>
      </c>
      <c r="J1648">
        <v>46</v>
      </c>
      <c r="K1648">
        <v>903.52</v>
      </c>
      <c r="L1648">
        <v>41561.69</v>
      </c>
      <c r="M1648">
        <v>22292.71</v>
      </c>
      <c r="N1648">
        <v>4590.4799999999996</v>
      </c>
      <c r="O1648">
        <v>1616.46</v>
      </c>
      <c r="P1648">
        <v>955.06</v>
      </c>
      <c r="Q1648">
        <v>679.43</v>
      </c>
      <c r="R1648">
        <v>2581.86</v>
      </c>
      <c r="S1648">
        <v>818.1</v>
      </c>
      <c r="T1648">
        <v>33534.089999999997</v>
      </c>
      <c r="U1648">
        <v>19268.98</v>
      </c>
      <c r="V1648">
        <v>8027.6</v>
      </c>
      <c r="W1648">
        <v>8107.2</v>
      </c>
      <c r="X1648">
        <v>42534.400000000001</v>
      </c>
      <c r="Y1648">
        <v>32478.23</v>
      </c>
    </row>
    <row r="1649" spans="1:25" x14ac:dyDescent="0.25">
      <c r="A1649" t="s">
        <v>1705</v>
      </c>
      <c r="B1649" s="1">
        <v>45394</v>
      </c>
      <c r="C1649">
        <v>2024</v>
      </c>
      <c r="D1649">
        <v>4</v>
      </c>
      <c r="E1649" t="s">
        <v>357</v>
      </c>
      <c r="F1649" t="s">
        <v>358</v>
      </c>
      <c r="G1649" t="s">
        <v>55</v>
      </c>
      <c r="H1649" t="s">
        <v>32</v>
      </c>
      <c r="I1649" t="s">
        <v>65</v>
      </c>
      <c r="J1649">
        <v>82</v>
      </c>
      <c r="K1649">
        <v>1210.6099999999999</v>
      </c>
      <c r="L1649">
        <v>99270.24</v>
      </c>
      <c r="M1649">
        <v>58046.81</v>
      </c>
      <c r="N1649">
        <v>11468.17</v>
      </c>
      <c r="O1649">
        <v>4214.13</v>
      </c>
      <c r="P1649">
        <v>2460.91</v>
      </c>
      <c r="Q1649">
        <v>1556.48</v>
      </c>
      <c r="R1649">
        <v>4779.3900000000003</v>
      </c>
      <c r="S1649">
        <v>2286.41</v>
      </c>
      <c r="T1649">
        <v>84812.31</v>
      </c>
      <c r="U1649">
        <v>41223.42</v>
      </c>
      <c r="V1649">
        <v>14457.93</v>
      </c>
      <c r="W1649">
        <v>14725.42</v>
      </c>
      <c r="X1649">
        <v>101298.9</v>
      </c>
      <c r="Y1649">
        <v>86443.51</v>
      </c>
    </row>
    <row r="1650" spans="1:25" x14ac:dyDescent="0.25">
      <c r="A1650" t="s">
        <v>1706</v>
      </c>
      <c r="B1650" s="1">
        <v>45395</v>
      </c>
      <c r="C1650">
        <v>2024</v>
      </c>
      <c r="D1650">
        <v>4</v>
      </c>
      <c r="E1650" t="s">
        <v>357</v>
      </c>
      <c r="F1650" t="s">
        <v>358</v>
      </c>
      <c r="G1650" t="s">
        <v>28</v>
      </c>
      <c r="H1650" t="s">
        <v>32</v>
      </c>
      <c r="I1650" t="s">
        <v>37</v>
      </c>
      <c r="J1650">
        <v>50</v>
      </c>
      <c r="K1650">
        <v>1562.73</v>
      </c>
      <c r="L1650">
        <v>78136.41</v>
      </c>
      <c r="M1650">
        <v>40146.18</v>
      </c>
      <c r="N1650">
        <v>6538.43</v>
      </c>
      <c r="O1650">
        <v>4914.8900000000003</v>
      </c>
      <c r="P1650">
        <v>2260.14</v>
      </c>
      <c r="Q1650">
        <v>520.57000000000005</v>
      </c>
      <c r="R1650">
        <v>2562.62</v>
      </c>
      <c r="S1650">
        <v>1818.23</v>
      </c>
      <c r="T1650">
        <v>58761.06</v>
      </c>
      <c r="U1650">
        <v>37990.230000000003</v>
      </c>
      <c r="V1650">
        <v>19375.349999999999</v>
      </c>
      <c r="W1650">
        <v>19532.2</v>
      </c>
      <c r="X1650">
        <v>81405.929999999993</v>
      </c>
      <c r="Y1650">
        <v>55993.37</v>
      </c>
    </row>
    <row r="1651" spans="1:25" x14ac:dyDescent="0.25">
      <c r="A1651" t="s">
        <v>1707</v>
      </c>
      <c r="B1651" s="1">
        <v>45396</v>
      </c>
      <c r="C1651">
        <v>2024</v>
      </c>
      <c r="D1651">
        <v>4</v>
      </c>
      <c r="E1651" t="s">
        <v>357</v>
      </c>
      <c r="F1651" t="s">
        <v>358</v>
      </c>
      <c r="G1651" t="s">
        <v>35</v>
      </c>
      <c r="H1651" t="s">
        <v>58</v>
      </c>
      <c r="I1651" t="s">
        <v>56</v>
      </c>
      <c r="J1651">
        <v>23</v>
      </c>
      <c r="K1651">
        <v>1249.3499999999999</v>
      </c>
      <c r="L1651">
        <v>28735.09</v>
      </c>
      <c r="M1651">
        <v>17786.8</v>
      </c>
      <c r="N1651">
        <v>3456.74</v>
      </c>
      <c r="O1651">
        <v>1994.85</v>
      </c>
      <c r="P1651">
        <v>895.21</v>
      </c>
      <c r="Q1651">
        <v>211.52</v>
      </c>
      <c r="R1651">
        <v>1345.21</v>
      </c>
      <c r="S1651">
        <v>321.48</v>
      </c>
      <c r="T1651">
        <v>26011.81</v>
      </c>
      <c r="U1651">
        <v>10948.29</v>
      </c>
      <c r="V1651">
        <v>2723.28</v>
      </c>
      <c r="W1651">
        <v>2567.0100000000002</v>
      </c>
      <c r="X1651">
        <v>29434.82</v>
      </c>
      <c r="Y1651">
        <v>25347.03</v>
      </c>
    </row>
    <row r="1652" spans="1:25" x14ac:dyDescent="0.25">
      <c r="A1652" t="s">
        <v>1708</v>
      </c>
      <c r="B1652" s="1">
        <v>45396</v>
      </c>
      <c r="C1652">
        <v>2024</v>
      </c>
      <c r="D1652">
        <v>4</v>
      </c>
      <c r="E1652" t="s">
        <v>357</v>
      </c>
      <c r="F1652" t="s">
        <v>358</v>
      </c>
      <c r="G1652" t="s">
        <v>55</v>
      </c>
      <c r="H1652" t="s">
        <v>32</v>
      </c>
      <c r="I1652" t="s">
        <v>45</v>
      </c>
      <c r="J1652">
        <v>47</v>
      </c>
      <c r="K1652">
        <v>1354.71</v>
      </c>
      <c r="L1652">
        <v>63671.4</v>
      </c>
      <c r="M1652">
        <v>35418.67</v>
      </c>
      <c r="N1652">
        <v>6603.85</v>
      </c>
      <c r="O1652">
        <v>3186.92</v>
      </c>
      <c r="P1652">
        <v>2491.69</v>
      </c>
      <c r="Q1652">
        <v>1015.64</v>
      </c>
      <c r="R1652">
        <v>3077.48</v>
      </c>
      <c r="S1652">
        <v>739.06</v>
      </c>
      <c r="T1652">
        <v>52533.32</v>
      </c>
      <c r="U1652">
        <v>28252.73</v>
      </c>
      <c r="V1652">
        <v>11138.08</v>
      </c>
      <c r="W1652">
        <v>11073.66</v>
      </c>
      <c r="X1652">
        <v>65664.34</v>
      </c>
      <c r="Y1652">
        <v>50478.1</v>
      </c>
    </row>
    <row r="1653" spans="1:25" x14ac:dyDescent="0.25">
      <c r="A1653" t="s">
        <v>1709</v>
      </c>
      <c r="B1653" s="1">
        <v>45397</v>
      </c>
      <c r="C1653">
        <v>2024</v>
      </c>
      <c r="D1653">
        <v>4</v>
      </c>
      <c r="E1653" t="s">
        <v>357</v>
      </c>
      <c r="F1653" t="s">
        <v>358</v>
      </c>
      <c r="G1653" t="s">
        <v>35</v>
      </c>
      <c r="H1653" t="s">
        <v>32</v>
      </c>
      <c r="I1653" t="s">
        <v>45</v>
      </c>
      <c r="J1653">
        <v>42</v>
      </c>
      <c r="K1653">
        <v>1096.4000000000001</v>
      </c>
      <c r="L1653">
        <v>46048.7</v>
      </c>
      <c r="M1653">
        <v>27925.45</v>
      </c>
      <c r="N1653">
        <v>5638.61</v>
      </c>
      <c r="O1653">
        <v>3148.35</v>
      </c>
      <c r="P1653">
        <v>1428.33</v>
      </c>
      <c r="Q1653">
        <v>582.74</v>
      </c>
      <c r="R1653">
        <v>1157.3399999999999</v>
      </c>
      <c r="S1653">
        <v>987.55</v>
      </c>
      <c r="T1653">
        <v>40868.370000000003</v>
      </c>
      <c r="U1653">
        <v>18123.25</v>
      </c>
      <c r="V1653">
        <v>5180.33</v>
      </c>
      <c r="W1653">
        <v>4797.46</v>
      </c>
      <c r="X1653">
        <v>49126.27</v>
      </c>
      <c r="Y1653">
        <v>38028.89</v>
      </c>
    </row>
    <row r="1654" spans="1:25" x14ac:dyDescent="0.25">
      <c r="A1654" t="s">
        <v>1710</v>
      </c>
      <c r="B1654" s="1">
        <v>45397</v>
      </c>
      <c r="C1654">
        <v>2024</v>
      </c>
      <c r="D1654">
        <v>4</v>
      </c>
      <c r="E1654" t="s">
        <v>357</v>
      </c>
      <c r="F1654" t="s">
        <v>358</v>
      </c>
      <c r="G1654" t="s">
        <v>28</v>
      </c>
      <c r="H1654" t="s">
        <v>53</v>
      </c>
      <c r="I1654" t="s">
        <v>56</v>
      </c>
      <c r="J1654">
        <v>32</v>
      </c>
      <c r="K1654">
        <v>855.33</v>
      </c>
      <c r="L1654">
        <v>27370.54</v>
      </c>
      <c r="M1654">
        <v>14824.95</v>
      </c>
      <c r="N1654">
        <v>2021.17</v>
      </c>
      <c r="O1654">
        <v>1316.86</v>
      </c>
      <c r="P1654">
        <v>602.51</v>
      </c>
      <c r="Q1654">
        <v>301.24</v>
      </c>
      <c r="R1654">
        <v>892.38</v>
      </c>
      <c r="S1654">
        <v>275.77999999999997</v>
      </c>
      <c r="T1654">
        <v>20234.89</v>
      </c>
      <c r="U1654">
        <v>12545.59</v>
      </c>
      <c r="V1654">
        <v>7135.65</v>
      </c>
      <c r="W1654">
        <v>7034.99</v>
      </c>
      <c r="X1654">
        <v>25995.01</v>
      </c>
      <c r="Y1654">
        <v>19367</v>
      </c>
    </row>
    <row r="1655" spans="1:25" x14ac:dyDescent="0.25">
      <c r="A1655" t="s">
        <v>1711</v>
      </c>
      <c r="B1655" s="1">
        <v>45397</v>
      </c>
      <c r="C1655">
        <v>2024</v>
      </c>
      <c r="D1655">
        <v>4</v>
      </c>
      <c r="E1655" t="s">
        <v>357</v>
      </c>
      <c r="F1655" t="s">
        <v>358</v>
      </c>
      <c r="G1655" t="s">
        <v>28</v>
      </c>
      <c r="H1655" t="s">
        <v>36</v>
      </c>
      <c r="I1655" t="s">
        <v>65</v>
      </c>
      <c r="J1655">
        <v>52</v>
      </c>
      <c r="K1655">
        <v>1106.56</v>
      </c>
      <c r="L1655">
        <v>57541.36</v>
      </c>
      <c r="M1655">
        <v>33381.9</v>
      </c>
      <c r="N1655">
        <v>4127.3500000000004</v>
      </c>
      <c r="O1655">
        <v>3007.64</v>
      </c>
      <c r="P1655">
        <v>1184.3399999999999</v>
      </c>
      <c r="Q1655">
        <v>629.32000000000005</v>
      </c>
      <c r="R1655">
        <v>2269.6</v>
      </c>
      <c r="S1655">
        <v>734.97</v>
      </c>
      <c r="T1655">
        <v>45335.14</v>
      </c>
      <c r="U1655">
        <v>24159.45</v>
      </c>
      <c r="V1655">
        <v>12206.22</v>
      </c>
      <c r="W1655">
        <v>11391.45</v>
      </c>
      <c r="X1655">
        <v>56347.49</v>
      </c>
      <c r="Y1655">
        <v>45784.97</v>
      </c>
    </row>
    <row r="1656" spans="1:25" x14ac:dyDescent="0.25">
      <c r="A1656" t="s">
        <v>1712</v>
      </c>
      <c r="B1656" s="1">
        <v>45397</v>
      </c>
      <c r="C1656">
        <v>2024</v>
      </c>
      <c r="D1656">
        <v>4</v>
      </c>
      <c r="E1656" t="s">
        <v>357</v>
      </c>
      <c r="F1656" t="s">
        <v>358</v>
      </c>
      <c r="G1656" t="s">
        <v>55</v>
      </c>
      <c r="H1656" t="s">
        <v>32</v>
      </c>
      <c r="I1656" t="s">
        <v>50</v>
      </c>
      <c r="J1656">
        <v>89</v>
      </c>
      <c r="K1656">
        <v>858.47</v>
      </c>
      <c r="L1656">
        <v>76404.210000000006</v>
      </c>
      <c r="M1656">
        <v>37259.53</v>
      </c>
      <c r="N1656">
        <v>5750.16</v>
      </c>
      <c r="O1656">
        <v>4525.79</v>
      </c>
      <c r="P1656">
        <v>3437.79</v>
      </c>
      <c r="Q1656">
        <v>922.2</v>
      </c>
      <c r="R1656">
        <v>4001.16</v>
      </c>
      <c r="S1656">
        <v>1126.19</v>
      </c>
      <c r="T1656">
        <v>57022.82</v>
      </c>
      <c r="U1656">
        <v>39144.68</v>
      </c>
      <c r="V1656">
        <v>19381.39</v>
      </c>
      <c r="W1656">
        <v>17331.78</v>
      </c>
      <c r="X1656">
        <v>81184.33</v>
      </c>
      <c r="Y1656">
        <v>58913.74</v>
      </c>
    </row>
    <row r="1657" spans="1:25" x14ac:dyDescent="0.25">
      <c r="A1657" t="s">
        <v>1713</v>
      </c>
      <c r="B1657" s="1">
        <v>45397</v>
      </c>
      <c r="C1657">
        <v>2024</v>
      </c>
      <c r="D1657">
        <v>4</v>
      </c>
      <c r="E1657" t="s">
        <v>357</v>
      </c>
      <c r="F1657" t="s">
        <v>358</v>
      </c>
      <c r="G1657" t="s">
        <v>28</v>
      </c>
      <c r="H1657" t="s">
        <v>32</v>
      </c>
      <c r="I1657" t="s">
        <v>39</v>
      </c>
      <c r="J1657">
        <v>36</v>
      </c>
      <c r="K1657">
        <v>1104.1600000000001</v>
      </c>
      <c r="L1657">
        <v>39749.919999999998</v>
      </c>
      <c r="M1657">
        <v>24748.73</v>
      </c>
      <c r="N1657">
        <v>3902.29</v>
      </c>
      <c r="O1657">
        <v>2125.0300000000002</v>
      </c>
      <c r="P1657">
        <v>924.1</v>
      </c>
      <c r="Q1657">
        <v>288.98</v>
      </c>
      <c r="R1657">
        <v>1785.52</v>
      </c>
      <c r="S1657">
        <v>366.77</v>
      </c>
      <c r="T1657">
        <v>34141.410000000003</v>
      </c>
      <c r="U1657">
        <v>15001.19</v>
      </c>
      <c r="V1657">
        <v>5608.51</v>
      </c>
      <c r="W1657">
        <v>5298.27</v>
      </c>
      <c r="X1657">
        <v>40545.83</v>
      </c>
      <c r="Y1657">
        <v>35979.85</v>
      </c>
    </row>
    <row r="1658" spans="1:25" x14ac:dyDescent="0.25">
      <c r="A1658" t="s">
        <v>1714</v>
      </c>
      <c r="B1658" s="1">
        <v>45397</v>
      </c>
      <c r="C1658">
        <v>2024</v>
      </c>
      <c r="D1658">
        <v>4</v>
      </c>
      <c r="E1658" t="s">
        <v>357</v>
      </c>
      <c r="F1658" t="s">
        <v>358</v>
      </c>
      <c r="G1658" t="s">
        <v>44</v>
      </c>
      <c r="H1658" t="s">
        <v>29</v>
      </c>
      <c r="I1658" t="s">
        <v>37</v>
      </c>
      <c r="J1658">
        <v>47</v>
      </c>
      <c r="K1658">
        <v>1658.35</v>
      </c>
      <c r="L1658">
        <v>77942.22</v>
      </c>
      <c r="M1658">
        <v>47230.559999999998</v>
      </c>
      <c r="N1658">
        <v>9886.02</v>
      </c>
      <c r="O1658">
        <v>2293.0500000000002</v>
      </c>
      <c r="P1658">
        <v>2657.71</v>
      </c>
      <c r="Q1658">
        <v>441.15</v>
      </c>
      <c r="R1658">
        <v>3708.63</v>
      </c>
      <c r="S1658">
        <v>1850.79</v>
      </c>
      <c r="T1658">
        <v>68067.899999999994</v>
      </c>
      <c r="U1658">
        <v>30711.66</v>
      </c>
      <c r="V1658">
        <v>9874.32</v>
      </c>
      <c r="W1658">
        <v>8905.2000000000007</v>
      </c>
      <c r="X1658">
        <v>75475.19</v>
      </c>
      <c r="Y1658">
        <v>67612.490000000005</v>
      </c>
    </row>
    <row r="1659" spans="1:25" x14ac:dyDescent="0.25">
      <c r="A1659" t="s">
        <v>1715</v>
      </c>
      <c r="B1659" s="1">
        <v>45397</v>
      </c>
      <c r="C1659">
        <v>2024</v>
      </c>
      <c r="D1659">
        <v>4</v>
      </c>
      <c r="E1659" t="s">
        <v>357</v>
      </c>
      <c r="F1659" t="s">
        <v>358</v>
      </c>
      <c r="G1659" t="s">
        <v>35</v>
      </c>
      <c r="H1659" t="s">
        <v>32</v>
      </c>
      <c r="I1659" t="s">
        <v>65</v>
      </c>
      <c r="J1659">
        <v>41</v>
      </c>
      <c r="K1659">
        <v>1573.23</v>
      </c>
      <c r="L1659">
        <v>64502.63</v>
      </c>
      <c r="M1659">
        <v>32574.78</v>
      </c>
      <c r="N1659">
        <v>7033.91</v>
      </c>
      <c r="O1659">
        <v>2904.47</v>
      </c>
      <c r="P1659">
        <v>2361.44</v>
      </c>
      <c r="Q1659">
        <v>617.29999999999995</v>
      </c>
      <c r="R1659">
        <v>2992.48</v>
      </c>
      <c r="S1659">
        <v>796.39</v>
      </c>
      <c r="T1659">
        <v>49280.77</v>
      </c>
      <c r="U1659">
        <v>31927.85</v>
      </c>
      <c r="V1659">
        <v>15221.85</v>
      </c>
      <c r="W1659">
        <v>13988.23</v>
      </c>
      <c r="X1659">
        <v>70542.53</v>
      </c>
      <c r="Y1659">
        <v>48175.360000000001</v>
      </c>
    </row>
    <row r="1660" spans="1:25" x14ac:dyDescent="0.25">
      <c r="A1660" t="s">
        <v>1716</v>
      </c>
      <c r="B1660" s="1">
        <v>45397</v>
      </c>
      <c r="C1660">
        <v>2024</v>
      </c>
      <c r="D1660">
        <v>4</v>
      </c>
      <c r="E1660" t="s">
        <v>357</v>
      </c>
      <c r="F1660" t="s">
        <v>358</v>
      </c>
      <c r="G1660" t="s">
        <v>44</v>
      </c>
      <c r="H1660" t="s">
        <v>53</v>
      </c>
      <c r="I1660" t="s">
        <v>50</v>
      </c>
      <c r="J1660">
        <v>45</v>
      </c>
      <c r="K1660">
        <v>937.68</v>
      </c>
      <c r="L1660">
        <v>42195.7</v>
      </c>
      <c r="M1660">
        <v>26041.63</v>
      </c>
      <c r="N1660">
        <v>3795.46</v>
      </c>
      <c r="O1660">
        <v>1948.83</v>
      </c>
      <c r="P1660">
        <v>1523.81</v>
      </c>
      <c r="Q1660">
        <v>333.63</v>
      </c>
      <c r="R1660">
        <v>2185.7800000000002</v>
      </c>
      <c r="S1660">
        <v>845.19</v>
      </c>
      <c r="T1660">
        <v>36674.32</v>
      </c>
      <c r="U1660">
        <v>16154.07</v>
      </c>
      <c r="V1660">
        <v>5521.37</v>
      </c>
      <c r="W1660">
        <v>5299.74</v>
      </c>
      <c r="X1660">
        <v>42768.92</v>
      </c>
      <c r="Y1660">
        <v>40047.33</v>
      </c>
    </row>
    <row r="1661" spans="1:25" x14ac:dyDescent="0.25">
      <c r="A1661" t="s">
        <v>1717</v>
      </c>
      <c r="B1661" s="1">
        <v>45397</v>
      </c>
      <c r="C1661">
        <v>2024</v>
      </c>
      <c r="D1661">
        <v>4</v>
      </c>
      <c r="E1661" t="s">
        <v>357</v>
      </c>
      <c r="F1661" t="s">
        <v>358</v>
      </c>
      <c r="G1661" t="s">
        <v>28</v>
      </c>
      <c r="H1661" t="s">
        <v>32</v>
      </c>
      <c r="I1661" t="s">
        <v>39</v>
      </c>
      <c r="J1661">
        <v>39</v>
      </c>
      <c r="K1661">
        <v>1256.23</v>
      </c>
      <c r="L1661">
        <v>48992.82</v>
      </c>
      <c r="M1661">
        <v>31900.57</v>
      </c>
      <c r="N1661">
        <v>3744.42</v>
      </c>
      <c r="O1661">
        <v>2312.13</v>
      </c>
      <c r="P1661">
        <v>1487.83</v>
      </c>
      <c r="Q1661">
        <v>656.69</v>
      </c>
      <c r="R1661">
        <v>2111.38</v>
      </c>
      <c r="S1661">
        <v>684.22</v>
      </c>
      <c r="T1661">
        <v>42897.23</v>
      </c>
      <c r="U1661">
        <v>17092.259999999998</v>
      </c>
      <c r="V1661">
        <v>6095.6</v>
      </c>
      <c r="W1661">
        <v>5849.51</v>
      </c>
      <c r="X1661">
        <v>52303.64</v>
      </c>
      <c r="Y1661">
        <v>40910.33</v>
      </c>
    </row>
    <row r="1662" spans="1:25" x14ac:dyDescent="0.25">
      <c r="A1662" t="s">
        <v>1718</v>
      </c>
      <c r="B1662" s="1">
        <v>45398</v>
      </c>
      <c r="C1662">
        <v>2024</v>
      </c>
      <c r="D1662">
        <v>4</v>
      </c>
      <c r="E1662" t="s">
        <v>357</v>
      </c>
      <c r="F1662" t="s">
        <v>358</v>
      </c>
      <c r="G1662" t="s">
        <v>28</v>
      </c>
      <c r="H1662" t="s">
        <v>32</v>
      </c>
      <c r="I1662" t="s">
        <v>30</v>
      </c>
      <c r="J1662">
        <v>91</v>
      </c>
      <c r="K1662">
        <v>1510.16</v>
      </c>
      <c r="L1662">
        <v>137424.32999999999</v>
      </c>
      <c r="M1662">
        <v>75274.899999999994</v>
      </c>
      <c r="N1662">
        <v>14581.86</v>
      </c>
      <c r="O1662">
        <v>10213</v>
      </c>
      <c r="P1662">
        <v>4123.8599999999997</v>
      </c>
      <c r="Q1662">
        <v>988.07</v>
      </c>
      <c r="R1662">
        <v>7306.77</v>
      </c>
      <c r="S1662">
        <v>3172.26</v>
      </c>
      <c r="T1662">
        <v>115660.72</v>
      </c>
      <c r="U1662">
        <v>62149.43</v>
      </c>
      <c r="V1662">
        <v>21763.61</v>
      </c>
      <c r="W1662">
        <v>20170.71</v>
      </c>
      <c r="X1662">
        <v>137570.99</v>
      </c>
      <c r="Y1662">
        <v>112994.6</v>
      </c>
    </row>
    <row r="1663" spans="1:25" x14ac:dyDescent="0.25">
      <c r="A1663" t="s">
        <v>1719</v>
      </c>
      <c r="B1663" s="1">
        <v>45398</v>
      </c>
      <c r="C1663">
        <v>2024</v>
      </c>
      <c r="D1663">
        <v>4</v>
      </c>
      <c r="E1663" t="s">
        <v>357</v>
      </c>
      <c r="F1663" t="s">
        <v>358</v>
      </c>
      <c r="G1663" t="s">
        <v>55</v>
      </c>
      <c r="H1663" t="s">
        <v>36</v>
      </c>
      <c r="I1663" t="s">
        <v>45</v>
      </c>
      <c r="J1663">
        <v>29</v>
      </c>
      <c r="K1663">
        <v>1609.03</v>
      </c>
      <c r="L1663">
        <v>46661.74</v>
      </c>
      <c r="M1663">
        <v>27026.49</v>
      </c>
      <c r="N1663">
        <v>4342.2700000000004</v>
      </c>
      <c r="O1663">
        <v>3448.08</v>
      </c>
      <c r="P1663">
        <v>2076.2600000000002</v>
      </c>
      <c r="Q1663">
        <v>323.11</v>
      </c>
      <c r="R1663">
        <v>1182.6600000000001</v>
      </c>
      <c r="S1663">
        <v>713.74</v>
      </c>
      <c r="T1663">
        <v>39112.6</v>
      </c>
      <c r="U1663">
        <v>19635.25</v>
      </c>
      <c r="V1663">
        <v>7549.14</v>
      </c>
      <c r="W1663">
        <v>6865.09</v>
      </c>
      <c r="X1663">
        <v>45320.21</v>
      </c>
      <c r="Y1663">
        <v>40330.85</v>
      </c>
    </row>
    <row r="1664" spans="1:25" x14ac:dyDescent="0.25">
      <c r="A1664" t="s">
        <v>1720</v>
      </c>
      <c r="B1664" s="1">
        <v>45399</v>
      </c>
      <c r="C1664">
        <v>2024</v>
      </c>
      <c r="D1664">
        <v>4</v>
      </c>
      <c r="E1664" t="s">
        <v>357</v>
      </c>
      <c r="F1664" t="s">
        <v>358</v>
      </c>
      <c r="G1664" t="s">
        <v>28</v>
      </c>
      <c r="H1664" t="s">
        <v>32</v>
      </c>
      <c r="I1664" t="s">
        <v>50</v>
      </c>
      <c r="J1664">
        <v>59</v>
      </c>
      <c r="K1664">
        <v>937.8</v>
      </c>
      <c r="L1664">
        <v>55330.35</v>
      </c>
      <c r="M1664">
        <v>36432.9</v>
      </c>
      <c r="N1664">
        <v>5278.87</v>
      </c>
      <c r="O1664">
        <v>3825.72</v>
      </c>
      <c r="P1664">
        <v>987.91</v>
      </c>
      <c r="Q1664">
        <v>287.66000000000003</v>
      </c>
      <c r="R1664">
        <v>1716.6</v>
      </c>
      <c r="S1664">
        <v>749.35</v>
      </c>
      <c r="T1664">
        <v>49279</v>
      </c>
      <c r="U1664">
        <v>18897.45</v>
      </c>
      <c r="V1664">
        <v>6051.35</v>
      </c>
      <c r="W1664">
        <v>5955.65</v>
      </c>
      <c r="X1664">
        <v>53856.51</v>
      </c>
      <c r="Y1664">
        <v>49564.36</v>
      </c>
    </row>
    <row r="1665" spans="1:25" x14ac:dyDescent="0.25">
      <c r="A1665" t="s">
        <v>1721</v>
      </c>
      <c r="B1665" s="1">
        <v>45399</v>
      </c>
      <c r="C1665">
        <v>2024</v>
      </c>
      <c r="D1665">
        <v>4</v>
      </c>
      <c r="E1665" t="s">
        <v>357</v>
      </c>
      <c r="F1665" t="s">
        <v>358</v>
      </c>
      <c r="G1665" t="s">
        <v>55</v>
      </c>
      <c r="H1665" t="s">
        <v>29</v>
      </c>
      <c r="I1665" t="s">
        <v>56</v>
      </c>
      <c r="J1665">
        <v>47</v>
      </c>
      <c r="K1665">
        <v>987.88</v>
      </c>
      <c r="L1665">
        <v>46430.5</v>
      </c>
      <c r="M1665">
        <v>28697.89</v>
      </c>
      <c r="N1665">
        <v>5894.05</v>
      </c>
      <c r="O1665">
        <v>1905.16</v>
      </c>
      <c r="P1665">
        <v>1756.7</v>
      </c>
      <c r="Q1665">
        <v>449.18</v>
      </c>
      <c r="R1665">
        <v>2379.44</v>
      </c>
      <c r="S1665">
        <v>428.3</v>
      </c>
      <c r="T1665">
        <v>41510.720000000001</v>
      </c>
      <c r="U1665">
        <v>17732.599999999999</v>
      </c>
      <c r="V1665">
        <v>4919.7700000000004</v>
      </c>
      <c r="W1665">
        <v>4592.6499999999996</v>
      </c>
      <c r="X1665">
        <v>44431.28</v>
      </c>
      <c r="Y1665">
        <v>44997.39</v>
      </c>
    </row>
    <row r="1666" spans="1:25" x14ac:dyDescent="0.25">
      <c r="A1666" t="s">
        <v>1722</v>
      </c>
      <c r="B1666" s="1">
        <v>45400</v>
      </c>
      <c r="C1666">
        <v>2024</v>
      </c>
      <c r="D1666">
        <v>4</v>
      </c>
      <c r="E1666" t="s">
        <v>357</v>
      </c>
      <c r="F1666" t="s">
        <v>358</v>
      </c>
      <c r="G1666" t="s">
        <v>35</v>
      </c>
      <c r="H1666" t="s">
        <v>58</v>
      </c>
      <c r="I1666" t="s">
        <v>50</v>
      </c>
      <c r="J1666">
        <v>21</v>
      </c>
      <c r="K1666">
        <v>1533.02</v>
      </c>
      <c r="L1666">
        <v>32193.35</v>
      </c>
      <c r="M1666">
        <v>17559.39</v>
      </c>
      <c r="N1666">
        <v>2932.86</v>
      </c>
      <c r="O1666">
        <v>2139.71</v>
      </c>
      <c r="P1666">
        <v>1270.0999999999999</v>
      </c>
      <c r="Q1666">
        <v>342.28</v>
      </c>
      <c r="R1666">
        <v>974.68</v>
      </c>
      <c r="S1666">
        <v>483.04</v>
      </c>
      <c r="T1666">
        <v>25702.04</v>
      </c>
      <c r="U1666">
        <v>14633.96</v>
      </c>
      <c r="V1666">
        <v>6491.3</v>
      </c>
      <c r="W1666">
        <v>6553.33</v>
      </c>
      <c r="X1666">
        <v>35382.839999999997</v>
      </c>
      <c r="Y1666">
        <v>28028.99</v>
      </c>
    </row>
    <row r="1667" spans="1:25" x14ac:dyDescent="0.25">
      <c r="A1667" t="s">
        <v>1723</v>
      </c>
      <c r="B1667" s="1">
        <v>45400</v>
      </c>
      <c r="C1667">
        <v>2024</v>
      </c>
      <c r="D1667">
        <v>4</v>
      </c>
      <c r="E1667" t="s">
        <v>357</v>
      </c>
      <c r="F1667" t="s">
        <v>358</v>
      </c>
      <c r="G1667" t="s">
        <v>35</v>
      </c>
      <c r="H1667" t="s">
        <v>36</v>
      </c>
      <c r="I1667" t="s">
        <v>39</v>
      </c>
      <c r="J1667">
        <v>17</v>
      </c>
      <c r="K1667">
        <v>1676.97</v>
      </c>
      <c r="L1667">
        <v>28508.53</v>
      </c>
      <c r="M1667">
        <v>16206.75</v>
      </c>
      <c r="N1667">
        <v>3414.8</v>
      </c>
      <c r="O1667">
        <v>876.42</v>
      </c>
      <c r="P1667">
        <v>635.70000000000005</v>
      </c>
      <c r="Q1667">
        <v>231.36</v>
      </c>
      <c r="R1667">
        <v>1801.38</v>
      </c>
      <c r="S1667">
        <v>577.66</v>
      </c>
      <c r="T1667">
        <v>23744.07</v>
      </c>
      <c r="U1667">
        <v>12301.78</v>
      </c>
      <c r="V1667">
        <v>4764.46</v>
      </c>
      <c r="W1667">
        <v>4588.79</v>
      </c>
      <c r="X1667">
        <v>29266.11</v>
      </c>
      <c r="Y1667">
        <v>24757.72</v>
      </c>
    </row>
    <row r="1668" spans="1:25" x14ac:dyDescent="0.25">
      <c r="A1668" t="s">
        <v>1724</v>
      </c>
      <c r="B1668" s="1">
        <v>45400</v>
      </c>
      <c r="C1668">
        <v>2024</v>
      </c>
      <c r="D1668">
        <v>4</v>
      </c>
      <c r="E1668" t="s">
        <v>357</v>
      </c>
      <c r="F1668" t="s">
        <v>358</v>
      </c>
      <c r="G1668" t="s">
        <v>55</v>
      </c>
      <c r="H1668" t="s">
        <v>36</v>
      </c>
      <c r="I1668" t="s">
        <v>39</v>
      </c>
      <c r="J1668">
        <v>37</v>
      </c>
      <c r="K1668">
        <v>1402.11</v>
      </c>
      <c r="L1668">
        <v>51878.18</v>
      </c>
      <c r="M1668">
        <v>29510.84</v>
      </c>
      <c r="N1668">
        <v>4201.71</v>
      </c>
      <c r="O1668">
        <v>2978.33</v>
      </c>
      <c r="P1668">
        <v>1997.31</v>
      </c>
      <c r="Q1668">
        <v>606.41</v>
      </c>
      <c r="R1668">
        <v>1986.1</v>
      </c>
      <c r="S1668">
        <v>881.67</v>
      </c>
      <c r="T1668">
        <v>42162.37</v>
      </c>
      <c r="U1668">
        <v>22367.34</v>
      </c>
      <c r="V1668">
        <v>9715.81</v>
      </c>
      <c r="W1668">
        <v>9138.1200000000008</v>
      </c>
      <c r="X1668">
        <v>54799.75</v>
      </c>
      <c r="Y1668">
        <v>41310.550000000003</v>
      </c>
    </row>
    <row r="1669" spans="1:25" x14ac:dyDescent="0.25">
      <c r="A1669" t="s">
        <v>1725</v>
      </c>
      <c r="B1669" s="1">
        <v>45401</v>
      </c>
      <c r="C1669">
        <v>2024</v>
      </c>
      <c r="D1669">
        <v>4</v>
      </c>
      <c r="E1669" t="s">
        <v>357</v>
      </c>
      <c r="F1669" t="s">
        <v>358</v>
      </c>
      <c r="G1669" t="s">
        <v>28</v>
      </c>
      <c r="H1669" t="s">
        <v>53</v>
      </c>
      <c r="I1669" t="s">
        <v>37</v>
      </c>
      <c r="J1669">
        <v>59</v>
      </c>
      <c r="K1669">
        <v>1037.92</v>
      </c>
      <c r="L1669">
        <v>61237.46</v>
      </c>
      <c r="M1669">
        <v>30837.01</v>
      </c>
      <c r="N1669">
        <v>6621.05</v>
      </c>
      <c r="O1669">
        <v>4229.0200000000004</v>
      </c>
      <c r="P1669">
        <v>2031.13</v>
      </c>
      <c r="Q1669">
        <v>998.04</v>
      </c>
      <c r="R1669">
        <v>3899.88</v>
      </c>
      <c r="S1669">
        <v>824.11</v>
      </c>
      <c r="T1669">
        <v>49440.25</v>
      </c>
      <c r="U1669">
        <v>30400.44</v>
      </c>
      <c r="V1669">
        <v>11797.21</v>
      </c>
      <c r="W1669">
        <v>10649.16</v>
      </c>
      <c r="X1669">
        <v>62194.17</v>
      </c>
      <c r="Y1669">
        <v>50044.73</v>
      </c>
    </row>
    <row r="1670" spans="1:25" x14ac:dyDescent="0.25">
      <c r="A1670" t="s">
        <v>1726</v>
      </c>
      <c r="B1670" s="1">
        <v>45401</v>
      </c>
      <c r="C1670">
        <v>2024</v>
      </c>
      <c r="D1670">
        <v>4</v>
      </c>
      <c r="E1670" t="s">
        <v>357</v>
      </c>
      <c r="F1670" t="s">
        <v>358</v>
      </c>
      <c r="G1670" t="s">
        <v>55</v>
      </c>
      <c r="H1670" t="s">
        <v>29</v>
      </c>
      <c r="I1670" t="s">
        <v>33</v>
      </c>
      <c r="J1670">
        <v>51</v>
      </c>
      <c r="K1670">
        <v>1655.43</v>
      </c>
      <c r="L1670">
        <v>84426.98</v>
      </c>
      <c r="M1670">
        <v>47643.43</v>
      </c>
      <c r="N1670">
        <v>9074.8700000000008</v>
      </c>
      <c r="O1670">
        <v>2326.0300000000002</v>
      </c>
      <c r="P1670">
        <v>1709.72</v>
      </c>
      <c r="Q1670">
        <v>1495.39</v>
      </c>
      <c r="R1670">
        <v>3704.39</v>
      </c>
      <c r="S1670">
        <v>822.1</v>
      </c>
      <c r="T1670">
        <v>66775.929999999993</v>
      </c>
      <c r="U1670">
        <v>36783.550000000003</v>
      </c>
      <c r="V1670">
        <v>17651.060000000001</v>
      </c>
      <c r="W1670">
        <v>16675.580000000002</v>
      </c>
      <c r="X1670">
        <v>88721.54</v>
      </c>
      <c r="Y1670">
        <v>71805.02</v>
      </c>
    </row>
    <row r="1671" spans="1:25" x14ac:dyDescent="0.25">
      <c r="A1671" t="s">
        <v>1727</v>
      </c>
      <c r="B1671" s="1">
        <v>45401</v>
      </c>
      <c r="C1671">
        <v>2024</v>
      </c>
      <c r="D1671">
        <v>4</v>
      </c>
      <c r="E1671" t="s">
        <v>357</v>
      </c>
      <c r="F1671" t="s">
        <v>358</v>
      </c>
      <c r="G1671" t="s">
        <v>35</v>
      </c>
      <c r="H1671" t="s">
        <v>58</v>
      </c>
      <c r="I1671" t="s">
        <v>37</v>
      </c>
      <c r="J1671">
        <v>42</v>
      </c>
      <c r="K1671">
        <v>1391.44</v>
      </c>
      <c r="L1671">
        <v>58440.41</v>
      </c>
      <c r="M1671">
        <v>32536.16</v>
      </c>
      <c r="N1671">
        <v>7401.68</v>
      </c>
      <c r="O1671">
        <v>2270.41</v>
      </c>
      <c r="P1671">
        <v>1939.88</v>
      </c>
      <c r="Q1671">
        <v>839.72</v>
      </c>
      <c r="R1671">
        <v>3509.67</v>
      </c>
      <c r="S1671">
        <v>1235.69</v>
      </c>
      <c r="T1671">
        <v>49733.2</v>
      </c>
      <c r="U1671">
        <v>25904.25</v>
      </c>
      <c r="V1671">
        <v>8707.2199999999993</v>
      </c>
      <c r="W1671">
        <v>8510.3799999999992</v>
      </c>
      <c r="X1671">
        <v>56903.28</v>
      </c>
      <c r="Y1671">
        <v>52351.839999999997</v>
      </c>
    </row>
    <row r="1672" spans="1:25" x14ac:dyDescent="0.25">
      <c r="A1672" t="s">
        <v>1728</v>
      </c>
      <c r="B1672" s="1">
        <v>45402</v>
      </c>
      <c r="C1672">
        <v>2024</v>
      </c>
      <c r="D1672">
        <v>4</v>
      </c>
      <c r="E1672" t="s">
        <v>357</v>
      </c>
      <c r="F1672" t="s">
        <v>358</v>
      </c>
      <c r="G1672" t="s">
        <v>35</v>
      </c>
      <c r="H1672" t="s">
        <v>32</v>
      </c>
      <c r="I1672" t="s">
        <v>50</v>
      </c>
      <c r="J1672">
        <v>56</v>
      </c>
      <c r="K1672">
        <v>812.6</v>
      </c>
      <c r="L1672">
        <v>45505.62</v>
      </c>
      <c r="M1672">
        <v>24029.89</v>
      </c>
      <c r="N1672">
        <v>3362.79</v>
      </c>
      <c r="O1672">
        <v>1631.13</v>
      </c>
      <c r="P1672">
        <v>795.51</v>
      </c>
      <c r="Q1672">
        <v>608.79999999999995</v>
      </c>
      <c r="R1672">
        <v>2286.62</v>
      </c>
      <c r="S1672">
        <v>1003.65</v>
      </c>
      <c r="T1672">
        <v>33718.39</v>
      </c>
      <c r="U1672">
        <v>21475.73</v>
      </c>
      <c r="V1672">
        <v>11787.22</v>
      </c>
      <c r="W1672">
        <v>11365.59</v>
      </c>
      <c r="X1672">
        <v>46006.17</v>
      </c>
      <c r="Y1672">
        <v>36007.019999999997</v>
      </c>
    </row>
    <row r="1673" spans="1:25" x14ac:dyDescent="0.25">
      <c r="A1673" t="s">
        <v>1729</v>
      </c>
      <c r="B1673" s="1">
        <v>45402</v>
      </c>
      <c r="C1673">
        <v>2024</v>
      </c>
      <c r="D1673">
        <v>4</v>
      </c>
      <c r="E1673" t="s">
        <v>357</v>
      </c>
      <c r="F1673" t="s">
        <v>358</v>
      </c>
      <c r="G1673" t="s">
        <v>55</v>
      </c>
      <c r="H1673" t="s">
        <v>29</v>
      </c>
      <c r="I1673" t="s">
        <v>37</v>
      </c>
      <c r="J1673">
        <v>53</v>
      </c>
      <c r="K1673">
        <v>1471.32</v>
      </c>
      <c r="L1673">
        <v>77979.81</v>
      </c>
      <c r="M1673">
        <v>47416.08</v>
      </c>
      <c r="N1673">
        <v>9121.7800000000007</v>
      </c>
      <c r="O1673">
        <v>3279.57</v>
      </c>
      <c r="P1673">
        <v>1219.6300000000001</v>
      </c>
      <c r="Q1673">
        <v>1177.78</v>
      </c>
      <c r="R1673">
        <v>2843.12</v>
      </c>
      <c r="S1673">
        <v>1494.73</v>
      </c>
      <c r="T1673">
        <v>66552.69</v>
      </c>
      <c r="U1673">
        <v>30563.74</v>
      </c>
      <c r="V1673">
        <v>11427.12</v>
      </c>
      <c r="W1673">
        <v>10904.65</v>
      </c>
      <c r="X1673">
        <v>86518.54</v>
      </c>
      <c r="Y1673">
        <v>71332.350000000006</v>
      </c>
    </row>
    <row r="1674" spans="1:25" x14ac:dyDescent="0.25">
      <c r="A1674" t="s">
        <v>1730</v>
      </c>
      <c r="B1674" s="1">
        <v>45402</v>
      </c>
      <c r="C1674">
        <v>2024</v>
      </c>
      <c r="D1674">
        <v>4</v>
      </c>
      <c r="E1674" t="s">
        <v>357</v>
      </c>
      <c r="F1674" t="s">
        <v>358</v>
      </c>
      <c r="G1674" t="s">
        <v>28</v>
      </c>
      <c r="H1674" t="s">
        <v>36</v>
      </c>
      <c r="I1674" t="s">
        <v>33</v>
      </c>
      <c r="J1674">
        <v>69</v>
      </c>
      <c r="K1674">
        <v>1255.17</v>
      </c>
      <c r="L1674">
        <v>86606.97</v>
      </c>
      <c r="M1674">
        <v>56104.37</v>
      </c>
      <c r="N1674">
        <v>8244.7800000000007</v>
      </c>
      <c r="O1674">
        <v>4842.6499999999996</v>
      </c>
      <c r="P1674">
        <v>1561.29</v>
      </c>
      <c r="Q1674">
        <v>971.78</v>
      </c>
      <c r="R1674">
        <v>3281.51</v>
      </c>
      <c r="S1674">
        <v>1694.81</v>
      </c>
      <c r="T1674">
        <v>76701.19</v>
      </c>
      <c r="U1674">
        <v>30502.59</v>
      </c>
      <c r="V1674">
        <v>9905.7800000000007</v>
      </c>
      <c r="W1674">
        <v>8723.31</v>
      </c>
      <c r="X1674">
        <v>87813.22</v>
      </c>
      <c r="Y1674">
        <v>79049.87</v>
      </c>
    </row>
    <row r="1675" spans="1:25" x14ac:dyDescent="0.25">
      <c r="A1675" t="s">
        <v>1731</v>
      </c>
      <c r="B1675" s="1">
        <v>45402</v>
      </c>
      <c r="C1675">
        <v>2024</v>
      </c>
      <c r="D1675">
        <v>4</v>
      </c>
      <c r="E1675" t="s">
        <v>357</v>
      </c>
      <c r="F1675" t="s">
        <v>358</v>
      </c>
      <c r="G1675" t="s">
        <v>28</v>
      </c>
      <c r="H1675" t="s">
        <v>58</v>
      </c>
      <c r="I1675" t="s">
        <v>39</v>
      </c>
      <c r="J1675">
        <v>37</v>
      </c>
      <c r="K1675">
        <v>1097.3599999999999</v>
      </c>
      <c r="L1675">
        <v>40602.21</v>
      </c>
      <c r="M1675">
        <v>27434.53</v>
      </c>
      <c r="N1675">
        <v>3657.06</v>
      </c>
      <c r="O1675">
        <v>2070.44</v>
      </c>
      <c r="P1675">
        <v>1723.92</v>
      </c>
      <c r="Q1675">
        <v>609.55999999999995</v>
      </c>
      <c r="R1675">
        <v>1652.65</v>
      </c>
      <c r="S1675">
        <v>801.17</v>
      </c>
      <c r="T1675">
        <v>37949.339999999997</v>
      </c>
      <c r="U1675">
        <v>13167.68</v>
      </c>
      <c r="V1675">
        <v>2652.87</v>
      </c>
      <c r="W1675">
        <v>2548.25</v>
      </c>
      <c r="X1675">
        <v>41375.78</v>
      </c>
      <c r="Y1675">
        <v>38694.36</v>
      </c>
    </row>
    <row r="1676" spans="1:25" x14ac:dyDescent="0.25">
      <c r="A1676" t="s">
        <v>1732</v>
      </c>
      <c r="B1676" s="1">
        <v>45402</v>
      </c>
      <c r="C1676">
        <v>2024</v>
      </c>
      <c r="D1676">
        <v>4</v>
      </c>
      <c r="E1676" t="s">
        <v>357</v>
      </c>
      <c r="F1676" t="s">
        <v>358</v>
      </c>
      <c r="G1676" t="s">
        <v>44</v>
      </c>
      <c r="H1676" t="s">
        <v>32</v>
      </c>
      <c r="I1676" t="s">
        <v>65</v>
      </c>
      <c r="J1676">
        <v>48</v>
      </c>
      <c r="K1676">
        <v>1279.72</v>
      </c>
      <c r="L1676">
        <v>61426.51</v>
      </c>
      <c r="M1676">
        <v>35589.15</v>
      </c>
      <c r="N1676">
        <v>5544.52</v>
      </c>
      <c r="O1676">
        <v>2083.89</v>
      </c>
      <c r="P1676">
        <v>1892.03</v>
      </c>
      <c r="Q1676">
        <v>424.92</v>
      </c>
      <c r="R1676">
        <v>3052.99</v>
      </c>
      <c r="S1676">
        <v>814.48</v>
      </c>
      <c r="T1676">
        <v>49401.99</v>
      </c>
      <c r="U1676">
        <v>25837.360000000001</v>
      </c>
      <c r="V1676">
        <v>12024.52</v>
      </c>
      <c r="W1676">
        <v>11716.68</v>
      </c>
      <c r="X1676">
        <v>57329.01</v>
      </c>
      <c r="Y1676">
        <v>46243.87</v>
      </c>
    </row>
    <row r="1677" spans="1:25" x14ac:dyDescent="0.25">
      <c r="A1677" t="s">
        <v>1733</v>
      </c>
      <c r="B1677" s="1">
        <v>45402</v>
      </c>
      <c r="C1677">
        <v>2024</v>
      </c>
      <c r="D1677">
        <v>4</v>
      </c>
      <c r="E1677" t="s">
        <v>357</v>
      </c>
      <c r="F1677" t="s">
        <v>358</v>
      </c>
      <c r="G1677" t="s">
        <v>28</v>
      </c>
      <c r="H1677" t="s">
        <v>32</v>
      </c>
      <c r="I1677" t="s">
        <v>65</v>
      </c>
      <c r="J1677">
        <v>71</v>
      </c>
      <c r="K1677">
        <v>1229.47</v>
      </c>
      <c r="L1677">
        <v>87292.51</v>
      </c>
      <c r="M1677">
        <v>51775.76</v>
      </c>
      <c r="N1677">
        <v>10468.459999999999</v>
      </c>
      <c r="O1677">
        <v>4735.62</v>
      </c>
      <c r="P1677">
        <v>3449.67</v>
      </c>
      <c r="Q1677">
        <v>1472.78</v>
      </c>
      <c r="R1677">
        <v>3459.52</v>
      </c>
      <c r="S1677">
        <v>1490.6</v>
      </c>
      <c r="T1677">
        <v>76852.41</v>
      </c>
      <c r="U1677">
        <v>35516.74</v>
      </c>
      <c r="V1677">
        <v>10440.1</v>
      </c>
      <c r="W1677">
        <v>9576.2099999999991</v>
      </c>
      <c r="X1677">
        <v>96239.32</v>
      </c>
      <c r="Y1677">
        <v>83615.320000000007</v>
      </c>
    </row>
    <row r="1678" spans="1:25" x14ac:dyDescent="0.25">
      <c r="A1678" t="s">
        <v>1734</v>
      </c>
      <c r="B1678" s="1">
        <v>45402</v>
      </c>
      <c r="C1678">
        <v>2024</v>
      </c>
      <c r="D1678">
        <v>4</v>
      </c>
      <c r="E1678" t="s">
        <v>357</v>
      </c>
      <c r="F1678" t="s">
        <v>358</v>
      </c>
      <c r="G1678" t="s">
        <v>44</v>
      </c>
      <c r="H1678" t="s">
        <v>29</v>
      </c>
      <c r="I1678" t="s">
        <v>50</v>
      </c>
      <c r="J1678">
        <v>47</v>
      </c>
      <c r="K1678">
        <v>916.19</v>
      </c>
      <c r="L1678">
        <v>43060.959999999999</v>
      </c>
      <c r="M1678">
        <v>26390.35</v>
      </c>
      <c r="N1678">
        <v>5426.78</v>
      </c>
      <c r="O1678">
        <v>1438.82</v>
      </c>
      <c r="P1678">
        <v>1629.04</v>
      </c>
      <c r="Q1678">
        <v>730.68</v>
      </c>
      <c r="R1678">
        <v>1274.98</v>
      </c>
      <c r="S1678">
        <v>619.89</v>
      </c>
      <c r="T1678">
        <v>37510.550000000003</v>
      </c>
      <c r="U1678">
        <v>16670.599999999999</v>
      </c>
      <c r="V1678">
        <v>5550.41</v>
      </c>
      <c r="W1678">
        <v>5196.72</v>
      </c>
      <c r="X1678">
        <v>40329.03</v>
      </c>
      <c r="Y1678">
        <v>36923.379999999997</v>
      </c>
    </row>
    <row r="1679" spans="1:25" x14ac:dyDescent="0.25">
      <c r="A1679" t="s">
        <v>1735</v>
      </c>
      <c r="B1679" s="1">
        <v>45403</v>
      </c>
      <c r="C1679">
        <v>2024</v>
      </c>
      <c r="D1679">
        <v>4</v>
      </c>
      <c r="E1679" t="s">
        <v>357</v>
      </c>
      <c r="F1679" t="s">
        <v>358</v>
      </c>
      <c r="G1679" t="s">
        <v>55</v>
      </c>
      <c r="H1679" t="s">
        <v>58</v>
      </c>
      <c r="I1679" t="s">
        <v>37</v>
      </c>
      <c r="J1679">
        <v>65</v>
      </c>
      <c r="K1679">
        <v>1224.06</v>
      </c>
      <c r="L1679">
        <v>79563.58</v>
      </c>
      <c r="M1679">
        <v>48131.75</v>
      </c>
      <c r="N1679">
        <v>5983.23</v>
      </c>
      <c r="O1679">
        <v>3506.88</v>
      </c>
      <c r="P1679">
        <v>1974.49</v>
      </c>
      <c r="Q1679">
        <v>426.83</v>
      </c>
      <c r="R1679">
        <v>4584.16</v>
      </c>
      <c r="S1679">
        <v>1615.62</v>
      </c>
      <c r="T1679">
        <v>66222.95</v>
      </c>
      <c r="U1679">
        <v>31431.83</v>
      </c>
      <c r="V1679">
        <v>13340.63</v>
      </c>
      <c r="W1679">
        <v>13082.39</v>
      </c>
      <c r="X1679">
        <v>81648.45</v>
      </c>
      <c r="Y1679">
        <v>72199.42</v>
      </c>
    </row>
    <row r="1680" spans="1:25" x14ac:dyDescent="0.25">
      <c r="A1680" t="s">
        <v>1736</v>
      </c>
      <c r="B1680" s="1">
        <v>45403</v>
      </c>
      <c r="C1680">
        <v>2024</v>
      </c>
      <c r="D1680">
        <v>4</v>
      </c>
      <c r="E1680" t="s">
        <v>357</v>
      </c>
      <c r="F1680" t="s">
        <v>358</v>
      </c>
      <c r="G1680" t="s">
        <v>28</v>
      </c>
      <c r="H1680" t="s">
        <v>36</v>
      </c>
      <c r="I1680" t="s">
        <v>39</v>
      </c>
      <c r="J1680">
        <v>39</v>
      </c>
      <c r="K1680">
        <v>904.73</v>
      </c>
      <c r="L1680">
        <v>35284.33</v>
      </c>
      <c r="M1680">
        <v>21886.11</v>
      </c>
      <c r="N1680">
        <v>3973.09</v>
      </c>
      <c r="O1680">
        <v>1457.03</v>
      </c>
      <c r="P1680">
        <v>1279.72</v>
      </c>
      <c r="Q1680">
        <v>451.67</v>
      </c>
      <c r="R1680">
        <v>1817.71</v>
      </c>
      <c r="S1680">
        <v>806.19</v>
      </c>
      <c r="T1680">
        <v>31671.53</v>
      </c>
      <c r="U1680">
        <v>13398.22</v>
      </c>
      <c r="V1680">
        <v>3612.8</v>
      </c>
      <c r="W1680">
        <v>3466.22</v>
      </c>
      <c r="X1680">
        <v>35834.44</v>
      </c>
      <c r="Y1680">
        <v>33048.28</v>
      </c>
    </row>
    <row r="1681" spans="1:25" x14ac:dyDescent="0.25">
      <c r="A1681" t="s">
        <v>1737</v>
      </c>
      <c r="B1681" s="1">
        <v>45403</v>
      </c>
      <c r="C1681">
        <v>2024</v>
      </c>
      <c r="D1681">
        <v>4</v>
      </c>
      <c r="E1681" t="s">
        <v>357</v>
      </c>
      <c r="F1681" t="s">
        <v>358</v>
      </c>
      <c r="G1681" t="s">
        <v>35</v>
      </c>
      <c r="H1681" t="s">
        <v>58</v>
      </c>
      <c r="I1681" t="s">
        <v>33</v>
      </c>
      <c r="J1681">
        <v>70</v>
      </c>
      <c r="K1681">
        <v>1036.1500000000001</v>
      </c>
      <c r="L1681">
        <v>72530.83</v>
      </c>
      <c r="M1681">
        <v>47150.55</v>
      </c>
      <c r="N1681">
        <v>7009.47</v>
      </c>
      <c r="O1681">
        <v>2721.58</v>
      </c>
      <c r="P1681">
        <v>1904.1</v>
      </c>
      <c r="Q1681">
        <v>1029.48</v>
      </c>
      <c r="R1681">
        <v>4577.74</v>
      </c>
      <c r="S1681">
        <v>592.70000000000005</v>
      </c>
      <c r="T1681">
        <v>64985.62</v>
      </c>
      <c r="U1681">
        <v>25380.27</v>
      </c>
      <c r="V1681">
        <v>7545.21</v>
      </c>
      <c r="W1681">
        <v>6777.18</v>
      </c>
      <c r="X1681">
        <v>67130.710000000006</v>
      </c>
      <c r="Y1681">
        <v>67434.5</v>
      </c>
    </row>
    <row r="1682" spans="1:25" x14ac:dyDescent="0.25">
      <c r="A1682" t="s">
        <v>1738</v>
      </c>
      <c r="B1682" s="1">
        <v>45403</v>
      </c>
      <c r="C1682">
        <v>2024</v>
      </c>
      <c r="D1682">
        <v>4</v>
      </c>
      <c r="E1682" t="s">
        <v>357</v>
      </c>
      <c r="F1682" t="s">
        <v>358</v>
      </c>
      <c r="G1682" t="s">
        <v>55</v>
      </c>
      <c r="H1682" t="s">
        <v>32</v>
      </c>
      <c r="I1682" t="s">
        <v>37</v>
      </c>
      <c r="J1682">
        <v>72</v>
      </c>
      <c r="K1682">
        <v>1292.5899999999999</v>
      </c>
      <c r="L1682">
        <v>93066.64</v>
      </c>
      <c r="M1682">
        <v>45758.86</v>
      </c>
      <c r="N1682">
        <v>11133.71</v>
      </c>
      <c r="O1682">
        <v>2488.85</v>
      </c>
      <c r="P1682">
        <v>3082.73</v>
      </c>
      <c r="Q1682">
        <v>1392.58</v>
      </c>
      <c r="R1682">
        <v>5216.09</v>
      </c>
      <c r="S1682">
        <v>2257.59</v>
      </c>
      <c r="T1682">
        <v>71330.399999999994</v>
      </c>
      <c r="U1682">
        <v>47307.78</v>
      </c>
      <c r="V1682">
        <v>21736.240000000002</v>
      </c>
      <c r="W1682">
        <v>21222.799999999999</v>
      </c>
      <c r="X1682">
        <v>91456.94</v>
      </c>
      <c r="Y1682">
        <v>66398.77</v>
      </c>
    </row>
    <row r="1683" spans="1:25" x14ac:dyDescent="0.25">
      <c r="A1683" t="s">
        <v>1739</v>
      </c>
      <c r="B1683" s="1">
        <v>45404</v>
      </c>
      <c r="C1683">
        <v>2024</v>
      </c>
      <c r="D1683">
        <v>4</v>
      </c>
      <c r="E1683" t="s">
        <v>357</v>
      </c>
      <c r="F1683" t="s">
        <v>358</v>
      </c>
      <c r="G1683" t="s">
        <v>28</v>
      </c>
      <c r="H1683" t="s">
        <v>32</v>
      </c>
      <c r="I1683" t="s">
        <v>65</v>
      </c>
      <c r="J1683">
        <v>99</v>
      </c>
      <c r="K1683">
        <v>924.14</v>
      </c>
      <c r="L1683">
        <v>91489.44</v>
      </c>
      <c r="M1683">
        <v>50986.13</v>
      </c>
      <c r="N1683">
        <v>10660.96</v>
      </c>
      <c r="O1683">
        <v>2611.2199999999998</v>
      </c>
      <c r="P1683">
        <v>1651.91</v>
      </c>
      <c r="Q1683">
        <v>1090.76</v>
      </c>
      <c r="R1683">
        <v>4408.83</v>
      </c>
      <c r="S1683">
        <v>1433.71</v>
      </c>
      <c r="T1683">
        <v>72843.509999999995</v>
      </c>
      <c r="U1683">
        <v>40503.31</v>
      </c>
      <c r="V1683">
        <v>18645.93</v>
      </c>
      <c r="W1683">
        <v>16761.54</v>
      </c>
      <c r="X1683">
        <v>97430.98</v>
      </c>
      <c r="Y1683">
        <v>79187.66</v>
      </c>
    </row>
    <row r="1684" spans="1:25" x14ac:dyDescent="0.25">
      <c r="A1684" t="s">
        <v>1740</v>
      </c>
      <c r="B1684" s="1">
        <v>45404</v>
      </c>
      <c r="C1684">
        <v>2024</v>
      </c>
      <c r="D1684">
        <v>4</v>
      </c>
      <c r="E1684" t="s">
        <v>357</v>
      </c>
      <c r="F1684" t="s">
        <v>358</v>
      </c>
      <c r="G1684" t="s">
        <v>28</v>
      </c>
      <c r="H1684" t="s">
        <v>53</v>
      </c>
      <c r="I1684" t="s">
        <v>37</v>
      </c>
      <c r="J1684">
        <v>74</v>
      </c>
      <c r="K1684">
        <v>812.12</v>
      </c>
      <c r="L1684">
        <v>60097.06</v>
      </c>
      <c r="M1684">
        <v>36076.910000000003</v>
      </c>
      <c r="N1684">
        <v>7024.59</v>
      </c>
      <c r="O1684">
        <v>2892.93</v>
      </c>
      <c r="P1684">
        <v>2640</v>
      </c>
      <c r="Q1684">
        <v>909.47</v>
      </c>
      <c r="R1684">
        <v>2605.08</v>
      </c>
      <c r="S1684">
        <v>1086.5</v>
      </c>
      <c r="T1684">
        <v>53235.46</v>
      </c>
      <c r="U1684">
        <v>24020.15</v>
      </c>
      <c r="V1684">
        <v>6861.59</v>
      </c>
      <c r="W1684">
        <v>6605.59</v>
      </c>
      <c r="X1684">
        <v>63303.69</v>
      </c>
      <c r="Y1684">
        <v>52488.06</v>
      </c>
    </row>
    <row r="1685" spans="1:25" x14ac:dyDescent="0.25">
      <c r="A1685" t="s">
        <v>1741</v>
      </c>
      <c r="B1685" s="1">
        <v>45404</v>
      </c>
      <c r="C1685">
        <v>2024</v>
      </c>
      <c r="D1685">
        <v>4</v>
      </c>
      <c r="E1685" t="s">
        <v>357</v>
      </c>
      <c r="F1685" t="s">
        <v>358</v>
      </c>
      <c r="G1685" t="s">
        <v>28</v>
      </c>
      <c r="H1685" t="s">
        <v>36</v>
      </c>
      <c r="I1685" t="s">
        <v>37</v>
      </c>
      <c r="J1685">
        <v>44</v>
      </c>
      <c r="K1685">
        <v>1220.19</v>
      </c>
      <c r="L1685">
        <v>53688.35</v>
      </c>
      <c r="M1685">
        <v>28714.43</v>
      </c>
      <c r="N1685">
        <v>4737.3</v>
      </c>
      <c r="O1685">
        <v>2828.04</v>
      </c>
      <c r="P1685">
        <v>1116.3499999999999</v>
      </c>
      <c r="Q1685">
        <v>827.32</v>
      </c>
      <c r="R1685">
        <v>1950.16</v>
      </c>
      <c r="S1685">
        <v>782.2</v>
      </c>
      <c r="T1685">
        <v>40955.81</v>
      </c>
      <c r="U1685">
        <v>24973.91</v>
      </c>
      <c r="V1685">
        <v>12732.54</v>
      </c>
      <c r="W1685">
        <v>11608.64</v>
      </c>
      <c r="X1685">
        <v>58835.27</v>
      </c>
      <c r="Y1685">
        <v>44747.37</v>
      </c>
    </row>
    <row r="1686" spans="1:25" x14ac:dyDescent="0.25">
      <c r="A1686" t="s">
        <v>1742</v>
      </c>
      <c r="B1686" s="1">
        <v>45405</v>
      </c>
      <c r="C1686">
        <v>2024</v>
      </c>
      <c r="D1686">
        <v>4</v>
      </c>
      <c r="E1686" t="s">
        <v>357</v>
      </c>
      <c r="F1686" t="s">
        <v>358</v>
      </c>
      <c r="G1686" t="s">
        <v>35</v>
      </c>
      <c r="H1686" t="s">
        <v>36</v>
      </c>
      <c r="I1686" t="s">
        <v>65</v>
      </c>
      <c r="J1686">
        <v>71</v>
      </c>
      <c r="K1686">
        <v>878.3</v>
      </c>
      <c r="L1686">
        <v>62359.55</v>
      </c>
      <c r="M1686">
        <v>37560.26</v>
      </c>
      <c r="N1686">
        <v>7866.97</v>
      </c>
      <c r="O1686">
        <v>4022.93</v>
      </c>
      <c r="P1686">
        <v>1454.69</v>
      </c>
      <c r="Q1686">
        <v>634.87</v>
      </c>
      <c r="R1686">
        <v>2915.51</v>
      </c>
      <c r="S1686">
        <v>1262.8</v>
      </c>
      <c r="T1686">
        <v>55718.03</v>
      </c>
      <c r="U1686">
        <v>24799.29</v>
      </c>
      <c r="V1686">
        <v>6641.52</v>
      </c>
      <c r="W1686">
        <v>5941.84</v>
      </c>
      <c r="X1686">
        <v>67866.259999999995</v>
      </c>
      <c r="Y1686">
        <v>60053.03</v>
      </c>
    </row>
    <row r="1687" spans="1:25" x14ac:dyDescent="0.25">
      <c r="A1687" t="s">
        <v>1743</v>
      </c>
      <c r="B1687" s="1">
        <v>45406</v>
      </c>
      <c r="C1687">
        <v>2024</v>
      </c>
      <c r="D1687">
        <v>4</v>
      </c>
      <c r="E1687" t="s">
        <v>357</v>
      </c>
      <c r="F1687" t="s">
        <v>358</v>
      </c>
      <c r="G1687" t="s">
        <v>55</v>
      </c>
      <c r="H1687" t="s">
        <v>53</v>
      </c>
      <c r="I1687" t="s">
        <v>30</v>
      </c>
      <c r="J1687">
        <v>63</v>
      </c>
      <c r="K1687">
        <v>1053.74</v>
      </c>
      <c r="L1687">
        <v>66385.81</v>
      </c>
      <c r="M1687">
        <v>40445.199999999997</v>
      </c>
      <c r="N1687">
        <v>7227.11</v>
      </c>
      <c r="O1687">
        <v>4715.93</v>
      </c>
      <c r="P1687">
        <v>1055.98</v>
      </c>
      <c r="Q1687">
        <v>994.54</v>
      </c>
      <c r="R1687">
        <v>3876.75</v>
      </c>
      <c r="S1687">
        <v>1323.15</v>
      </c>
      <c r="T1687">
        <v>59638.66</v>
      </c>
      <c r="U1687">
        <v>25940.61</v>
      </c>
      <c r="V1687">
        <v>6747.15</v>
      </c>
      <c r="W1687">
        <v>6758.26</v>
      </c>
      <c r="X1687">
        <v>61308.37</v>
      </c>
      <c r="Y1687">
        <v>57017</v>
      </c>
    </row>
    <row r="1688" spans="1:25" x14ac:dyDescent="0.25">
      <c r="A1688" t="s">
        <v>1744</v>
      </c>
      <c r="B1688" s="1">
        <v>45406</v>
      </c>
      <c r="C1688">
        <v>2024</v>
      </c>
      <c r="D1688">
        <v>4</v>
      </c>
      <c r="E1688" t="s">
        <v>357</v>
      </c>
      <c r="F1688" t="s">
        <v>358</v>
      </c>
      <c r="G1688" t="s">
        <v>35</v>
      </c>
      <c r="H1688" t="s">
        <v>58</v>
      </c>
      <c r="I1688" t="s">
        <v>65</v>
      </c>
      <c r="J1688">
        <v>33</v>
      </c>
      <c r="K1688">
        <v>1671.79</v>
      </c>
      <c r="L1688">
        <v>55169.17</v>
      </c>
      <c r="M1688">
        <v>27301.75</v>
      </c>
      <c r="N1688">
        <v>6121.42</v>
      </c>
      <c r="O1688">
        <v>1750.36</v>
      </c>
      <c r="P1688">
        <v>1027.21</v>
      </c>
      <c r="Q1688">
        <v>364.5</v>
      </c>
      <c r="R1688">
        <v>3433.44</v>
      </c>
      <c r="S1688">
        <v>670.09</v>
      </c>
      <c r="T1688">
        <v>40668.78</v>
      </c>
      <c r="U1688">
        <v>27867.42</v>
      </c>
      <c r="V1688">
        <v>14500.39</v>
      </c>
      <c r="W1688">
        <v>13867.63</v>
      </c>
      <c r="X1688">
        <v>51326.93</v>
      </c>
      <c r="Y1688">
        <v>44627.92</v>
      </c>
    </row>
    <row r="1689" spans="1:25" x14ac:dyDescent="0.25">
      <c r="A1689" t="s">
        <v>1745</v>
      </c>
      <c r="B1689" s="1">
        <v>45406</v>
      </c>
      <c r="C1689">
        <v>2024</v>
      </c>
      <c r="D1689">
        <v>4</v>
      </c>
      <c r="E1689" t="s">
        <v>357</v>
      </c>
      <c r="F1689" t="s">
        <v>358</v>
      </c>
      <c r="G1689" t="s">
        <v>28</v>
      </c>
      <c r="H1689" t="s">
        <v>36</v>
      </c>
      <c r="I1689" t="s">
        <v>37</v>
      </c>
      <c r="J1689">
        <v>41</v>
      </c>
      <c r="K1689">
        <v>1619.11</v>
      </c>
      <c r="L1689">
        <v>66383.66</v>
      </c>
      <c r="M1689">
        <v>33748.53</v>
      </c>
      <c r="N1689">
        <v>7520.73</v>
      </c>
      <c r="O1689">
        <v>3056.52</v>
      </c>
      <c r="P1689">
        <v>1816.26</v>
      </c>
      <c r="Q1689">
        <v>556.17999999999995</v>
      </c>
      <c r="R1689">
        <v>3182.75</v>
      </c>
      <c r="S1689">
        <v>1070.03</v>
      </c>
      <c r="T1689">
        <v>50951</v>
      </c>
      <c r="U1689">
        <v>32635.13</v>
      </c>
      <c r="V1689">
        <v>15432.66</v>
      </c>
      <c r="W1689">
        <v>14148.96</v>
      </c>
      <c r="X1689">
        <v>62355.64</v>
      </c>
      <c r="Y1689">
        <v>54186.06</v>
      </c>
    </row>
    <row r="1690" spans="1:25" x14ac:dyDescent="0.25">
      <c r="A1690" t="s">
        <v>1746</v>
      </c>
      <c r="B1690" s="1">
        <v>45407</v>
      </c>
      <c r="C1690">
        <v>2024</v>
      </c>
      <c r="D1690">
        <v>4</v>
      </c>
      <c r="E1690" t="s">
        <v>357</v>
      </c>
      <c r="F1690" t="s">
        <v>358</v>
      </c>
      <c r="G1690" t="s">
        <v>44</v>
      </c>
      <c r="H1690" t="s">
        <v>32</v>
      </c>
      <c r="I1690" t="s">
        <v>45</v>
      </c>
      <c r="J1690">
        <v>29</v>
      </c>
      <c r="K1690">
        <v>1531.52</v>
      </c>
      <c r="L1690">
        <v>44414.11</v>
      </c>
      <c r="M1690">
        <v>21937.09</v>
      </c>
      <c r="N1690">
        <v>4001.61</v>
      </c>
      <c r="O1690">
        <v>2312.88</v>
      </c>
      <c r="P1690">
        <v>783.86</v>
      </c>
      <c r="Q1690">
        <v>687.54</v>
      </c>
      <c r="R1690">
        <v>2192.88</v>
      </c>
      <c r="S1690">
        <v>668.23</v>
      </c>
      <c r="T1690">
        <v>32584.09</v>
      </c>
      <c r="U1690">
        <v>22477.02</v>
      </c>
      <c r="V1690">
        <v>11830.02</v>
      </c>
      <c r="W1690">
        <v>10498.76</v>
      </c>
      <c r="X1690">
        <v>45637.83</v>
      </c>
      <c r="Y1690">
        <v>31224.79</v>
      </c>
    </row>
    <row r="1691" spans="1:25" x14ac:dyDescent="0.25">
      <c r="A1691" t="s">
        <v>1747</v>
      </c>
      <c r="B1691" s="1">
        <v>45407</v>
      </c>
      <c r="C1691">
        <v>2024</v>
      </c>
      <c r="D1691">
        <v>4</v>
      </c>
      <c r="E1691" t="s">
        <v>357</v>
      </c>
      <c r="F1691" t="s">
        <v>358</v>
      </c>
      <c r="G1691" t="s">
        <v>44</v>
      </c>
      <c r="H1691" t="s">
        <v>36</v>
      </c>
      <c r="I1691" t="s">
        <v>39</v>
      </c>
      <c r="J1691">
        <v>25</v>
      </c>
      <c r="K1691">
        <v>1762.24</v>
      </c>
      <c r="L1691">
        <v>44055.94</v>
      </c>
      <c r="M1691">
        <v>23741.41</v>
      </c>
      <c r="N1691">
        <v>3611.45</v>
      </c>
      <c r="O1691">
        <v>2710.14</v>
      </c>
      <c r="P1691">
        <v>1341.9</v>
      </c>
      <c r="Q1691">
        <v>370.77</v>
      </c>
      <c r="R1691">
        <v>1824.07</v>
      </c>
      <c r="S1691">
        <v>618.97</v>
      </c>
      <c r="T1691">
        <v>34218.71</v>
      </c>
      <c r="U1691">
        <v>20314.52</v>
      </c>
      <c r="V1691">
        <v>9837.23</v>
      </c>
      <c r="W1691">
        <v>9633.43</v>
      </c>
      <c r="X1691">
        <v>44668.68</v>
      </c>
      <c r="Y1691">
        <v>31955.65</v>
      </c>
    </row>
    <row r="1692" spans="1:25" x14ac:dyDescent="0.25">
      <c r="A1692" t="s">
        <v>1748</v>
      </c>
      <c r="B1692" s="1">
        <v>45407</v>
      </c>
      <c r="C1692">
        <v>2024</v>
      </c>
      <c r="D1692">
        <v>4</v>
      </c>
      <c r="E1692" t="s">
        <v>357</v>
      </c>
      <c r="F1692" t="s">
        <v>358</v>
      </c>
      <c r="G1692" t="s">
        <v>55</v>
      </c>
      <c r="H1692" t="s">
        <v>58</v>
      </c>
      <c r="I1692" t="s">
        <v>33</v>
      </c>
      <c r="J1692">
        <v>94</v>
      </c>
      <c r="K1692">
        <v>928.01</v>
      </c>
      <c r="L1692">
        <v>87232.6</v>
      </c>
      <c r="M1692">
        <v>46667.27</v>
      </c>
      <c r="N1692">
        <v>7849.25</v>
      </c>
      <c r="O1692">
        <v>6013.95</v>
      </c>
      <c r="P1692">
        <v>3807.89</v>
      </c>
      <c r="Q1692">
        <v>717.18</v>
      </c>
      <c r="R1692">
        <v>2321.69</v>
      </c>
      <c r="S1692">
        <v>777.8</v>
      </c>
      <c r="T1692">
        <v>68155.03</v>
      </c>
      <c r="U1692">
        <v>40565.33</v>
      </c>
      <c r="V1692">
        <v>19077.57</v>
      </c>
      <c r="W1692">
        <v>19206.580000000002</v>
      </c>
      <c r="X1692">
        <v>88161.77</v>
      </c>
      <c r="Y1692">
        <v>68548.09</v>
      </c>
    </row>
    <row r="1693" spans="1:25" x14ac:dyDescent="0.25">
      <c r="A1693" t="s">
        <v>1749</v>
      </c>
      <c r="B1693" s="1">
        <v>45407</v>
      </c>
      <c r="C1693">
        <v>2024</v>
      </c>
      <c r="D1693">
        <v>4</v>
      </c>
      <c r="E1693" t="s">
        <v>357</v>
      </c>
      <c r="F1693" t="s">
        <v>358</v>
      </c>
      <c r="G1693" t="s">
        <v>55</v>
      </c>
      <c r="H1693" t="s">
        <v>53</v>
      </c>
      <c r="I1693" t="s">
        <v>50</v>
      </c>
      <c r="J1693">
        <v>72</v>
      </c>
      <c r="K1693">
        <v>857.28</v>
      </c>
      <c r="L1693">
        <v>61724.38</v>
      </c>
      <c r="M1693">
        <v>41567.35</v>
      </c>
      <c r="N1693">
        <v>5103.4799999999996</v>
      </c>
      <c r="O1693">
        <v>3368.29</v>
      </c>
      <c r="P1693">
        <v>1453.61</v>
      </c>
      <c r="Q1693">
        <v>827.38</v>
      </c>
      <c r="R1693">
        <v>1728.13</v>
      </c>
      <c r="S1693">
        <v>1427.54</v>
      </c>
      <c r="T1693">
        <v>55475.78</v>
      </c>
      <c r="U1693">
        <v>20157.03</v>
      </c>
      <c r="V1693">
        <v>6248.61</v>
      </c>
      <c r="W1693">
        <v>6082.99</v>
      </c>
      <c r="X1693">
        <v>59148.95</v>
      </c>
      <c r="Y1693">
        <v>55535.23</v>
      </c>
    </row>
    <row r="1694" spans="1:25" x14ac:dyDescent="0.25">
      <c r="A1694" t="s">
        <v>1750</v>
      </c>
      <c r="B1694" s="1">
        <v>45408</v>
      </c>
      <c r="C1694">
        <v>2024</v>
      </c>
      <c r="D1694">
        <v>4</v>
      </c>
      <c r="E1694" t="s">
        <v>357</v>
      </c>
      <c r="F1694" t="s">
        <v>358</v>
      </c>
      <c r="G1694" t="s">
        <v>28</v>
      </c>
      <c r="H1694" t="s">
        <v>29</v>
      </c>
      <c r="I1694" t="s">
        <v>39</v>
      </c>
      <c r="J1694">
        <v>36</v>
      </c>
      <c r="K1694">
        <v>1347.83</v>
      </c>
      <c r="L1694">
        <v>48521.84</v>
      </c>
      <c r="M1694">
        <v>25455.08</v>
      </c>
      <c r="N1694">
        <v>5632.89</v>
      </c>
      <c r="O1694">
        <v>2426.71</v>
      </c>
      <c r="P1694">
        <v>1699.97</v>
      </c>
      <c r="Q1694">
        <v>722.9</v>
      </c>
      <c r="R1694">
        <v>2695.01</v>
      </c>
      <c r="S1694">
        <v>777.73</v>
      </c>
      <c r="T1694">
        <v>39410.29</v>
      </c>
      <c r="U1694">
        <v>23066.76</v>
      </c>
      <c r="V1694">
        <v>9111.5499999999993</v>
      </c>
      <c r="W1694">
        <v>9215.7099999999991</v>
      </c>
      <c r="X1694">
        <v>50348.62</v>
      </c>
      <c r="Y1694">
        <v>38594.5</v>
      </c>
    </row>
    <row r="1695" spans="1:25" x14ac:dyDescent="0.25">
      <c r="A1695" t="s">
        <v>1751</v>
      </c>
      <c r="B1695" s="1">
        <v>45408</v>
      </c>
      <c r="C1695">
        <v>2024</v>
      </c>
      <c r="D1695">
        <v>4</v>
      </c>
      <c r="E1695" t="s">
        <v>357</v>
      </c>
      <c r="F1695" t="s">
        <v>358</v>
      </c>
      <c r="G1695" t="s">
        <v>44</v>
      </c>
      <c r="H1695" t="s">
        <v>29</v>
      </c>
      <c r="I1695" t="s">
        <v>50</v>
      </c>
      <c r="J1695">
        <v>41</v>
      </c>
      <c r="K1695">
        <v>1482.62</v>
      </c>
      <c r="L1695">
        <v>60787.49</v>
      </c>
      <c r="M1695">
        <v>32478.29</v>
      </c>
      <c r="N1695">
        <v>4958.03</v>
      </c>
      <c r="O1695">
        <v>1671.02</v>
      </c>
      <c r="P1695">
        <v>2018.75</v>
      </c>
      <c r="Q1695">
        <v>813.63</v>
      </c>
      <c r="R1695">
        <v>3257.79</v>
      </c>
      <c r="S1695">
        <v>965.06</v>
      </c>
      <c r="T1695">
        <v>46162.57</v>
      </c>
      <c r="U1695">
        <v>28309.21</v>
      </c>
      <c r="V1695">
        <v>14624.92</v>
      </c>
      <c r="W1695">
        <v>14007.12</v>
      </c>
      <c r="X1695">
        <v>61477.55</v>
      </c>
      <c r="Y1695">
        <v>46221.21</v>
      </c>
    </row>
    <row r="1696" spans="1:25" x14ac:dyDescent="0.25">
      <c r="A1696" t="s">
        <v>1752</v>
      </c>
      <c r="B1696" s="1">
        <v>45408</v>
      </c>
      <c r="C1696">
        <v>2024</v>
      </c>
      <c r="D1696">
        <v>4</v>
      </c>
      <c r="E1696" t="s">
        <v>357</v>
      </c>
      <c r="F1696" t="s">
        <v>358</v>
      </c>
      <c r="G1696" t="s">
        <v>55</v>
      </c>
      <c r="H1696" t="s">
        <v>32</v>
      </c>
      <c r="I1696" t="s">
        <v>33</v>
      </c>
      <c r="J1696">
        <v>96</v>
      </c>
      <c r="K1696">
        <v>1264.6099999999999</v>
      </c>
      <c r="L1696">
        <v>121402.25</v>
      </c>
      <c r="M1696">
        <v>64531.07</v>
      </c>
      <c r="N1696">
        <v>12030.59</v>
      </c>
      <c r="O1696">
        <v>7519.5</v>
      </c>
      <c r="P1696">
        <v>3203.97</v>
      </c>
      <c r="Q1696">
        <v>1005.79</v>
      </c>
      <c r="R1696">
        <v>4003.87</v>
      </c>
      <c r="S1696">
        <v>2375.5700000000002</v>
      </c>
      <c r="T1696">
        <v>94670.35</v>
      </c>
      <c r="U1696">
        <v>56871.18</v>
      </c>
      <c r="V1696">
        <v>26731.9</v>
      </c>
      <c r="W1696">
        <v>26137.75</v>
      </c>
      <c r="X1696">
        <v>122465.08</v>
      </c>
      <c r="Y1696">
        <v>102600.44</v>
      </c>
    </row>
    <row r="1697" spans="1:25" x14ac:dyDescent="0.25">
      <c r="A1697" t="s">
        <v>1753</v>
      </c>
      <c r="B1697" s="1">
        <v>45409</v>
      </c>
      <c r="C1697">
        <v>2024</v>
      </c>
      <c r="D1697">
        <v>4</v>
      </c>
      <c r="E1697" t="s">
        <v>357</v>
      </c>
      <c r="F1697" t="s">
        <v>358</v>
      </c>
      <c r="G1697" t="s">
        <v>35</v>
      </c>
      <c r="H1697" t="s">
        <v>36</v>
      </c>
      <c r="I1697" t="s">
        <v>50</v>
      </c>
      <c r="J1697">
        <v>28</v>
      </c>
      <c r="K1697">
        <v>1764.77</v>
      </c>
      <c r="L1697">
        <v>49413.5</v>
      </c>
      <c r="M1697">
        <v>25804.959999999999</v>
      </c>
      <c r="N1697">
        <v>6094.22</v>
      </c>
      <c r="O1697">
        <v>3592.2</v>
      </c>
      <c r="P1697">
        <v>901.54</v>
      </c>
      <c r="Q1697">
        <v>541.29999999999995</v>
      </c>
      <c r="R1697">
        <v>3045.46</v>
      </c>
      <c r="S1697">
        <v>652.38</v>
      </c>
      <c r="T1697">
        <v>40632.07</v>
      </c>
      <c r="U1697">
        <v>23608.54</v>
      </c>
      <c r="V1697">
        <v>8781.43</v>
      </c>
      <c r="W1697">
        <v>7989.22</v>
      </c>
      <c r="X1697">
        <v>51746.559999999998</v>
      </c>
      <c r="Y1697">
        <v>42473.49</v>
      </c>
    </row>
    <row r="1698" spans="1:25" x14ac:dyDescent="0.25">
      <c r="A1698" t="s">
        <v>1754</v>
      </c>
      <c r="B1698" s="1">
        <v>45409</v>
      </c>
      <c r="C1698">
        <v>2024</v>
      </c>
      <c r="D1698">
        <v>4</v>
      </c>
      <c r="E1698" t="s">
        <v>357</v>
      </c>
      <c r="F1698" t="s">
        <v>358</v>
      </c>
      <c r="G1698" t="s">
        <v>28</v>
      </c>
      <c r="H1698" t="s">
        <v>32</v>
      </c>
      <c r="I1698" t="s">
        <v>56</v>
      </c>
      <c r="J1698">
        <v>38</v>
      </c>
      <c r="K1698">
        <v>1321.83</v>
      </c>
      <c r="L1698">
        <v>50229.51</v>
      </c>
      <c r="M1698">
        <v>27702.53</v>
      </c>
      <c r="N1698">
        <v>3895.98</v>
      </c>
      <c r="O1698">
        <v>3062.24</v>
      </c>
      <c r="P1698">
        <v>1275.3599999999999</v>
      </c>
      <c r="Q1698">
        <v>609.29</v>
      </c>
      <c r="R1698">
        <v>1386.75</v>
      </c>
      <c r="S1698">
        <v>681.95</v>
      </c>
      <c r="T1698">
        <v>38614.11</v>
      </c>
      <c r="U1698">
        <v>22526.98</v>
      </c>
      <c r="V1698">
        <v>11615.4</v>
      </c>
      <c r="W1698">
        <v>11765.01</v>
      </c>
      <c r="X1698">
        <v>51837.09</v>
      </c>
      <c r="Y1698">
        <v>41186.43</v>
      </c>
    </row>
    <row r="1699" spans="1:25" x14ac:dyDescent="0.25">
      <c r="A1699" t="s">
        <v>1755</v>
      </c>
      <c r="B1699" s="1">
        <v>45409</v>
      </c>
      <c r="C1699">
        <v>2024</v>
      </c>
      <c r="D1699">
        <v>4</v>
      </c>
      <c r="E1699" t="s">
        <v>357</v>
      </c>
      <c r="F1699" t="s">
        <v>358</v>
      </c>
      <c r="G1699" t="s">
        <v>55</v>
      </c>
      <c r="H1699" t="s">
        <v>32</v>
      </c>
      <c r="I1699" t="s">
        <v>33</v>
      </c>
      <c r="J1699">
        <v>67</v>
      </c>
      <c r="K1699">
        <v>1790.64</v>
      </c>
      <c r="L1699">
        <v>119972.95</v>
      </c>
      <c r="M1699">
        <v>74270.52</v>
      </c>
      <c r="N1699">
        <v>9963.23</v>
      </c>
      <c r="O1699">
        <v>6319.59</v>
      </c>
      <c r="P1699">
        <v>4121.55</v>
      </c>
      <c r="Q1699">
        <v>1655.62</v>
      </c>
      <c r="R1699">
        <v>3942.1</v>
      </c>
      <c r="S1699">
        <v>1051.5899999999999</v>
      </c>
      <c r="T1699">
        <v>101324.19</v>
      </c>
      <c r="U1699">
        <v>45702.43</v>
      </c>
      <c r="V1699">
        <v>18648.75</v>
      </c>
      <c r="W1699">
        <v>16548.43</v>
      </c>
      <c r="X1699">
        <v>113468.35</v>
      </c>
      <c r="Y1699">
        <v>102265.96</v>
      </c>
    </row>
    <row r="1700" spans="1:25" x14ac:dyDescent="0.25">
      <c r="A1700" t="s">
        <v>1756</v>
      </c>
      <c r="B1700" s="1">
        <v>45409</v>
      </c>
      <c r="C1700">
        <v>2024</v>
      </c>
      <c r="D1700">
        <v>4</v>
      </c>
      <c r="E1700" t="s">
        <v>357</v>
      </c>
      <c r="F1700" t="s">
        <v>358</v>
      </c>
      <c r="G1700" t="s">
        <v>44</v>
      </c>
      <c r="H1700" t="s">
        <v>29</v>
      </c>
      <c r="I1700" t="s">
        <v>30</v>
      </c>
      <c r="J1700">
        <v>96</v>
      </c>
      <c r="K1700">
        <v>1010.44</v>
      </c>
      <c r="L1700">
        <v>97002</v>
      </c>
      <c r="M1700">
        <v>63344.65</v>
      </c>
      <c r="N1700">
        <v>10292.33</v>
      </c>
      <c r="O1700">
        <v>7200.78</v>
      </c>
      <c r="P1700">
        <v>1977.26</v>
      </c>
      <c r="Q1700">
        <v>1654.75</v>
      </c>
      <c r="R1700">
        <v>6073.58</v>
      </c>
      <c r="S1700">
        <v>2273.0300000000002</v>
      </c>
      <c r="T1700">
        <v>92816.38</v>
      </c>
      <c r="U1700">
        <v>33657.35</v>
      </c>
      <c r="V1700">
        <v>4185.62</v>
      </c>
      <c r="W1700">
        <v>4120.45</v>
      </c>
      <c r="X1700">
        <v>103081.08</v>
      </c>
      <c r="Y1700">
        <v>100326.57</v>
      </c>
    </row>
    <row r="1701" spans="1:25" x14ac:dyDescent="0.25">
      <c r="A1701" t="s">
        <v>1757</v>
      </c>
      <c r="B1701" s="1">
        <v>45409</v>
      </c>
      <c r="C1701">
        <v>2024</v>
      </c>
      <c r="D1701">
        <v>4</v>
      </c>
      <c r="E1701" t="s">
        <v>357</v>
      </c>
      <c r="F1701" t="s">
        <v>358</v>
      </c>
      <c r="G1701" t="s">
        <v>28</v>
      </c>
      <c r="H1701" t="s">
        <v>32</v>
      </c>
      <c r="I1701" t="s">
        <v>50</v>
      </c>
      <c r="J1701">
        <v>60</v>
      </c>
      <c r="K1701">
        <v>1339.26</v>
      </c>
      <c r="L1701">
        <v>80355.64</v>
      </c>
      <c r="M1701">
        <v>43533.08</v>
      </c>
      <c r="N1701">
        <v>10291.17</v>
      </c>
      <c r="O1701">
        <v>4408.6000000000004</v>
      </c>
      <c r="P1701">
        <v>1474.39</v>
      </c>
      <c r="Q1701">
        <v>1118.6300000000001</v>
      </c>
      <c r="R1701">
        <v>2017.06</v>
      </c>
      <c r="S1701">
        <v>1032.9100000000001</v>
      </c>
      <c r="T1701">
        <v>63875.839999999997</v>
      </c>
      <c r="U1701">
        <v>36822.559999999998</v>
      </c>
      <c r="V1701">
        <v>16479.79</v>
      </c>
      <c r="W1701">
        <v>15996.56</v>
      </c>
      <c r="X1701">
        <v>78601.31</v>
      </c>
      <c r="Y1701">
        <v>66364.100000000006</v>
      </c>
    </row>
    <row r="1702" spans="1:25" x14ac:dyDescent="0.25">
      <c r="A1702" t="s">
        <v>1758</v>
      </c>
      <c r="B1702" s="1">
        <v>45410</v>
      </c>
      <c r="C1702">
        <v>2024</v>
      </c>
      <c r="D1702">
        <v>4</v>
      </c>
      <c r="E1702" t="s">
        <v>357</v>
      </c>
      <c r="F1702" t="s">
        <v>358</v>
      </c>
      <c r="G1702" t="s">
        <v>28</v>
      </c>
      <c r="H1702" t="s">
        <v>58</v>
      </c>
      <c r="I1702" t="s">
        <v>39</v>
      </c>
      <c r="J1702">
        <v>39</v>
      </c>
      <c r="K1702">
        <v>825.95</v>
      </c>
      <c r="L1702">
        <v>32211.93</v>
      </c>
      <c r="M1702">
        <v>15830.96</v>
      </c>
      <c r="N1702">
        <v>3850.12</v>
      </c>
      <c r="O1702">
        <v>1417.83</v>
      </c>
      <c r="P1702">
        <v>1258.19</v>
      </c>
      <c r="Q1702">
        <v>439.13</v>
      </c>
      <c r="R1702">
        <v>1469.38</v>
      </c>
      <c r="S1702">
        <v>705.23</v>
      </c>
      <c r="T1702">
        <v>24970.86</v>
      </c>
      <c r="U1702">
        <v>16380.97</v>
      </c>
      <c r="V1702">
        <v>7241.08</v>
      </c>
      <c r="W1702">
        <v>7033.74</v>
      </c>
      <c r="X1702">
        <v>34761.93</v>
      </c>
      <c r="Y1702">
        <v>24417.06</v>
      </c>
    </row>
    <row r="1703" spans="1:25" x14ac:dyDescent="0.25">
      <c r="A1703" t="s">
        <v>1759</v>
      </c>
      <c r="B1703" s="1">
        <v>45410</v>
      </c>
      <c r="C1703">
        <v>2024</v>
      </c>
      <c r="D1703">
        <v>4</v>
      </c>
      <c r="E1703" t="s">
        <v>357</v>
      </c>
      <c r="F1703" t="s">
        <v>358</v>
      </c>
      <c r="G1703" t="s">
        <v>35</v>
      </c>
      <c r="H1703" t="s">
        <v>36</v>
      </c>
      <c r="I1703" t="s">
        <v>65</v>
      </c>
      <c r="J1703">
        <v>35</v>
      </c>
      <c r="K1703">
        <v>1171.9000000000001</v>
      </c>
      <c r="L1703">
        <v>41016.43</v>
      </c>
      <c r="M1703">
        <v>27616.21</v>
      </c>
      <c r="N1703">
        <v>4851.8599999999997</v>
      </c>
      <c r="O1703">
        <v>2031.9</v>
      </c>
      <c r="P1703">
        <v>787.59</v>
      </c>
      <c r="Q1703">
        <v>608.69000000000005</v>
      </c>
      <c r="R1703">
        <v>2219.5700000000002</v>
      </c>
      <c r="S1703">
        <v>729.73</v>
      </c>
      <c r="T1703">
        <v>38845.550000000003</v>
      </c>
      <c r="U1703">
        <v>13400.22</v>
      </c>
      <c r="V1703">
        <v>2170.88</v>
      </c>
      <c r="W1703">
        <v>2098.58</v>
      </c>
      <c r="X1703">
        <v>45324.51</v>
      </c>
      <c r="Y1703">
        <v>40953.58</v>
      </c>
    </row>
    <row r="1704" spans="1:25" x14ac:dyDescent="0.25">
      <c r="A1704" t="s">
        <v>1760</v>
      </c>
      <c r="B1704" s="1">
        <v>45411</v>
      </c>
      <c r="C1704">
        <v>2024</v>
      </c>
      <c r="D1704">
        <v>4</v>
      </c>
      <c r="E1704" t="s">
        <v>357</v>
      </c>
      <c r="F1704" t="s">
        <v>358</v>
      </c>
      <c r="G1704" t="s">
        <v>35</v>
      </c>
      <c r="H1704" t="s">
        <v>32</v>
      </c>
      <c r="I1704" t="s">
        <v>56</v>
      </c>
      <c r="J1704">
        <v>46</v>
      </c>
      <c r="K1704">
        <v>869.76</v>
      </c>
      <c r="L1704">
        <v>40009.17</v>
      </c>
      <c r="M1704">
        <v>22052.71</v>
      </c>
      <c r="N1704">
        <v>3224.99</v>
      </c>
      <c r="O1704">
        <v>1086.9000000000001</v>
      </c>
      <c r="P1704">
        <v>1596.09</v>
      </c>
      <c r="Q1704">
        <v>305.39</v>
      </c>
      <c r="R1704">
        <v>1992</v>
      </c>
      <c r="S1704">
        <v>963.06</v>
      </c>
      <c r="T1704">
        <v>31221.15</v>
      </c>
      <c r="U1704">
        <v>17956.46</v>
      </c>
      <c r="V1704">
        <v>8788.02</v>
      </c>
      <c r="W1704">
        <v>7814.68</v>
      </c>
      <c r="X1704">
        <v>43525.73</v>
      </c>
      <c r="Y1704">
        <v>30629.81</v>
      </c>
    </row>
    <row r="1705" spans="1:25" x14ac:dyDescent="0.25">
      <c r="A1705" t="s">
        <v>1761</v>
      </c>
      <c r="B1705" s="1">
        <v>45411</v>
      </c>
      <c r="C1705">
        <v>2024</v>
      </c>
      <c r="D1705">
        <v>4</v>
      </c>
      <c r="E1705" t="s">
        <v>357</v>
      </c>
      <c r="F1705" t="s">
        <v>358</v>
      </c>
      <c r="G1705" t="s">
        <v>35</v>
      </c>
      <c r="H1705" t="s">
        <v>32</v>
      </c>
      <c r="I1705" t="s">
        <v>50</v>
      </c>
      <c r="J1705">
        <v>40</v>
      </c>
      <c r="K1705">
        <v>1573.68</v>
      </c>
      <c r="L1705">
        <v>62947.29</v>
      </c>
      <c r="M1705">
        <v>33316.559999999998</v>
      </c>
      <c r="N1705">
        <v>5106.24</v>
      </c>
      <c r="O1705">
        <v>3649.4</v>
      </c>
      <c r="P1705">
        <v>2727.95</v>
      </c>
      <c r="Q1705">
        <v>456.02</v>
      </c>
      <c r="R1705">
        <v>2622.86</v>
      </c>
      <c r="S1705">
        <v>1060.1199999999999</v>
      </c>
      <c r="T1705">
        <v>48939.15</v>
      </c>
      <c r="U1705">
        <v>29630.74</v>
      </c>
      <c r="V1705">
        <v>14008.14</v>
      </c>
      <c r="W1705">
        <v>14060.7</v>
      </c>
      <c r="X1705">
        <v>60603.28</v>
      </c>
      <c r="Y1705">
        <v>47967.75</v>
      </c>
    </row>
    <row r="1706" spans="1:25" x14ac:dyDescent="0.25">
      <c r="A1706" t="s">
        <v>1762</v>
      </c>
      <c r="B1706" s="1">
        <v>45411</v>
      </c>
      <c r="C1706">
        <v>2024</v>
      </c>
      <c r="D1706">
        <v>4</v>
      </c>
      <c r="E1706" t="s">
        <v>357</v>
      </c>
      <c r="F1706" t="s">
        <v>358</v>
      </c>
      <c r="G1706" t="s">
        <v>55</v>
      </c>
      <c r="H1706" t="s">
        <v>32</v>
      </c>
      <c r="I1706" t="s">
        <v>39</v>
      </c>
      <c r="J1706">
        <v>58</v>
      </c>
      <c r="K1706">
        <v>947.02</v>
      </c>
      <c r="L1706">
        <v>54927</v>
      </c>
      <c r="M1706">
        <v>28708</v>
      </c>
      <c r="N1706">
        <v>6492.33</v>
      </c>
      <c r="O1706">
        <v>3297.12</v>
      </c>
      <c r="P1706">
        <v>1687.94</v>
      </c>
      <c r="Q1706">
        <v>735.25</v>
      </c>
      <c r="R1706">
        <v>2927.79</v>
      </c>
      <c r="S1706">
        <v>1332.73</v>
      </c>
      <c r="T1706">
        <v>45181.16</v>
      </c>
      <c r="U1706">
        <v>26219</v>
      </c>
      <c r="V1706">
        <v>9745.84</v>
      </c>
      <c r="W1706">
        <v>8633.4699999999993</v>
      </c>
      <c r="X1706">
        <v>59398.17</v>
      </c>
      <c r="Y1706">
        <v>44786.86</v>
      </c>
    </row>
    <row r="1707" spans="1:25" x14ac:dyDescent="0.25">
      <c r="A1707" t="s">
        <v>1763</v>
      </c>
      <c r="B1707" s="1">
        <v>45411</v>
      </c>
      <c r="C1707">
        <v>2024</v>
      </c>
      <c r="D1707">
        <v>4</v>
      </c>
      <c r="E1707" t="s">
        <v>357</v>
      </c>
      <c r="F1707" t="s">
        <v>358</v>
      </c>
      <c r="G1707" t="s">
        <v>44</v>
      </c>
      <c r="H1707" t="s">
        <v>32</v>
      </c>
      <c r="I1707" t="s">
        <v>37</v>
      </c>
      <c r="J1707">
        <v>56</v>
      </c>
      <c r="K1707">
        <v>1531.49</v>
      </c>
      <c r="L1707">
        <v>85763.34</v>
      </c>
      <c r="M1707">
        <v>54759.5</v>
      </c>
      <c r="N1707">
        <v>8949.25</v>
      </c>
      <c r="O1707">
        <v>3036.82</v>
      </c>
      <c r="P1707">
        <v>3628.81</v>
      </c>
      <c r="Q1707">
        <v>740.89</v>
      </c>
      <c r="R1707">
        <v>4329.41</v>
      </c>
      <c r="S1707">
        <v>1135.72</v>
      </c>
      <c r="T1707">
        <v>76580.399999999994</v>
      </c>
      <c r="U1707">
        <v>31003.85</v>
      </c>
      <c r="V1707">
        <v>9182.94</v>
      </c>
      <c r="W1707">
        <v>9264.06</v>
      </c>
      <c r="X1707">
        <v>90881.04</v>
      </c>
      <c r="Y1707">
        <v>79479.23</v>
      </c>
    </row>
    <row r="1708" spans="1:25" x14ac:dyDescent="0.25">
      <c r="A1708" t="s">
        <v>1764</v>
      </c>
      <c r="B1708" s="1">
        <v>45411</v>
      </c>
      <c r="C1708">
        <v>2024</v>
      </c>
      <c r="D1708">
        <v>4</v>
      </c>
      <c r="E1708" t="s">
        <v>357</v>
      </c>
      <c r="F1708" t="s">
        <v>358</v>
      </c>
      <c r="G1708" t="s">
        <v>55</v>
      </c>
      <c r="H1708" t="s">
        <v>53</v>
      </c>
      <c r="I1708" t="s">
        <v>30</v>
      </c>
      <c r="J1708">
        <v>70</v>
      </c>
      <c r="K1708">
        <v>1007.17</v>
      </c>
      <c r="L1708">
        <v>70501.89</v>
      </c>
      <c r="M1708">
        <v>43808.92</v>
      </c>
      <c r="N1708">
        <v>8526.4699999999993</v>
      </c>
      <c r="O1708">
        <v>4113.1400000000003</v>
      </c>
      <c r="P1708">
        <v>1172.1600000000001</v>
      </c>
      <c r="Q1708">
        <v>605.70000000000005</v>
      </c>
      <c r="R1708">
        <v>2612.1999999999998</v>
      </c>
      <c r="S1708">
        <v>1342.96</v>
      </c>
      <c r="T1708">
        <v>62181.55</v>
      </c>
      <c r="U1708">
        <v>26692.98</v>
      </c>
      <c r="V1708">
        <v>8320.35</v>
      </c>
      <c r="W1708">
        <v>8253.84</v>
      </c>
      <c r="X1708">
        <v>67734.13</v>
      </c>
      <c r="Y1708">
        <v>65975.210000000006</v>
      </c>
    </row>
    <row r="1709" spans="1:25" x14ac:dyDescent="0.25">
      <c r="A1709" t="s">
        <v>1765</v>
      </c>
      <c r="B1709" s="1">
        <v>45411</v>
      </c>
      <c r="C1709">
        <v>2024</v>
      </c>
      <c r="D1709">
        <v>4</v>
      </c>
      <c r="E1709" t="s">
        <v>357</v>
      </c>
      <c r="F1709" t="s">
        <v>358</v>
      </c>
      <c r="G1709" t="s">
        <v>55</v>
      </c>
      <c r="H1709" t="s">
        <v>29</v>
      </c>
      <c r="I1709" t="s">
        <v>39</v>
      </c>
      <c r="J1709">
        <v>22</v>
      </c>
      <c r="K1709">
        <v>1701.8</v>
      </c>
      <c r="L1709">
        <v>37439.519999999997</v>
      </c>
      <c r="M1709">
        <v>24407.51</v>
      </c>
      <c r="N1709">
        <v>3138.15</v>
      </c>
      <c r="O1709">
        <v>2540.37</v>
      </c>
      <c r="P1709">
        <v>1316.1</v>
      </c>
      <c r="Q1709">
        <v>329.82</v>
      </c>
      <c r="R1709">
        <v>1762.64</v>
      </c>
      <c r="S1709">
        <v>750.82</v>
      </c>
      <c r="T1709">
        <v>34245.42</v>
      </c>
      <c r="U1709">
        <v>13032</v>
      </c>
      <c r="V1709">
        <v>3194.09</v>
      </c>
      <c r="W1709">
        <v>2880.7</v>
      </c>
      <c r="X1709">
        <v>40299.21</v>
      </c>
      <c r="Y1709">
        <v>32524.32</v>
      </c>
    </row>
    <row r="1710" spans="1:25" x14ac:dyDescent="0.25">
      <c r="A1710" t="s">
        <v>1766</v>
      </c>
      <c r="B1710" s="1">
        <v>45411</v>
      </c>
      <c r="C1710">
        <v>2024</v>
      </c>
      <c r="D1710">
        <v>4</v>
      </c>
      <c r="E1710" t="s">
        <v>357</v>
      </c>
      <c r="F1710" t="s">
        <v>358</v>
      </c>
      <c r="G1710" t="s">
        <v>55</v>
      </c>
      <c r="H1710" t="s">
        <v>36</v>
      </c>
      <c r="I1710" t="s">
        <v>45</v>
      </c>
      <c r="J1710">
        <v>25</v>
      </c>
      <c r="K1710">
        <v>1681.12</v>
      </c>
      <c r="L1710">
        <v>42028.01</v>
      </c>
      <c r="M1710">
        <v>20619.38</v>
      </c>
      <c r="N1710">
        <v>4200.07</v>
      </c>
      <c r="O1710">
        <v>1382.5</v>
      </c>
      <c r="P1710">
        <v>665.28</v>
      </c>
      <c r="Q1710">
        <v>612.74</v>
      </c>
      <c r="R1710">
        <v>2115.58</v>
      </c>
      <c r="S1710">
        <v>612.75</v>
      </c>
      <c r="T1710">
        <v>30208.3</v>
      </c>
      <c r="U1710">
        <v>21408.639999999999</v>
      </c>
      <c r="V1710">
        <v>11819.71</v>
      </c>
      <c r="W1710">
        <v>11749.82</v>
      </c>
      <c r="X1710">
        <v>45649.279999999999</v>
      </c>
      <c r="Y1710">
        <v>28609.94</v>
      </c>
    </row>
    <row r="1711" spans="1:25" x14ac:dyDescent="0.25">
      <c r="A1711" t="s">
        <v>1767</v>
      </c>
      <c r="B1711" s="1">
        <v>45411</v>
      </c>
      <c r="C1711">
        <v>2024</v>
      </c>
      <c r="D1711">
        <v>4</v>
      </c>
      <c r="E1711" t="s">
        <v>357</v>
      </c>
      <c r="F1711" t="s">
        <v>358</v>
      </c>
      <c r="G1711" t="s">
        <v>35</v>
      </c>
      <c r="H1711" t="s">
        <v>36</v>
      </c>
      <c r="I1711" t="s">
        <v>33</v>
      </c>
      <c r="J1711">
        <v>50</v>
      </c>
      <c r="K1711">
        <v>1514.35</v>
      </c>
      <c r="L1711">
        <v>75717.490000000005</v>
      </c>
      <c r="M1711">
        <v>40530.54</v>
      </c>
      <c r="N1711">
        <v>8853.2000000000007</v>
      </c>
      <c r="O1711">
        <v>4082.03</v>
      </c>
      <c r="P1711">
        <v>1530.73</v>
      </c>
      <c r="Q1711">
        <v>1270.02</v>
      </c>
      <c r="R1711">
        <v>2759.79</v>
      </c>
      <c r="S1711">
        <v>995.54</v>
      </c>
      <c r="T1711">
        <v>60021.86</v>
      </c>
      <c r="U1711">
        <v>35186.959999999999</v>
      </c>
      <c r="V1711">
        <v>15695.63</v>
      </c>
      <c r="W1711">
        <v>14759</v>
      </c>
      <c r="X1711">
        <v>83044.990000000005</v>
      </c>
      <c r="Y1711">
        <v>65109.02</v>
      </c>
    </row>
    <row r="1712" spans="1:25" x14ac:dyDescent="0.25">
      <c r="A1712" t="s">
        <v>1768</v>
      </c>
      <c r="B1712" s="1">
        <v>45411</v>
      </c>
      <c r="C1712">
        <v>2024</v>
      </c>
      <c r="D1712">
        <v>4</v>
      </c>
      <c r="E1712" t="s">
        <v>357</v>
      </c>
      <c r="F1712" t="s">
        <v>358</v>
      </c>
      <c r="G1712" t="s">
        <v>55</v>
      </c>
      <c r="H1712" t="s">
        <v>32</v>
      </c>
      <c r="I1712" t="s">
        <v>33</v>
      </c>
      <c r="J1712">
        <v>76</v>
      </c>
      <c r="K1712">
        <v>1570.39</v>
      </c>
      <c r="L1712">
        <v>119349.81</v>
      </c>
      <c r="M1712">
        <v>69112.61</v>
      </c>
      <c r="N1712">
        <v>9915.42</v>
      </c>
      <c r="O1712">
        <v>5882.64</v>
      </c>
      <c r="P1712">
        <v>2312.35</v>
      </c>
      <c r="Q1712">
        <v>2095.2600000000002</v>
      </c>
      <c r="R1712">
        <v>7207.65</v>
      </c>
      <c r="S1712">
        <v>2759.33</v>
      </c>
      <c r="T1712">
        <v>99285.26</v>
      </c>
      <c r="U1712">
        <v>50237.2</v>
      </c>
      <c r="V1712">
        <v>20064.55</v>
      </c>
      <c r="W1712">
        <v>19228.71</v>
      </c>
      <c r="X1712">
        <v>124609.73</v>
      </c>
      <c r="Y1712">
        <v>103802.19</v>
      </c>
    </row>
    <row r="1713" spans="1:25" x14ac:dyDescent="0.25">
      <c r="A1713" t="s">
        <v>1769</v>
      </c>
      <c r="B1713" s="1">
        <v>45412</v>
      </c>
      <c r="C1713">
        <v>2024</v>
      </c>
      <c r="D1713">
        <v>4</v>
      </c>
      <c r="E1713" t="s">
        <v>357</v>
      </c>
      <c r="F1713" t="s">
        <v>358</v>
      </c>
      <c r="G1713" t="s">
        <v>35</v>
      </c>
      <c r="H1713" t="s">
        <v>36</v>
      </c>
      <c r="I1713" t="s">
        <v>33</v>
      </c>
      <c r="J1713">
        <v>37</v>
      </c>
      <c r="K1713">
        <v>1572.56</v>
      </c>
      <c r="L1713">
        <v>58184.56</v>
      </c>
      <c r="M1713">
        <v>30720.36</v>
      </c>
      <c r="N1713">
        <v>7365.97</v>
      </c>
      <c r="O1713">
        <v>1472.96</v>
      </c>
      <c r="P1713">
        <v>1162.07</v>
      </c>
      <c r="Q1713">
        <v>670.87</v>
      </c>
      <c r="R1713">
        <v>3430.23</v>
      </c>
      <c r="S1713">
        <v>633.64</v>
      </c>
      <c r="T1713">
        <v>45456.1</v>
      </c>
      <c r="U1713">
        <v>27464.2</v>
      </c>
      <c r="V1713">
        <v>12728.46</v>
      </c>
      <c r="W1713">
        <v>12965.93</v>
      </c>
      <c r="X1713">
        <v>55893.53</v>
      </c>
      <c r="Y1713">
        <v>46673.16</v>
      </c>
    </row>
    <row r="1714" spans="1:25" x14ac:dyDescent="0.25">
      <c r="A1714" t="s">
        <v>1770</v>
      </c>
      <c r="B1714" s="1">
        <v>45412</v>
      </c>
      <c r="C1714">
        <v>2024</v>
      </c>
      <c r="D1714">
        <v>4</v>
      </c>
      <c r="E1714" t="s">
        <v>357</v>
      </c>
      <c r="F1714" t="s">
        <v>358</v>
      </c>
      <c r="G1714" t="s">
        <v>55</v>
      </c>
      <c r="H1714" t="s">
        <v>32</v>
      </c>
      <c r="I1714" t="s">
        <v>37</v>
      </c>
      <c r="J1714">
        <v>108</v>
      </c>
      <c r="K1714">
        <v>1048.1199999999999</v>
      </c>
      <c r="L1714">
        <v>113196.84</v>
      </c>
      <c r="M1714">
        <v>76285.05</v>
      </c>
      <c r="N1714">
        <v>9679.43</v>
      </c>
      <c r="O1714">
        <v>7622.28</v>
      </c>
      <c r="P1714">
        <v>2498.12</v>
      </c>
      <c r="Q1714">
        <v>1577.91</v>
      </c>
      <c r="R1714">
        <v>6742.47</v>
      </c>
      <c r="S1714">
        <v>1066.02</v>
      </c>
      <c r="T1714">
        <v>105471.29</v>
      </c>
      <c r="U1714">
        <v>36911.78</v>
      </c>
      <c r="V1714">
        <v>7725.55</v>
      </c>
      <c r="W1714">
        <v>7083.31</v>
      </c>
      <c r="X1714">
        <v>106773.7</v>
      </c>
      <c r="Y1714">
        <v>107992.75</v>
      </c>
    </row>
    <row r="1715" spans="1:25" x14ac:dyDescent="0.25">
      <c r="A1715" t="s">
        <v>1771</v>
      </c>
      <c r="B1715" s="1">
        <v>45412</v>
      </c>
      <c r="C1715">
        <v>2024</v>
      </c>
      <c r="D1715">
        <v>4</v>
      </c>
      <c r="E1715" t="s">
        <v>357</v>
      </c>
      <c r="F1715" t="s">
        <v>358</v>
      </c>
      <c r="G1715" t="s">
        <v>28</v>
      </c>
      <c r="H1715" t="s">
        <v>58</v>
      </c>
      <c r="I1715" t="s">
        <v>65</v>
      </c>
      <c r="J1715">
        <v>33</v>
      </c>
      <c r="K1715">
        <v>1583.02</v>
      </c>
      <c r="L1715">
        <v>52239.519999999997</v>
      </c>
      <c r="M1715">
        <v>26713.75</v>
      </c>
      <c r="N1715">
        <v>4268.96</v>
      </c>
      <c r="O1715">
        <v>3062.25</v>
      </c>
      <c r="P1715">
        <v>2240.37</v>
      </c>
      <c r="Q1715">
        <v>730.15</v>
      </c>
      <c r="R1715">
        <v>2948.44</v>
      </c>
      <c r="S1715">
        <v>1232.5</v>
      </c>
      <c r="T1715">
        <v>41196.42</v>
      </c>
      <c r="U1715">
        <v>25525.77</v>
      </c>
      <c r="V1715">
        <v>11043.11</v>
      </c>
      <c r="W1715">
        <v>10978.68</v>
      </c>
      <c r="X1715">
        <v>58461.41</v>
      </c>
      <c r="Y1715">
        <v>39581.980000000003</v>
      </c>
    </row>
    <row r="1716" spans="1:25" x14ac:dyDescent="0.25">
      <c r="A1716" t="s">
        <v>1772</v>
      </c>
      <c r="B1716" s="1">
        <v>45414</v>
      </c>
      <c r="C1716">
        <v>2024</v>
      </c>
      <c r="D1716">
        <v>5</v>
      </c>
      <c r="E1716" t="s">
        <v>468</v>
      </c>
      <c r="F1716" t="s">
        <v>358</v>
      </c>
      <c r="G1716" t="s">
        <v>35</v>
      </c>
      <c r="H1716" t="s">
        <v>32</v>
      </c>
      <c r="I1716" t="s">
        <v>50</v>
      </c>
      <c r="J1716">
        <v>35</v>
      </c>
      <c r="K1716">
        <v>1669.93</v>
      </c>
      <c r="L1716">
        <v>58447.4</v>
      </c>
      <c r="M1716">
        <v>38603.71</v>
      </c>
      <c r="N1716">
        <v>6005.72</v>
      </c>
      <c r="O1716">
        <v>1662.51</v>
      </c>
      <c r="P1716">
        <v>2043.01</v>
      </c>
      <c r="Q1716">
        <v>776.85</v>
      </c>
      <c r="R1716">
        <v>3769.96</v>
      </c>
      <c r="S1716">
        <v>1358</v>
      </c>
      <c r="T1716">
        <v>54219.76</v>
      </c>
      <c r="U1716">
        <v>19843.689999999999</v>
      </c>
      <c r="V1716">
        <v>4227.6400000000003</v>
      </c>
      <c r="W1716">
        <v>4133.34</v>
      </c>
      <c r="X1716">
        <v>55139.87</v>
      </c>
      <c r="Y1716">
        <v>53323.26</v>
      </c>
    </row>
    <row r="1717" spans="1:25" x14ac:dyDescent="0.25">
      <c r="A1717" t="s">
        <v>1773</v>
      </c>
      <c r="B1717" s="1">
        <v>45414</v>
      </c>
      <c r="C1717">
        <v>2024</v>
      </c>
      <c r="D1717">
        <v>5</v>
      </c>
      <c r="E1717" t="s">
        <v>468</v>
      </c>
      <c r="F1717" t="s">
        <v>358</v>
      </c>
      <c r="G1717" t="s">
        <v>35</v>
      </c>
      <c r="H1717" t="s">
        <v>32</v>
      </c>
      <c r="I1717" t="s">
        <v>65</v>
      </c>
      <c r="J1717">
        <v>74</v>
      </c>
      <c r="K1717">
        <v>932.25</v>
      </c>
      <c r="L1717">
        <v>68986.210000000006</v>
      </c>
      <c r="M1717">
        <v>45235.5</v>
      </c>
      <c r="N1717">
        <v>8368.42</v>
      </c>
      <c r="O1717">
        <v>4957.67</v>
      </c>
      <c r="P1717">
        <v>1887.74</v>
      </c>
      <c r="Q1717">
        <v>481.2</v>
      </c>
      <c r="R1717">
        <v>1859.37</v>
      </c>
      <c r="S1717">
        <v>1310.04</v>
      </c>
      <c r="T1717">
        <v>64099.94</v>
      </c>
      <c r="U1717">
        <v>23750.7</v>
      </c>
      <c r="V1717">
        <v>4886.2700000000004</v>
      </c>
      <c r="W1717">
        <v>4946.5600000000004</v>
      </c>
      <c r="X1717">
        <v>69200.95</v>
      </c>
      <c r="Y1717">
        <v>63692.59</v>
      </c>
    </row>
    <row r="1718" spans="1:25" x14ac:dyDescent="0.25">
      <c r="A1718" t="s">
        <v>1774</v>
      </c>
      <c r="B1718" s="1">
        <v>45414</v>
      </c>
      <c r="C1718">
        <v>2024</v>
      </c>
      <c r="D1718">
        <v>5</v>
      </c>
      <c r="E1718" t="s">
        <v>468</v>
      </c>
      <c r="F1718" t="s">
        <v>358</v>
      </c>
      <c r="G1718" t="s">
        <v>44</v>
      </c>
      <c r="H1718" t="s">
        <v>36</v>
      </c>
      <c r="I1718" t="s">
        <v>33</v>
      </c>
      <c r="J1718">
        <v>47</v>
      </c>
      <c r="K1718">
        <v>1673.4</v>
      </c>
      <c r="L1718">
        <v>78649.789999999994</v>
      </c>
      <c r="M1718">
        <v>51931.98</v>
      </c>
      <c r="N1718">
        <v>6756.86</v>
      </c>
      <c r="O1718">
        <v>4237.22</v>
      </c>
      <c r="P1718">
        <v>1316.18</v>
      </c>
      <c r="Q1718">
        <v>932.12</v>
      </c>
      <c r="R1718">
        <v>2720.12</v>
      </c>
      <c r="S1718">
        <v>1063.1199999999999</v>
      </c>
      <c r="T1718">
        <v>68957.59</v>
      </c>
      <c r="U1718">
        <v>26717.81</v>
      </c>
      <c r="V1718">
        <v>9692.2000000000007</v>
      </c>
      <c r="W1718">
        <v>8681.1200000000008</v>
      </c>
      <c r="X1718">
        <v>84132.91</v>
      </c>
      <c r="Y1718">
        <v>71208.509999999995</v>
      </c>
    </row>
    <row r="1719" spans="1:25" x14ac:dyDescent="0.25">
      <c r="A1719" t="s">
        <v>1775</v>
      </c>
      <c r="B1719" s="1">
        <v>45414</v>
      </c>
      <c r="C1719">
        <v>2024</v>
      </c>
      <c r="D1719">
        <v>5</v>
      </c>
      <c r="E1719" t="s">
        <v>468</v>
      </c>
      <c r="F1719" t="s">
        <v>358</v>
      </c>
      <c r="G1719" t="s">
        <v>28</v>
      </c>
      <c r="H1719" t="s">
        <v>32</v>
      </c>
      <c r="I1719" t="s">
        <v>37</v>
      </c>
      <c r="J1719">
        <v>75</v>
      </c>
      <c r="K1719">
        <v>1463.38</v>
      </c>
      <c r="L1719">
        <v>109753.3</v>
      </c>
      <c r="M1719">
        <v>73670.460000000006</v>
      </c>
      <c r="N1719">
        <v>10956.91</v>
      </c>
      <c r="O1719">
        <v>4019.33</v>
      </c>
      <c r="P1719">
        <v>4076.26</v>
      </c>
      <c r="Q1719">
        <v>574.65</v>
      </c>
      <c r="R1719">
        <v>4840.13</v>
      </c>
      <c r="S1719">
        <v>1132.4100000000001</v>
      </c>
      <c r="T1719">
        <v>99270.15</v>
      </c>
      <c r="U1719">
        <v>36082.83</v>
      </c>
      <c r="V1719">
        <v>10483.15</v>
      </c>
      <c r="W1719">
        <v>10655.89</v>
      </c>
      <c r="X1719">
        <v>115286.34</v>
      </c>
      <c r="Y1719">
        <v>107820.83</v>
      </c>
    </row>
    <row r="1720" spans="1:25" x14ac:dyDescent="0.25">
      <c r="A1720" t="s">
        <v>1776</v>
      </c>
      <c r="B1720" s="1">
        <v>45414</v>
      </c>
      <c r="C1720">
        <v>2024</v>
      </c>
      <c r="D1720">
        <v>5</v>
      </c>
      <c r="E1720" t="s">
        <v>468</v>
      </c>
      <c r="F1720" t="s">
        <v>358</v>
      </c>
      <c r="G1720" t="s">
        <v>44</v>
      </c>
      <c r="H1720" t="s">
        <v>36</v>
      </c>
      <c r="I1720" t="s">
        <v>45</v>
      </c>
      <c r="J1720">
        <v>18</v>
      </c>
      <c r="K1720">
        <v>1755.92</v>
      </c>
      <c r="L1720">
        <v>31606.62</v>
      </c>
      <c r="M1720">
        <v>17464.47</v>
      </c>
      <c r="N1720">
        <v>3440.51</v>
      </c>
      <c r="O1720">
        <v>1445.66</v>
      </c>
      <c r="P1720">
        <v>1066.8900000000001</v>
      </c>
      <c r="Q1720">
        <v>254.34</v>
      </c>
      <c r="R1720">
        <v>2004.69</v>
      </c>
      <c r="S1720">
        <v>387.02</v>
      </c>
      <c r="T1720">
        <v>26063.57</v>
      </c>
      <c r="U1720">
        <v>14142.15</v>
      </c>
      <c r="V1720">
        <v>5543.05</v>
      </c>
      <c r="W1720">
        <v>5464.09</v>
      </c>
      <c r="X1720">
        <v>34485.1</v>
      </c>
      <c r="Y1720">
        <v>27212.62</v>
      </c>
    </row>
    <row r="1721" spans="1:25" x14ac:dyDescent="0.25">
      <c r="A1721" t="s">
        <v>1777</v>
      </c>
      <c r="B1721" s="1">
        <v>45414</v>
      </c>
      <c r="C1721">
        <v>2024</v>
      </c>
      <c r="D1721">
        <v>5</v>
      </c>
      <c r="E1721" t="s">
        <v>468</v>
      </c>
      <c r="F1721" t="s">
        <v>358</v>
      </c>
      <c r="G1721" t="s">
        <v>55</v>
      </c>
      <c r="H1721" t="s">
        <v>32</v>
      </c>
      <c r="I1721" t="s">
        <v>33</v>
      </c>
      <c r="J1721">
        <v>76</v>
      </c>
      <c r="K1721">
        <v>1305.21</v>
      </c>
      <c r="L1721">
        <v>99195.86</v>
      </c>
      <c r="M1721">
        <v>54911.18</v>
      </c>
      <c r="N1721">
        <v>7554.2</v>
      </c>
      <c r="O1721">
        <v>7047.73</v>
      </c>
      <c r="P1721">
        <v>2460.89</v>
      </c>
      <c r="Q1721">
        <v>1242.6500000000001</v>
      </c>
      <c r="R1721">
        <v>6106.29</v>
      </c>
      <c r="S1721">
        <v>1844.31</v>
      </c>
      <c r="T1721">
        <v>81167.240000000005</v>
      </c>
      <c r="U1721">
        <v>44284.68</v>
      </c>
      <c r="V1721">
        <v>18028.62</v>
      </c>
      <c r="W1721">
        <v>15899.79</v>
      </c>
      <c r="X1721">
        <v>101144.14</v>
      </c>
      <c r="Y1721">
        <v>80115.72</v>
      </c>
    </row>
    <row r="1722" spans="1:25" x14ac:dyDescent="0.25">
      <c r="A1722" t="s">
        <v>1778</v>
      </c>
      <c r="B1722" s="1">
        <v>45415</v>
      </c>
      <c r="C1722">
        <v>2024</v>
      </c>
      <c r="D1722">
        <v>5</v>
      </c>
      <c r="E1722" t="s">
        <v>468</v>
      </c>
      <c r="F1722" t="s">
        <v>358</v>
      </c>
      <c r="G1722" t="s">
        <v>28</v>
      </c>
      <c r="H1722" t="s">
        <v>32</v>
      </c>
      <c r="I1722" t="s">
        <v>50</v>
      </c>
      <c r="J1722">
        <v>65</v>
      </c>
      <c r="K1722">
        <v>1098.32</v>
      </c>
      <c r="L1722">
        <v>71391.02</v>
      </c>
      <c r="M1722">
        <v>46194.98</v>
      </c>
      <c r="N1722">
        <v>5406.9</v>
      </c>
      <c r="O1722">
        <v>2321.34</v>
      </c>
      <c r="P1722">
        <v>3164.66</v>
      </c>
      <c r="Q1722">
        <v>888.71</v>
      </c>
      <c r="R1722">
        <v>4245.07</v>
      </c>
      <c r="S1722">
        <v>1741.96</v>
      </c>
      <c r="T1722">
        <v>63963.62</v>
      </c>
      <c r="U1722">
        <v>25196.04</v>
      </c>
      <c r="V1722">
        <v>7427.4</v>
      </c>
      <c r="W1722">
        <v>6825.15</v>
      </c>
      <c r="X1722">
        <v>79796.639999999999</v>
      </c>
      <c r="Y1722">
        <v>65662.289999999994</v>
      </c>
    </row>
    <row r="1723" spans="1:25" x14ac:dyDescent="0.25">
      <c r="A1723" t="s">
        <v>1779</v>
      </c>
      <c r="B1723" s="1">
        <v>45415</v>
      </c>
      <c r="C1723">
        <v>2024</v>
      </c>
      <c r="D1723">
        <v>5</v>
      </c>
      <c r="E1723" t="s">
        <v>468</v>
      </c>
      <c r="F1723" t="s">
        <v>358</v>
      </c>
      <c r="G1723" t="s">
        <v>44</v>
      </c>
      <c r="H1723" t="s">
        <v>53</v>
      </c>
      <c r="I1723" t="s">
        <v>30</v>
      </c>
      <c r="J1723">
        <v>69</v>
      </c>
      <c r="K1723">
        <v>1294.07</v>
      </c>
      <c r="L1723">
        <v>89290.9</v>
      </c>
      <c r="M1723">
        <v>47255.08</v>
      </c>
      <c r="N1723">
        <v>8698.9500000000007</v>
      </c>
      <c r="O1723">
        <v>5269.79</v>
      </c>
      <c r="P1723">
        <v>2086.2800000000002</v>
      </c>
      <c r="Q1723">
        <v>458.65</v>
      </c>
      <c r="R1723">
        <v>4817.18</v>
      </c>
      <c r="S1723">
        <v>1476.27</v>
      </c>
      <c r="T1723">
        <v>70062.210000000006</v>
      </c>
      <c r="U1723">
        <v>42035.81</v>
      </c>
      <c r="V1723">
        <v>19228.689999999999</v>
      </c>
      <c r="W1723">
        <v>16935.88</v>
      </c>
      <c r="X1723">
        <v>83180.89</v>
      </c>
      <c r="Y1723">
        <v>67074.02</v>
      </c>
    </row>
    <row r="1724" spans="1:25" x14ac:dyDescent="0.25">
      <c r="A1724" t="s">
        <v>1780</v>
      </c>
      <c r="B1724" s="1">
        <v>45415</v>
      </c>
      <c r="C1724">
        <v>2024</v>
      </c>
      <c r="D1724">
        <v>5</v>
      </c>
      <c r="E1724" t="s">
        <v>468</v>
      </c>
      <c r="F1724" t="s">
        <v>358</v>
      </c>
      <c r="G1724" t="s">
        <v>44</v>
      </c>
      <c r="H1724" t="s">
        <v>32</v>
      </c>
      <c r="I1724" t="s">
        <v>39</v>
      </c>
      <c r="J1724">
        <v>25</v>
      </c>
      <c r="K1724">
        <v>1612.06</v>
      </c>
      <c r="L1724">
        <v>40301.54</v>
      </c>
      <c r="M1724">
        <v>26106.79</v>
      </c>
      <c r="N1724">
        <v>4552.1000000000004</v>
      </c>
      <c r="O1724">
        <v>1456.75</v>
      </c>
      <c r="P1724">
        <v>1705.33</v>
      </c>
      <c r="Q1724">
        <v>469.98</v>
      </c>
      <c r="R1724">
        <v>1583.61</v>
      </c>
      <c r="S1724">
        <v>574.28</v>
      </c>
      <c r="T1724">
        <v>36448.839999999997</v>
      </c>
      <c r="U1724">
        <v>14194.75</v>
      </c>
      <c r="V1724">
        <v>3852.7</v>
      </c>
      <c r="W1724">
        <v>3701.9</v>
      </c>
      <c r="X1724">
        <v>44063.13</v>
      </c>
      <c r="Y1724">
        <v>34067.53</v>
      </c>
    </row>
    <row r="1725" spans="1:25" x14ac:dyDescent="0.25">
      <c r="A1725" t="s">
        <v>1781</v>
      </c>
      <c r="B1725" s="1">
        <v>45415</v>
      </c>
      <c r="C1725">
        <v>2024</v>
      </c>
      <c r="D1725">
        <v>5</v>
      </c>
      <c r="E1725" t="s">
        <v>468</v>
      </c>
      <c r="F1725" t="s">
        <v>358</v>
      </c>
      <c r="G1725" t="s">
        <v>55</v>
      </c>
      <c r="H1725" t="s">
        <v>36</v>
      </c>
      <c r="I1725" t="s">
        <v>37</v>
      </c>
      <c r="J1725">
        <v>47</v>
      </c>
      <c r="K1725">
        <v>1306.29</v>
      </c>
      <c r="L1725">
        <v>61395.41</v>
      </c>
      <c r="M1725">
        <v>32268.2</v>
      </c>
      <c r="N1725">
        <v>5529.56</v>
      </c>
      <c r="O1725">
        <v>3725.51</v>
      </c>
      <c r="P1725">
        <v>1493.98</v>
      </c>
      <c r="Q1725">
        <v>702.08</v>
      </c>
      <c r="R1725">
        <v>2094.11</v>
      </c>
      <c r="S1725">
        <v>524.11</v>
      </c>
      <c r="T1725">
        <v>46337.56</v>
      </c>
      <c r="U1725">
        <v>29127.200000000001</v>
      </c>
      <c r="V1725">
        <v>15057.85</v>
      </c>
      <c r="W1725">
        <v>14791.48</v>
      </c>
      <c r="X1725">
        <v>64892.160000000003</v>
      </c>
      <c r="Y1725">
        <v>48033.96</v>
      </c>
    </row>
    <row r="1726" spans="1:25" x14ac:dyDescent="0.25">
      <c r="A1726" t="s">
        <v>1782</v>
      </c>
      <c r="B1726" s="1">
        <v>45415</v>
      </c>
      <c r="C1726">
        <v>2024</v>
      </c>
      <c r="D1726">
        <v>5</v>
      </c>
      <c r="E1726" t="s">
        <v>468</v>
      </c>
      <c r="F1726" t="s">
        <v>358</v>
      </c>
      <c r="G1726" t="s">
        <v>55</v>
      </c>
      <c r="H1726" t="s">
        <v>32</v>
      </c>
      <c r="I1726" t="s">
        <v>39</v>
      </c>
      <c r="J1726">
        <v>34</v>
      </c>
      <c r="K1726">
        <v>1509.74</v>
      </c>
      <c r="L1726">
        <v>51331.1</v>
      </c>
      <c r="M1726">
        <v>33239.14</v>
      </c>
      <c r="N1726">
        <v>5671.44</v>
      </c>
      <c r="O1726">
        <v>2313.19</v>
      </c>
      <c r="P1726">
        <v>2061.67</v>
      </c>
      <c r="Q1726">
        <v>897.12</v>
      </c>
      <c r="R1726">
        <v>1556.48</v>
      </c>
      <c r="S1726">
        <v>1270.06</v>
      </c>
      <c r="T1726">
        <v>47009.09</v>
      </c>
      <c r="U1726">
        <v>18091.96</v>
      </c>
      <c r="V1726">
        <v>4322.01</v>
      </c>
      <c r="W1726">
        <v>4321.3100000000004</v>
      </c>
      <c r="X1726">
        <v>49199.59</v>
      </c>
      <c r="Y1726">
        <v>45186.16</v>
      </c>
    </row>
    <row r="1727" spans="1:25" x14ac:dyDescent="0.25">
      <c r="A1727" t="s">
        <v>1783</v>
      </c>
      <c r="B1727" s="1">
        <v>45415</v>
      </c>
      <c r="C1727">
        <v>2024</v>
      </c>
      <c r="D1727">
        <v>5</v>
      </c>
      <c r="E1727" t="s">
        <v>468</v>
      </c>
      <c r="F1727" t="s">
        <v>358</v>
      </c>
      <c r="G1727" t="s">
        <v>35</v>
      </c>
      <c r="H1727" t="s">
        <v>58</v>
      </c>
      <c r="I1727" t="s">
        <v>37</v>
      </c>
      <c r="J1727">
        <v>40</v>
      </c>
      <c r="K1727">
        <v>1259.73</v>
      </c>
      <c r="L1727">
        <v>50389.05</v>
      </c>
      <c r="M1727">
        <v>34011.56</v>
      </c>
      <c r="N1727">
        <v>4582.3500000000004</v>
      </c>
      <c r="O1727">
        <v>1373.15</v>
      </c>
      <c r="P1727">
        <v>2089.1799999999998</v>
      </c>
      <c r="Q1727">
        <v>599.09</v>
      </c>
      <c r="R1727">
        <v>2825.24</v>
      </c>
      <c r="S1727">
        <v>539.22</v>
      </c>
      <c r="T1727">
        <v>46019.79</v>
      </c>
      <c r="U1727">
        <v>16377.48</v>
      </c>
      <c r="V1727">
        <v>4369.26</v>
      </c>
      <c r="W1727">
        <v>4019.57</v>
      </c>
      <c r="X1727">
        <v>50299.57</v>
      </c>
      <c r="Y1727">
        <v>44104.480000000003</v>
      </c>
    </row>
    <row r="1728" spans="1:25" x14ac:dyDescent="0.25">
      <c r="A1728" t="s">
        <v>1784</v>
      </c>
      <c r="B1728" s="1">
        <v>45416</v>
      </c>
      <c r="C1728">
        <v>2024</v>
      </c>
      <c r="D1728">
        <v>5</v>
      </c>
      <c r="E1728" t="s">
        <v>468</v>
      </c>
      <c r="F1728" t="s">
        <v>358</v>
      </c>
      <c r="G1728" t="s">
        <v>35</v>
      </c>
      <c r="H1728" t="s">
        <v>32</v>
      </c>
      <c r="I1728" t="s">
        <v>33</v>
      </c>
      <c r="J1728">
        <v>48</v>
      </c>
      <c r="K1728">
        <v>1573.54</v>
      </c>
      <c r="L1728">
        <v>75529.850000000006</v>
      </c>
      <c r="M1728">
        <v>50118.23</v>
      </c>
      <c r="N1728">
        <v>7427.62</v>
      </c>
      <c r="O1728">
        <v>3694.52</v>
      </c>
      <c r="P1728">
        <v>1831.52</v>
      </c>
      <c r="Q1728">
        <v>1161.04</v>
      </c>
      <c r="R1728">
        <v>2869.01</v>
      </c>
      <c r="S1728">
        <v>918.17</v>
      </c>
      <c r="T1728">
        <v>68020.11</v>
      </c>
      <c r="U1728">
        <v>25411.62</v>
      </c>
      <c r="V1728">
        <v>7509.74</v>
      </c>
      <c r="W1728">
        <v>6797.24</v>
      </c>
      <c r="X1728">
        <v>82463.56</v>
      </c>
      <c r="Y1728">
        <v>74214.37</v>
      </c>
    </row>
    <row r="1729" spans="1:25" x14ac:dyDescent="0.25">
      <c r="A1729" t="s">
        <v>1785</v>
      </c>
      <c r="B1729" s="1">
        <v>45416</v>
      </c>
      <c r="C1729">
        <v>2024</v>
      </c>
      <c r="D1729">
        <v>5</v>
      </c>
      <c r="E1729" t="s">
        <v>468</v>
      </c>
      <c r="F1729" t="s">
        <v>358</v>
      </c>
      <c r="G1729" t="s">
        <v>55</v>
      </c>
      <c r="H1729" t="s">
        <v>58</v>
      </c>
      <c r="I1729" t="s">
        <v>37</v>
      </c>
      <c r="J1729">
        <v>39</v>
      </c>
      <c r="K1729">
        <v>1639.34</v>
      </c>
      <c r="L1729">
        <v>63934.3</v>
      </c>
      <c r="M1729">
        <v>34979.19</v>
      </c>
      <c r="N1729">
        <v>6138.42</v>
      </c>
      <c r="O1729">
        <v>2007.51</v>
      </c>
      <c r="P1729">
        <v>1983.22</v>
      </c>
      <c r="Q1729">
        <v>505.37</v>
      </c>
      <c r="R1729">
        <v>2447.2399999999998</v>
      </c>
      <c r="S1729">
        <v>1040.22</v>
      </c>
      <c r="T1729">
        <v>49101.17</v>
      </c>
      <c r="U1729">
        <v>28955.11</v>
      </c>
      <c r="V1729">
        <v>14833.14</v>
      </c>
      <c r="W1729">
        <v>13307.54</v>
      </c>
      <c r="X1729">
        <v>67479.56</v>
      </c>
      <c r="Y1729">
        <v>50130.22</v>
      </c>
    </row>
    <row r="1730" spans="1:25" x14ac:dyDescent="0.25">
      <c r="A1730" t="s">
        <v>1786</v>
      </c>
      <c r="B1730" s="1">
        <v>45416</v>
      </c>
      <c r="C1730">
        <v>2024</v>
      </c>
      <c r="D1730">
        <v>5</v>
      </c>
      <c r="E1730" t="s">
        <v>468</v>
      </c>
      <c r="F1730" t="s">
        <v>358</v>
      </c>
      <c r="G1730" t="s">
        <v>28</v>
      </c>
      <c r="H1730" t="s">
        <v>36</v>
      </c>
      <c r="I1730" t="s">
        <v>65</v>
      </c>
      <c r="J1730">
        <v>47</v>
      </c>
      <c r="K1730">
        <v>1452.11</v>
      </c>
      <c r="L1730">
        <v>68249.279999999999</v>
      </c>
      <c r="M1730">
        <v>32875.72</v>
      </c>
      <c r="N1730">
        <v>8314.2000000000007</v>
      </c>
      <c r="O1730">
        <v>5000.34</v>
      </c>
      <c r="P1730">
        <v>2771.78</v>
      </c>
      <c r="Q1730">
        <v>774.43</v>
      </c>
      <c r="R1730">
        <v>4298.4399999999996</v>
      </c>
      <c r="S1730">
        <v>720</v>
      </c>
      <c r="T1730">
        <v>54754.92</v>
      </c>
      <c r="U1730">
        <v>35373.56</v>
      </c>
      <c r="V1730">
        <v>13494.36</v>
      </c>
      <c r="W1730">
        <v>12951.48</v>
      </c>
      <c r="X1730">
        <v>68344.34</v>
      </c>
      <c r="Y1730">
        <v>57985.279999999999</v>
      </c>
    </row>
    <row r="1731" spans="1:25" x14ac:dyDescent="0.25">
      <c r="A1731" t="s">
        <v>1787</v>
      </c>
      <c r="B1731" s="1">
        <v>45416</v>
      </c>
      <c r="C1731">
        <v>2024</v>
      </c>
      <c r="D1731">
        <v>5</v>
      </c>
      <c r="E1731" t="s">
        <v>468</v>
      </c>
      <c r="F1731" t="s">
        <v>358</v>
      </c>
      <c r="G1731" t="s">
        <v>28</v>
      </c>
      <c r="H1731" t="s">
        <v>32</v>
      </c>
      <c r="I1731" t="s">
        <v>37</v>
      </c>
      <c r="J1731">
        <v>99</v>
      </c>
      <c r="K1731">
        <v>1073.71</v>
      </c>
      <c r="L1731">
        <v>106296.89</v>
      </c>
      <c r="M1731">
        <v>54049.3</v>
      </c>
      <c r="N1731">
        <v>11207.51</v>
      </c>
      <c r="O1731">
        <v>3382.75</v>
      </c>
      <c r="P1731">
        <v>4320.1000000000004</v>
      </c>
      <c r="Q1731">
        <v>676.19</v>
      </c>
      <c r="R1731">
        <v>3754.76</v>
      </c>
      <c r="S1731">
        <v>1518.07</v>
      </c>
      <c r="T1731">
        <v>78908.67</v>
      </c>
      <c r="U1731">
        <v>52247.59</v>
      </c>
      <c r="V1731">
        <v>27388.22</v>
      </c>
      <c r="W1731">
        <v>26367.02</v>
      </c>
      <c r="X1731">
        <v>105894.11</v>
      </c>
      <c r="Y1731">
        <v>76499.399999999994</v>
      </c>
    </row>
    <row r="1732" spans="1:25" x14ac:dyDescent="0.25">
      <c r="A1732" t="s">
        <v>1788</v>
      </c>
      <c r="B1732" s="1">
        <v>45416</v>
      </c>
      <c r="C1732">
        <v>2024</v>
      </c>
      <c r="D1732">
        <v>5</v>
      </c>
      <c r="E1732" t="s">
        <v>468</v>
      </c>
      <c r="F1732" t="s">
        <v>358</v>
      </c>
      <c r="G1732" t="s">
        <v>28</v>
      </c>
      <c r="H1732" t="s">
        <v>53</v>
      </c>
      <c r="I1732" t="s">
        <v>50</v>
      </c>
      <c r="J1732">
        <v>43</v>
      </c>
      <c r="K1732">
        <v>1225.3800000000001</v>
      </c>
      <c r="L1732">
        <v>52691.25</v>
      </c>
      <c r="M1732">
        <v>27479.66</v>
      </c>
      <c r="N1732">
        <v>5016.3500000000004</v>
      </c>
      <c r="O1732">
        <v>2204.9299999999998</v>
      </c>
      <c r="P1732">
        <v>1466.04</v>
      </c>
      <c r="Q1732">
        <v>596.27</v>
      </c>
      <c r="R1732">
        <v>1397.83</v>
      </c>
      <c r="S1732">
        <v>815.24</v>
      </c>
      <c r="T1732">
        <v>38976.33</v>
      </c>
      <c r="U1732">
        <v>25211.59</v>
      </c>
      <c r="V1732">
        <v>13714.93</v>
      </c>
      <c r="W1732">
        <v>13214.57</v>
      </c>
      <c r="X1732">
        <v>56360.88</v>
      </c>
      <c r="Y1732">
        <v>38655.89</v>
      </c>
    </row>
    <row r="1733" spans="1:25" x14ac:dyDescent="0.25">
      <c r="A1733" t="s">
        <v>1789</v>
      </c>
      <c r="B1733" s="1">
        <v>45416</v>
      </c>
      <c r="C1733">
        <v>2024</v>
      </c>
      <c r="D1733">
        <v>5</v>
      </c>
      <c r="E1733" t="s">
        <v>468</v>
      </c>
      <c r="F1733" t="s">
        <v>358</v>
      </c>
      <c r="G1733" t="s">
        <v>44</v>
      </c>
      <c r="H1733" t="s">
        <v>36</v>
      </c>
      <c r="I1733" t="s">
        <v>39</v>
      </c>
      <c r="J1733">
        <v>17</v>
      </c>
      <c r="K1733">
        <v>1745.74</v>
      </c>
      <c r="L1733">
        <v>29677.63</v>
      </c>
      <c r="M1733">
        <v>18205.490000000002</v>
      </c>
      <c r="N1733">
        <v>3458.98</v>
      </c>
      <c r="O1733">
        <v>1042.73</v>
      </c>
      <c r="P1733">
        <v>886.65</v>
      </c>
      <c r="Q1733">
        <v>413.42</v>
      </c>
      <c r="R1733">
        <v>1364.59</v>
      </c>
      <c r="S1733">
        <v>661.51</v>
      </c>
      <c r="T1733">
        <v>26033.37</v>
      </c>
      <c r="U1733">
        <v>11472.14</v>
      </c>
      <c r="V1733">
        <v>3644.26</v>
      </c>
      <c r="W1733">
        <v>3277.38</v>
      </c>
      <c r="X1733">
        <v>28347.54</v>
      </c>
      <c r="Y1733">
        <v>24353.96</v>
      </c>
    </row>
    <row r="1734" spans="1:25" x14ac:dyDescent="0.25">
      <c r="A1734" t="s">
        <v>1790</v>
      </c>
      <c r="B1734" s="1">
        <v>45417</v>
      </c>
      <c r="C1734">
        <v>2024</v>
      </c>
      <c r="D1734">
        <v>5</v>
      </c>
      <c r="E1734" t="s">
        <v>468</v>
      </c>
      <c r="F1734" t="s">
        <v>358</v>
      </c>
      <c r="G1734" t="s">
        <v>28</v>
      </c>
      <c r="H1734" t="s">
        <v>36</v>
      </c>
      <c r="I1734" t="s">
        <v>30</v>
      </c>
      <c r="J1734">
        <v>110</v>
      </c>
      <c r="K1734">
        <v>1083.21</v>
      </c>
      <c r="L1734">
        <v>119152.71</v>
      </c>
      <c r="M1734">
        <v>59803.16</v>
      </c>
      <c r="N1734">
        <v>12965.18</v>
      </c>
      <c r="O1734">
        <v>7413.71</v>
      </c>
      <c r="P1734">
        <v>2007.04</v>
      </c>
      <c r="Q1734">
        <v>857.65</v>
      </c>
      <c r="R1734">
        <v>7590.76</v>
      </c>
      <c r="S1734">
        <v>1981.56</v>
      </c>
      <c r="T1734">
        <v>92619.05</v>
      </c>
      <c r="U1734">
        <v>59349.55</v>
      </c>
      <c r="V1734">
        <v>26533.66</v>
      </c>
      <c r="W1734">
        <v>24313.5</v>
      </c>
      <c r="X1734">
        <v>110948.44</v>
      </c>
      <c r="Y1734">
        <v>88800.26</v>
      </c>
    </row>
    <row r="1735" spans="1:25" x14ac:dyDescent="0.25">
      <c r="A1735" t="s">
        <v>1791</v>
      </c>
      <c r="B1735" s="1">
        <v>45417</v>
      </c>
      <c r="C1735">
        <v>2024</v>
      </c>
      <c r="D1735">
        <v>5</v>
      </c>
      <c r="E1735" t="s">
        <v>468</v>
      </c>
      <c r="F1735" t="s">
        <v>358</v>
      </c>
      <c r="G1735" t="s">
        <v>35</v>
      </c>
      <c r="H1735" t="s">
        <v>36</v>
      </c>
      <c r="I1735" t="s">
        <v>33</v>
      </c>
      <c r="J1735">
        <v>34</v>
      </c>
      <c r="K1735">
        <v>1525.06</v>
      </c>
      <c r="L1735">
        <v>51852.09</v>
      </c>
      <c r="M1735">
        <v>31618.880000000001</v>
      </c>
      <c r="N1735">
        <v>5714.73</v>
      </c>
      <c r="O1735">
        <v>2984.79</v>
      </c>
      <c r="P1735">
        <v>1550.73</v>
      </c>
      <c r="Q1735">
        <v>689.08</v>
      </c>
      <c r="R1735">
        <v>2729.65</v>
      </c>
      <c r="S1735">
        <v>1221.75</v>
      </c>
      <c r="T1735">
        <v>46509.62</v>
      </c>
      <c r="U1735">
        <v>20233.21</v>
      </c>
      <c r="V1735">
        <v>5342.47</v>
      </c>
      <c r="W1735">
        <v>4977.53</v>
      </c>
      <c r="X1735">
        <v>50814.36</v>
      </c>
      <c r="Y1735">
        <v>49395.81</v>
      </c>
    </row>
    <row r="1736" spans="1:25" x14ac:dyDescent="0.25">
      <c r="A1736" t="s">
        <v>1792</v>
      </c>
      <c r="B1736" s="1">
        <v>45418</v>
      </c>
      <c r="C1736">
        <v>2024</v>
      </c>
      <c r="D1736">
        <v>5</v>
      </c>
      <c r="E1736" t="s">
        <v>468</v>
      </c>
      <c r="F1736" t="s">
        <v>358</v>
      </c>
      <c r="G1736" t="s">
        <v>28</v>
      </c>
      <c r="H1736" t="s">
        <v>36</v>
      </c>
      <c r="I1736" t="s">
        <v>45</v>
      </c>
      <c r="J1736">
        <v>34</v>
      </c>
      <c r="K1736">
        <v>1721.23</v>
      </c>
      <c r="L1736">
        <v>58521.68</v>
      </c>
      <c r="M1736">
        <v>36149.83</v>
      </c>
      <c r="N1736">
        <v>6497.03</v>
      </c>
      <c r="O1736">
        <v>2738.84</v>
      </c>
      <c r="P1736">
        <v>1466.75</v>
      </c>
      <c r="Q1736">
        <v>469.71</v>
      </c>
      <c r="R1736">
        <v>1821.36</v>
      </c>
      <c r="S1736">
        <v>875.86</v>
      </c>
      <c r="T1736">
        <v>50019.37</v>
      </c>
      <c r="U1736">
        <v>22371.85</v>
      </c>
      <c r="V1736">
        <v>8502.31</v>
      </c>
      <c r="W1736">
        <v>8428.5</v>
      </c>
      <c r="X1736">
        <v>55020.72</v>
      </c>
      <c r="Y1736">
        <v>53970.15</v>
      </c>
    </row>
    <row r="1737" spans="1:25" x14ac:dyDescent="0.25">
      <c r="A1737" t="s">
        <v>1793</v>
      </c>
      <c r="B1737" s="1">
        <v>45418</v>
      </c>
      <c r="C1737">
        <v>2024</v>
      </c>
      <c r="D1737">
        <v>5</v>
      </c>
      <c r="E1737" t="s">
        <v>468</v>
      </c>
      <c r="F1737" t="s">
        <v>358</v>
      </c>
      <c r="G1737" t="s">
        <v>55</v>
      </c>
      <c r="H1737" t="s">
        <v>32</v>
      </c>
      <c r="I1737" t="s">
        <v>50</v>
      </c>
      <c r="J1737">
        <v>49</v>
      </c>
      <c r="K1737">
        <v>1622.67</v>
      </c>
      <c r="L1737">
        <v>79511.039999999994</v>
      </c>
      <c r="M1737">
        <v>39407.760000000002</v>
      </c>
      <c r="N1737">
        <v>10087.14</v>
      </c>
      <c r="O1737">
        <v>2678.92</v>
      </c>
      <c r="P1737">
        <v>1280.08</v>
      </c>
      <c r="Q1737">
        <v>1121.54</v>
      </c>
      <c r="R1737">
        <v>2843.74</v>
      </c>
      <c r="S1737">
        <v>1731.92</v>
      </c>
      <c r="T1737">
        <v>59151.09</v>
      </c>
      <c r="U1737">
        <v>40103.29</v>
      </c>
      <c r="V1737">
        <v>20359.95</v>
      </c>
      <c r="W1737">
        <v>17961.34</v>
      </c>
      <c r="X1737">
        <v>79605.69</v>
      </c>
      <c r="Y1737">
        <v>63753</v>
      </c>
    </row>
    <row r="1738" spans="1:25" x14ac:dyDescent="0.25">
      <c r="A1738" t="s">
        <v>1794</v>
      </c>
      <c r="B1738" s="1">
        <v>45418</v>
      </c>
      <c r="C1738">
        <v>2024</v>
      </c>
      <c r="D1738">
        <v>5</v>
      </c>
      <c r="E1738" t="s">
        <v>468</v>
      </c>
      <c r="F1738" t="s">
        <v>358</v>
      </c>
      <c r="G1738" t="s">
        <v>28</v>
      </c>
      <c r="H1738" t="s">
        <v>36</v>
      </c>
      <c r="I1738" t="s">
        <v>65</v>
      </c>
      <c r="J1738">
        <v>58</v>
      </c>
      <c r="K1738">
        <v>866.49</v>
      </c>
      <c r="L1738">
        <v>50256.27</v>
      </c>
      <c r="M1738">
        <v>24621.9</v>
      </c>
      <c r="N1738">
        <v>5699.6</v>
      </c>
      <c r="O1738">
        <v>2929.25</v>
      </c>
      <c r="P1738">
        <v>2095.2399999999998</v>
      </c>
      <c r="Q1738">
        <v>413.04</v>
      </c>
      <c r="R1738">
        <v>2516.62</v>
      </c>
      <c r="S1738">
        <v>1117.51</v>
      </c>
      <c r="T1738">
        <v>39393.160000000003</v>
      </c>
      <c r="U1738">
        <v>25634.37</v>
      </c>
      <c r="V1738">
        <v>10863.11</v>
      </c>
      <c r="W1738">
        <v>10615.46</v>
      </c>
      <c r="X1738">
        <v>47759.59</v>
      </c>
      <c r="Y1738">
        <v>41011.5</v>
      </c>
    </row>
    <row r="1739" spans="1:25" x14ac:dyDescent="0.25">
      <c r="A1739" t="s">
        <v>1795</v>
      </c>
      <c r="B1739" s="1">
        <v>45419</v>
      </c>
      <c r="C1739">
        <v>2024</v>
      </c>
      <c r="D1739">
        <v>5</v>
      </c>
      <c r="E1739" t="s">
        <v>468</v>
      </c>
      <c r="F1739" t="s">
        <v>358</v>
      </c>
      <c r="G1739" t="s">
        <v>35</v>
      </c>
      <c r="H1739" t="s">
        <v>36</v>
      </c>
      <c r="I1739" t="s">
        <v>45</v>
      </c>
      <c r="J1739">
        <v>37</v>
      </c>
      <c r="K1739">
        <v>1135.8900000000001</v>
      </c>
      <c r="L1739">
        <v>42028.11</v>
      </c>
      <c r="M1739">
        <v>27166.92</v>
      </c>
      <c r="N1739">
        <v>3345.18</v>
      </c>
      <c r="O1739">
        <v>2241.04</v>
      </c>
      <c r="P1739">
        <v>1358.67</v>
      </c>
      <c r="Q1739">
        <v>300.7</v>
      </c>
      <c r="R1739">
        <v>1625.71</v>
      </c>
      <c r="S1739">
        <v>340.91</v>
      </c>
      <c r="T1739">
        <v>36379.120000000003</v>
      </c>
      <c r="U1739">
        <v>14861.19</v>
      </c>
      <c r="V1739">
        <v>5648.99</v>
      </c>
      <c r="W1739">
        <v>5398.91</v>
      </c>
      <c r="X1739">
        <v>46978.8</v>
      </c>
      <c r="Y1739">
        <v>35544.870000000003</v>
      </c>
    </row>
    <row r="1740" spans="1:25" x14ac:dyDescent="0.25">
      <c r="A1740" t="s">
        <v>1796</v>
      </c>
      <c r="B1740" s="1">
        <v>45419</v>
      </c>
      <c r="C1740">
        <v>2024</v>
      </c>
      <c r="D1740">
        <v>5</v>
      </c>
      <c r="E1740" t="s">
        <v>468</v>
      </c>
      <c r="F1740" t="s">
        <v>358</v>
      </c>
      <c r="G1740" t="s">
        <v>28</v>
      </c>
      <c r="H1740" t="s">
        <v>53</v>
      </c>
      <c r="I1740" t="s">
        <v>65</v>
      </c>
      <c r="J1740">
        <v>46</v>
      </c>
      <c r="K1740">
        <v>1389.97</v>
      </c>
      <c r="L1740">
        <v>63938.85</v>
      </c>
      <c r="M1740">
        <v>33352.22</v>
      </c>
      <c r="N1740">
        <v>7155.63</v>
      </c>
      <c r="O1740">
        <v>3481.7</v>
      </c>
      <c r="P1740">
        <v>1498.04</v>
      </c>
      <c r="Q1740">
        <v>579.79999999999995</v>
      </c>
      <c r="R1740">
        <v>2911.37</v>
      </c>
      <c r="S1740">
        <v>511.52</v>
      </c>
      <c r="T1740">
        <v>49490.26</v>
      </c>
      <c r="U1740">
        <v>30586.63</v>
      </c>
      <c r="V1740">
        <v>14448.59</v>
      </c>
      <c r="W1740">
        <v>13285.44</v>
      </c>
      <c r="X1740">
        <v>62889.95</v>
      </c>
      <c r="Y1740">
        <v>46892.01</v>
      </c>
    </row>
    <row r="1741" spans="1:25" x14ac:dyDescent="0.25">
      <c r="A1741" t="s">
        <v>1797</v>
      </c>
      <c r="B1741" s="1">
        <v>45419</v>
      </c>
      <c r="C1741">
        <v>2024</v>
      </c>
      <c r="D1741">
        <v>5</v>
      </c>
      <c r="E1741" t="s">
        <v>468</v>
      </c>
      <c r="F1741" t="s">
        <v>358</v>
      </c>
      <c r="G1741" t="s">
        <v>28</v>
      </c>
      <c r="H1741" t="s">
        <v>58</v>
      </c>
      <c r="I1741" t="s">
        <v>50</v>
      </c>
      <c r="J1741">
        <v>48</v>
      </c>
      <c r="K1741">
        <v>1268.49</v>
      </c>
      <c r="L1741">
        <v>60887.4</v>
      </c>
      <c r="M1741">
        <v>36305.25</v>
      </c>
      <c r="N1741">
        <v>4555.03</v>
      </c>
      <c r="O1741">
        <v>2202.7199999999998</v>
      </c>
      <c r="P1741">
        <v>1166.9100000000001</v>
      </c>
      <c r="Q1741">
        <v>475.94</v>
      </c>
      <c r="R1741">
        <v>2039.46</v>
      </c>
      <c r="S1741">
        <v>493.98</v>
      </c>
      <c r="T1741">
        <v>47239.29</v>
      </c>
      <c r="U1741">
        <v>24582.15</v>
      </c>
      <c r="V1741">
        <v>13648.11</v>
      </c>
      <c r="W1741">
        <v>13179.75</v>
      </c>
      <c r="X1741">
        <v>62643.85</v>
      </c>
      <c r="Y1741">
        <v>44089.01</v>
      </c>
    </row>
    <row r="1742" spans="1:25" x14ac:dyDescent="0.25">
      <c r="A1742" t="s">
        <v>1798</v>
      </c>
      <c r="B1742" s="1">
        <v>45419</v>
      </c>
      <c r="C1742">
        <v>2024</v>
      </c>
      <c r="D1742">
        <v>5</v>
      </c>
      <c r="E1742" t="s">
        <v>468</v>
      </c>
      <c r="F1742" t="s">
        <v>358</v>
      </c>
      <c r="G1742" t="s">
        <v>28</v>
      </c>
      <c r="H1742" t="s">
        <v>58</v>
      </c>
      <c r="I1742" t="s">
        <v>30</v>
      </c>
      <c r="J1742">
        <v>66</v>
      </c>
      <c r="K1742">
        <v>1269.01</v>
      </c>
      <c r="L1742">
        <v>83754.61</v>
      </c>
      <c r="M1742">
        <v>47192.47</v>
      </c>
      <c r="N1742">
        <v>8446.5</v>
      </c>
      <c r="O1742">
        <v>5799.81</v>
      </c>
      <c r="P1742">
        <v>1327.56</v>
      </c>
      <c r="Q1742">
        <v>1472.86</v>
      </c>
      <c r="R1742">
        <v>2126.44</v>
      </c>
      <c r="S1742">
        <v>1688.87</v>
      </c>
      <c r="T1742">
        <v>68054.52</v>
      </c>
      <c r="U1742">
        <v>36562.14</v>
      </c>
      <c r="V1742">
        <v>15700.09</v>
      </c>
      <c r="W1742">
        <v>14378.75</v>
      </c>
      <c r="X1742">
        <v>91764.22</v>
      </c>
      <c r="Y1742">
        <v>73522.570000000007</v>
      </c>
    </row>
    <row r="1743" spans="1:25" x14ac:dyDescent="0.25">
      <c r="A1743" t="s">
        <v>1799</v>
      </c>
      <c r="B1743" s="1">
        <v>45419</v>
      </c>
      <c r="C1743">
        <v>2024</v>
      </c>
      <c r="D1743">
        <v>5</v>
      </c>
      <c r="E1743" t="s">
        <v>468</v>
      </c>
      <c r="F1743" t="s">
        <v>358</v>
      </c>
      <c r="G1743" t="s">
        <v>44</v>
      </c>
      <c r="H1743" t="s">
        <v>32</v>
      </c>
      <c r="I1743" t="s">
        <v>65</v>
      </c>
      <c r="J1743">
        <v>73</v>
      </c>
      <c r="K1743">
        <v>1067.28</v>
      </c>
      <c r="L1743">
        <v>77911.48</v>
      </c>
      <c r="M1743">
        <v>37535.06</v>
      </c>
      <c r="N1743">
        <v>8876.49</v>
      </c>
      <c r="O1743">
        <v>5170.8500000000004</v>
      </c>
      <c r="P1743">
        <v>1525.15</v>
      </c>
      <c r="Q1743">
        <v>982.71</v>
      </c>
      <c r="R1743">
        <v>4682.49</v>
      </c>
      <c r="S1743">
        <v>974.44</v>
      </c>
      <c r="T1743">
        <v>59747.19</v>
      </c>
      <c r="U1743">
        <v>40376.43</v>
      </c>
      <c r="V1743">
        <v>18164.3</v>
      </c>
      <c r="W1743">
        <v>18143.05</v>
      </c>
      <c r="X1743">
        <v>76823.34</v>
      </c>
      <c r="Y1743">
        <v>57071.05</v>
      </c>
    </row>
    <row r="1744" spans="1:25" x14ac:dyDescent="0.25">
      <c r="A1744" t="s">
        <v>1800</v>
      </c>
      <c r="B1744" s="1">
        <v>45420</v>
      </c>
      <c r="C1744">
        <v>2024</v>
      </c>
      <c r="D1744">
        <v>5</v>
      </c>
      <c r="E1744" t="s">
        <v>468</v>
      </c>
      <c r="F1744" t="s">
        <v>358</v>
      </c>
      <c r="G1744" t="s">
        <v>44</v>
      </c>
      <c r="H1744" t="s">
        <v>29</v>
      </c>
      <c r="I1744" t="s">
        <v>56</v>
      </c>
      <c r="J1744">
        <v>44</v>
      </c>
      <c r="K1744">
        <v>955.21</v>
      </c>
      <c r="L1744">
        <v>42029.1</v>
      </c>
      <c r="M1744">
        <v>26476.37</v>
      </c>
      <c r="N1744">
        <v>3425.38</v>
      </c>
      <c r="O1744">
        <v>1297.8800000000001</v>
      </c>
      <c r="P1744">
        <v>1104.4000000000001</v>
      </c>
      <c r="Q1744">
        <v>435.76</v>
      </c>
      <c r="R1744">
        <v>2573.5500000000002</v>
      </c>
      <c r="S1744">
        <v>821.08</v>
      </c>
      <c r="T1744">
        <v>36134.42</v>
      </c>
      <c r="U1744">
        <v>15552.72</v>
      </c>
      <c r="V1744">
        <v>5894.67</v>
      </c>
      <c r="W1744">
        <v>5525.62</v>
      </c>
      <c r="X1744">
        <v>39878.660000000003</v>
      </c>
      <c r="Y1744">
        <v>34854.92</v>
      </c>
    </row>
    <row r="1745" spans="1:25" x14ac:dyDescent="0.25">
      <c r="A1745" t="s">
        <v>1801</v>
      </c>
      <c r="B1745" s="1">
        <v>45420</v>
      </c>
      <c r="C1745">
        <v>2024</v>
      </c>
      <c r="D1745">
        <v>5</v>
      </c>
      <c r="E1745" t="s">
        <v>468</v>
      </c>
      <c r="F1745" t="s">
        <v>358</v>
      </c>
      <c r="G1745" t="s">
        <v>35</v>
      </c>
      <c r="H1745" t="s">
        <v>53</v>
      </c>
      <c r="I1745" t="s">
        <v>30</v>
      </c>
      <c r="J1745">
        <v>63</v>
      </c>
      <c r="K1745">
        <v>1170.79</v>
      </c>
      <c r="L1745">
        <v>73759.490000000005</v>
      </c>
      <c r="M1745">
        <v>42148.75</v>
      </c>
      <c r="N1745">
        <v>5354.97</v>
      </c>
      <c r="O1745">
        <v>3151.89</v>
      </c>
      <c r="P1745">
        <v>2573.13</v>
      </c>
      <c r="Q1745">
        <v>1218.1600000000001</v>
      </c>
      <c r="R1745">
        <v>3645.16</v>
      </c>
      <c r="S1745">
        <v>1327.57</v>
      </c>
      <c r="T1745">
        <v>59419.64</v>
      </c>
      <c r="U1745">
        <v>31610.74</v>
      </c>
      <c r="V1745">
        <v>14339.85</v>
      </c>
      <c r="W1745">
        <v>14180.91</v>
      </c>
      <c r="X1745">
        <v>74289.960000000006</v>
      </c>
      <c r="Y1745">
        <v>61987.58</v>
      </c>
    </row>
    <row r="1746" spans="1:25" x14ac:dyDescent="0.25">
      <c r="A1746" t="s">
        <v>1802</v>
      </c>
      <c r="B1746" s="1">
        <v>45420</v>
      </c>
      <c r="C1746">
        <v>2024</v>
      </c>
      <c r="D1746">
        <v>5</v>
      </c>
      <c r="E1746" t="s">
        <v>468</v>
      </c>
      <c r="F1746" t="s">
        <v>358</v>
      </c>
      <c r="G1746" t="s">
        <v>55</v>
      </c>
      <c r="H1746" t="s">
        <v>36</v>
      </c>
      <c r="I1746" t="s">
        <v>45</v>
      </c>
      <c r="J1746">
        <v>50</v>
      </c>
      <c r="K1746">
        <v>836.01</v>
      </c>
      <c r="L1746">
        <v>41800.730000000003</v>
      </c>
      <c r="M1746">
        <v>22483.919999999998</v>
      </c>
      <c r="N1746">
        <v>3359.71</v>
      </c>
      <c r="O1746">
        <v>2328.14</v>
      </c>
      <c r="P1746">
        <v>1754.29</v>
      </c>
      <c r="Q1746">
        <v>477.51</v>
      </c>
      <c r="R1746">
        <v>1340.07</v>
      </c>
      <c r="S1746">
        <v>705.85</v>
      </c>
      <c r="T1746">
        <v>32449.49</v>
      </c>
      <c r="U1746">
        <v>19316.8</v>
      </c>
      <c r="V1746">
        <v>9351.23</v>
      </c>
      <c r="W1746">
        <v>9055.1299999999992</v>
      </c>
      <c r="X1746">
        <v>42527.8</v>
      </c>
      <c r="Y1746">
        <v>32263.13</v>
      </c>
    </row>
    <row r="1747" spans="1:25" x14ac:dyDescent="0.25">
      <c r="A1747" t="s">
        <v>1803</v>
      </c>
      <c r="B1747" s="1">
        <v>45420</v>
      </c>
      <c r="C1747">
        <v>2024</v>
      </c>
      <c r="D1747">
        <v>5</v>
      </c>
      <c r="E1747" t="s">
        <v>468</v>
      </c>
      <c r="F1747" t="s">
        <v>358</v>
      </c>
      <c r="G1747" t="s">
        <v>55</v>
      </c>
      <c r="H1747" t="s">
        <v>32</v>
      </c>
      <c r="I1747" t="s">
        <v>39</v>
      </c>
      <c r="J1747">
        <v>23</v>
      </c>
      <c r="K1747">
        <v>1805.71</v>
      </c>
      <c r="L1747">
        <v>41531.24</v>
      </c>
      <c r="M1747">
        <v>26585.66</v>
      </c>
      <c r="N1747">
        <v>4177.8500000000004</v>
      </c>
      <c r="O1747">
        <v>2202.5</v>
      </c>
      <c r="P1747">
        <v>1466.17</v>
      </c>
      <c r="Q1747">
        <v>562.51</v>
      </c>
      <c r="R1747">
        <v>2421.02</v>
      </c>
      <c r="S1747">
        <v>780.2</v>
      </c>
      <c r="T1747">
        <v>38195.919999999998</v>
      </c>
      <c r="U1747">
        <v>14945.58</v>
      </c>
      <c r="V1747">
        <v>3335.32</v>
      </c>
      <c r="W1747">
        <v>3316.69</v>
      </c>
      <c r="X1747">
        <v>41471.21</v>
      </c>
      <c r="Y1747">
        <v>40254.49</v>
      </c>
    </row>
    <row r="1748" spans="1:25" x14ac:dyDescent="0.25">
      <c r="A1748" t="s">
        <v>1804</v>
      </c>
      <c r="B1748" s="1">
        <v>45420</v>
      </c>
      <c r="C1748">
        <v>2024</v>
      </c>
      <c r="D1748">
        <v>5</v>
      </c>
      <c r="E1748" t="s">
        <v>468</v>
      </c>
      <c r="F1748" t="s">
        <v>358</v>
      </c>
      <c r="G1748" t="s">
        <v>55</v>
      </c>
      <c r="H1748" t="s">
        <v>32</v>
      </c>
      <c r="I1748" t="s">
        <v>39</v>
      </c>
      <c r="J1748">
        <v>40</v>
      </c>
      <c r="K1748">
        <v>1455.15</v>
      </c>
      <c r="L1748">
        <v>58205.83</v>
      </c>
      <c r="M1748">
        <v>38011.46</v>
      </c>
      <c r="N1748">
        <v>6868.27</v>
      </c>
      <c r="O1748">
        <v>2473.9699999999998</v>
      </c>
      <c r="P1748">
        <v>1322.59</v>
      </c>
      <c r="Q1748">
        <v>1021.12</v>
      </c>
      <c r="R1748">
        <v>1866.9</v>
      </c>
      <c r="S1748">
        <v>1329.61</v>
      </c>
      <c r="T1748">
        <v>52893.91</v>
      </c>
      <c r="U1748">
        <v>20194.37</v>
      </c>
      <c r="V1748">
        <v>5311.92</v>
      </c>
      <c r="W1748">
        <v>5379.53</v>
      </c>
      <c r="X1748">
        <v>59472.28</v>
      </c>
      <c r="Y1748">
        <v>54691.96</v>
      </c>
    </row>
    <row r="1749" spans="1:25" x14ac:dyDescent="0.25">
      <c r="A1749" t="s">
        <v>1805</v>
      </c>
      <c r="B1749" s="1">
        <v>45420</v>
      </c>
      <c r="C1749">
        <v>2024</v>
      </c>
      <c r="D1749">
        <v>5</v>
      </c>
      <c r="E1749" t="s">
        <v>468</v>
      </c>
      <c r="F1749" t="s">
        <v>358</v>
      </c>
      <c r="G1749" t="s">
        <v>55</v>
      </c>
      <c r="H1749" t="s">
        <v>32</v>
      </c>
      <c r="I1749" t="s">
        <v>45</v>
      </c>
      <c r="J1749">
        <v>41</v>
      </c>
      <c r="K1749">
        <v>1453.31</v>
      </c>
      <c r="L1749">
        <v>59585.66</v>
      </c>
      <c r="M1749">
        <v>34669.279999999999</v>
      </c>
      <c r="N1749">
        <v>4487.99</v>
      </c>
      <c r="O1749">
        <v>3745.73</v>
      </c>
      <c r="P1749">
        <v>1571.71</v>
      </c>
      <c r="Q1749">
        <v>949.34</v>
      </c>
      <c r="R1749">
        <v>1597.11</v>
      </c>
      <c r="S1749">
        <v>878.2</v>
      </c>
      <c r="T1749">
        <v>47899.360000000001</v>
      </c>
      <c r="U1749">
        <v>24916.38</v>
      </c>
      <c r="V1749">
        <v>11686.3</v>
      </c>
      <c r="W1749">
        <v>11389.48</v>
      </c>
      <c r="X1749">
        <v>66683.899999999994</v>
      </c>
      <c r="Y1749">
        <v>51335.63</v>
      </c>
    </row>
    <row r="1750" spans="1:25" x14ac:dyDescent="0.25">
      <c r="A1750" t="s">
        <v>1806</v>
      </c>
      <c r="B1750" s="1">
        <v>45421</v>
      </c>
      <c r="C1750">
        <v>2024</v>
      </c>
      <c r="D1750">
        <v>5</v>
      </c>
      <c r="E1750" t="s">
        <v>468</v>
      </c>
      <c r="F1750" t="s">
        <v>358</v>
      </c>
      <c r="G1750" t="s">
        <v>35</v>
      </c>
      <c r="H1750" t="s">
        <v>36</v>
      </c>
      <c r="I1750" t="s">
        <v>50</v>
      </c>
      <c r="J1750">
        <v>38</v>
      </c>
      <c r="K1750">
        <v>1407.48</v>
      </c>
      <c r="L1750">
        <v>53484.12</v>
      </c>
      <c r="M1750">
        <v>35797</v>
      </c>
      <c r="N1750">
        <v>6692.19</v>
      </c>
      <c r="O1750">
        <v>2651.36</v>
      </c>
      <c r="P1750">
        <v>1667.66</v>
      </c>
      <c r="Q1750">
        <v>677.67</v>
      </c>
      <c r="R1750">
        <v>1980.3</v>
      </c>
      <c r="S1750">
        <v>775.04</v>
      </c>
      <c r="T1750">
        <v>50241.22</v>
      </c>
      <c r="U1750">
        <v>17687.12</v>
      </c>
      <c r="V1750">
        <v>3242.9</v>
      </c>
      <c r="W1750">
        <v>3211.65</v>
      </c>
      <c r="X1750">
        <v>53684.82</v>
      </c>
      <c r="Y1750">
        <v>52361.24</v>
      </c>
    </row>
    <row r="1751" spans="1:25" x14ac:dyDescent="0.25">
      <c r="A1751" t="s">
        <v>1807</v>
      </c>
      <c r="B1751" s="1">
        <v>45421</v>
      </c>
      <c r="C1751">
        <v>2024</v>
      </c>
      <c r="D1751">
        <v>5</v>
      </c>
      <c r="E1751" t="s">
        <v>468</v>
      </c>
      <c r="F1751" t="s">
        <v>358</v>
      </c>
      <c r="G1751" t="s">
        <v>44</v>
      </c>
      <c r="H1751" t="s">
        <v>36</v>
      </c>
      <c r="I1751" t="s">
        <v>39</v>
      </c>
      <c r="J1751">
        <v>39</v>
      </c>
      <c r="K1751">
        <v>881.87</v>
      </c>
      <c r="L1751">
        <v>34393.040000000001</v>
      </c>
      <c r="M1751">
        <v>17914.32</v>
      </c>
      <c r="N1751">
        <v>2992.93</v>
      </c>
      <c r="O1751">
        <v>1911.06</v>
      </c>
      <c r="P1751">
        <v>562.49</v>
      </c>
      <c r="Q1751">
        <v>303.43</v>
      </c>
      <c r="R1751">
        <v>2129.9</v>
      </c>
      <c r="S1751">
        <v>467.75</v>
      </c>
      <c r="T1751">
        <v>26281.88</v>
      </c>
      <c r="U1751">
        <v>16478.72</v>
      </c>
      <c r="V1751">
        <v>8111.16</v>
      </c>
      <c r="W1751">
        <v>7874.1</v>
      </c>
      <c r="X1751">
        <v>37091.61</v>
      </c>
      <c r="Y1751">
        <v>26223.29</v>
      </c>
    </row>
    <row r="1752" spans="1:25" x14ac:dyDescent="0.25">
      <c r="A1752" t="s">
        <v>1808</v>
      </c>
      <c r="B1752" s="1">
        <v>45421</v>
      </c>
      <c r="C1752">
        <v>2024</v>
      </c>
      <c r="D1752">
        <v>5</v>
      </c>
      <c r="E1752" t="s">
        <v>468</v>
      </c>
      <c r="F1752" t="s">
        <v>358</v>
      </c>
      <c r="G1752" t="s">
        <v>35</v>
      </c>
      <c r="H1752" t="s">
        <v>32</v>
      </c>
      <c r="I1752" t="s">
        <v>45</v>
      </c>
      <c r="J1752">
        <v>41</v>
      </c>
      <c r="K1752">
        <v>864.58</v>
      </c>
      <c r="L1752">
        <v>35447.71</v>
      </c>
      <c r="M1752">
        <v>17880.580000000002</v>
      </c>
      <c r="N1752">
        <v>4332.87</v>
      </c>
      <c r="O1752">
        <v>1474.62</v>
      </c>
      <c r="P1752">
        <v>898.35</v>
      </c>
      <c r="Q1752">
        <v>430.72</v>
      </c>
      <c r="R1752">
        <v>2232.9899999999998</v>
      </c>
      <c r="S1752">
        <v>545.78</v>
      </c>
      <c r="T1752">
        <v>27795.91</v>
      </c>
      <c r="U1752">
        <v>17567.13</v>
      </c>
      <c r="V1752">
        <v>7651.8</v>
      </c>
      <c r="W1752">
        <v>7132.55</v>
      </c>
      <c r="X1752">
        <v>38591.22</v>
      </c>
      <c r="Y1752">
        <v>28692.12</v>
      </c>
    </row>
    <row r="1753" spans="1:25" x14ac:dyDescent="0.25">
      <c r="A1753" t="s">
        <v>1809</v>
      </c>
      <c r="B1753" s="1">
        <v>45422</v>
      </c>
      <c r="C1753">
        <v>2024</v>
      </c>
      <c r="D1753">
        <v>5</v>
      </c>
      <c r="E1753" t="s">
        <v>468</v>
      </c>
      <c r="F1753" t="s">
        <v>358</v>
      </c>
      <c r="G1753" t="s">
        <v>55</v>
      </c>
      <c r="H1753" t="s">
        <v>29</v>
      </c>
      <c r="I1753" t="s">
        <v>37</v>
      </c>
      <c r="J1753">
        <v>78</v>
      </c>
      <c r="K1753">
        <v>1105.99</v>
      </c>
      <c r="L1753">
        <v>86266.86</v>
      </c>
      <c r="M1753">
        <v>47428.7</v>
      </c>
      <c r="N1753">
        <v>9561.5400000000009</v>
      </c>
      <c r="O1753">
        <v>5349.38</v>
      </c>
      <c r="P1753">
        <v>2148.67</v>
      </c>
      <c r="Q1753">
        <v>1183.6400000000001</v>
      </c>
      <c r="R1753">
        <v>2847.23</v>
      </c>
      <c r="S1753">
        <v>1471.25</v>
      </c>
      <c r="T1753">
        <v>69990.429999999993</v>
      </c>
      <c r="U1753">
        <v>38838.160000000003</v>
      </c>
      <c r="V1753">
        <v>16276.44</v>
      </c>
      <c r="W1753">
        <v>15845.95</v>
      </c>
      <c r="X1753">
        <v>79572.639999999999</v>
      </c>
      <c r="Y1753">
        <v>69501.179999999993</v>
      </c>
    </row>
    <row r="1754" spans="1:25" x14ac:dyDescent="0.25">
      <c r="A1754" t="s">
        <v>1810</v>
      </c>
      <c r="B1754" s="1">
        <v>45423</v>
      </c>
      <c r="C1754">
        <v>2024</v>
      </c>
      <c r="D1754">
        <v>5</v>
      </c>
      <c r="E1754" t="s">
        <v>468</v>
      </c>
      <c r="F1754" t="s">
        <v>358</v>
      </c>
      <c r="G1754" t="s">
        <v>28</v>
      </c>
      <c r="H1754" t="s">
        <v>58</v>
      </c>
      <c r="I1754" t="s">
        <v>56</v>
      </c>
      <c r="J1754">
        <v>18</v>
      </c>
      <c r="K1754">
        <v>1532.47</v>
      </c>
      <c r="L1754">
        <v>27584.47</v>
      </c>
      <c r="M1754">
        <v>16751</v>
      </c>
      <c r="N1754">
        <v>1998.29</v>
      </c>
      <c r="O1754">
        <v>1397.02</v>
      </c>
      <c r="P1754">
        <v>1133.0999999999999</v>
      </c>
      <c r="Q1754">
        <v>264.06</v>
      </c>
      <c r="R1754">
        <v>1764.71</v>
      </c>
      <c r="S1754">
        <v>376.95</v>
      </c>
      <c r="T1754">
        <v>23685.13</v>
      </c>
      <c r="U1754">
        <v>10833.46</v>
      </c>
      <c r="V1754">
        <v>3899.34</v>
      </c>
      <c r="W1754">
        <v>3663.9</v>
      </c>
      <c r="X1754">
        <v>30075.32</v>
      </c>
      <c r="Y1754">
        <v>24602.43</v>
      </c>
    </row>
    <row r="1755" spans="1:25" x14ac:dyDescent="0.25">
      <c r="A1755" t="s">
        <v>1811</v>
      </c>
      <c r="B1755" s="1">
        <v>45423</v>
      </c>
      <c r="C1755">
        <v>2024</v>
      </c>
      <c r="D1755">
        <v>5</v>
      </c>
      <c r="E1755" t="s">
        <v>468</v>
      </c>
      <c r="F1755" t="s">
        <v>358</v>
      </c>
      <c r="G1755" t="s">
        <v>55</v>
      </c>
      <c r="H1755" t="s">
        <v>32</v>
      </c>
      <c r="I1755" t="s">
        <v>39</v>
      </c>
      <c r="J1755">
        <v>40</v>
      </c>
      <c r="K1755">
        <v>1635.48</v>
      </c>
      <c r="L1755">
        <v>65419.34</v>
      </c>
      <c r="M1755">
        <v>40676.5</v>
      </c>
      <c r="N1755">
        <v>6928.36</v>
      </c>
      <c r="O1755">
        <v>3355.76</v>
      </c>
      <c r="P1755">
        <v>2736.38</v>
      </c>
      <c r="Q1755">
        <v>582.75</v>
      </c>
      <c r="R1755">
        <v>2524.42</v>
      </c>
      <c r="S1755">
        <v>1259.57</v>
      </c>
      <c r="T1755">
        <v>58063.74</v>
      </c>
      <c r="U1755">
        <v>24742.84</v>
      </c>
      <c r="V1755">
        <v>7355.61</v>
      </c>
      <c r="W1755">
        <v>6551.79</v>
      </c>
      <c r="X1755">
        <v>67901.27</v>
      </c>
      <c r="Y1755">
        <v>58142.3</v>
      </c>
    </row>
    <row r="1756" spans="1:25" x14ac:dyDescent="0.25">
      <c r="A1756" t="s">
        <v>1812</v>
      </c>
      <c r="B1756" s="1">
        <v>45423</v>
      </c>
      <c r="C1756">
        <v>2024</v>
      </c>
      <c r="D1756">
        <v>5</v>
      </c>
      <c r="E1756" t="s">
        <v>468</v>
      </c>
      <c r="F1756" t="s">
        <v>358</v>
      </c>
      <c r="G1756" t="s">
        <v>35</v>
      </c>
      <c r="H1756" t="s">
        <v>32</v>
      </c>
      <c r="I1756" t="s">
        <v>30</v>
      </c>
      <c r="J1756">
        <v>95</v>
      </c>
      <c r="K1756">
        <v>1272.81</v>
      </c>
      <c r="L1756">
        <v>120916.82</v>
      </c>
      <c r="M1756">
        <v>70155.460000000006</v>
      </c>
      <c r="N1756">
        <v>15387.43</v>
      </c>
      <c r="O1756">
        <v>8589.58</v>
      </c>
      <c r="P1756">
        <v>5154.34</v>
      </c>
      <c r="Q1756">
        <v>637.02</v>
      </c>
      <c r="R1756">
        <v>6197.82</v>
      </c>
      <c r="S1756">
        <v>2050.91</v>
      </c>
      <c r="T1756">
        <v>108172.55</v>
      </c>
      <c r="U1756">
        <v>50761.36</v>
      </c>
      <c r="V1756">
        <v>12744.26</v>
      </c>
      <c r="W1756">
        <v>11312.78</v>
      </c>
      <c r="X1756">
        <v>115178.77</v>
      </c>
      <c r="Y1756">
        <v>114152.48</v>
      </c>
    </row>
    <row r="1757" spans="1:25" x14ac:dyDescent="0.25">
      <c r="A1757" t="s">
        <v>1813</v>
      </c>
      <c r="B1757" s="1">
        <v>45423</v>
      </c>
      <c r="C1757">
        <v>2024</v>
      </c>
      <c r="D1757">
        <v>5</v>
      </c>
      <c r="E1757" t="s">
        <v>468</v>
      </c>
      <c r="F1757" t="s">
        <v>358</v>
      </c>
      <c r="G1757" t="s">
        <v>55</v>
      </c>
      <c r="H1757" t="s">
        <v>36</v>
      </c>
      <c r="I1757" t="s">
        <v>30</v>
      </c>
      <c r="J1757">
        <v>107</v>
      </c>
      <c r="K1757">
        <v>976.71</v>
      </c>
      <c r="L1757">
        <v>104507.71</v>
      </c>
      <c r="M1757">
        <v>53670.96</v>
      </c>
      <c r="N1757">
        <v>8159.72</v>
      </c>
      <c r="O1757">
        <v>5881.03</v>
      </c>
      <c r="P1757">
        <v>3943.49</v>
      </c>
      <c r="Q1757">
        <v>1732.77</v>
      </c>
      <c r="R1757">
        <v>3512.22</v>
      </c>
      <c r="S1757">
        <v>2278.69</v>
      </c>
      <c r="T1757">
        <v>79178.880000000005</v>
      </c>
      <c r="U1757">
        <v>50836.74</v>
      </c>
      <c r="V1757">
        <v>25328.83</v>
      </c>
      <c r="W1757">
        <v>23136.31</v>
      </c>
      <c r="X1757">
        <v>98166.58</v>
      </c>
      <c r="Y1757">
        <v>82579.89</v>
      </c>
    </row>
    <row r="1758" spans="1:25" x14ac:dyDescent="0.25">
      <c r="A1758" t="s">
        <v>1814</v>
      </c>
      <c r="B1758" s="1">
        <v>45423</v>
      </c>
      <c r="C1758">
        <v>2024</v>
      </c>
      <c r="D1758">
        <v>5</v>
      </c>
      <c r="E1758" t="s">
        <v>468</v>
      </c>
      <c r="F1758" t="s">
        <v>358</v>
      </c>
      <c r="G1758" t="s">
        <v>28</v>
      </c>
      <c r="H1758" t="s">
        <v>32</v>
      </c>
      <c r="I1758" t="s">
        <v>56</v>
      </c>
      <c r="J1758">
        <v>59</v>
      </c>
      <c r="K1758">
        <v>865.35</v>
      </c>
      <c r="L1758">
        <v>51055.519999999997</v>
      </c>
      <c r="M1758">
        <v>26674.33</v>
      </c>
      <c r="N1758">
        <v>4576.55</v>
      </c>
      <c r="O1758">
        <v>3326.93</v>
      </c>
      <c r="P1758">
        <v>1513.01</v>
      </c>
      <c r="Q1758">
        <v>586.28</v>
      </c>
      <c r="R1758">
        <v>3127.59</v>
      </c>
      <c r="S1758">
        <v>602.62</v>
      </c>
      <c r="T1758">
        <v>40407.300000000003</v>
      </c>
      <c r="U1758">
        <v>24381.19</v>
      </c>
      <c r="V1758">
        <v>10648.21</v>
      </c>
      <c r="W1758">
        <v>9874.52</v>
      </c>
      <c r="X1758">
        <v>51992.45</v>
      </c>
      <c r="Y1758">
        <v>40235.589999999997</v>
      </c>
    </row>
    <row r="1759" spans="1:25" x14ac:dyDescent="0.25">
      <c r="A1759" t="s">
        <v>1815</v>
      </c>
      <c r="B1759" s="1">
        <v>45424</v>
      </c>
      <c r="C1759">
        <v>2024</v>
      </c>
      <c r="D1759">
        <v>5</v>
      </c>
      <c r="E1759" t="s">
        <v>468</v>
      </c>
      <c r="F1759" t="s">
        <v>358</v>
      </c>
      <c r="G1759" t="s">
        <v>28</v>
      </c>
      <c r="H1759" t="s">
        <v>36</v>
      </c>
      <c r="I1759" t="s">
        <v>33</v>
      </c>
      <c r="J1759">
        <v>59</v>
      </c>
      <c r="K1759">
        <v>1632.88</v>
      </c>
      <c r="L1759">
        <v>96339.92</v>
      </c>
      <c r="M1759">
        <v>50511.66</v>
      </c>
      <c r="N1759">
        <v>9146.23</v>
      </c>
      <c r="O1759">
        <v>2825.07</v>
      </c>
      <c r="P1759">
        <v>1722.21</v>
      </c>
      <c r="Q1759">
        <v>1172.93</v>
      </c>
      <c r="R1759">
        <v>5835.06</v>
      </c>
      <c r="S1759">
        <v>859.42</v>
      </c>
      <c r="T1759">
        <v>72072.570000000007</v>
      </c>
      <c r="U1759">
        <v>45828.27</v>
      </c>
      <c r="V1759">
        <v>24267.35</v>
      </c>
      <c r="W1759">
        <v>23473.79</v>
      </c>
      <c r="X1759">
        <v>98597.49</v>
      </c>
      <c r="Y1759">
        <v>73194.7</v>
      </c>
    </row>
    <row r="1760" spans="1:25" x14ac:dyDescent="0.25">
      <c r="A1760" t="s">
        <v>1816</v>
      </c>
      <c r="B1760" s="1">
        <v>45424</v>
      </c>
      <c r="C1760">
        <v>2024</v>
      </c>
      <c r="D1760">
        <v>5</v>
      </c>
      <c r="E1760" t="s">
        <v>468</v>
      </c>
      <c r="F1760" t="s">
        <v>358</v>
      </c>
      <c r="G1760" t="s">
        <v>44</v>
      </c>
      <c r="H1760" t="s">
        <v>32</v>
      </c>
      <c r="I1760" t="s">
        <v>45</v>
      </c>
      <c r="J1760">
        <v>33</v>
      </c>
      <c r="K1760">
        <v>1225.1500000000001</v>
      </c>
      <c r="L1760">
        <v>40430.1</v>
      </c>
      <c r="M1760">
        <v>22014.63</v>
      </c>
      <c r="N1760">
        <v>3460.64</v>
      </c>
      <c r="O1760">
        <v>3009.09</v>
      </c>
      <c r="P1760">
        <v>649.46</v>
      </c>
      <c r="Q1760">
        <v>318.05</v>
      </c>
      <c r="R1760">
        <v>2118.35</v>
      </c>
      <c r="S1760">
        <v>812.58</v>
      </c>
      <c r="T1760">
        <v>32382.799999999999</v>
      </c>
      <c r="U1760">
        <v>18415.46</v>
      </c>
      <c r="V1760">
        <v>8047.3</v>
      </c>
      <c r="W1760">
        <v>8095.88</v>
      </c>
      <c r="X1760">
        <v>38621.25</v>
      </c>
      <c r="Y1760">
        <v>33199.339999999997</v>
      </c>
    </row>
    <row r="1761" spans="1:25" x14ac:dyDescent="0.25">
      <c r="A1761" t="s">
        <v>1817</v>
      </c>
      <c r="B1761" s="1">
        <v>45425</v>
      </c>
      <c r="C1761">
        <v>2024</v>
      </c>
      <c r="D1761">
        <v>5</v>
      </c>
      <c r="E1761" t="s">
        <v>468</v>
      </c>
      <c r="F1761" t="s">
        <v>358</v>
      </c>
      <c r="G1761" t="s">
        <v>35</v>
      </c>
      <c r="H1761" t="s">
        <v>36</v>
      </c>
      <c r="I1761" t="s">
        <v>56</v>
      </c>
      <c r="J1761">
        <v>14</v>
      </c>
      <c r="K1761">
        <v>1690.85</v>
      </c>
      <c r="L1761">
        <v>23671.89</v>
      </c>
      <c r="M1761">
        <v>14149.62</v>
      </c>
      <c r="N1761">
        <v>1998.67</v>
      </c>
      <c r="O1761">
        <v>1709.7</v>
      </c>
      <c r="P1761">
        <v>627.58000000000004</v>
      </c>
      <c r="Q1761">
        <v>150.63</v>
      </c>
      <c r="R1761">
        <v>762.68</v>
      </c>
      <c r="S1761">
        <v>204.68</v>
      </c>
      <c r="T1761">
        <v>19603.57</v>
      </c>
      <c r="U1761">
        <v>9522.26</v>
      </c>
      <c r="V1761">
        <v>4068.32</v>
      </c>
      <c r="W1761">
        <v>4131.51</v>
      </c>
      <c r="X1761">
        <v>22300.16</v>
      </c>
      <c r="Y1761">
        <v>19030.169999999998</v>
      </c>
    </row>
    <row r="1762" spans="1:25" x14ac:dyDescent="0.25">
      <c r="A1762" t="s">
        <v>1818</v>
      </c>
      <c r="B1762" s="1">
        <v>45425</v>
      </c>
      <c r="C1762">
        <v>2024</v>
      </c>
      <c r="D1762">
        <v>5</v>
      </c>
      <c r="E1762" t="s">
        <v>468</v>
      </c>
      <c r="F1762" t="s">
        <v>358</v>
      </c>
      <c r="G1762" t="s">
        <v>55</v>
      </c>
      <c r="H1762" t="s">
        <v>29</v>
      </c>
      <c r="I1762" t="s">
        <v>56</v>
      </c>
      <c r="J1762">
        <v>25</v>
      </c>
      <c r="K1762">
        <v>1514.87</v>
      </c>
      <c r="L1762">
        <v>37871.79</v>
      </c>
      <c r="M1762">
        <v>18669.060000000001</v>
      </c>
      <c r="N1762">
        <v>3495.31</v>
      </c>
      <c r="O1762">
        <v>1596.66</v>
      </c>
      <c r="P1762">
        <v>1179.5999999999999</v>
      </c>
      <c r="Q1762">
        <v>367.91</v>
      </c>
      <c r="R1762">
        <v>1180.94</v>
      </c>
      <c r="S1762">
        <v>333.98</v>
      </c>
      <c r="T1762">
        <v>26823.46</v>
      </c>
      <c r="U1762">
        <v>19202.73</v>
      </c>
      <c r="V1762">
        <v>11048.33</v>
      </c>
      <c r="W1762">
        <v>11073.62</v>
      </c>
      <c r="X1762">
        <v>41250.449999999997</v>
      </c>
      <c r="Y1762">
        <v>27817.96</v>
      </c>
    </row>
    <row r="1763" spans="1:25" x14ac:dyDescent="0.25">
      <c r="A1763" t="s">
        <v>1819</v>
      </c>
      <c r="B1763" s="1">
        <v>45425</v>
      </c>
      <c r="C1763">
        <v>2024</v>
      </c>
      <c r="D1763">
        <v>5</v>
      </c>
      <c r="E1763" t="s">
        <v>468</v>
      </c>
      <c r="F1763" t="s">
        <v>358</v>
      </c>
      <c r="G1763" t="s">
        <v>44</v>
      </c>
      <c r="H1763" t="s">
        <v>32</v>
      </c>
      <c r="I1763" t="s">
        <v>37</v>
      </c>
      <c r="J1763">
        <v>40</v>
      </c>
      <c r="K1763">
        <v>1616.42</v>
      </c>
      <c r="L1763">
        <v>64656.77</v>
      </c>
      <c r="M1763">
        <v>34809.46</v>
      </c>
      <c r="N1763">
        <v>6601.34</v>
      </c>
      <c r="O1763">
        <v>2100.14</v>
      </c>
      <c r="P1763">
        <v>1770.4</v>
      </c>
      <c r="Q1763">
        <v>385.16</v>
      </c>
      <c r="R1763">
        <v>3610.35</v>
      </c>
      <c r="S1763">
        <v>725.28</v>
      </c>
      <c r="T1763">
        <v>50002.13</v>
      </c>
      <c r="U1763">
        <v>29847.31</v>
      </c>
      <c r="V1763">
        <v>14654.64</v>
      </c>
      <c r="W1763">
        <v>12913.12</v>
      </c>
      <c r="X1763">
        <v>60606.67</v>
      </c>
      <c r="Y1763">
        <v>51946</v>
      </c>
    </row>
    <row r="1764" spans="1:25" x14ac:dyDescent="0.25">
      <c r="A1764" t="s">
        <v>1820</v>
      </c>
      <c r="B1764" s="1">
        <v>45425</v>
      </c>
      <c r="C1764">
        <v>2024</v>
      </c>
      <c r="D1764">
        <v>5</v>
      </c>
      <c r="E1764" t="s">
        <v>468</v>
      </c>
      <c r="F1764" t="s">
        <v>358</v>
      </c>
      <c r="G1764" t="s">
        <v>35</v>
      </c>
      <c r="H1764" t="s">
        <v>36</v>
      </c>
      <c r="I1764" t="s">
        <v>50</v>
      </c>
      <c r="J1764">
        <v>50</v>
      </c>
      <c r="K1764">
        <v>1032.99</v>
      </c>
      <c r="L1764">
        <v>51649.58</v>
      </c>
      <c r="M1764">
        <v>28720.11</v>
      </c>
      <c r="N1764">
        <v>3916.65</v>
      </c>
      <c r="O1764">
        <v>3832.21</v>
      </c>
      <c r="P1764">
        <v>834.46</v>
      </c>
      <c r="Q1764">
        <v>314.33999999999997</v>
      </c>
      <c r="R1764">
        <v>1658.65</v>
      </c>
      <c r="S1764">
        <v>777.87</v>
      </c>
      <c r="T1764">
        <v>40054.29</v>
      </c>
      <c r="U1764">
        <v>22929.47</v>
      </c>
      <c r="V1764">
        <v>11595.29</v>
      </c>
      <c r="W1764">
        <v>11192.05</v>
      </c>
      <c r="X1764">
        <v>48267.64</v>
      </c>
      <c r="Y1764">
        <v>39230.89</v>
      </c>
    </row>
    <row r="1765" spans="1:25" x14ac:dyDescent="0.25">
      <c r="A1765" t="s">
        <v>1821</v>
      </c>
      <c r="B1765" s="1">
        <v>45425</v>
      </c>
      <c r="C1765">
        <v>2024</v>
      </c>
      <c r="D1765">
        <v>5</v>
      </c>
      <c r="E1765" t="s">
        <v>468</v>
      </c>
      <c r="F1765" t="s">
        <v>358</v>
      </c>
      <c r="G1765" t="s">
        <v>55</v>
      </c>
      <c r="H1765" t="s">
        <v>29</v>
      </c>
      <c r="I1765" t="s">
        <v>30</v>
      </c>
      <c r="J1765">
        <v>59</v>
      </c>
      <c r="K1765">
        <v>1765.77</v>
      </c>
      <c r="L1765">
        <v>104180.42</v>
      </c>
      <c r="M1765">
        <v>57873.919999999998</v>
      </c>
      <c r="N1765">
        <v>10545.95</v>
      </c>
      <c r="O1765">
        <v>3326.64</v>
      </c>
      <c r="P1765">
        <v>2461.9499999999998</v>
      </c>
      <c r="Q1765">
        <v>1179.45</v>
      </c>
      <c r="R1765">
        <v>3239.46</v>
      </c>
      <c r="S1765">
        <v>1930.03</v>
      </c>
      <c r="T1765">
        <v>80557.41</v>
      </c>
      <c r="U1765">
        <v>46306.51</v>
      </c>
      <c r="V1765">
        <v>23623.02</v>
      </c>
      <c r="W1765">
        <v>22818.28</v>
      </c>
      <c r="X1765">
        <v>105156.76</v>
      </c>
      <c r="Y1765">
        <v>83237.960000000006</v>
      </c>
    </row>
    <row r="1766" spans="1:25" x14ac:dyDescent="0.25">
      <c r="A1766" t="s">
        <v>1822</v>
      </c>
      <c r="B1766" s="1">
        <v>45425</v>
      </c>
      <c r="C1766">
        <v>2024</v>
      </c>
      <c r="D1766">
        <v>5</v>
      </c>
      <c r="E1766" t="s">
        <v>468</v>
      </c>
      <c r="F1766" t="s">
        <v>358</v>
      </c>
      <c r="G1766" t="s">
        <v>35</v>
      </c>
      <c r="H1766" t="s">
        <v>36</v>
      </c>
      <c r="I1766" t="s">
        <v>50</v>
      </c>
      <c r="J1766">
        <v>25</v>
      </c>
      <c r="K1766">
        <v>1712.61</v>
      </c>
      <c r="L1766">
        <v>42815.24</v>
      </c>
      <c r="M1766">
        <v>20840.919999999998</v>
      </c>
      <c r="N1766">
        <v>5107.2700000000004</v>
      </c>
      <c r="O1766">
        <v>2782.16</v>
      </c>
      <c r="P1766">
        <v>890.61</v>
      </c>
      <c r="Q1766">
        <v>761.84</v>
      </c>
      <c r="R1766">
        <v>1227.72</v>
      </c>
      <c r="S1766">
        <v>972.93</v>
      </c>
      <c r="T1766">
        <v>32583.46</v>
      </c>
      <c r="U1766">
        <v>21974.32</v>
      </c>
      <c r="V1766">
        <v>10231.780000000001</v>
      </c>
      <c r="W1766">
        <v>10198.09</v>
      </c>
      <c r="X1766">
        <v>43524.02</v>
      </c>
      <c r="Y1766">
        <v>35016.230000000003</v>
      </c>
    </row>
    <row r="1767" spans="1:25" x14ac:dyDescent="0.25">
      <c r="A1767" t="s">
        <v>1823</v>
      </c>
      <c r="B1767" s="1">
        <v>45425</v>
      </c>
      <c r="C1767">
        <v>2024</v>
      </c>
      <c r="D1767">
        <v>5</v>
      </c>
      <c r="E1767" t="s">
        <v>468</v>
      </c>
      <c r="F1767" t="s">
        <v>358</v>
      </c>
      <c r="G1767" t="s">
        <v>55</v>
      </c>
      <c r="H1767" t="s">
        <v>32</v>
      </c>
      <c r="I1767" t="s">
        <v>50</v>
      </c>
      <c r="J1767">
        <v>46</v>
      </c>
      <c r="K1767">
        <v>1376.23</v>
      </c>
      <c r="L1767">
        <v>63306.62</v>
      </c>
      <c r="M1767">
        <v>42577.23</v>
      </c>
      <c r="N1767">
        <v>5313.33</v>
      </c>
      <c r="O1767">
        <v>3504.02</v>
      </c>
      <c r="P1767">
        <v>2496.46</v>
      </c>
      <c r="Q1767">
        <v>366.12</v>
      </c>
      <c r="R1767">
        <v>1739.17</v>
      </c>
      <c r="S1767">
        <v>1306.78</v>
      </c>
      <c r="T1767">
        <v>57303.13</v>
      </c>
      <c r="U1767">
        <v>20729.39</v>
      </c>
      <c r="V1767">
        <v>6003.49</v>
      </c>
      <c r="W1767">
        <v>6021.58</v>
      </c>
      <c r="X1767">
        <v>66408.95</v>
      </c>
      <c r="Y1767">
        <v>58239.3</v>
      </c>
    </row>
    <row r="1768" spans="1:25" x14ac:dyDescent="0.25">
      <c r="A1768" t="s">
        <v>1824</v>
      </c>
      <c r="B1768" s="1">
        <v>45426</v>
      </c>
      <c r="C1768">
        <v>2024</v>
      </c>
      <c r="D1768">
        <v>5</v>
      </c>
      <c r="E1768" t="s">
        <v>468</v>
      </c>
      <c r="F1768" t="s">
        <v>358</v>
      </c>
      <c r="G1768" t="s">
        <v>35</v>
      </c>
      <c r="H1768" t="s">
        <v>36</v>
      </c>
      <c r="I1768" t="s">
        <v>37</v>
      </c>
      <c r="J1768">
        <v>57</v>
      </c>
      <c r="K1768">
        <v>1005.63</v>
      </c>
      <c r="L1768">
        <v>57320.69</v>
      </c>
      <c r="M1768">
        <v>31698.93</v>
      </c>
      <c r="N1768">
        <v>6321.14</v>
      </c>
      <c r="O1768">
        <v>1705.08</v>
      </c>
      <c r="P1768">
        <v>1059.55</v>
      </c>
      <c r="Q1768">
        <v>718.42</v>
      </c>
      <c r="R1768">
        <v>2557.35</v>
      </c>
      <c r="S1768">
        <v>464.76</v>
      </c>
      <c r="T1768">
        <v>44525.24</v>
      </c>
      <c r="U1768">
        <v>25621.759999999998</v>
      </c>
      <c r="V1768">
        <v>12795.46</v>
      </c>
      <c r="W1768">
        <v>12726.24</v>
      </c>
      <c r="X1768">
        <v>63171.78</v>
      </c>
      <c r="Y1768">
        <v>42174.91</v>
      </c>
    </row>
    <row r="1769" spans="1:25" x14ac:dyDescent="0.25">
      <c r="A1769" t="s">
        <v>1825</v>
      </c>
      <c r="B1769" s="1">
        <v>45426</v>
      </c>
      <c r="C1769">
        <v>2024</v>
      </c>
      <c r="D1769">
        <v>5</v>
      </c>
      <c r="E1769" t="s">
        <v>468</v>
      </c>
      <c r="F1769" t="s">
        <v>358</v>
      </c>
      <c r="G1769" t="s">
        <v>44</v>
      </c>
      <c r="H1769" t="s">
        <v>29</v>
      </c>
      <c r="I1769" t="s">
        <v>37</v>
      </c>
      <c r="J1769">
        <v>84</v>
      </c>
      <c r="K1769">
        <v>926.67</v>
      </c>
      <c r="L1769">
        <v>77840.59</v>
      </c>
      <c r="M1769">
        <v>50207.18</v>
      </c>
      <c r="N1769">
        <v>6939.72</v>
      </c>
      <c r="O1769">
        <v>1959.12</v>
      </c>
      <c r="P1769">
        <v>2068.75</v>
      </c>
      <c r="Q1769">
        <v>620.41</v>
      </c>
      <c r="R1769">
        <v>4769.21</v>
      </c>
      <c r="S1769">
        <v>1604.79</v>
      </c>
      <c r="T1769">
        <v>68169.16</v>
      </c>
      <c r="U1769">
        <v>27633.41</v>
      </c>
      <c r="V1769">
        <v>9671.43</v>
      </c>
      <c r="W1769">
        <v>8789.1299999999992</v>
      </c>
      <c r="X1769">
        <v>81827.44</v>
      </c>
      <c r="Y1769">
        <v>65247.49</v>
      </c>
    </row>
    <row r="1770" spans="1:25" x14ac:dyDescent="0.25">
      <c r="A1770" t="s">
        <v>1826</v>
      </c>
      <c r="B1770" s="1">
        <v>45426</v>
      </c>
      <c r="C1770">
        <v>2024</v>
      </c>
      <c r="D1770">
        <v>5</v>
      </c>
      <c r="E1770" t="s">
        <v>468</v>
      </c>
      <c r="F1770" t="s">
        <v>358</v>
      </c>
      <c r="G1770" t="s">
        <v>28</v>
      </c>
      <c r="H1770" t="s">
        <v>36</v>
      </c>
      <c r="I1770" t="s">
        <v>33</v>
      </c>
      <c r="J1770">
        <v>49</v>
      </c>
      <c r="K1770">
        <v>1664.69</v>
      </c>
      <c r="L1770">
        <v>81569.789999999994</v>
      </c>
      <c r="M1770">
        <v>39684.19</v>
      </c>
      <c r="N1770">
        <v>7506.93</v>
      </c>
      <c r="O1770">
        <v>3774.54</v>
      </c>
      <c r="P1770">
        <v>2968.04</v>
      </c>
      <c r="Q1770">
        <v>491.05</v>
      </c>
      <c r="R1770">
        <v>5059.24</v>
      </c>
      <c r="S1770">
        <v>1316.14</v>
      </c>
      <c r="T1770">
        <v>60800.13</v>
      </c>
      <c r="U1770">
        <v>41885.599999999999</v>
      </c>
      <c r="V1770">
        <v>20769.66</v>
      </c>
      <c r="W1770">
        <v>18841.79</v>
      </c>
      <c r="X1770">
        <v>86208.5</v>
      </c>
      <c r="Y1770">
        <v>58041.41</v>
      </c>
    </row>
    <row r="1771" spans="1:25" x14ac:dyDescent="0.25">
      <c r="A1771" t="s">
        <v>1827</v>
      </c>
      <c r="B1771" s="1">
        <v>45426</v>
      </c>
      <c r="C1771">
        <v>2024</v>
      </c>
      <c r="D1771">
        <v>5</v>
      </c>
      <c r="E1771" t="s">
        <v>468</v>
      </c>
      <c r="F1771" t="s">
        <v>358</v>
      </c>
      <c r="G1771" t="s">
        <v>55</v>
      </c>
      <c r="H1771" t="s">
        <v>29</v>
      </c>
      <c r="I1771" t="s">
        <v>56</v>
      </c>
      <c r="J1771">
        <v>31</v>
      </c>
      <c r="K1771">
        <v>1130.46</v>
      </c>
      <c r="L1771">
        <v>35044.19</v>
      </c>
      <c r="M1771">
        <v>18783.150000000001</v>
      </c>
      <c r="N1771">
        <v>2597.02</v>
      </c>
      <c r="O1771">
        <v>2028.23</v>
      </c>
      <c r="P1771">
        <v>1081.72</v>
      </c>
      <c r="Q1771">
        <v>236.34</v>
      </c>
      <c r="R1771">
        <v>1140.5999999999999</v>
      </c>
      <c r="S1771">
        <v>405.63</v>
      </c>
      <c r="T1771">
        <v>26272.68</v>
      </c>
      <c r="U1771">
        <v>16261.04</v>
      </c>
      <c r="V1771">
        <v>8771.51</v>
      </c>
      <c r="W1771">
        <v>7812.94</v>
      </c>
      <c r="X1771">
        <v>37038.68</v>
      </c>
      <c r="Y1771">
        <v>24892.97</v>
      </c>
    </row>
    <row r="1772" spans="1:25" x14ac:dyDescent="0.25">
      <c r="A1772" t="s">
        <v>1828</v>
      </c>
      <c r="B1772" s="1">
        <v>45426</v>
      </c>
      <c r="C1772">
        <v>2024</v>
      </c>
      <c r="D1772">
        <v>5</v>
      </c>
      <c r="E1772" t="s">
        <v>468</v>
      </c>
      <c r="F1772" t="s">
        <v>358</v>
      </c>
      <c r="G1772" t="s">
        <v>55</v>
      </c>
      <c r="H1772" t="s">
        <v>32</v>
      </c>
      <c r="I1772" t="s">
        <v>65</v>
      </c>
      <c r="J1772">
        <v>86</v>
      </c>
      <c r="K1772">
        <v>824.91</v>
      </c>
      <c r="L1772">
        <v>70942.320000000007</v>
      </c>
      <c r="M1772">
        <v>35968.44</v>
      </c>
      <c r="N1772">
        <v>6112.27</v>
      </c>
      <c r="O1772">
        <v>3985.29</v>
      </c>
      <c r="P1772">
        <v>1323.37</v>
      </c>
      <c r="Q1772">
        <v>810.02</v>
      </c>
      <c r="R1772">
        <v>4326.9799999999996</v>
      </c>
      <c r="S1772">
        <v>1578.8</v>
      </c>
      <c r="T1772">
        <v>54105.18</v>
      </c>
      <c r="U1772">
        <v>34973.879999999997</v>
      </c>
      <c r="V1772">
        <v>16837.14</v>
      </c>
      <c r="W1772">
        <v>15238.37</v>
      </c>
      <c r="X1772">
        <v>71191.27</v>
      </c>
      <c r="Y1772">
        <v>58538.1</v>
      </c>
    </row>
    <row r="1773" spans="1:25" x14ac:dyDescent="0.25">
      <c r="A1773" t="s">
        <v>1829</v>
      </c>
      <c r="B1773" s="1">
        <v>45426</v>
      </c>
      <c r="C1773">
        <v>2024</v>
      </c>
      <c r="D1773">
        <v>5</v>
      </c>
      <c r="E1773" t="s">
        <v>468</v>
      </c>
      <c r="F1773" t="s">
        <v>358</v>
      </c>
      <c r="G1773" t="s">
        <v>28</v>
      </c>
      <c r="H1773" t="s">
        <v>32</v>
      </c>
      <c r="I1773" t="s">
        <v>50</v>
      </c>
      <c r="J1773">
        <v>40</v>
      </c>
      <c r="K1773">
        <v>1196.17</v>
      </c>
      <c r="L1773">
        <v>47846.63</v>
      </c>
      <c r="M1773">
        <v>30352.83</v>
      </c>
      <c r="N1773">
        <v>5461.89</v>
      </c>
      <c r="O1773">
        <v>3418.88</v>
      </c>
      <c r="P1773">
        <v>978.55</v>
      </c>
      <c r="Q1773">
        <v>467.02</v>
      </c>
      <c r="R1773">
        <v>2196.13</v>
      </c>
      <c r="S1773">
        <v>632.29999999999995</v>
      </c>
      <c r="T1773">
        <v>43507.59</v>
      </c>
      <c r="U1773">
        <v>17493.8</v>
      </c>
      <c r="V1773">
        <v>4339.04</v>
      </c>
      <c r="W1773">
        <v>4018.49</v>
      </c>
      <c r="X1773">
        <v>51409.96</v>
      </c>
      <c r="Y1773">
        <v>41427.03</v>
      </c>
    </row>
    <row r="1774" spans="1:25" x14ac:dyDescent="0.25">
      <c r="A1774" t="s">
        <v>1830</v>
      </c>
      <c r="B1774" s="1">
        <v>45427</v>
      </c>
      <c r="C1774">
        <v>2024</v>
      </c>
      <c r="D1774">
        <v>5</v>
      </c>
      <c r="E1774" t="s">
        <v>468</v>
      </c>
      <c r="F1774" t="s">
        <v>358</v>
      </c>
      <c r="G1774" t="s">
        <v>35</v>
      </c>
      <c r="H1774" t="s">
        <v>36</v>
      </c>
      <c r="I1774" t="s">
        <v>37</v>
      </c>
      <c r="J1774">
        <v>65</v>
      </c>
      <c r="K1774">
        <v>878.44</v>
      </c>
      <c r="L1774">
        <v>57098.31</v>
      </c>
      <c r="M1774">
        <v>27411.119999999999</v>
      </c>
      <c r="N1774">
        <v>4935.45</v>
      </c>
      <c r="O1774">
        <v>1635.33</v>
      </c>
      <c r="P1774">
        <v>1861.73</v>
      </c>
      <c r="Q1774">
        <v>352.27</v>
      </c>
      <c r="R1774">
        <v>3524.73</v>
      </c>
      <c r="S1774">
        <v>611.91</v>
      </c>
      <c r="T1774">
        <v>40332.53</v>
      </c>
      <c r="U1774">
        <v>29687.19</v>
      </c>
      <c r="V1774">
        <v>16765.78</v>
      </c>
      <c r="W1774">
        <v>14779.58</v>
      </c>
      <c r="X1774">
        <v>62235.93</v>
      </c>
      <c r="Y1774">
        <v>38359.56</v>
      </c>
    </row>
    <row r="1775" spans="1:25" x14ac:dyDescent="0.25">
      <c r="A1775" t="s">
        <v>1831</v>
      </c>
      <c r="B1775" s="1">
        <v>45427</v>
      </c>
      <c r="C1775">
        <v>2024</v>
      </c>
      <c r="D1775">
        <v>5</v>
      </c>
      <c r="E1775" t="s">
        <v>468</v>
      </c>
      <c r="F1775" t="s">
        <v>358</v>
      </c>
      <c r="G1775" t="s">
        <v>44</v>
      </c>
      <c r="H1775" t="s">
        <v>36</v>
      </c>
      <c r="I1775" t="s">
        <v>37</v>
      </c>
      <c r="J1775">
        <v>57</v>
      </c>
      <c r="K1775">
        <v>1172.17</v>
      </c>
      <c r="L1775">
        <v>66813.539999999994</v>
      </c>
      <c r="M1775">
        <v>38778.83</v>
      </c>
      <c r="N1775">
        <v>5942.74</v>
      </c>
      <c r="O1775">
        <v>4194.62</v>
      </c>
      <c r="P1775">
        <v>1859.79</v>
      </c>
      <c r="Q1775">
        <v>789.28</v>
      </c>
      <c r="R1775">
        <v>2241.19</v>
      </c>
      <c r="S1775">
        <v>861.5</v>
      </c>
      <c r="T1775">
        <v>54667.94</v>
      </c>
      <c r="U1775">
        <v>28034.71</v>
      </c>
      <c r="V1775">
        <v>12145.61</v>
      </c>
      <c r="W1775">
        <v>11634.18</v>
      </c>
      <c r="X1775">
        <v>64129.27</v>
      </c>
      <c r="Y1775">
        <v>59791.59</v>
      </c>
    </row>
    <row r="1776" spans="1:25" x14ac:dyDescent="0.25">
      <c r="A1776" t="s">
        <v>1832</v>
      </c>
      <c r="B1776" s="1">
        <v>45427</v>
      </c>
      <c r="C1776">
        <v>2024</v>
      </c>
      <c r="D1776">
        <v>5</v>
      </c>
      <c r="E1776" t="s">
        <v>468</v>
      </c>
      <c r="F1776" t="s">
        <v>358</v>
      </c>
      <c r="G1776" t="s">
        <v>28</v>
      </c>
      <c r="H1776" t="s">
        <v>29</v>
      </c>
      <c r="I1776" t="s">
        <v>37</v>
      </c>
      <c r="J1776">
        <v>72</v>
      </c>
      <c r="K1776">
        <v>1191.9000000000001</v>
      </c>
      <c r="L1776">
        <v>85816.83</v>
      </c>
      <c r="M1776">
        <v>47015.31</v>
      </c>
      <c r="N1776">
        <v>8283.24</v>
      </c>
      <c r="O1776">
        <v>3115.67</v>
      </c>
      <c r="P1776">
        <v>2249.84</v>
      </c>
      <c r="Q1776">
        <v>1240.28</v>
      </c>
      <c r="R1776">
        <v>3831.28</v>
      </c>
      <c r="S1776">
        <v>1876.04</v>
      </c>
      <c r="T1776">
        <v>67611.66</v>
      </c>
      <c r="U1776">
        <v>38801.519999999997</v>
      </c>
      <c r="V1776">
        <v>18205.169999999998</v>
      </c>
      <c r="W1776">
        <v>18297.45</v>
      </c>
      <c r="X1776">
        <v>93799.35</v>
      </c>
      <c r="Y1776">
        <v>68934.95</v>
      </c>
    </row>
    <row r="1777" spans="1:25" x14ac:dyDescent="0.25">
      <c r="A1777" t="s">
        <v>1833</v>
      </c>
      <c r="B1777" s="1">
        <v>45428</v>
      </c>
      <c r="C1777">
        <v>2024</v>
      </c>
      <c r="D1777">
        <v>5</v>
      </c>
      <c r="E1777" t="s">
        <v>468</v>
      </c>
      <c r="F1777" t="s">
        <v>358</v>
      </c>
      <c r="G1777" t="s">
        <v>44</v>
      </c>
      <c r="H1777" t="s">
        <v>36</v>
      </c>
      <c r="I1777" t="s">
        <v>39</v>
      </c>
      <c r="J1777">
        <v>17</v>
      </c>
      <c r="K1777">
        <v>1766.18</v>
      </c>
      <c r="L1777">
        <v>30025.03</v>
      </c>
      <c r="M1777">
        <v>19116.55</v>
      </c>
      <c r="N1777">
        <v>3848.72</v>
      </c>
      <c r="O1777">
        <v>1367.02</v>
      </c>
      <c r="P1777">
        <v>1277.52</v>
      </c>
      <c r="Q1777">
        <v>290.23</v>
      </c>
      <c r="R1777">
        <v>1148.3599999999999</v>
      </c>
      <c r="S1777">
        <v>440.28</v>
      </c>
      <c r="T1777">
        <v>27488.67</v>
      </c>
      <c r="U1777">
        <v>10908.48</v>
      </c>
      <c r="V1777">
        <v>2536.36</v>
      </c>
      <c r="W1777">
        <v>2487.0700000000002</v>
      </c>
      <c r="X1777">
        <v>32822.660000000003</v>
      </c>
      <c r="Y1777">
        <v>27618.45</v>
      </c>
    </row>
    <row r="1778" spans="1:25" x14ac:dyDescent="0.25">
      <c r="A1778" t="s">
        <v>1834</v>
      </c>
      <c r="B1778" s="1">
        <v>45428</v>
      </c>
      <c r="C1778">
        <v>2024</v>
      </c>
      <c r="D1778">
        <v>5</v>
      </c>
      <c r="E1778" t="s">
        <v>468</v>
      </c>
      <c r="F1778" t="s">
        <v>358</v>
      </c>
      <c r="G1778" t="s">
        <v>28</v>
      </c>
      <c r="H1778" t="s">
        <v>36</v>
      </c>
      <c r="I1778" t="s">
        <v>33</v>
      </c>
      <c r="J1778">
        <v>50</v>
      </c>
      <c r="K1778">
        <v>1535.68</v>
      </c>
      <c r="L1778">
        <v>76784.009999999995</v>
      </c>
      <c r="M1778">
        <v>45317.93</v>
      </c>
      <c r="N1778">
        <v>6032.46</v>
      </c>
      <c r="O1778">
        <v>2965.36</v>
      </c>
      <c r="P1778">
        <v>3068.87</v>
      </c>
      <c r="Q1778">
        <v>594.73</v>
      </c>
      <c r="R1778">
        <v>3334.81</v>
      </c>
      <c r="S1778">
        <v>745.68</v>
      </c>
      <c r="T1778">
        <v>62059.85</v>
      </c>
      <c r="U1778">
        <v>31466.080000000002</v>
      </c>
      <c r="V1778">
        <v>14724.16</v>
      </c>
      <c r="W1778">
        <v>13609.92</v>
      </c>
      <c r="X1778">
        <v>73736.429999999993</v>
      </c>
      <c r="Y1778">
        <v>65077.51</v>
      </c>
    </row>
    <row r="1779" spans="1:25" x14ac:dyDescent="0.25">
      <c r="A1779" t="s">
        <v>1835</v>
      </c>
      <c r="B1779" s="1">
        <v>45429</v>
      </c>
      <c r="C1779">
        <v>2024</v>
      </c>
      <c r="D1779">
        <v>5</v>
      </c>
      <c r="E1779" t="s">
        <v>468</v>
      </c>
      <c r="F1779" t="s">
        <v>358</v>
      </c>
      <c r="G1779" t="s">
        <v>28</v>
      </c>
      <c r="H1779" t="s">
        <v>36</v>
      </c>
      <c r="I1779" t="s">
        <v>65</v>
      </c>
      <c r="J1779">
        <v>50</v>
      </c>
      <c r="K1779">
        <v>972.99</v>
      </c>
      <c r="L1779">
        <v>48649.47</v>
      </c>
      <c r="M1779">
        <v>25460.04</v>
      </c>
      <c r="N1779">
        <v>5816.13</v>
      </c>
      <c r="O1779">
        <v>1685.83</v>
      </c>
      <c r="P1779">
        <v>976.01</v>
      </c>
      <c r="Q1779">
        <v>674.98</v>
      </c>
      <c r="R1779">
        <v>1852.06</v>
      </c>
      <c r="S1779">
        <v>468.96</v>
      </c>
      <c r="T1779">
        <v>36934.019999999997</v>
      </c>
      <c r="U1779">
        <v>23189.43</v>
      </c>
      <c r="V1779">
        <v>11715.45</v>
      </c>
      <c r="W1779">
        <v>11122.67</v>
      </c>
      <c r="X1779">
        <v>45081.13</v>
      </c>
      <c r="Y1779">
        <v>35852.43</v>
      </c>
    </row>
    <row r="1780" spans="1:25" x14ac:dyDescent="0.25">
      <c r="A1780" t="s">
        <v>1836</v>
      </c>
      <c r="B1780" s="1">
        <v>45429</v>
      </c>
      <c r="C1780">
        <v>2024</v>
      </c>
      <c r="D1780">
        <v>5</v>
      </c>
      <c r="E1780" t="s">
        <v>468</v>
      </c>
      <c r="F1780" t="s">
        <v>358</v>
      </c>
      <c r="G1780" t="s">
        <v>35</v>
      </c>
      <c r="H1780" t="s">
        <v>36</v>
      </c>
      <c r="I1780" t="s">
        <v>37</v>
      </c>
      <c r="J1780">
        <v>40</v>
      </c>
      <c r="K1780">
        <v>1431.18</v>
      </c>
      <c r="L1780">
        <v>57247.199999999997</v>
      </c>
      <c r="M1780">
        <v>28398.89</v>
      </c>
      <c r="N1780">
        <v>6112.83</v>
      </c>
      <c r="O1780">
        <v>3127.79</v>
      </c>
      <c r="P1780">
        <v>1845.04</v>
      </c>
      <c r="Q1780">
        <v>355.96</v>
      </c>
      <c r="R1780">
        <v>1528.47</v>
      </c>
      <c r="S1780">
        <v>927.31</v>
      </c>
      <c r="T1780">
        <v>42296.29</v>
      </c>
      <c r="U1780">
        <v>28848.31</v>
      </c>
      <c r="V1780">
        <v>14950.91</v>
      </c>
      <c r="W1780">
        <v>14293.22</v>
      </c>
      <c r="X1780">
        <v>58834.79</v>
      </c>
      <c r="Y1780">
        <v>41984.94</v>
      </c>
    </row>
    <row r="1781" spans="1:25" x14ac:dyDescent="0.25">
      <c r="A1781" t="s">
        <v>1837</v>
      </c>
      <c r="B1781" s="1">
        <v>45429</v>
      </c>
      <c r="C1781">
        <v>2024</v>
      </c>
      <c r="D1781">
        <v>5</v>
      </c>
      <c r="E1781" t="s">
        <v>468</v>
      </c>
      <c r="F1781" t="s">
        <v>358</v>
      </c>
      <c r="G1781" t="s">
        <v>44</v>
      </c>
      <c r="H1781" t="s">
        <v>36</v>
      </c>
      <c r="I1781" t="s">
        <v>65</v>
      </c>
      <c r="J1781">
        <v>39</v>
      </c>
      <c r="K1781">
        <v>1084.6600000000001</v>
      </c>
      <c r="L1781">
        <v>42301.62</v>
      </c>
      <c r="M1781">
        <v>27285.53</v>
      </c>
      <c r="N1781">
        <v>3629.16</v>
      </c>
      <c r="O1781">
        <v>1435.78</v>
      </c>
      <c r="P1781">
        <v>686.23</v>
      </c>
      <c r="Q1781">
        <v>487.95</v>
      </c>
      <c r="R1781">
        <v>2190.25</v>
      </c>
      <c r="S1781">
        <v>922.6</v>
      </c>
      <c r="T1781">
        <v>36637.51</v>
      </c>
      <c r="U1781">
        <v>15016.09</v>
      </c>
      <c r="V1781">
        <v>5664.11</v>
      </c>
      <c r="W1781">
        <v>5625.48</v>
      </c>
      <c r="X1781">
        <v>44185.93</v>
      </c>
      <c r="Y1781">
        <v>35982.21</v>
      </c>
    </row>
    <row r="1782" spans="1:25" x14ac:dyDescent="0.25">
      <c r="A1782" t="s">
        <v>1838</v>
      </c>
      <c r="B1782" s="1">
        <v>45430</v>
      </c>
      <c r="C1782">
        <v>2024</v>
      </c>
      <c r="D1782">
        <v>5</v>
      </c>
      <c r="E1782" t="s">
        <v>468</v>
      </c>
      <c r="F1782" t="s">
        <v>358</v>
      </c>
      <c r="G1782" t="s">
        <v>44</v>
      </c>
      <c r="H1782" t="s">
        <v>32</v>
      </c>
      <c r="I1782" t="s">
        <v>56</v>
      </c>
      <c r="J1782">
        <v>38</v>
      </c>
      <c r="K1782">
        <v>858.76</v>
      </c>
      <c r="L1782">
        <v>32632.91</v>
      </c>
      <c r="M1782">
        <v>21562.14</v>
      </c>
      <c r="N1782">
        <v>2451.35</v>
      </c>
      <c r="O1782">
        <v>2064.23</v>
      </c>
      <c r="P1782">
        <v>602.41</v>
      </c>
      <c r="Q1782">
        <v>472.73</v>
      </c>
      <c r="R1782">
        <v>1834.12</v>
      </c>
      <c r="S1782">
        <v>381.49</v>
      </c>
      <c r="T1782">
        <v>29368.46</v>
      </c>
      <c r="U1782">
        <v>11070.77</v>
      </c>
      <c r="V1782">
        <v>3264.45</v>
      </c>
      <c r="W1782">
        <v>3152.54</v>
      </c>
      <c r="X1782">
        <v>33479.449999999997</v>
      </c>
      <c r="Y1782">
        <v>30876.89</v>
      </c>
    </row>
    <row r="1783" spans="1:25" x14ac:dyDescent="0.25">
      <c r="A1783" t="s">
        <v>1839</v>
      </c>
      <c r="B1783" s="1">
        <v>45430</v>
      </c>
      <c r="C1783">
        <v>2024</v>
      </c>
      <c r="D1783">
        <v>5</v>
      </c>
      <c r="E1783" t="s">
        <v>468</v>
      </c>
      <c r="F1783" t="s">
        <v>358</v>
      </c>
      <c r="G1783" t="s">
        <v>28</v>
      </c>
      <c r="H1783" t="s">
        <v>32</v>
      </c>
      <c r="I1783" t="s">
        <v>37</v>
      </c>
      <c r="J1783">
        <v>47</v>
      </c>
      <c r="K1783">
        <v>1753.44</v>
      </c>
      <c r="L1783">
        <v>82411.58</v>
      </c>
      <c r="M1783">
        <v>48829.36</v>
      </c>
      <c r="N1783">
        <v>5911.76</v>
      </c>
      <c r="O1783">
        <v>3121.35</v>
      </c>
      <c r="P1783">
        <v>3520.91</v>
      </c>
      <c r="Q1783">
        <v>1182.43</v>
      </c>
      <c r="R1783">
        <v>4264.01</v>
      </c>
      <c r="S1783">
        <v>1376.07</v>
      </c>
      <c r="T1783">
        <v>68205.89</v>
      </c>
      <c r="U1783">
        <v>33582.22</v>
      </c>
      <c r="V1783">
        <v>14205.69</v>
      </c>
      <c r="W1783">
        <v>13228.72</v>
      </c>
      <c r="X1783">
        <v>89030.6</v>
      </c>
      <c r="Y1783">
        <v>65084.12</v>
      </c>
    </row>
    <row r="1784" spans="1:25" x14ac:dyDescent="0.25">
      <c r="A1784" t="s">
        <v>1840</v>
      </c>
      <c r="B1784" s="1">
        <v>45430</v>
      </c>
      <c r="C1784">
        <v>2024</v>
      </c>
      <c r="D1784">
        <v>5</v>
      </c>
      <c r="E1784" t="s">
        <v>468</v>
      </c>
      <c r="F1784" t="s">
        <v>358</v>
      </c>
      <c r="G1784" t="s">
        <v>44</v>
      </c>
      <c r="H1784" t="s">
        <v>36</v>
      </c>
      <c r="I1784" t="s">
        <v>45</v>
      </c>
      <c r="J1784">
        <v>45</v>
      </c>
      <c r="K1784">
        <v>928.08</v>
      </c>
      <c r="L1784">
        <v>41763.480000000003</v>
      </c>
      <c r="M1784">
        <v>27126.959999999999</v>
      </c>
      <c r="N1784">
        <v>4273.25</v>
      </c>
      <c r="O1784">
        <v>1653.94</v>
      </c>
      <c r="P1784">
        <v>1867.16</v>
      </c>
      <c r="Q1784">
        <v>689.25</v>
      </c>
      <c r="R1784">
        <v>1505.85</v>
      </c>
      <c r="S1784">
        <v>611.82000000000005</v>
      </c>
      <c r="T1784">
        <v>37728.239999999998</v>
      </c>
      <c r="U1784">
        <v>14636.52</v>
      </c>
      <c r="V1784">
        <v>4035.24</v>
      </c>
      <c r="W1784">
        <v>3779.05</v>
      </c>
      <c r="X1784">
        <v>43736.23</v>
      </c>
      <c r="Y1784">
        <v>36933.160000000003</v>
      </c>
    </row>
    <row r="1785" spans="1:25" x14ac:dyDescent="0.25">
      <c r="A1785" t="s">
        <v>1841</v>
      </c>
      <c r="B1785" s="1">
        <v>45430</v>
      </c>
      <c r="C1785">
        <v>2024</v>
      </c>
      <c r="D1785">
        <v>5</v>
      </c>
      <c r="E1785" t="s">
        <v>468</v>
      </c>
      <c r="F1785" t="s">
        <v>358</v>
      </c>
      <c r="G1785" t="s">
        <v>55</v>
      </c>
      <c r="H1785" t="s">
        <v>58</v>
      </c>
      <c r="I1785" t="s">
        <v>30</v>
      </c>
      <c r="J1785">
        <v>69</v>
      </c>
      <c r="K1785">
        <v>1498.98</v>
      </c>
      <c r="L1785">
        <v>103429.34</v>
      </c>
      <c r="M1785">
        <v>51805.919999999998</v>
      </c>
      <c r="N1785">
        <v>8335.85</v>
      </c>
      <c r="O1785">
        <v>6862.99</v>
      </c>
      <c r="P1785">
        <v>2417.91</v>
      </c>
      <c r="Q1785">
        <v>1488.68</v>
      </c>
      <c r="R1785">
        <v>4541</v>
      </c>
      <c r="S1785">
        <v>1472.33</v>
      </c>
      <c r="T1785">
        <v>76924.69</v>
      </c>
      <c r="U1785">
        <v>51623.42</v>
      </c>
      <c r="V1785">
        <v>26504.65</v>
      </c>
      <c r="W1785">
        <v>24749.78</v>
      </c>
      <c r="X1785">
        <v>101730.46</v>
      </c>
      <c r="Y1785">
        <v>76279.77</v>
      </c>
    </row>
    <row r="1786" spans="1:25" x14ac:dyDescent="0.25">
      <c r="A1786" t="s">
        <v>1842</v>
      </c>
      <c r="B1786" s="1">
        <v>45430</v>
      </c>
      <c r="C1786">
        <v>2024</v>
      </c>
      <c r="D1786">
        <v>5</v>
      </c>
      <c r="E1786" t="s">
        <v>468</v>
      </c>
      <c r="F1786" t="s">
        <v>358</v>
      </c>
      <c r="G1786" t="s">
        <v>44</v>
      </c>
      <c r="H1786" t="s">
        <v>53</v>
      </c>
      <c r="I1786" t="s">
        <v>45</v>
      </c>
      <c r="J1786">
        <v>27</v>
      </c>
      <c r="K1786">
        <v>1722.24</v>
      </c>
      <c r="L1786">
        <v>46500.56</v>
      </c>
      <c r="M1786">
        <v>29288.58</v>
      </c>
      <c r="N1786">
        <v>5061.37</v>
      </c>
      <c r="O1786">
        <v>2127.96</v>
      </c>
      <c r="P1786">
        <v>1028.51</v>
      </c>
      <c r="Q1786">
        <v>639.79999999999995</v>
      </c>
      <c r="R1786">
        <v>1549.39</v>
      </c>
      <c r="S1786">
        <v>642.78</v>
      </c>
      <c r="T1786">
        <v>40338.39</v>
      </c>
      <c r="U1786">
        <v>17211.98</v>
      </c>
      <c r="V1786">
        <v>6162.18</v>
      </c>
      <c r="W1786">
        <v>6221.9</v>
      </c>
      <c r="X1786">
        <v>42799.59</v>
      </c>
      <c r="Y1786">
        <v>41561.550000000003</v>
      </c>
    </row>
    <row r="1787" spans="1:25" x14ac:dyDescent="0.25">
      <c r="A1787" t="s">
        <v>1843</v>
      </c>
      <c r="B1787" s="1">
        <v>45431</v>
      </c>
      <c r="C1787">
        <v>2024</v>
      </c>
      <c r="D1787">
        <v>5</v>
      </c>
      <c r="E1787" t="s">
        <v>468</v>
      </c>
      <c r="F1787" t="s">
        <v>358</v>
      </c>
      <c r="G1787" t="s">
        <v>28</v>
      </c>
      <c r="H1787" t="s">
        <v>53</v>
      </c>
      <c r="I1787" t="s">
        <v>37</v>
      </c>
      <c r="J1787">
        <v>34</v>
      </c>
      <c r="K1787">
        <v>1529.62</v>
      </c>
      <c r="L1787">
        <v>52006.91</v>
      </c>
      <c r="M1787">
        <v>31828.84</v>
      </c>
      <c r="N1787">
        <v>6375.21</v>
      </c>
      <c r="O1787">
        <v>2622.28</v>
      </c>
      <c r="P1787">
        <v>983.15</v>
      </c>
      <c r="Q1787">
        <v>797.28</v>
      </c>
      <c r="R1787">
        <v>3154.78</v>
      </c>
      <c r="S1787">
        <v>918.82</v>
      </c>
      <c r="T1787">
        <v>46680.36</v>
      </c>
      <c r="U1787">
        <v>20178.080000000002</v>
      </c>
      <c r="V1787">
        <v>5326.56</v>
      </c>
      <c r="W1787">
        <v>4985.9799999999996</v>
      </c>
      <c r="X1787">
        <v>52861.36</v>
      </c>
      <c r="Y1787">
        <v>49402.6</v>
      </c>
    </row>
    <row r="1788" spans="1:25" x14ac:dyDescent="0.25">
      <c r="A1788" t="s">
        <v>1844</v>
      </c>
      <c r="B1788" s="1">
        <v>45431</v>
      </c>
      <c r="C1788">
        <v>2024</v>
      </c>
      <c r="D1788">
        <v>5</v>
      </c>
      <c r="E1788" t="s">
        <v>468</v>
      </c>
      <c r="F1788" t="s">
        <v>358</v>
      </c>
      <c r="G1788" t="s">
        <v>28</v>
      </c>
      <c r="H1788" t="s">
        <v>36</v>
      </c>
      <c r="I1788" t="s">
        <v>56</v>
      </c>
      <c r="J1788">
        <v>47</v>
      </c>
      <c r="K1788">
        <v>911.18</v>
      </c>
      <c r="L1788">
        <v>42825.64</v>
      </c>
      <c r="M1788">
        <v>27973.25</v>
      </c>
      <c r="N1788">
        <v>3015.73</v>
      </c>
      <c r="O1788">
        <v>2358.7399999999998</v>
      </c>
      <c r="P1788">
        <v>899.37</v>
      </c>
      <c r="Q1788">
        <v>638.9</v>
      </c>
      <c r="R1788">
        <v>2632.82</v>
      </c>
      <c r="S1788">
        <v>731.94</v>
      </c>
      <c r="T1788">
        <v>38250.76</v>
      </c>
      <c r="U1788">
        <v>14852.39</v>
      </c>
      <c r="V1788">
        <v>4574.88</v>
      </c>
      <c r="W1788">
        <v>4385.72</v>
      </c>
      <c r="X1788">
        <v>45979.5</v>
      </c>
      <c r="Y1788">
        <v>36117.19</v>
      </c>
    </row>
    <row r="1789" spans="1:25" x14ac:dyDescent="0.25">
      <c r="A1789" t="s">
        <v>1845</v>
      </c>
      <c r="B1789" s="1">
        <v>45431</v>
      </c>
      <c r="C1789">
        <v>2024</v>
      </c>
      <c r="D1789">
        <v>5</v>
      </c>
      <c r="E1789" t="s">
        <v>468</v>
      </c>
      <c r="F1789" t="s">
        <v>358</v>
      </c>
      <c r="G1789" t="s">
        <v>44</v>
      </c>
      <c r="H1789" t="s">
        <v>58</v>
      </c>
      <c r="I1789" t="s">
        <v>30</v>
      </c>
      <c r="J1789">
        <v>97</v>
      </c>
      <c r="K1789">
        <v>1012.8</v>
      </c>
      <c r="L1789">
        <v>98242.06</v>
      </c>
      <c r="M1789">
        <v>55512.77</v>
      </c>
      <c r="N1789">
        <v>8760.1</v>
      </c>
      <c r="O1789">
        <v>6325.55</v>
      </c>
      <c r="P1789">
        <v>2916.67</v>
      </c>
      <c r="Q1789">
        <v>1727.04</v>
      </c>
      <c r="R1789">
        <v>5542.74</v>
      </c>
      <c r="S1789">
        <v>993.31</v>
      </c>
      <c r="T1789">
        <v>81778.16</v>
      </c>
      <c r="U1789">
        <v>42729.3</v>
      </c>
      <c r="V1789">
        <v>16463.900000000001</v>
      </c>
      <c r="W1789">
        <v>15348.73</v>
      </c>
      <c r="X1789">
        <v>98033.91</v>
      </c>
      <c r="Y1789">
        <v>82542.47</v>
      </c>
    </row>
    <row r="1790" spans="1:25" x14ac:dyDescent="0.25">
      <c r="A1790" t="s">
        <v>1846</v>
      </c>
      <c r="B1790" s="1">
        <v>45431</v>
      </c>
      <c r="C1790">
        <v>2024</v>
      </c>
      <c r="D1790">
        <v>5</v>
      </c>
      <c r="E1790" t="s">
        <v>468</v>
      </c>
      <c r="F1790" t="s">
        <v>358</v>
      </c>
      <c r="G1790" t="s">
        <v>28</v>
      </c>
      <c r="H1790" t="s">
        <v>58</v>
      </c>
      <c r="I1790" t="s">
        <v>65</v>
      </c>
      <c r="J1790">
        <v>58</v>
      </c>
      <c r="K1790">
        <v>918.44</v>
      </c>
      <c r="L1790">
        <v>53269.42</v>
      </c>
      <c r="M1790">
        <v>26385.200000000001</v>
      </c>
      <c r="N1790">
        <v>5269.31</v>
      </c>
      <c r="O1790">
        <v>2164.6999999999998</v>
      </c>
      <c r="P1790">
        <v>917.05</v>
      </c>
      <c r="Q1790">
        <v>829.58</v>
      </c>
      <c r="R1790">
        <v>2074.66</v>
      </c>
      <c r="S1790">
        <v>595.63</v>
      </c>
      <c r="T1790">
        <v>38236.129999999997</v>
      </c>
      <c r="U1790">
        <v>26884.21</v>
      </c>
      <c r="V1790">
        <v>15033.29</v>
      </c>
      <c r="W1790">
        <v>14261.92</v>
      </c>
      <c r="X1790">
        <v>59590.68</v>
      </c>
      <c r="Y1790">
        <v>39601.629999999997</v>
      </c>
    </row>
    <row r="1791" spans="1:25" x14ac:dyDescent="0.25">
      <c r="A1791" t="s">
        <v>1847</v>
      </c>
      <c r="B1791" s="1">
        <v>45431</v>
      </c>
      <c r="C1791">
        <v>2024</v>
      </c>
      <c r="D1791">
        <v>5</v>
      </c>
      <c r="E1791" t="s">
        <v>468</v>
      </c>
      <c r="F1791" t="s">
        <v>358</v>
      </c>
      <c r="G1791" t="s">
        <v>55</v>
      </c>
      <c r="H1791" t="s">
        <v>32</v>
      </c>
      <c r="I1791" t="s">
        <v>56</v>
      </c>
      <c r="J1791">
        <v>30</v>
      </c>
      <c r="K1791">
        <v>1387.83</v>
      </c>
      <c r="L1791">
        <v>41634.959999999999</v>
      </c>
      <c r="M1791">
        <v>27593.29</v>
      </c>
      <c r="N1791">
        <v>4632.41</v>
      </c>
      <c r="O1791">
        <v>1699.74</v>
      </c>
      <c r="P1791">
        <v>756.17</v>
      </c>
      <c r="Q1791">
        <v>646.70000000000005</v>
      </c>
      <c r="R1791">
        <v>2470.38</v>
      </c>
      <c r="S1791">
        <v>874.81</v>
      </c>
      <c r="T1791">
        <v>38673.5</v>
      </c>
      <c r="U1791">
        <v>14041.66</v>
      </c>
      <c r="V1791">
        <v>2961.45</v>
      </c>
      <c r="W1791">
        <v>2635.51</v>
      </c>
      <c r="X1791">
        <v>45220.59</v>
      </c>
      <c r="Y1791">
        <v>42524.59</v>
      </c>
    </row>
    <row r="1792" spans="1:25" x14ac:dyDescent="0.25">
      <c r="A1792" t="s">
        <v>1848</v>
      </c>
      <c r="B1792" s="1">
        <v>45432</v>
      </c>
      <c r="C1792">
        <v>2024</v>
      </c>
      <c r="D1792">
        <v>5</v>
      </c>
      <c r="E1792" t="s">
        <v>468</v>
      </c>
      <c r="F1792" t="s">
        <v>358</v>
      </c>
      <c r="G1792" t="s">
        <v>44</v>
      </c>
      <c r="H1792" t="s">
        <v>36</v>
      </c>
      <c r="I1792" t="s">
        <v>37</v>
      </c>
      <c r="J1792">
        <v>81</v>
      </c>
      <c r="K1792">
        <v>859.99</v>
      </c>
      <c r="L1792">
        <v>69659.320000000007</v>
      </c>
      <c r="M1792">
        <v>33659.050000000003</v>
      </c>
      <c r="N1792">
        <v>7032.45</v>
      </c>
      <c r="O1792">
        <v>2842.76</v>
      </c>
      <c r="P1792">
        <v>2664.73</v>
      </c>
      <c r="Q1792">
        <v>658.81</v>
      </c>
      <c r="R1792">
        <v>3253.95</v>
      </c>
      <c r="S1792">
        <v>757.46</v>
      </c>
      <c r="T1792">
        <v>50869.2</v>
      </c>
      <c r="U1792">
        <v>36000.269999999997</v>
      </c>
      <c r="V1792">
        <v>18790.12</v>
      </c>
      <c r="W1792">
        <v>17189.2</v>
      </c>
      <c r="X1792">
        <v>66741.11</v>
      </c>
      <c r="Y1792">
        <v>51332.81</v>
      </c>
    </row>
    <row r="1793" spans="1:25" x14ac:dyDescent="0.25">
      <c r="A1793" t="s">
        <v>1849</v>
      </c>
      <c r="B1793" s="1">
        <v>45432</v>
      </c>
      <c r="C1793">
        <v>2024</v>
      </c>
      <c r="D1793">
        <v>5</v>
      </c>
      <c r="E1793" t="s">
        <v>468</v>
      </c>
      <c r="F1793" t="s">
        <v>358</v>
      </c>
      <c r="G1793" t="s">
        <v>44</v>
      </c>
      <c r="H1793" t="s">
        <v>32</v>
      </c>
      <c r="I1793" t="s">
        <v>37</v>
      </c>
      <c r="J1793">
        <v>71</v>
      </c>
      <c r="K1793">
        <v>1096.3399999999999</v>
      </c>
      <c r="L1793">
        <v>77840.03</v>
      </c>
      <c r="M1793">
        <v>37579.46</v>
      </c>
      <c r="N1793">
        <v>5519.01</v>
      </c>
      <c r="O1793">
        <v>3783.77</v>
      </c>
      <c r="P1793">
        <v>3299.36</v>
      </c>
      <c r="Q1793">
        <v>1244.08</v>
      </c>
      <c r="R1793">
        <v>4706.43</v>
      </c>
      <c r="S1793">
        <v>831.89</v>
      </c>
      <c r="T1793">
        <v>56964.01</v>
      </c>
      <c r="U1793">
        <v>40260.58</v>
      </c>
      <c r="V1793">
        <v>20876.02</v>
      </c>
      <c r="W1793">
        <v>18489.349999999999</v>
      </c>
      <c r="X1793">
        <v>73722.77</v>
      </c>
      <c r="Y1793">
        <v>53159.57</v>
      </c>
    </row>
    <row r="1794" spans="1:25" x14ac:dyDescent="0.25">
      <c r="A1794" t="s">
        <v>1850</v>
      </c>
      <c r="B1794" s="1">
        <v>45433</v>
      </c>
      <c r="C1794">
        <v>2024</v>
      </c>
      <c r="D1794">
        <v>5</v>
      </c>
      <c r="E1794" t="s">
        <v>468</v>
      </c>
      <c r="F1794" t="s">
        <v>358</v>
      </c>
      <c r="G1794" t="s">
        <v>55</v>
      </c>
      <c r="H1794" t="s">
        <v>29</v>
      </c>
      <c r="I1794" t="s">
        <v>56</v>
      </c>
      <c r="J1794">
        <v>47</v>
      </c>
      <c r="K1794">
        <v>942.16</v>
      </c>
      <c r="L1794">
        <v>44281.43</v>
      </c>
      <c r="M1794">
        <v>25377.02</v>
      </c>
      <c r="N1794">
        <v>5518.12</v>
      </c>
      <c r="O1794">
        <v>2641.09</v>
      </c>
      <c r="P1794">
        <v>1680.92</v>
      </c>
      <c r="Q1794">
        <v>334.16</v>
      </c>
      <c r="R1794">
        <v>1854.69</v>
      </c>
      <c r="S1794">
        <v>447.44</v>
      </c>
      <c r="T1794">
        <v>37853.440000000002</v>
      </c>
      <c r="U1794">
        <v>18904.41</v>
      </c>
      <c r="V1794">
        <v>6427.99</v>
      </c>
      <c r="W1794">
        <v>5939.17</v>
      </c>
      <c r="X1794">
        <v>42624.36</v>
      </c>
      <c r="Y1794">
        <v>36267.440000000002</v>
      </c>
    </row>
    <row r="1795" spans="1:25" x14ac:dyDescent="0.25">
      <c r="A1795" t="s">
        <v>1851</v>
      </c>
      <c r="B1795" s="1">
        <v>45434</v>
      </c>
      <c r="C1795">
        <v>2024</v>
      </c>
      <c r="D1795">
        <v>5</v>
      </c>
      <c r="E1795" t="s">
        <v>468</v>
      </c>
      <c r="F1795" t="s">
        <v>358</v>
      </c>
      <c r="G1795" t="s">
        <v>35</v>
      </c>
      <c r="H1795" t="s">
        <v>32</v>
      </c>
      <c r="I1795" t="s">
        <v>33</v>
      </c>
      <c r="J1795">
        <v>67</v>
      </c>
      <c r="K1795">
        <v>1251.97</v>
      </c>
      <c r="L1795">
        <v>83881.84</v>
      </c>
      <c r="M1795">
        <v>45032.43</v>
      </c>
      <c r="N1795">
        <v>6626.68</v>
      </c>
      <c r="O1795">
        <v>3136.7</v>
      </c>
      <c r="P1795">
        <v>3532.35</v>
      </c>
      <c r="Q1795">
        <v>1255.79</v>
      </c>
      <c r="R1795">
        <v>5418.21</v>
      </c>
      <c r="S1795">
        <v>1474.14</v>
      </c>
      <c r="T1795">
        <v>66476.3</v>
      </c>
      <c r="U1795">
        <v>38849.410000000003</v>
      </c>
      <c r="V1795">
        <v>17405.54</v>
      </c>
      <c r="W1795">
        <v>16564.849999999999</v>
      </c>
      <c r="X1795">
        <v>77780.63</v>
      </c>
      <c r="Y1795">
        <v>65291.82</v>
      </c>
    </row>
    <row r="1796" spans="1:25" x14ac:dyDescent="0.25">
      <c r="A1796" t="s">
        <v>1852</v>
      </c>
      <c r="B1796" s="1">
        <v>45434</v>
      </c>
      <c r="C1796">
        <v>2024</v>
      </c>
      <c r="D1796">
        <v>5</v>
      </c>
      <c r="E1796" t="s">
        <v>468</v>
      </c>
      <c r="F1796" t="s">
        <v>358</v>
      </c>
      <c r="G1796" t="s">
        <v>55</v>
      </c>
      <c r="H1796" t="s">
        <v>36</v>
      </c>
      <c r="I1796" t="s">
        <v>39</v>
      </c>
      <c r="J1796">
        <v>41</v>
      </c>
      <c r="K1796">
        <v>894.54</v>
      </c>
      <c r="L1796">
        <v>36676</v>
      </c>
      <c r="M1796">
        <v>21030.720000000001</v>
      </c>
      <c r="N1796">
        <v>2599.92</v>
      </c>
      <c r="O1796">
        <v>2537.56</v>
      </c>
      <c r="P1796">
        <v>1537.23</v>
      </c>
      <c r="Q1796">
        <v>354.25</v>
      </c>
      <c r="R1796">
        <v>1017.34</v>
      </c>
      <c r="S1796">
        <v>456.68</v>
      </c>
      <c r="T1796">
        <v>29533.7</v>
      </c>
      <c r="U1796">
        <v>15645.28</v>
      </c>
      <c r="V1796">
        <v>7142.3</v>
      </c>
      <c r="W1796">
        <v>6323.29</v>
      </c>
      <c r="X1796">
        <v>37694.61</v>
      </c>
      <c r="Y1796">
        <v>29031.200000000001</v>
      </c>
    </row>
    <row r="1797" spans="1:25" x14ac:dyDescent="0.25">
      <c r="A1797" t="s">
        <v>1853</v>
      </c>
      <c r="B1797" s="1">
        <v>45434</v>
      </c>
      <c r="C1797">
        <v>2024</v>
      </c>
      <c r="D1797">
        <v>5</v>
      </c>
      <c r="E1797" t="s">
        <v>468</v>
      </c>
      <c r="F1797" t="s">
        <v>358</v>
      </c>
      <c r="G1797" t="s">
        <v>44</v>
      </c>
      <c r="H1797" t="s">
        <v>36</v>
      </c>
      <c r="I1797" t="s">
        <v>37</v>
      </c>
      <c r="J1797">
        <v>69</v>
      </c>
      <c r="K1797">
        <v>885.15</v>
      </c>
      <c r="L1797">
        <v>61075.55</v>
      </c>
      <c r="M1797">
        <v>37392.480000000003</v>
      </c>
      <c r="N1797">
        <v>6105.82</v>
      </c>
      <c r="O1797">
        <v>1781.58</v>
      </c>
      <c r="P1797">
        <v>1863.44</v>
      </c>
      <c r="Q1797">
        <v>623.29999999999995</v>
      </c>
      <c r="R1797">
        <v>1830.3</v>
      </c>
      <c r="S1797">
        <v>1190.99</v>
      </c>
      <c r="T1797">
        <v>50787.91</v>
      </c>
      <c r="U1797">
        <v>23683.07</v>
      </c>
      <c r="V1797">
        <v>10287.629999999999</v>
      </c>
      <c r="W1797">
        <v>9142.44</v>
      </c>
      <c r="X1797">
        <v>68355.91</v>
      </c>
      <c r="Y1797">
        <v>53873.78</v>
      </c>
    </row>
    <row r="1798" spans="1:25" x14ac:dyDescent="0.25">
      <c r="A1798" t="s">
        <v>1854</v>
      </c>
      <c r="B1798" s="1">
        <v>45434</v>
      </c>
      <c r="C1798">
        <v>2024</v>
      </c>
      <c r="D1798">
        <v>5</v>
      </c>
      <c r="E1798" t="s">
        <v>468</v>
      </c>
      <c r="F1798" t="s">
        <v>358</v>
      </c>
      <c r="G1798" t="s">
        <v>55</v>
      </c>
      <c r="H1798" t="s">
        <v>36</v>
      </c>
      <c r="I1798" t="s">
        <v>65</v>
      </c>
      <c r="J1798">
        <v>30</v>
      </c>
      <c r="K1798">
        <v>1658</v>
      </c>
      <c r="L1798">
        <v>49739.94</v>
      </c>
      <c r="M1798">
        <v>25648.09</v>
      </c>
      <c r="N1798">
        <v>4941.26</v>
      </c>
      <c r="O1798">
        <v>2670.01</v>
      </c>
      <c r="P1798">
        <v>1085.48</v>
      </c>
      <c r="Q1798">
        <v>337.11</v>
      </c>
      <c r="R1798">
        <v>2862.98</v>
      </c>
      <c r="S1798">
        <v>781.44</v>
      </c>
      <c r="T1798">
        <v>38326.370000000003</v>
      </c>
      <c r="U1798">
        <v>24091.85</v>
      </c>
      <c r="V1798">
        <v>11413.57</v>
      </c>
      <c r="W1798">
        <v>10881.28</v>
      </c>
      <c r="X1798">
        <v>50315</v>
      </c>
      <c r="Y1798">
        <v>39335.18</v>
      </c>
    </row>
    <row r="1799" spans="1:25" x14ac:dyDescent="0.25">
      <c r="A1799" t="s">
        <v>1855</v>
      </c>
      <c r="B1799" s="1">
        <v>45435</v>
      </c>
      <c r="C1799">
        <v>2024</v>
      </c>
      <c r="D1799">
        <v>5</v>
      </c>
      <c r="E1799" t="s">
        <v>468</v>
      </c>
      <c r="F1799" t="s">
        <v>358</v>
      </c>
      <c r="G1799" t="s">
        <v>35</v>
      </c>
      <c r="H1799" t="s">
        <v>53</v>
      </c>
      <c r="I1799" t="s">
        <v>37</v>
      </c>
      <c r="J1799">
        <v>28</v>
      </c>
      <c r="K1799">
        <v>1562.15</v>
      </c>
      <c r="L1799">
        <v>43740.07</v>
      </c>
      <c r="M1799">
        <v>23138.32</v>
      </c>
      <c r="N1799">
        <v>4956.1899999999996</v>
      </c>
      <c r="O1799">
        <v>1113.05</v>
      </c>
      <c r="P1799">
        <v>1735.6</v>
      </c>
      <c r="Q1799">
        <v>243.13</v>
      </c>
      <c r="R1799">
        <v>1425.65</v>
      </c>
      <c r="S1799">
        <v>873.34</v>
      </c>
      <c r="T1799">
        <v>33485.279999999999</v>
      </c>
      <c r="U1799">
        <v>20601.75</v>
      </c>
      <c r="V1799">
        <v>10254.790000000001</v>
      </c>
      <c r="W1799">
        <v>9740.9</v>
      </c>
      <c r="X1799">
        <v>47757.34</v>
      </c>
      <c r="Y1799">
        <v>31848.21</v>
      </c>
    </row>
    <row r="1800" spans="1:25" x14ac:dyDescent="0.25">
      <c r="A1800" t="s">
        <v>1856</v>
      </c>
      <c r="B1800" s="1">
        <v>45435</v>
      </c>
      <c r="C1800">
        <v>2024</v>
      </c>
      <c r="D1800">
        <v>5</v>
      </c>
      <c r="E1800" t="s">
        <v>468</v>
      </c>
      <c r="F1800" t="s">
        <v>358</v>
      </c>
      <c r="G1800" t="s">
        <v>28</v>
      </c>
      <c r="H1800" t="s">
        <v>32</v>
      </c>
      <c r="I1800" t="s">
        <v>37</v>
      </c>
      <c r="J1800">
        <v>44</v>
      </c>
      <c r="K1800">
        <v>1665.84</v>
      </c>
      <c r="L1800">
        <v>73296.789999999994</v>
      </c>
      <c r="M1800">
        <v>40303.93</v>
      </c>
      <c r="N1800">
        <v>5937.4</v>
      </c>
      <c r="O1800">
        <v>3687.26</v>
      </c>
      <c r="P1800">
        <v>1149.81</v>
      </c>
      <c r="Q1800">
        <v>1244</v>
      </c>
      <c r="R1800">
        <v>3571.82</v>
      </c>
      <c r="S1800">
        <v>1440.53</v>
      </c>
      <c r="T1800">
        <v>57334.74</v>
      </c>
      <c r="U1800">
        <v>32992.86</v>
      </c>
      <c r="V1800">
        <v>15962.05</v>
      </c>
      <c r="W1800">
        <v>15421.54</v>
      </c>
      <c r="X1800">
        <v>76461.05</v>
      </c>
      <c r="Y1800">
        <v>58715.79</v>
      </c>
    </row>
    <row r="1801" spans="1:25" x14ac:dyDescent="0.25">
      <c r="A1801" t="s">
        <v>1857</v>
      </c>
      <c r="B1801" s="1">
        <v>45435</v>
      </c>
      <c r="C1801">
        <v>2024</v>
      </c>
      <c r="D1801">
        <v>5</v>
      </c>
      <c r="E1801" t="s">
        <v>468</v>
      </c>
      <c r="F1801" t="s">
        <v>358</v>
      </c>
      <c r="G1801" t="s">
        <v>44</v>
      </c>
      <c r="H1801" t="s">
        <v>58</v>
      </c>
      <c r="I1801" t="s">
        <v>50</v>
      </c>
      <c r="J1801">
        <v>33</v>
      </c>
      <c r="K1801">
        <v>1416.21</v>
      </c>
      <c r="L1801">
        <v>46734.79</v>
      </c>
      <c r="M1801">
        <v>22926.27</v>
      </c>
      <c r="N1801">
        <v>4017.33</v>
      </c>
      <c r="O1801">
        <v>2494.75</v>
      </c>
      <c r="P1801">
        <v>1875.77</v>
      </c>
      <c r="Q1801">
        <v>490.45</v>
      </c>
      <c r="R1801">
        <v>2529.02</v>
      </c>
      <c r="S1801">
        <v>851.91</v>
      </c>
      <c r="T1801">
        <v>35185.51</v>
      </c>
      <c r="U1801">
        <v>23808.52</v>
      </c>
      <c r="V1801">
        <v>11549.28</v>
      </c>
      <c r="W1801">
        <v>10253.32</v>
      </c>
      <c r="X1801">
        <v>51465.9</v>
      </c>
      <c r="Y1801">
        <v>37011.51</v>
      </c>
    </row>
    <row r="1802" spans="1:25" x14ac:dyDescent="0.25">
      <c r="A1802" t="s">
        <v>1858</v>
      </c>
      <c r="B1802" s="1">
        <v>45435</v>
      </c>
      <c r="C1802">
        <v>2024</v>
      </c>
      <c r="D1802">
        <v>5</v>
      </c>
      <c r="E1802" t="s">
        <v>468</v>
      </c>
      <c r="F1802" t="s">
        <v>358</v>
      </c>
      <c r="G1802" t="s">
        <v>55</v>
      </c>
      <c r="H1802" t="s">
        <v>53</v>
      </c>
      <c r="I1802" t="s">
        <v>56</v>
      </c>
      <c r="J1802">
        <v>30</v>
      </c>
      <c r="K1802">
        <v>1371.72</v>
      </c>
      <c r="L1802">
        <v>41151.53</v>
      </c>
      <c r="M1802">
        <v>21002.14</v>
      </c>
      <c r="N1802">
        <v>2917.18</v>
      </c>
      <c r="O1802">
        <v>2590.14</v>
      </c>
      <c r="P1802">
        <v>1625.88</v>
      </c>
      <c r="Q1802">
        <v>633.99</v>
      </c>
      <c r="R1802">
        <v>1095.71</v>
      </c>
      <c r="S1802">
        <v>480.96</v>
      </c>
      <c r="T1802">
        <v>30346</v>
      </c>
      <c r="U1802">
        <v>20149.39</v>
      </c>
      <c r="V1802">
        <v>10805.53</v>
      </c>
      <c r="W1802">
        <v>9710.25</v>
      </c>
      <c r="X1802">
        <v>45177.46</v>
      </c>
      <c r="Y1802">
        <v>28451.65</v>
      </c>
    </row>
    <row r="1803" spans="1:25" x14ac:dyDescent="0.25">
      <c r="A1803" t="s">
        <v>1859</v>
      </c>
      <c r="B1803" s="1">
        <v>45435</v>
      </c>
      <c r="C1803">
        <v>2024</v>
      </c>
      <c r="D1803">
        <v>5</v>
      </c>
      <c r="E1803" t="s">
        <v>468</v>
      </c>
      <c r="F1803" t="s">
        <v>358</v>
      </c>
      <c r="G1803" t="s">
        <v>28</v>
      </c>
      <c r="H1803" t="s">
        <v>58</v>
      </c>
      <c r="I1803" t="s">
        <v>65</v>
      </c>
      <c r="J1803">
        <v>25</v>
      </c>
      <c r="K1803">
        <v>1796.03</v>
      </c>
      <c r="L1803">
        <v>44900.66</v>
      </c>
      <c r="M1803">
        <v>30393.09</v>
      </c>
      <c r="N1803">
        <v>4408.3900000000003</v>
      </c>
      <c r="O1803">
        <v>2641.94</v>
      </c>
      <c r="P1803">
        <v>1181.3599999999999</v>
      </c>
      <c r="Q1803">
        <v>375.23</v>
      </c>
      <c r="R1803">
        <v>1132.18</v>
      </c>
      <c r="S1803">
        <v>1096.1199999999999</v>
      </c>
      <c r="T1803">
        <v>41228.31</v>
      </c>
      <c r="U1803">
        <v>14507.57</v>
      </c>
      <c r="V1803">
        <v>3672.35</v>
      </c>
      <c r="W1803">
        <v>3584.16</v>
      </c>
      <c r="X1803">
        <v>48743.45</v>
      </c>
      <c r="Y1803">
        <v>41277.089999999997</v>
      </c>
    </row>
    <row r="1804" spans="1:25" x14ac:dyDescent="0.25">
      <c r="A1804" t="s">
        <v>1860</v>
      </c>
      <c r="B1804" s="1">
        <v>45435</v>
      </c>
      <c r="C1804">
        <v>2024</v>
      </c>
      <c r="D1804">
        <v>5</v>
      </c>
      <c r="E1804" t="s">
        <v>468</v>
      </c>
      <c r="F1804" t="s">
        <v>358</v>
      </c>
      <c r="G1804" t="s">
        <v>28</v>
      </c>
      <c r="H1804" t="s">
        <v>29</v>
      </c>
      <c r="I1804" t="s">
        <v>56</v>
      </c>
      <c r="J1804">
        <v>49</v>
      </c>
      <c r="K1804">
        <v>910.75</v>
      </c>
      <c r="L1804">
        <v>44626.58</v>
      </c>
      <c r="M1804">
        <v>22801.56</v>
      </c>
      <c r="N1804">
        <v>4482.16</v>
      </c>
      <c r="O1804">
        <v>1734.49</v>
      </c>
      <c r="P1804">
        <v>928.89</v>
      </c>
      <c r="Q1804">
        <v>310.58999999999997</v>
      </c>
      <c r="R1804">
        <v>1220.6099999999999</v>
      </c>
      <c r="S1804">
        <v>1013.8</v>
      </c>
      <c r="T1804">
        <v>32492.1</v>
      </c>
      <c r="U1804">
        <v>21825.01</v>
      </c>
      <c r="V1804">
        <v>12134.48</v>
      </c>
      <c r="W1804">
        <v>11131.55</v>
      </c>
      <c r="X1804">
        <v>49872.56</v>
      </c>
      <c r="Y1804">
        <v>32099.79</v>
      </c>
    </row>
    <row r="1805" spans="1:25" x14ac:dyDescent="0.25">
      <c r="A1805" t="s">
        <v>1861</v>
      </c>
      <c r="B1805" s="1">
        <v>45436</v>
      </c>
      <c r="C1805">
        <v>2024</v>
      </c>
      <c r="D1805">
        <v>5</v>
      </c>
      <c r="E1805" t="s">
        <v>468</v>
      </c>
      <c r="F1805" t="s">
        <v>358</v>
      </c>
      <c r="G1805" t="s">
        <v>44</v>
      </c>
      <c r="H1805" t="s">
        <v>29</v>
      </c>
      <c r="I1805" t="s">
        <v>37</v>
      </c>
      <c r="J1805">
        <v>55</v>
      </c>
      <c r="K1805">
        <v>1342.15</v>
      </c>
      <c r="L1805">
        <v>73818.52</v>
      </c>
      <c r="M1805">
        <v>37008.379999999997</v>
      </c>
      <c r="N1805">
        <v>8722.61</v>
      </c>
      <c r="O1805">
        <v>4911.0600000000004</v>
      </c>
      <c r="P1805">
        <v>2416.59</v>
      </c>
      <c r="Q1805">
        <v>845.47</v>
      </c>
      <c r="R1805">
        <v>4437.96</v>
      </c>
      <c r="S1805">
        <v>636.63</v>
      </c>
      <c r="T1805">
        <v>58978.69</v>
      </c>
      <c r="U1805">
        <v>36810.14</v>
      </c>
      <c r="V1805">
        <v>14839.83</v>
      </c>
      <c r="W1805">
        <v>13203.77</v>
      </c>
      <c r="X1805">
        <v>68208.87</v>
      </c>
      <c r="Y1805">
        <v>61170.2</v>
      </c>
    </row>
    <row r="1806" spans="1:25" x14ac:dyDescent="0.25">
      <c r="A1806" t="s">
        <v>1862</v>
      </c>
      <c r="B1806" s="1">
        <v>45436</v>
      </c>
      <c r="C1806">
        <v>2024</v>
      </c>
      <c r="D1806">
        <v>5</v>
      </c>
      <c r="E1806" t="s">
        <v>468</v>
      </c>
      <c r="F1806" t="s">
        <v>358</v>
      </c>
      <c r="G1806" t="s">
        <v>35</v>
      </c>
      <c r="H1806" t="s">
        <v>32</v>
      </c>
      <c r="I1806" t="s">
        <v>50</v>
      </c>
      <c r="J1806">
        <v>45</v>
      </c>
      <c r="K1806">
        <v>1414.4</v>
      </c>
      <c r="L1806">
        <v>63647.92</v>
      </c>
      <c r="M1806">
        <v>32353.279999999999</v>
      </c>
      <c r="N1806">
        <v>6262.79</v>
      </c>
      <c r="O1806">
        <v>4751.8599999999997</v>
      </c>
      <c r="P1806">
        <v>1104.82</v>
      </c>
      <c r="Q1806">
        <v>692.5</v>
      </c>
      <c r="R1806">
        <v>2881.8</v>
      </c>
      <c r="S1806">
        <v>1143.78</v>
      </c>
      <c r="T1806">
        <v>49190.82</v>
      </c>
      <c r="U1806">
        <v>31294.65</v>
      </c>
      <c r="V1806">
        <v>14457.1</v>
      </c>
      <c r="W1806">
        <v>12799.68</v>
      </c>
      <c r="X1806">
        <v>66204.94</v>
      </c>
      <c r="Y1806">
        <v>53649.23</v>
      </c>
    </row>
    <row r="1807" spans="1:25" x14ac:dyDescent="0.25">
      <c r="A1807" t="s">
        <v>1863</v>
      </c>
      <c r="B1807" s="1">
        <v>45436</v>
      </c>
      <c r="C1807">
        <v>2024</v>
      </c>
      <c r="D1807">
        <v>5</v>
      </c>
      <c r="E1807" t="s">
        <v>468</v>
      </c>
      <c r="F1807" t="s">
        <v>358</v>
      </c>
      <c r="G1807" t="s">
        <v>28</v>
      </c>
      <c r="H1807" t="s">
        <v>53</v>
      </c>
      <c r="I1807" t="s">
        <v>65</v>
      </c>
      <c r="J1807">
        <v>32</v>
      </c>
      <c r="K1807">
        <v>1717.72</v>
      </c>
      <c r="L1807">
        <v>54967.12</v>
      </c>
      <c r="M1807">
        <v>30274.86</v>
      </c>
      <c r="N1807">
        <v>6202.79</v>
      </c>
      <c r="O1807">
        <v>2761.72</v>
      </c>
      <c r="P1807">
        <v>1609.1</v>
      </c>
      <c r="Q1807">
        <v>564.88</v>
      </c>
      <c r="R1807">
        <v>1792.35</v>
      </c>
      <c r="S1807">
        <v>1345.86</v>
      </c>
      <c r="T1807">
        <v>44551.56</v>
      </c>
      <c r="U1807">
        <v>24692.26</v>
      </c>
      <c r="V1807">
        <v>10415.56</v>
      </c>
      <c r="W1807">
        <v>9887.7099999999991</v>
      </c>
      <c r="X1807">
        <v>56434.63</v>
      </c>
      <c r="Y1807">
        <v>44675.25</v>
      </c>
    </row>
    <row r="1808" spans="1:25" x14ac:dyDescent="0.25">
      <c r="A1808" t="s">
        <v>1864</v>
      </c>
      <c r="B1808" s="1">
        <v>45436</v>
      </c>
      <c r="C1808">
        <v>2024</v>
      </c>
      <c r="D1808">
        <v>5</v>
      </c>
      <c r="E1808" t="s">
        <v>468</v>
      </c>
      <c r="F1808" t="s">
        <v>358</v>
      </c>
      <c r="G1808" t="s">
        <v>44</v>
      </c>
      <c r="H1808" t="s">
        <v>32</v>
      </c>
      <c r="I1808" t="s">
        <v>56</v>
      </c>
      <c r="J1808">
        <v>32</v>
      </c>
      <c r="K1808">
        <v>1312.02</v>
      </c>
      <c r="L1808">
        <v>41984.52</v>
      </c>
      <c r="M1808">
        <v>28228.18</v>
      </c>
      <c r="N1808">
        <v>4059.77</v>
      </c>
      <c r="O1808">
        <v>2490.66</v>
      </c>
      <c r="P1808">
        <v>1751.76</v>
      </c>
      <c r="Q1808">
        <v>574.34</v>
      </c>
      <c r="R1808">
        <v>1640.4</v>
      </c>
      <c r="S1808">
        <v>476.85</v>
      </c>
      <c r="T1808">
        <v>39221.96</v>
      </c>
      <c r="U1808">
        <v>13756.34</v>
      </c>
      <c r="V1808">
        <v>2762.56</v>
      </c>
      <c r="W1808">
        <v>2803.46</v>
      </c>
      <c r="X1808">
        <v>40429.449999999997</v>
      </c>
      <c r="Y1808">
        <v>41369.71</v>
      </c>
    </row>
    <row r="1809" spans="1:25" x14ac:dyDescent="0.25">
      <c r="A1809" t="s">
        <v>1865</v>
      </c>
      <c r="B1809" s="1">
        <v>45437</v>
      </c>
      <c r="C1809">
        <v>2024</v>
      </c>
      <c r="D1809">
        <v>5</v>
      </c>
      <c r="E1809" t="s">
        <v>468</v>
      </c>
      <c r="F1809" t="s">
        <v>358</v>
      </c>
      <c r="G1809" t="s">
        <v>44</v>
      </c>
      <c r="H1809" t="s">
        <v>36</v>
      </c>
      <c r="I1809" t="s">
        <v>30</v>
      </c>
      <c r="J1809">
        <v>77</v>
      </c>
      <c r="K1809">
        <v>1287.4100000000001</v>
      </c>
      <c r="L1809">
        <v>99130.34</v>
      </c>
      <c r="M1809">
        <v>63062.02</v>
      </c>
      <c r="N1809">
        <v>8810.8700000000008</v>
      </c>
      <c r="O1809">
        <v>5900.41</v>
      </c>
      <c r="P1809">
        <v>3771.07</v>
      </c>
      <c r="Q1809">
        <v>1163.96</v>
      </c>
      <c r="R1809">
        <v>6270.81</v>
      </c>
      <c r="S1809">
        <v>1764.75</v>
      </c>
      <c r="T1809">
        <v>90743.89</v>
      </c>
      <c r="U1809">
        <v>36068.32</v>
      </c>
      <c r="V1809">
        <v>8386.4500000000007</v>
      </c>
      <c r="W1809">
        <v>8137.89</v>
      </c>
      <c r="X1809">
        <v>109711.28</v>
      </c>
      <c r="Y1809">
        <v>94249.81</v>
      </c>
    </row>
    <row r="1810" spans="1:25" x14ac:dyDescent="0.25">
      <c r="A1810" t="s">
        <v>1866</v>
      </c>
      <c r="B1810" s="1">
        <v>45437</v>
      </c>
      <c r="C1810">
        <v>2024</v>
      </c>
      <c r="D1810">
        <v>5</v>
      </c>
      <c r="E1810" t="s">
        <v>468</v>
      </c>
      <c r="F1810" t="s">
        <v>358</v>
      </c>
      <c r="G1810" t="s">
        <v>44</v>
      </c>
      <c r="H1810" t="s">
        <v>36</v>
      </c>
      <c r="I1810" t="s">
        <v>50</v>
      </c>
      <c r="J1810">
        <v>29</v>
      </c>
      <c r="K1810">
        <v>1720.55</v>
      </c>
      <c r="L1810">
        <v>49895.9</v>
      </c>
      <c r="M1810">
        <v>32881.839999999997</v>
      </c>
      <c r="N1810">
        <v>5711.45</v>
      </c>
      <c r="O1810">
        <v>2718.89</v>
      </c>
      <c r="P1810">
        <v>1654.89</v>
      </c>
      <c r="Q1810">
        <v>352.34</v>
      </c>
      <c r="R1810">
        <v>2788.15</v>
      </c>
      <c r="S1810">
        <v>1232.6500000000001</v>
      </c>
      <c r="T1810">
        <v>47340.22</v>
      </c>
      <c r="U1810">
        <v>17014.060000000001</v>
      </c>
      <c r="V1810">
        <v>2555.67</v>
      </c>
      <c r="W1810">
        <v>2475.17</v>
      </c>
      <c r="X1810">
        <v>48114.84</v>
      </c>
      <c r="Y1810">
        <v>51130.57</v>
      </c>
    </row>
    <row r="1811" spans="1:25" x14ac:dyDescent="0.25">
      <c r="A1811" t="s">
        <v>1867</v>
      </c>
      <c r="B1811" s="1">
        <v>45437</v>
      </c>
      <c r="C1811">
        <v>2024</v>
      </c>
      <c r="D1811">
        <v>5</v>
      </c>
      <c r="E1811" t="s">
        <v>468</v>
      </c>
      <c r="F1811" t="s">
        <v>358</v>
      </c>
      <c r="G1811" t="s">
        <v>44</v>
      </c>
      <c r="H1811" t="s">
        <v>36</v>
      </c>
      <c r="I1811" t="s">
        <v>50</v>
      </c>
      <c r="J1811">
        <v>28</v>
      </c>
      <c r="K1811">
        <v>1491.4</v>
      </c>
      <c r="L1811">
        <v>41759.089999999997</v>
      </c>
      <c r="M1811">
        <v>24100.67</v>
      </c>
      <c r="N1811">
        <v>5225.8</v>
      </c>
      <c r="O1811">
        <v>1057.6199999999999</v>
      </c>
      <c r="P1811">
        <v>1486.56</v>
      </c>
      <c r="Q1811">
        <v>251.55</v>
      </c>
      <c r="R1811">
        <v>1749.17</v>
      </c>
      <c r="S1811">
        <v>940.99</v>
      </c>
      <c r="T1811">
        <v>34812.370000000003</v>
      </c>
      <c r="U1811">
        <v>17658.41</v>
      </c>
      <c r="V1811">
        <v>6946.71</v>
      </c>
      <c r="W1811">
        <v>6530.12</v>
      </c>
      <c r="X1811">
        <v>45882.559999999998</v>
      </c>
      <c r="Y1811">
        <v>33576.449999999997</v>
      </c>
    </row>
    <row r="1812" spans="1:25" x14ac:dyDescent="0.25">
      <c r="A1812" t="s">
        <v>1868</v>
      </c>
      <c r="B1812" s="1">
        <v>45437</v>
      </c>
      <c r="C1812">
        <v>2024</v>
      </c>
      <c r="D1812">
        <v>5</v>
      </c>
      <c r="E1812" t="s">
        <v>468</v>
      </c>
      <c r="F1812" t="s">
        <v>358</v>
      </c>
      <c r="G1812" t="s">
        <v>35</v>
      </c>
      <c r="H1812" t="s">
        <v>29</v>
      </c>
      <c r="I1812" t="s">
        <v>65</v>
      </c>
      <c r="J1812">
        <v>59</v>
      </c>
      <c r="K1812">
        <v>1105.8800000000001</v>
      </c>
      <c r="L1812">
        <v>65246.91</v>
      </c>
      <c r="M1812">
        <v>35237.83</v>
      </c>
      <c r="N1812">
        <v>6000.61</v>
      </c>
      <c r="O1812">
        <v>3331.04</v>
      </c>
      <c r="P1812">
        <v>2690.86</v>
      </c>
      <c r="Q1812">
        <v>632.29999999999995</v>
      </c>
      <c r="R1812">
        <v>2872.05</v>
      </c>
      <c r="S1812">
        <v>1065.56</v>
      </c>
      <c r="T1812">
        <v>51830.239999999998</v>
      </c>
      <c r="U1812">
        <v>30009.08</v>
      </c>
      <c r="V1812">
        <v>13416.67</v>
      </c>
      <c r="W1812">
        <v>12927.87</v>
      </c>
      <c r="X1812">
        <v>71060.160000000003</v>
      </c>
      <c r="Y1812">
        <v>52455.22</v>
      </c>
    </row>
    <row r="1813" spans="1:25" x14ac:dyDescent="0.25">
      <c r="A1813" t="s">
        <v>1869</v>
      </c>
      <c r="B1813" s="1">
        <v>45437</v>
      </c>
      <c r="C1813">
        <v>2024</v>
      </c>
      <c r="D1813">
        <v>5</v>
      </c>
      <c r="E1813" t="s">
        <v>468</v>
      </c>
      <c r="F1813" t="s">
        <v>358</v>
      </c>
      <c r="G1813" t="s">
        <v>35</v>
      </c>
      <c r="H1813" t="s">
        <v>36</v>
      </c>
      <c r="I1813" t="s">
        <v>30</v>
      </c>
      <c r="J1813">
        <v>38</v>
      </c>
      <c r="K1813">
        <v>1700.01</v>
      </c>
      <c r="L1813">
        <v>64600.45</v>
      </c>
      <c r="M1813">
        <v>37491.78</v>
      </c>
      <c r="N1813">
        <v>6436.14</v>
      </c>
      <c r="O1813">
        <v>3715.61</v>
      </c>
      <c r="P1813">
        <v>2424.04</v>
      </c>
      <c r="Q1813">
        <v>855.44</v>
      </c>
      <c r="R1813">
        <v>1626.68</v>
      </c>
      <c r="S1813">
        <v>1602.78</v>
      </c>
      <c r="T1813">
        <v>54152.46</v>
      </c>
      <c r="U1813">
        <v>27108.67</v>
      </c>
      <c r="V1813">
        <v>10447.99</v>
      </c>
      <c r="W1813">
        <v>10574.59</v>
      </c>
      <c r="X1813">
        <v>62249.51</v>
      </c>
      <c r="Y1813">
        <v>56502.33</v>
      </c>
    </row>
    <row r="1814" spans="1:25" x14ac:dyDescent="0.25">
      <c r="A1814" t="s">
        <v>1870</v>
      </c>
      <c r="B1814" s="1">
        <v>45438</v>
      </c>
      <c r="C1814">
        <v>2024</v>
      </c>
      <c r="D1814">
        <v>5</v>
      </c>
      <c r="E1814" t="s">
        <v>468</v>
      </c>
      <c r="F1814" t="s">
        <v>358</v>
      </c>
      <c r="G1814" t="s">
        <v>28</v>
      </c>
      <c r="H1814" t="s">
        <v>36</v>
      </c>
      <c r="I1814" t="s">
        <v>56</v>
      </c>
      <c r="J1814">
        <v>32</v>
      </c>
      <c r="K1814">
        <v>1024.6600000000001</v>
      </c>
      <c r="L1814">
        <v>32789.199999999997</v>
      </c>
      <c r="M1814">
        <v>17171.599999999999</v>
      </c>
      <c r="N1814">
        <v>2474.5300000000002</v>
      </c>
      <c r="O1814">
        <v>847.2</v>
      </c>
      <c r="P1814">
        <v>624.34</v>
      </c>
      <c r="Q1814">
        <v>182.89</v>
      </c>
      <c r="R1814">
        <v>1610.86</v>
      </c>
      <c r="S1814">
        <v>609.88</v>
      </c>
      <c r="T1814">
        <v>23521.31</v>
      </c>
      <c r="U1814">
        <v>15617.6</v>
      </c>
      <c r="V1814">
        <v>9267.89</v>
      </c>
      <c r="W1814">
        <v>9373.67</v>
      </c>
      <c r="X1814">
        <v>32286.71</v>
      </c>
      <c r="Y1814">
        <v>21925.43</v>
      </c>
    </row>
    <row r="1815" spans="1:25" x14ac:dyDescent="0.25">
      <c r="A1815" t="s">
        <v>1871</v>
      </c>
      <c r="B1815" s="1">
        <v>45438</v>
      </c>
      <c r="C1815">
        <v>2024</v>
      </c>
      <c r="D1815">
        <v>5</v>
      </c>
      <c r="E1815" t="s">
        <v>468</v>
      </c>
      <c r="F1815" t="s">
        <v>358</v>
      </c>
      <c r="G1815" t="s">
        <v>28</v>
      </c>
      <c r="H1815" t="s">
        <v>36</v>
      </c>
      <c r="I1815" t="s">
        <v>65</v>
      </c>
      <c r="J1815">
        <v>37</v>
      </c>
      <c r="K1815">
        <v>1729.07</v>
      </c>
      <c r="L1815">
        <v>63975.68</v>
      </c>
      <c r="M1815">
        <v>31209.69</v>
      </c>
      <c r="N1815">
        <v>5853.74</v>
      </c>
      <c r="O1815">
        <v>1901.15</v>
      </c>
      <c r="P1815">
        <v>1185.42</v>
      </c>
      <c r="Q1815">
        <v>959.97</v>
      </c>
      <c r="R1815">
        <v>2758.56</v>
      </c>
      <c r="S1815">
        <v>825.78</v>
      </c>
      <c r="T1815">
        <v>44694.3</v>
      </c>
      <c r="U1815">
        <v>32765.99</v>
      </c>
      <c r="V1815">
        <v>19281.39</v>
      </c>
      <c r="W1815">
        <v>18866.650000000001</v>
      </c>
      <c r="X1815">
        <v>67830.81</v>
      </c>
      <c r="Y1815">
        <v>41655.599999999999</v>
      </c>
    </row>
    <row r="1816" spans="1:25" x14ac:dyDescent="0.25">
      <c r="A1816" t="s">
        <v>1872</v>
      </c>
      <c r="B1816" s="1">
        <v>45439</v>
      </c>
      <c r="C1816">
        <v>2024</v>
      </c>
      <c r="D1816">
        <v>5</v>
      </c>
      <c r="E1816" t="s">
        <v>468</v>
      </c>
      <c r="F1816" t="s">
        <v>358</v>
      </c>
      <c r="G1816" t="s">
        <v>55</v>
      </c>
      <c r="H1816" t="s">
        <v>29</v>
      </c>
      <c r="I1816" t="s">
        <v>33</v>
      </c>
      <c r="J1816">
        <v>45</v>
      </c>
      <c r="K1816">
        <v>1764.18</v>
      </c>
      <c r="L1816">
        <v>79388.289999999994</v>
      </c>
      <c r="M1816">
        <v>53437.45</v>
      </c>
      <c r="N1816">
        <v>6573.43</v>
      </c>
      <c r="O1816">
        <v>4112.9799999999996</v>
      </c>
      <c r="P1816">
        <v>3455.92</v>
      </c>
      <c r="Q1816">
        <v>944.3</v>
      </c>
      <c r="R1816">
        <v>4369.42</v>
      </c>
      <c r="S1816">
        <v>730.06</v>
      </c>
      <c r="T1816">
        <v>73623.55</v>
      </c>
      <c r="U1816">
        <v>25950.84</v>
      </c>
      <c r="V1816">
        <v>5764.74</v>
      </c>
      <c r="W1816">
        <v>5157.5600000000004</v>
      </c>
      <c r="X1816">
        <v>82340.149999999994</v>
      </c>
      <c r="Y1816">
        <v>70350.289999999994</v>
      </c>
    </row>
    <row r="1817" spans="1:25" x14ac:dyDescent="0.25">
      <c r="A1817" t="s">
        <v>1873</v>
      </c>
      <c r="B1817" s="1">
        <v>45439</v>
      </c>
      <c r="C1817">
        <v>2024</v>
      </c>
      <c r="D1817">
        <v>5</v>
      </c>
      <c r="E1817" t="s">
        <v>468</v>
      </c>
      <c r="F1817" t="s">
        <v>358</v>
      </c>
      <c r="G1817" t="s">
        <v>44</v>
      </c>
      <c r="H1817" t="s">
        <v>32</v>
      </c>
      <c r="I1817" t="s">
        <v>56</v>
      </c>
      <c r="J1817">
        <v>32</v>
      </c>
      <c r="K1817">
        <v>1488.23</v>
      </c>
      <c r="L1817">
        <v>47623.29</v>
      </c>
      <c r="M1817">
        <v>29005.200000000001</v>
      </c>
      <c r="N1817">
        <v>6058.15</v>
      </c>
      <c r="O1817">
        <v>3460.26</v>
      </c>
      <c r="P1817">
        <v>1885.76</v>
      </c>
      <c r="Q1817">
        <v>256.16000000000003</v>
      </c>
      <c r="R1817">
        <v>2432.42</v>
      </c>
      <c r="S1817">
        <v>1091.57</v>
      </c>
      <c r="T1817">
        <v>44189.51</v>
      </c>
      <c r="U1817">
        <v>18618.09</v>
      </c>
      <c r="V1817">
        <v>3433.78</v>
      </c>
      <c r="W1817">
        <v>3090.67</v>
      </c>
      <c r="X1817">
        <v>45149.51</v>
      </c>
      <c r="Y1817">
        <v>43507.040000000001</v>
      </c>
    </row>
    <row r="1818" spans="1:25" x14ac:dyDescent="0.25">
      <c r="A1818" t="s">
        <v>1874</v>
      </c>
      <c r="B1818" s="1">
        <v>45439</v>
      </c>
      <c r="C1818">
        <v>2024</v>
      </c>
      <c r="D1818">
        <v>5</v>
      </c>
      <c r="E1818" t="s">
        <v>468</v>
      </c>
      <c r="F1818" t="s">
        <v>358</v>
      </c>
      <c r="G1818" t="s">
        <v>55</v>
      </c>
      <c r="H1818" t="s">
        <v>58</v>
      </c>
      <c r="I1818" t="s">
        <v>30</v>
      </c>
      <c r="J1818">
        <v>68</v>
      </c>
      <c r="K1818">
        <v>1648.42</v>
      </c>
      <c r="L1818">
        <v>112092.45</v>
      </c>
      <c r="M1818">
        <v>59101.59</v>
      </c>
      <c r="N1818">
        <v>12245.41</v>
      </c>
      <c r="O1818">
        <v>7683.65</v>
      </c>
      <c r="P1818">
        <v>2759.75</v>
      </c>
      <c r="Q1818">
        <v>664.39</v>
      </c>
      <c r="R1818">
        <v>5564.73</v>
      </c>
      <c r="S1818">
        <v>1195.81</v>
      </c>
      <c r="T1818">
        <v>89215.32</v>
      </c>
      <c r="U1818">
        <v>52990.86</v>
      </c>
      <c r="V1818">
        <v>22877.13</v>
      </c>
      <c r="W1818">
        <v>22919.72</v>
      </c>
      <c r="X1818">
        <v>111140.14</v>
      </c>
      <c r="Y1818">
        <v>84788.44</v>
      </c>
    </row>
    <row r="1819" spans="1:25" x14ac:dyDescent="0.25">
      <c r="A1819" t="s">
        <v>1875</v>
      </c>
      <c r="B1819" s="1">
        <v>45440</v>
      </c>
      <c r="C1819">
        <v>2024</v>
      </c>
      <c r="D1819">
        <v>5</v>
      </c>
      <c r="E1819" t="s">
        <v>468</v>
      </c>
      <c r="F1819" t="s">
        <v>358</v>
      </c>
      <c r="G1819" t="s">
        <v>44</v>
      </c>
      <c r="H1819" t="s">
        <v>36</v>
      </c>
      <c r="I1819" t="s">
        <v>50</v>
      </c>
      <c r="J1819">
        <v>23</v>
      </c>
      <c r="K1819">
        <v>1629.96</v>
      </c>
      <c r="L1819">
        <v>37488.99</v>
      </c>
      <c r="M1819">
        <v>25112.37</v>
      </c>
      <c r="N1819">
        <v>3334.75</v>
      </c>
      <c r="O1819">
        <v>1802.34</v>
      </c>
      <c r="P1819">
        <v>1597.14</v>
      </c>
      <c r="Q1819">
        <v>333.68</v>
      </c>
      <c r="R1819">
        <v>1380.98</v>
      </c>
      <c r="S1819">
        <v>562.72</v>
      </c>
      <c r="T1819">
        <v>34123.97</v>
      </c>
      <c r="U1819">
        <v>12376.62</v>
      </c>
      <c r="V1819">
        <v>3365.02</v>
      </c>
      <c r="W1819">
        <v>3061.58</v>
      </c>
      <c r="X1819">
        <v>38334.51</v>
      </c>
      <c r="Y1819">
        <v>32486.93</v>
      </c>
    </row>
    <row r="1820" spans="1:25" x14ac:dyDescent="0.25">
      <c r="A1820" t="s">
        <v>1876</v>
      </c>
      <c r="B1820" s="1">
        <v>45440</v>
      </c>
      <c r="C1820">
        <v>2024</v>
      </c>
      <c r="D1820">
        <v>5</v>
      </c>
      <c r="E1820" t="s">
        <v>468</v>
      </c>
      <c r="F1820" t="s">
        <v>358</v>
      </c>
      <c r="G1820" t="s">
        <v>28</v>
      </c>
      <c r="H1820" t="s">
        <v>32</v>
      </c>
      <c r="I1820" t="s">
        <v>45</v>
      </c>
      <c r="J1820">
        <v>37</v>
      </c>
      <c r="K1820">
        <v>1437.9</v>
      </c>
      <c r="L1820">
        <v>53202.46</v>
      </c>
      <c r="M1820">
        <v>29433.19</v>
      </c>
      <c r="N1820">
        <v>4636.09</v>
      </c>
      <c r="O1820">
        <v>2115.37</v>
      </c>
      <c r="P1820">
        <v>1005.52</v>
      </c>
      <c r="Q1820">
        <v>484.48</v>
      </c>
      <c r="R1820">
        <v>1873.65</v>
      </c>
      <c r="S1820">
        <v>1281.92</v>
      </c>
      <c r="T1820">
        <v>40830.230000000003</v>
      </c>
      <c r="U1820">
        <v>23769.26</v>
      </c>
      <c r="V1820">
        <v>12372.23</v>
      </c>
      <c r="W1820">
        <v>12146.23</v>
      </c>
      <c r="X1820">
        <v>58233.68</v>
      </c>
      <c r="Y1820">
        <v>43954.43</v>
      </c>
    </row>
    <row r="1821" spans="1:25" x14ac:dyDescent="0.25">
      <c r="A1821" t="s">
        <v>1877</v>
      </c>
      <c r="B1821" s="1">
        <v>45440</v>
      </c>
      <c r="C1821">
        <v>2024</v>
      </c>
      <c r="D1821">
        <v>5</v>
      </c>
      <c r="E1821" t="s">
        <v>468</v>
      </c>
      <c r="F1821" t="s">
        <v>358</v>
      </c>
      <c r="G1821" t="s">
        <v>55</v>
      </c>
      <c r="H1821" t="s">
        <v>32</v>
      </c>
      <c r="I1821" t="s">
        <v>50</v>
      </c>
      <c r="J1821">
        <v>64</v>
      </c>
      <c r="K1821">
        <v>896.03</v>
      </c>
      <c r="L1821">
        <v>57346.17</v>
      </c>
      <c r="M1821">
        <v>28209.99</v>
      </c>
      <c r="N1821">
        <v>4445.43</v>
      </c>
      <c r="O1821">
        <v>2331.2399999999998</v>
      </c>
      <c r="P1821">
        <v>2486.11</v>
      </c>
      <c r="Q1821">
        <v>534.20000000000005</v>
      </c>
      <c r="R1821">
        <v>1492.18</v>
      </c>
      <c r="S1821">
        <v>924.49</v>
      </c>
      <c r="T1821">
        <v>40423.65</v>
      </c>
      <c r="U1821">
        <v>29136.19</v>
      </c>
      <c r="V1821">
        <v>16922.53</v>
      </c>
      <c r="W1821">
        <v>15056.91</v>
      </c>
      <c r="X1821">
        <v>53753.02</v>
      </c>
      <c r="Y1821">
        <v>38413.480000000003</v>
      </c>
    </row>
    <row r="1822" spans="1:25" x14ac:dyDescent="0.25">
      <c r="A1822" t="s">
        <v>1878</v>
      </c>
      <c r="B1822" s="1">
        <v>45441</v>
      </c>
      <c r="C1822">
        <v>2024</v>
      </c>
      <c r="D1822">
        <v>5</v>
      </c>
      <c r="E1822" t="s">
        <v>468</v>
      </c>
      <c r="F1822" t="s">
        <v>358</v>
      </c>
      <c r="G1822" t="s">
        <v>35</v>
      </c>
      <c r="H1822" t="s">
        <v>36</v>
      </c>
      <c r="I1822" t="s">
        <v>56</v>
      </c>
      <c r="J1822">
        <v>17</v>
      </c>
      <c r="K1822">
        <v>1323.29</v>
      </c>
      <c r="L1822">
        <v>22495.88</v>
      </c>
      <c r="M1822">
        <v>11602.12</v>
      </c>
      <c r="N1822">
        <v>1732.71</v>
      </c>
      <c r="O1822">
        <v>945.77</v>
      </c>
      <c r="P1822">
        <v>398.7</v>
      </c>
      <c r="Q1822">
        <v>352.09</v>
      </c>
      <c r="R1822">
        <v>639.27</v>
      </c>
      <c r="S1822">
        <v>287.52999999999997</v>
      </c>
      <c r="T1822">
        <v>15958.19</v>
      </c>
      <c r="U1822">
        <v>10893.76</v>
      </c>
      <c r="V1822">
        <v>6537.69</v>
      </c>
      <c r="W1822">
        <v>6603.19</v>
      </c>
      <c r="X1822">
        <v>22493.01</v>
      </c>
      <c r="Y1822">
        <v>15808.51</v>
      </c>
    </row>
    <row r="1823" spans="1:25" x14ac:dyDescent="0.25">
      <c r="A1823" t="s">
        <v>1879</v>
      </c>
      <c r="B1823" s="1">
        <v>45441</v>
      </c>
      <c r="C1823">
        <v>2024</v>
      </c>
      <c r="D1823">
        <v>5</v>
      </c>
      <c r="E1823" t="s">
        <v>468</v>
      </c>
      <c r="F1823" t="s">
        <v>358</v>
      </c>
      <c r="G1823" t="s">
        <v>28</v>
      </c>
      <c r="H1823" t="s">
        <v>32</v>
      </c>
      <c r="I1823" t="s">
        <v>30</v>
      </c>
      <c r="J1823">
        <v>57</v>
      </c>
      <c r="K1823">
        <v>1609.01</v>
      </c>
      <c r="L1823">
        <v>91713.84</v>
      </c>
      <c r="M1823">
        <v>51688.78</v>
      </c>
      <c r="N1823">
        <v>7773.04</v>
      </c>
      <c r="O1823">
        <v>4113.37</v>
      </c>
      <c r="P1823">
        <v>1775.72</v>
      </c>
      <c r="Q1823">
        <v>1575.18</v>
      </c>
      <c r="R1823">
        <v>5768.47</v>
      </c>
      <c r="S1823">
        <v>1467.69</v>
      </c>
      <c r="T1823">
        <v>74162.240000000005</v>
      </c>
      <c r="U1823">
        <v>40025.06</v>
      </c>
      <c r="V1823">
        <v>17551.599999999999</v>
      </c>
      <c r="W1823">
        <v>16019.55</v>
      </c>
      <c r="X1823">
        <v>98986</v>
      </c>
      <c r="Y1823">
        <v>74252.84</v>
      </c>
    </row>
    <row r="1824" spans="1:25" x14ac:dyDescent="0.25">
      <c r="A1824" t="s">
        <v>1880</v>
      </c>
      <c r="B1824" s="1">
        <v>45441</v>
      </c>
      <c r="C1824">
        <v>2024</v>
      </c>
      <c r="D1824">
        <v>5</v>
      </c>
      <c r="E1824" t="s">
        <v>468</v>
      </c>
      <c r="F1824" t="s">
        <v>358</v>
      </c>
      <c r="G1824" t="s">
        <v>55</v>
      </c>
      <c r="H1824" t="s">
        <v>53</v>
      </c>
      <c r="I1824" t="s">
        <v>39</v>
      </c>
      <c r="J1824">
        <v>23</v>
      </c>
      <c r="K1824">
        <v>1441.66</v>
      </c>
      <c r="L1824">
        <v>33158.25</v>
      </c>
      <c r="M1824">
        <v>19612.52</v>
      </c>
      <c r="N1824">
        <v>4269.8100000000004</v>
      </c>
      <c r="O1824">
        <v>2327.38</v>
      </c>
      <c r="P1824">
        <v>821.5</v>
      </c>
      <c r="Q1824">
        <v>276.20999999999998</v>
      </c>
      <c r="R1824">
        <v>1971.13</v>
      </c>
      <c r="S1824">
        <v>697.6</v>
      </c>
      <c r="T1824">
        <v>29976.15</v>
      </c>
      <c r="U1824">
        <v>13545.73</v>
      </c>
      <c r="V1824">
        <v>3182.1</v>
      </c>
      <c r="W1824">
        <v>2999.24</v>
      </c>
      <c r="X1824">
        <v>34938.86</v>
      </c>
      <c r="Y1824">
        <v>28644.62</v>
      </c>
    </row>
    <row r="1825" spans="1:25" x14ac:dyDescent="0.25">
      <c r="A1825" t="s">
        <v>1881</v>
      </c>
      <c r="B1825" s="1">
        <v>45441</v>
      </c>
      <c r="C1825">
        <v>2024</v>
      </c>
      <c r="D1825">
        <v>5</v>
      </c>
      <c r="E1825" t="s">
        <v>468</v>
      </c>
      <c r="F1825" t="s">
        <v>358</v>
      </c>
      <c r="G1825" t="s">
        <v>28</v>
      </c>
      <c r="H1825" t="s">
        <v>36</v>
      </c>
      <c r="I1825" t="s">
        <v>37</v>
      </c>
      <c r="J1825">
        <v>62</v>
      </c>
      <c r="K1825">
        <v>1108.42</v>
      </c>
      <c r="L1825">
        <v>68721.820000000007</v>
      </c>
      <c r="M1825">
        <v>43734.35</v>
      </c>
      <c r="N1825">
        <v>5631.17</v>
      </c>
      <c r="O1825">
        <v>3763.88</v>
      </c>
      <c r="P1825">
        <v>2224.54</v>
      </c>
      <c r="Q1825">
        <v>671.63</v>
      </c>
      <c r="R1825">
        <v>2805.68</v>
      </c>
      <c r="S1825">
        <v>898.99</v>
      </c>
      <c r="T1825">
        <v>59730.239999999998</v>
      </c>
      <c r="U1825">
        <v>24987.48</v>
      </c>
      <c r="V1825">
        <v>8991.58</v>
      </c>
      <c r="W1825">
        <v>8553.7999999999993</v>
      </c>
      <c r="X1825">
        <v>70045.83</v>
      </c>
      <c r="Y1825">
        <v>57700.94</v>
      </c>
    </row>
    <row r="1826" spans="1:25" x14ac:dyDescent="0.25">
      <c r="A1826" t="s">
        <v>1882</v>
      </c>
      <c r="B1826" s="1">
        <v>45441</v>
      </c>
      <c r="C1826">
        <v>2024</v>
      </c>
      <c r="D1826">
        <v>5</v>
      </c>
      <c r="E1826" t="s">
        <v>468</v>
      </c>
      <c r="F1826" t="s">
        <v>358</v>
      </c>
      <c r="G1826" t="s">
        <v>35</v>
      </c>
      <c r="H1826" t="s">
        <v>36</v>
      </c>
      <c r="I1826" t="s">
        <v>37</v>
      </c>
      <c r="J1826">
        <v>38</v>
      </c>
      <c r="K1826">
        <v>1528.72</v>
      </c>
      <c r="L1826">
        <v>58091.35</v>
      </c>
      <c r="M1826">
        <v>30712.09</v>
      </c>
      <c r="N1826">
        <v>6723.41</v>
      </c>
      <c r="O1826">
        <v>3265.16</v>
      </c>
      <c r="P1826">
        <v>1767.08</v>
      </c>
      <c r="Q1826">
        <v>836.94</v>
      </c>
      <c r="R1826">
        <v>2296.15</v>
      </c>
      <c r="S1826">
        <v>1258.79</v>
      </c>
      <c r="T1826">
        <v>46859.63</v>
      </c>
      <c r="U1826">
        <v>27379.26</v>
      </c>
      <c r="V1826">
        <v>11231.72</v>
      </c>
      <c r="W1826">
        <v>10561.02</v>
      </c>
      <c r="X1826">
        <v>63335</v>
      </c>
      <c r="Y1826">
        <v>51314.38</v>
      </c>
    </row>
    <row r="1827" spans="1:25" x14ac:dyDescent="0.25">
      <c r="A1827" t="s">
        <v>1883</v>
      </c>
      <c r="B1827" s="1">
        <v>45442</v>
      </c>
      <c r="C1827">
        <v>2024</v>
      </c>
      <c r="D1827">
        <v>5</v>
      </c>
      <c r="E1827" t="s">
        <v>468</v>
      </c>
      <c r="F1827" t="s">
        <v>358</v>
      </c>
      <c r="G1827" t="s">
        <v>55</v>
      </c>
      <c r="H1827" t="s">
        <v>53</v>
      </c>
      <c r="I1827" t="s">
        <v>45</v>
      </c>
      <c r="J1827">
        <v>28</v>
      </c>
      <c r="K1827">
        <v>1694.25</v>
      </c>
      <c r="L1827">
        <v>47439.01</v>
      </c>
      <c r="M1827">
        <v>28358.49</v>
      </c>
      <c r="N1827">
        <v>4122.1899999999996</v>
      </c>
      <c r="O1827">
        <v>1872.47</v>
      </c>
      <c r="P1827">
        <v>1785.95</v>
      </c>
      <c r="Q1827">
        <v>458.9</v>
      </c>
      <c r="R1827">
        <v>1743.49</v>
      </c>
      <c r="S1827">
        <v>836.77</v>
      </c>
      <c r="T1827">
        <v>39178.25</v>
      </c>
      <c r="U1827">
        <v>19080.52</v>
      </c>
      <c r="V1827">
        <v>8260.76</v>
      </c>
      <c r="W1827">
        <v>7699.75</v>
      </c>
      <c r="X1827">
        <v>50128.73</v>
      </c>
      <c r="Y1827">
        <v>39563.42</v>
      </c>
    </row>
    <row r="1828" spans="1:25" x14ac:dyDescent="0.25">
      <c r="A1828" t="s">
        <v>1884</v>
      </c>
      <c r="B1828" s="1">
        <v>45442</v>
      </c>
      <c r="C1828">
        <v>2024</v>
      </c>
      <c r="D1828">
        <v>5</v>
      </c>
      <c r="E1828" t="s">
        <v>468</v>
      </c>
      <c r="F1828" t="s">
        <v>358</v>
      </c>
      <c r="G1828" t="s">
        <v>35</v>
      </c>
      <c r="H1828" t="s">
        <v>36</v>
      </c>
      <c r="I1828" t="s">
        <v>50</v>
      </c>
      <c r="J1828">
        <v>52</v>
      </c>
      <c r="K1828">
        <v>930.51</v>
      </c>
      <c r="L1828">
        <v>48386.69</v>
      </c>
      <c r="M1828">
        <v>30495.05</v>
      </c>
      <c r="N1828">
        <v>4311.83</v>
      </c>
      <c r="O1828">
        <v>1477.56</v>
      </c>
      <c r="P1828">
        <v>1867.16</v>
      </c>
      <c r="Q1828">
        <v>561.69000000000005</v>
      </c>
      <c r="R1828">
        <v>2375.2800000000002</v>
      </c>
      <c r="S1828">
        <v>1131.6199999999999</v>
      </c>
      <c r="T1828">
        <v>42220.18</v>
      </c>
      <c r="U1828">
        <v>17891.650000000001</v>
      </c>
      <c r="V1828">
        <v>6166.51</v>
      </c>
      <c r="W1828">
        <v>5881</v>
      </c>
      <c r="X1828">
        <v>50759.53</v>
      </c>
      <c r="Y1828">
        <v>43101.62</v>
      </c>
    </row>
    <row r="1829" spans="1:25" x14ac:dyDescent="0.25">
      <c r="A1829" t="s">
        <v>1885</v>
      </c>
      <c r="B1829" s="1">
        <v>45442</v>
      </c>
      <c r="C1829">
        <v>2024</v>
      </c>
      <c r="D1829">
        <v>5</v>
      </c>
      <c r="E1829" t="s">
        <v>468</v>
      </c>
      <c r="F1829" t="s">
        <v>358</v>
      </c>
      <c r="G1829" t="s">
        <v>28</v>
      </c>
      <c r="H1829" t="s">
        <v>32</v>
      </c>
      <c r="I1829" t="s">
        <v>65</v>
      </c>
      <c r="J1829">
        <v>110</v>
      </c>
      <c r="K1829">
        <v>880.2</v>
      </c>
      <c r="L1829">
        <v>96822.48</v>
      </c>
      <c r="M1829">
        <v>49081.8</v>
      </c>
      <c r="N1829">
        <v>8690.69</v>
      </c>
      <c r="O1829">
        <v>5323.61</v>
      </c>
      <c r="P1829">
        <v>1649.22</v>
      </c>
      <c r="Q1829">
        <v>1244.3900000000001</v>
      </c>
      <c r="R1829">
        <v>2468.14</v>
      </c>
      <c r="S1829">
        <v>2026.43</v>
      </c>
      <c r="T1829">
        <v>70484.27</v>
      </c>
      <c r="U1829">
        <v>47740.68</v>
      </c>
      <c r="V1829">
        <v>26338.21</v>
      </c>
      <c r="W1829">
        <v>23427.82</v>
      </c>
      <c r="X1829">
        <v>105506.53</v>
      </c>
      <c r="Y1829">
        <v>75086.22</v>
      </c>
    </row>
    <row r="1830" spans="1:25" x14ac:dyDescent="0.25">
      <c r="A1830" t="s">
        <v>1886</v>
      </c>
      <c r="B1830" s="1">
        <v>45442</v>
      </c>
      <c r="C1830">
        <v>2024</v>
      </c>
      <c r="D1830">
        <v>5</v>
      </c>
      <c r="E1830" t="s">
        <v>468</v>
      </c>
      <c r="F1830" t="s">
        <v>358</v>
      </c>
      <c r="G1830" t="s">
        <v>35</v>
      </c>
      <c r="H1830" t="s">
        <v>32</v>
      </c>
      <c r="I1830" t="s">
        <v>30</v>
      </c>
      <c r="J1830">
        <v>61</v>
      </c>
      <c r="K1830">
        <v>1528.04</v>
      </c>
      <c r="L1830">
        <v>93210.55</v>
      </c>
      <c r="M1830">
        <v>46042.97</v>
      </c>
      <c r="N1830">
        <v>10429.85</v>
      </c>
      <c r="O1830">
        <v>4082.27</v>
      </c>
      <c r="P1830">
        <v>1569.87</v>
      </c>
      <c r="Q1830">
        <v>1361.87</v>
      </c>
      <c r="R1830">
        <v>5415.75</v>
      </c>
      <c r="S1830">
        <v>1443.04</v>
      </c>
      <c r="T1830">
        <v>70345.62</v>
      </c>
      <c r="U1830">
        <v>47167.58</v>
      </c>
      <c r="V1830">
        <v>22864.93</v>
      </c>
      <c r="W1830">
        <v>22735.27</v>
      </c>
      <c r="X1830">
        <v>91528.08</v>
      </c>
      <c r="Y1830">
        <v>68748.56</v>
      </c>
    </row>
    <row r="1831" spans="1:25" x14ac:dyDescent="0.25">
      <c r="A1831" t="s">
        <v>1887</v>
      </c>
      <c r="B1831" s="1">
        <v>45442</v>
      </c>
      <c r="C1831">
        <v>2024</v>
      </c>
      <c r="D1831">
        <v>5</v>
      </c>
      <c r="E1831" t="s">
        <v>468</v>
      </c>
      <c r="F1831" t="s">
        <v>358</v>
      </c>
      <c r="G1831" t="s">
        <v>44</v>
      </c>
      <c r="H1831" t="s">
        <v>58</v>
      </c>
      <c r="I1831" t="s">
        <v>33</v>
      </c>
      <c r="J1831">
        <v>46</v>
      </c>
      <c r="K1831">
        <v>1177.8699999999999</v>
      </c>
      <c r="L1831">
        <v>54182.1</v>
      </c>
      <c r="M1831">
        <v>36601.410000000003</v>
      </c>
      <c r="N1831">
        <v>5063.03</v>
      </c>
      <c r="O1831">
        <v>3989.26</v>
      </c>
      <c r="P1831">
        <v>1613.81</v>
      </c>
      <c r="Q1831">
        <v>298.68</v>
      </c>
      <c r="R1831">
        <v>2578.75</v>
      </c>
      <c r="S1831">
        <v>887.83</v>
      </c>
      <c r="T1831">
        <v>51032.77</v>
      </c>
      <c r="U1831">
        <v>17580.689999999999</v>
      </c>
      <c r="V1831">
        <v>3149.33</v>
      </c>
      <c r="W1831">
        <v>2825.61</v>
      </c>
      <c r="X1831">
        <v>51758.93</v>
      </c>
      <c r="Y1831">
        <v>56049.37</v>
      </c>
    </row>
    <row r="1832" spans="1:25" x14ac:dyDescent="0.25">
      <c r="A1832" t="s">
        <v>1888</v>
      </c>
      <c r="B1832" s="1">
        <v>45442</v>
      </c>
      <c r="C1832">
        <v>2024</v>
      </c>
      <c r="D1832">
        <v>5</v>
      </c>
      <c r="E1832" t="s">
        <v>468</v>
      </c>
      <c r="F1832" t="s">
        <v>358</v>
      </c>
      <c r="G1832" t="s">
        <v>35</v>
      </c>
      <c r="H1832" t="s">
        <v>36</v>
      </c>
      <c r="I1832" t="s">
        <v>56</v>
      </c>
      <c r="J1832">
        <v>17</v>
      </c>
      <c r="K1832">
        <v>1757.31</v>
      </c>
      <c r="L1832">
        <v>29874.2</v>
      </c>
      <c r="M1832">
        <v>16718.86</v>
      </c>
      <c r="N1832">
        <v>3700.58</v>
      </c>
      <c r="O1832">
        <v>2017.02</v>
      </c>
      <c r="P1832">
        <v>790.35</v>
      </c>
      <c r="Q1832">
        <v>348.18</v>
      </c>
      <c r="R1832">
        <v>1357.09</v>
      </c>
      <c r="S1832">
        <v>394.84</v>
      </c>
      <c r="T1832">
        <v>25326.92</v>
      </c>
      <c r="U1832">
        <v>13155.34</v>
      </c>
      <c r="V1832">
        <v>4547.28</v>
      </c>
      <c r="W1832">
        <v>4487.2299999999996</v>
      </c>
      <c r="X1832">
        <v>28983.14</v>
      </c>
      <c r="Y1832">
        <v>24918.41</v>
      </c>
    </row>
    <row r="1833" spans="1:25" x14ac:dyDescent="0.25">
      <c r="A1833" t="s">
        <v>1889</v>
      </c>
      <c r="B1833" s="1">
        <v>45442</v>
      </c>
      <c r="C1833">
        <v>2024</v>
      </c>
      <c r="D1833">
        <v>5</v>
      </c>
      <c r="E1833" t="s">
        <v>468</v>
      </c>
      <c r="F1833" t="s">
        <v>358</v>
      </c>
      <c r="G1833" t="s">
        <v>28</v>
      </c>
      <c r="H1833" t="s">
        <v>53</v>
      </c>
      <c r="I1833" t="s">
        <v>39</v>
      </c>
      <c r="J1833">
        <v>26</v>
      </c>
      <c r="K1833">
        <v>1301.8</v>
      </c>
      <c r="L1833">
        <v>33846.69</v>
      </c>
      <c r="M1833">
        <v>19571.060000000001</v>
      </c>
      <c r="N1833">
        <v>2988.12</v>
      </c>
      <c r="O1833">
        <v>2484.7800000000002</v>
      </c>
      <c r="P1833">
        <v>1356.76</v>
      </c>
      <c r="Q1833">
        <v>606.41999999999996</v>
      </c>
      <c r="R1833">
        <v>1465.35</v>
      </c>
      <c r="S1833">
        <v>741.85</v>
      </c>
      <c r="T1833">
        <v>29214.35</v>
      </c>
      <c r="U1833">
        <v>14275.64</v>
      </c>
      <c r="V1833">
        <v>4632.3500000000004</v>
      </c>
      <c r="W1833">
        <v>4567.6899999999996</v>
      </c>
      <c r="X1833">
        <v>31339.61</v>
      </c>
      <c r="Y1833">
        <v>30934.05</v>
      </c>
    </row>
    <row r="1834" spans="1:25" x14ac:dyDescent="0.25">
      <c r="A1834" t="s">
        <v>1890</v>
      </c>
      <c r="B1834" s="1">
        <v>45443</v>
      </c>
      <c r="C1834">
        <v>2024</v>
      </c>
      <c r="D1834">
        <v>5</v>
      </c>
      <c r="E1834" t="s">
        <v>468</v>
      </c>
      <c r="F1834" t="s">
        <v>358</v>
      </c>
      <c r="G1834" t="s">
        <v>35</v>
      </c>
      <c r="H1834" t="s">
        <v>58</v>
      </c>
      <c r="I1834" t="s">
        <v>50</v>
      </c>
      <c r="J1834">
        <v>36</v>
      </c>
      <c r="K1834">
        <v>908.53</v>
      </c>
      <c r="L1834">
        <v>32706.959999999999</v>
      </c>
      <c r="M1834">
        <v>21556.19</v>
      </c>
      <c r="N1834">
        <v>4220.26</v>
      </c>
      <c r="O1834">
        <v>2231.59</v>
      </c>
      <c r="P1834">
        <v>1160.58</v>
      </c>
      <c r="Q1834">
        <v>422.24</v>
      </c>
      <c r="R1834">
        <v>2079.0300000000002</v>
      </c>
      <c r="S1834">
        <v>374.1</v>
      </c>
      <c r="T1834">
        <v>32043.98</v>
      </c>
      <c r="U1834">
        <v>11150.77</v>
      </c>
      <c r="V1834">
        <v>662.98</v>
      </c>
      <c r="W1834">
        <v>636.20000000000005</v>
      </c>
      <c r="X1834">
        <v>36299.550000000003</v>
      </c>
      <c r="Y1834">
        <v>31897.21</v>
      </c>
    </row>
    <row r="1835" spans="1:25" x14ac:dyDescent="0.25">
      <c r="A1835" t="s">
        <v>1891</v>
      </c>
      <c r="B1835" s="1">
        <v>45443</v>
      </c>
      <c r="C1835">
        <v>2024</v>
      </c>
      <c r="D1835">
        <v>5</v>
      </c>
      <c r="E1835" t="s">
        <v>468</v>
      </c>
      <c r="F1835" t="s">
        <v>358</v>
      </c>
      <c r="G1835" t="s">
        <v>28</v>
      </c>
      <c r="H1835" t="s">
        <v>53</v>
      </c>
      <c r="I1835" t="s">
        <v>56</v>
      </c>
      <c r="J1835">
        <v>21</v>
      </c>
      <c r="K1835">
        <v>1775.36</v>
      </c>
      <c r="L1835">
        <v>37282.47</v>
      </c>
      <c r="M1835">
        <v>20922.28</v>
      </c>
      <c r="N1835">
        <v>3837.95</v>
      </c>
      <c r="O1835">
        <v>980.23</v>
      </c>
      <c r="P1835">
        <v>1271.28</v>
      </c>
      <c r="Q1835">
        <v>532.29</v>
      </c>
      <c r="R1835">
        <v>2409.9499999999998</v>
      </c>
      <c r="S1835">
        <v>390.79</v>
      </c>
      <c r="T1835">
        <v>30344.78</v>
      </c>
      <c r="U1835">
        <v>16360.19</v>
      </c>
      <c r="V1835">
        <v>6937.69</v>
      </c>
      <c r="W1835">
        <v>6318.03</v>
      </c>
      <c r="X1835">
        <v>38388.28</v>
      </c>
      <c r="Y1835">
        <v>31759.54</v>
      </c>
    </row>
    <row r="1836" spans="1:25" x14ac:dyDescent="0.25">
      <c r="A1836" t="s">
        <v>1892</v>
      </c>
      <c r="B1836" s="1">
        <v>45443</v>
      </c>
      <c r="C1836">
        <v>2024</v>
      </c>
      <c r="D1836">
        <v>5</v>
      </c>
      <c r="E1836" t="s">
        <v>468</v>
      </c>
      <c r="F1836" t="s">
        <v>358</v>
      </c>
      <c r="G1836" t="s">
        <v>35</v>
      </c>
      <c r="H1836" t="s">
        <v>32</v>
      </c>
      <c r="I1836" t="s">
        <v>65</v>
      </c>
      <c r="J1836">
        <v>44</v>
      </c>
      <c r="K1836">
        <v>1591.48</v>
      </c>
      <c r="L1836">
        <v>70025.17</v>
      </c>
      <c r="M1836">
        <v>40166.449999999997</v>
      </c>
      <c r="N1836">
        <v>7124.51</v>
      </c>
      <c r="O1836">
        <v>2185.0700000000002</v>
      </c>
      <c r="P1836">
        <v>1906.37</v>
      </c>
      <c r="Q1836">
        <v>657.72</v>
      </c>
      <c r="R1836">
        <v>3217.78</v>
      </c>
      <c r="S1836">
        <v>1176.7</v>
      </c>
      <c r="T1836">
        <v>56434.59</v>
      </c>
      <c r="U1836">
        <v>29858.720000000001</v>
      </c>
      <c r="V1836">
        <v>13590.58</v>
      </c>
      <c r="W1836">
        <v>13085.93</v>
      </c>
      <c r="X1836">
        <v>76823.23</v>
      </c>
      <c r="Y1836">
        <v>53325.83</v>
      </c>
    </row>
    <row r="1837" spans="1:25" x14ac:dyDescent="0.25">
      <c r="A1837" t="s">
        <v>1893</v>
      </c>
      <c r="B1837" s="1">
        <v>45443</v>
      </c>
      <c r="C1837">
        <v>2024</v>
      </c>
      <c r="D1837">
        <v>5</v>
      </c>
      <c r="E1837" t="s">
        <v>468</v>
      </c>
      <c r="F1837" t="s">
        <v>358</v>
      </c>
      <c r="G1837" t="s">
        <v>28</v>
      </c>
      <c r="H1837" t="s">
        <v>36</v>
      </c>
      <c r="I1837" t="s">
        <v>39</v>
      </c>
      <c r="J1837">
        <v>37</v>
      </c>
      <c r="K1837">
        <v>1272.28</v>
      </c>
      <c r="L1837">
        <v>47074.48</v>
      </c>
      <c r="M1837">
        <v>27457.17</v>
      </c>
      <c r="N1837">
        <v>3537.34</v>
      </c>
      <c r="O1837">
        <v>1613.43</v>
      </c>
      <c r="P1837">
        <v>1280.3599999999999</v>
      </c>
      <c r="Q1837">
        <v>270.06</v>
      </c>
      <c r="R1837">
        <v>2813.68</v>
      </c>
      <c r="S1837">
        <v>667.63</v>
      </c>
      <c r="T1837">
        <v>37639.67</v>
      </c>
      <c r="U1837">
        <v>19617.310000000001</v>
      </c>
      <c r="V1837">
        <v>9434.81</v>
      </c>
      <c r="W1837">
        <v>8785.17</v>
      </c>
      <c r="X1837">
        <v>48003.3</v>
      </c>
      <c r="Y1837">
        <v>40880.14</v>
      </c>
    </row>
    <row r="1838" spans="1:25" x14ac:dyDescent="0.25">
      <c r="A1838" t="s">
        <v>1894</v>
      </c>
      <c r="B1838" s="1">
        <v>45443</v>
      </c>
      <c r="C1838">
        <v>2024</v>
      </c>
      <c r="D1838">
        <v>5</v>
      </c>
      <c r="E1838" t="s">
        <v>468</v>
      </c>
      <c r="F1838" t="s">
        <v>358</v>
      </c>
      <c r="G1838" t="s">
        <v>28</v>
      </c>
      <c r="H1838" t="s">
        <v>32</v>
      </c>
      <c r="I1838" t="s">
        <v>39</v>
      </c>
      <c r="J1838">
        <v>51</v>
      </c>
      <c r="K1838">
        <v>1205.42</v>
      </c>
      <c r="L1838">
        <v>61476.6</v>
      </c>
      <c r="M1838">
        <v>41308.31</v>
      </c>
      <c r="N1838">
        <v>6730.94</v>
      </c>
      <c r="O1838">
        <v>4292.97</v>
      </c>
      <c r="P1838">
        <v>2750.97</v>
      </c>
      <c r="Q1838">
        <v>879.79</v>
      </c>
      <c r="R1838">
        <v>1953.29</v>
      </c>
      <c r="S1838">
        <v>1257.02</v>
      </c>
      <c r="T1838">
        <v>59173.3</v>
      </c>
      <c r="U1838">
        <v>20168.29</v>
      </c>
      <c r="V1838">
        <v>2303.31</v>
      </c>
      <c r="W1838">
        <v>2277.38</v>
      </c>
      <c r="X1838">
        <v>56814.99</v>
      </c>
      <c r="Y1838">
        <v>63805.49</v>
      </c>
    </row>
    <row r="1839" spans="1:25" x14ac:dyDescent="0.25">
      <c r="A1839" t="s">
        <v>1895</v>
      </c>
      <c r="B1839" s="1">
        <v>45444</v>
      </c>
      <c r="C1839">
        <v>2024</v>
      </c>
      <c r="D1839">
        <v>6</v>
      </c>
      <c r="E1839" t="s">
        <v>585</v>
      </c>
      <c r="F1839" t="s">
        <v>358</v>
      </c>
      <c r="G1839" t="s">
        <v>44</v>
      </c>
      <c r="H1839" t="s">
        <v>32</v>
      </c>
      <c r="I1839" t="s">
        <v>33</v>
      </c>
      <c r="J1839">
        <v>66</v>
      </c>
      <c r="K1839">
        <v>950.97</v>
      </c>
      <c r="L1839">
        <v>62763.98</v>
      </c>
      <c r="M1839">
        <v>36553.910000000003</v>
      </c>
      <c r="N1839">
        <v>7867.24</v>
      </c>
      <c r="O1839">
        <v>4352.76</v>
      </c>
      <c r="P1839">
        <v>1643.6</v>
      </c>
      <c r="Q1839">
        <v>357.81</v>
      </c>
      <c r="R1839">
        <v>2812.47</v>
      </c>
      <c r="S1839">
        <v>1274.3399999999999</v>
      </c>
      <c r="T1839">
        <v>54862.13</v>
      </c>
      <c r="U1839">
        <v>26210.07</v>
      </c>
      <c r="V1839">
        <v>7901.85</v>
      </c>
      <c r="W1839">
        <v>8008.25</v>
      </c>
      <c r="X1839">
        <v>60616.17</v>
      </c>
      <c r="Y1839">
        <v>55235.87</v>
      </c>
    </row>
    <row r="1840" spans="1:25" x14ac:dyDescent="0.25">
      <c r="A1840" t="s">
        <v>1896</v>
      </c>
      <c r="B1840" s="1">
        <v>45444</v>
      </c>
      <c r="C1840">
        <v>2024</v>
      </c>
      <c r="D1840">
        <v>6</v>
      </c>
      <c r="E1840" t="s">
        <v>585</v>
      </c>
      <c r="F1840" t="s">
        <v>358</v>
      </c>
      <c r="G1840" t="s">
        <v>55</v>
      </c>
      <c r="H1840" t="s">
        <v>53</v>
      </c>
      <c r="I1840" t="s">
        <v>30</v>
      </c>
      <c r="J1840">
        <v>52</v>
      </c>
      <c r="K1840">
        <v>1540.17</v>
      </c>
      <c r="L1840">
        <v>80088.87</v>
      </c>
      <c r="M1840">
        <v>51839.22</v>
      </c>
      <c r="N1840">
        <v>10026.219999999999</v>
      </c>
      <c r="O1840">
        <v>3517.03</v>
      </c>
      <c r="P1840">
        <v>1650.2</v>
      </c>
      <c r="Q1840">
        <v>1217.6300000000001</v>
      </c>
      <c r="R1840">
        <v>4250.18</v>
      </c>
      <c r="S1840">
        <v>1414.03</v>
      </c>
      <c r="T1840">
        <v>73914.509999999995</v>
      </c>
      <c r="U1840">
        <v>28249.65</v>
      </c>
      <c r="V1840">
        <v>6174.36</v>
      </c>
      <c r="W1840">
        <v>5893.41</v>
      </c>
      <c r="X1840">
        <v>84844.5</v>
      </c>
      <c r="Y1840">
        <v>77002.429999999993</v>
      </c>
    </row>
    <row r="1841" spans="1:25" x14ac:dyDescent="0.25">
      <c r="A1841" t="s">
        <v>1897</v>
      </c>
      <c r="B1841" s="1">
        <v>45444</v>
      </c>
      <c r="C1841">
        <v>2024</v>
      </c>
      <c r="D1841">
        <v>6</v>
      </c>
      <c r="E1841" t="s">
        <v>585</v>
      </c>
      <c r="F1841" t="s">
        <v>358</v>
      </c>
      <c r="G1841" t="s">
        <v>28</v>
      </c>
      <c r="H1841" t="s">
        <v>29</v>
      </c>
      <c r="I1841" t="s">
        <v>56</v>
      </c>
      <c r="J1841">
        <v>47</v>
      </c>
      <c r="K1841">
        <v>872.08</v>
      </c>
      <c r="L1841">
        <v>40987.82</v>
      </c>
      <c r="M1841">
        <v>27629.09</v>
      </c>
      <c r="N1841">
        <v>4996.84</v>
      </c>
      <c r="O1841">
        <v>2184.9699999999998</v>
      </c>
      <c r="P1841">
        <v>751.25</v>
      </c>
      <c r="Q1841">
        <v>287.2</v>
      </c>
      <c r="R1841">
        <v>2145.54</v>
      </c>
      <c r="S1841">
        <v>909.1</v>
      </c>
      <c r="T1841">
        <v>38903.99</v>
      </c>
      <c r="U1841">
        <v>13358.73</v>
      </c>
      <c r="V1841">
        <v>2083.83</v>
      </c>
      <c r="W1841">
        <v>2093.67</v>
      </c>
      <c r="X1841">
        <v>38582.480000000003</v>
      </c>
      <c r="Y1841">
        <v>38605.730000000003</v>
      </c>
    </row>
    <row r="1842" spans="1:25" x14ac:dyDescent="0.25">
      <c r="A1842" t="s">
        <v>1898</v>
      </c>
      <c r="B1842" s="1">
        <v>45444</v>
      </c>
      <c r="C1842">
        <v>2024</v>
      </c>
      <c r="D1842">
        <v>6</v>
      </c>
      <c r="E1842" t="s">
        <v>585</v>
      </c>
      <c r="F1842" t="s">
        <v>358</v>
      </c>
      <c r="G1842" t="s">
        <v>55</v>
      </c>
      <c r="H1842" t="s">
        <v>36</v>
      </c>
      <c r="I1842" t="s">
        <v>56</v>
      </c>
      <c r="J1842">
        <v>49</v>
      </c>
      <c r="K1842">
        <v>947.42</v>
      </c>
      <c r="L1842">
        <v>46423.59</v>
      </c>
      <c r="M1842">
        <v>26518.06</v>
      </c>
      <c r="N1842">
        <v>5788.24</v>
      </c>
      <c r="O1842">
        <v>1386.77</v>
      </c>
      <c r="P1842">
        <v>1972.15</v>
      </c>
      <c r="Q1842">
        <v>783.9</v>
      </c>
      <c r="R1842">
        <v>1712.2</v>
      </c>
      <c r="S1842">
        <v>530.12</v>
      </c>
      <c r="T1842">
        <v>38691.43</v>
      </c>
      <c r="U1842">
        <v>19905.52</v>
      </c>
      <c r="V1842">
        <v>7732.15</v>
      </c>
      <c r="W1842">
        <v>7116.66</v>
      </c>
      <c r="X1842">
        <v>49847.02</v>
      </c>
      <c r="Y1842">
        <v>37052.35</v>
      </c>
    </row>
    <row r="1843" spans="1:25" x14ac:dyDescent="0.25">
      <c r="A1843" t="s">
        <v>1899</v>
      </c>
      <c r="B1843" s="1">
        <v>45445</v>
      </c>
      <c r="C1843">
        <v>2024</v>
      </c>
      <c r="D1843">
        <v>6</v>
      </c>
      <c r="E1843" t="s">
        <v>585</v>
      </c>
      <c r="F1843" t="s">
        <v>358</v>
      </c>
      <c r="G1843" t="s">
        <v>28</v>
      </c>
      <c r="H1843" t="s">
        <v>32</v>
      </c>
      <c r="I1843" t="s">
        <v>39</v>
      </c>
      <c r="J1843">
        <v>53</v>
      </c>
      <c r="K1843">
        <v>1045.96</v>
      </c>
      <c r="L1843">
        <v>55435.74</v>
      </c>
      <c r="M1843">
        <v>31677.119999999999</v>
      </c>
      <c r="N1843">
        <v>4911.1400000000003</v>
      </c>
      <c r="O1843">
        <v>3049.2</v>
      </c>
      <c r="P1843">
        <v>1373.41</v>
      </c>
      <c r="Q1843">
        <v>775.77</v>
      </c>
      <c r="R1843">
        <v>2373.2399999999998</v>
      </c>
      <c r="S1843">
        <v>1140.43</v>
      </c>
      <c r="T1843">
        <v>45300.33</v>
      </c>
      <c r="U1843">
        <v>23758.61</v>
      </c>
      <c r="V1843">
        <v>10135.41</v>
      </c>
      <c r="W1843">
        <v>9932.73</v>
      </c>
      <c r="X1843">
        <v>51278.44</v>
      </c>
      <c r="Y1843">
        <v>46401.25</v>
      </c>
    </row>
    <row r="1844" spans="1:25" x14ac:dyDescent="0.25">
      <c r="A1844" t="s">
        <v>1900</v>
      </c>
      <c r="B1844" s="1">
        <v>45445</v>
      </c>
      <c r="C1844">
        <v>2024</v>
      </c>
      <c r="D1844">
        <v>6</v>
      </c>
      <c r="E1844" t="s">
        <v>585</v>
      </c>
      <c r="F1844" t="s">
        <v>358</v>
      </c>
      <c r="G1844" t="s">
        <v>55</v>
      </c>
      <c r="H1844" t="s">
        <v>53</v>
      </c>
      <c r="I1844" t="s">
        <v>65</v>
      </c>
      <c r="J1844">
        <v>45</v>
      </c>
      <c r="K1844">
        <v>1146.98</v>
      </c>
      <c r="L1844">
        <v>51614.1</v>
      </c>
      <c r="M1844">
        <v>33109.839999999997</v>
      </c>
      <c r="N1844">
        <v>6561.1</v>
      </c>
      <c r="O1844">
        <v>3042.64</v>
      </c>
      <c r="P1844">
        <v>2135.25</v>
      </c>
      <c r="Q1844">
        <v>720.25</v>
      </c>
      <c r="R1844">
        <v>2353.3000000000002</v>
      </c>
      <c r="S1844">
        <v>1090.03</v>
      </c>
      <c r="T1844">
        <v>49012.4</v>
      </c>
      <c r="U1844">
        <v>18504.25</v>
      </c>
      <c r="V1844">
        <v>2601.69</v>
      </c>
      <c r="W1844">
        <v>2316.3200000000002</v>
      </c>
      <c r="X1844">
        <v>57062.2</v>
      </c>
      <c r="Y1844">
        <v>53094.68</v>
      </c>
    </row>
    <row r="1845" spans="1:25" x14ac:dyDescent="0.25">
      <c r="A1845" t="s">
        <v>1901</v>
      </c>
      <c r="B1845" s="1">
        <v>45445</v>
      </c>
      <c r="C1845">
        <v>2024</v>
      </c>
      <c r="D1845">
        <v>6</v>
      </c>
      <c r="E1845" t="s">
        <v>585</v>
      </c>
      <c r="F1845" t="s">
        <v>358</v>
      </c>
      <c r="G1845" t="s">
        <v>28</v>
      </c>
      <c r="H1845" t="s">
        <v>36</v>
      </c>
      <c r="I1845" t="s">
        <v>37</v>
      </c>
      <c r="J1845">
        <v>34</v>
      </c>
      <c r="K1845">
        <v>1658.49</v>
      </c>
      <c r="L1845">
        <v>56388.61</v>
      </c>
      <c r="M1845">
        <v>27319.06</v>
      </c>
      <c r="N1845">
        <v>6012.59</v>
      </c>
      <c r="O1845">
        <v>4142.21</v>
      </c>
      <c r="P1845">
        <v>1485.38</v>
      </c>
      <c r="Q1845">
        <v>777.82</v>
      </c>
      <c r="R1845">
        <v>2584.7800000000002</v>
      </c>
      <c r="S1845">
        <v>1242.72</v>
      </c>
      <c r="T1845">
        <v>43564.56</v>
      </c>
      <c r="U1845">
        <v>29069.55</v>
      </c>
      <c r="V1845">
        <v>12824.05</v>
      </c>
      <c r="W1845">
        <v>11647.33</v>
      </c>
      <c r="X1845">
        <v>57767.37</v>
      </c>
      <c r="Y1845">
        <v>43027.66</v>
      </c>
    </row>
    <row r="1846" spans="1:25" x14ac:dyDescent="0.25">
      <c r="A1846" t="s">
        <v>1902</v>
      </c>
      <c r="B1846" s="1">
        <v>45445</v>
      </c>
      <c r="C1846">
        <v>2024</v>
      </c>
      <c r="D1846">
        <v>6</v>
      </c>
      <c r="E1846" t="s">
        <v>585</v>
      </c>
      <c r="F1846" t="s">
        <v>358</v>
      </c>
      <c r="G1846" t="s">
        <v>55</v>
      </c>
      <c r="H1846" t="s">
        <v>29</v>
      </c>
      <c r="I1846" t="s">
        <v>50</v>
      </c>
      <c r="J1846">
        <v>45</v>
      </c>
      <c r="K1846">
        <v>1379.31</v>
      </c>
      <c r="L1846">
        <v>62068.85</v>
      </c>
      <c r="M1846">
        <v>35816.379999999997</v>
      </c>
      <c r="N1846">
        <v>5839.56</v>
      </c>
      <c r="O1846">
        <v>2873.34</v>
      </c>
      <c r="P1846">
        <v>2388.84</v>
      </c>
      <c r="Q1846">
        <v>946.81</v>
      </c>
      <c r="R1846">
        <v>3690.19</v>
      </c>
      <c r="S1846">
        <v>748.53</v>
      </c>
      <c r="T1846">
        <v>52303.65</v>
      </c>
      <c r="U1846">
        <v>26252.46</v>
      </c>
      <c r="V1846">
        <v>9765.2000000000007</v>
      </c>
      <c r="W1846">
        <v>8862.0400000000009</v>
      </c>
      <c r="X1846">
        <v>65270.15</v>
      </c>
      <c r="Y1846">
        <v>49934.21</v>
      </c>
    </row>
    <row r="1847" spans="1:25" x14ac:dyDescent="0.25">
      <c r="A1847" t="s">
        <v>1903</v>
      </c>
      <c r="B1847" s="1">
        <v>45446</v>
      </c>
      <c r="C1847">
        <v>2024</v>
      </c>
      <c r="D1847">
        <v>6</v>
      </c>
      <c r="E1847" t="s">
        <v>585</v>
      </c>
      <c r="F1847" t="s">
        <v>358</v>
      </c>
      <c r="G1847" t="s">
        <v>55</v>
      </c>
      <c r="H1847" t="s">
        <v>29</v>
      </c>
      <c r="I1847" t="s">
        <v>37</v>
      </c>
      <c r="J1847">
        <v>82</v>
      </c>
      <c r="K1847">
        <v>1169.68</v>
      </c>
      <c r="L1847">
        <v>95913.85</v>
      </c>
      <c r="M1847">
        <v>52240.29</v>
      </c>
      <c r="N1847">
        <v>10108.23</v>
      </c>
      <c r="O1847">
        <v>2824.47</v>
      </c>
      <c r="P1847">
        <v>2504.16</v>
      </c>
      <c r="Q1847">
        <v>840.3</v>
      </c>
      <c r="R1847">
        <v>5517.55</v>
      </c>
      <c r="S1847">
        <v>2312.64</v>
      </c>
      <c r="T1847">
        <v>76347.64</v>
      </c>
      <c r="U1847">
        <v>43673.57</v>
      </c>
      <c r="V1847">
        <v>19566.22</v>
      </c>
      <c r="W1847">
        <v>17663.78</v>
      </c>
      <c r="X1847">
        <v>95005.91</v>
      </c>
      <c r="Y1847">
        <v>76832.17</v>
      </c>
    </row>
    <row r="1848" spans="1:25" x14ac:dyDescent="0.25">
      <c r="A1848" t="s">
        <v>1904</v>
      </c>
      <c r="B1848" s="1">
        <v>45446</v>
      </c>
      <c r="C1848">
        <v>2024</v>
      </c>
      <c r="D1848">
        <v>6</v>
      </c>
      <c r="E1848" t="s">
        <v>585</v>
      </c>
      <c r="F1848" t="s">
        <v>358</v>
      </c>
      <c r="G1848" t="s">
        <v>28</v>
      </c>
      <c r="H1848" t="s">
        <v>58</v>
      </c>
      <c r="I1848" t="s">
        <v>56</v>
      </c>
      <c r="J1848">
        <v>20</v>
      </c>
      <c r="K1848">
        <v>1321.51</v>
      </c>
      <c r="L1848">
        <v>26430.19</v>
      </c>
      <c r="M1848">
        <v>14687.38</v>
      </c>
      <c r="N1848">
        <v>2148.87</v>
      </c>
      <c r="O1848">
        <v>668.65</v>
      </c>
      <c r="P1848">
        <v>712.94</v>
      </c>
      <c r="Q1848">
        <v>343.54</v>
      </c>
      <c r="R1848">
        <v>1276.29</v>
      </c>
      <c r="S1848">
        <v>625.42999999999995</v>
      </c>
      <c r="T1848">
        <v>20463.099999999999</v>
      </c>
      <c r="U1848">
        <v>11742.81</v>
      </c>
      <c r="V1848">
        <v>5967.09</v>
      </c>
      <c r="W1848">
        <v>5283.99</v>
      </c>
      <c r="X1848">
        <v>29340.3</v>
      </c>
      <c r="Y1848">
        <v>22167.71</v>
      </c>
    </row>
    <row r="1849" spans="1:25" x14ac:dyDescent="0.25">
      <c r="A1849" t="s">
        <v>1905</v>
      </c>
      <c r="B1849" s="1">
        <v>45446</v>
      </c>
      <c r="C1849">
        <v>2024</v>
      </c>
      <c r="D1849">
        <v>6</v>
      </c>
      <c r="E1849" t="s">
        <v>585</v>
      </c>
      <c r="F1849" t="s">
        <v>358</v>
      </c>
      <c r="G1849" t="s">
        <v>44</v>
      </c>
      <c r="H1849" t="s">
        <v>36</v>
      </c>
      <c r="I1849" t="s">
        <v>30</v>
      </c>
      <c r="J1849">
        <v>80</v>
      </c>
      <c r="K1849">
        <v>1176.1500000000001</v>
      </c>
      <c r="L1849">
        <v>94092.14</v>
      </c>
      <c r="M1849">
        <v>50061.14</v>
      </c>
      <c r="N1849">
        <v>10096.620000000001</v>
      </c>
      <c r="O1849">
        <v>3458.22</v>
      </c>
      <c r="P1849">
        <v>2131.27</v>
      </c>
      <c r="Q1849">
        <v>950.8</v>
      </c>
      <c r="R1849">
        <v>4205.78</v>
      </c>
      <c r="S1849">
        <v>1428.53</v>
      </c>
      <c r="T1849">
        <v>72332.350000000006</v>
      </c>
      <c r="U1849">
        <v>44031</v>
      </c>
      <c r="V1849">
        <v>21759.79</v>
      </c>
      <c r="W1849">
        <v>21475.96</v>
      </c>
      <c r="X1849">
        <v>103419.9</v>
      </c>
      <c r="Y1849">
        <v>72665.86</v>
      </c>
    </row>
    <row r="1850" spans="1:25" x14ac:dyDescent="0.25">
      <c r="A1850" t="s">
        <v>1906</v>
      </c>
      <c r="B1850" s="1">
        <v>45446</v>
      </c>
      <c r="C1850">
        <v>2024</v>
      </c>
      <c r="D1850">
        <v>6</v>
      </c>
      <c r="E1850" t="s">
        <v>585</v>
      </c>
      <c r="F1850" t="s">
        <v>358</v>
      </c>
      <c r="G1850" t="s">
        <v>35</v>
      </c>
      <c r="H1850" t="s">
        <v>32</v>
      </c>
      <c r="I1850" t="s">
        <v>50</v>
      </c>
      <c r="J1850">
        <v>30</v>
      </c>
      <c r="K1850">
        <v>1635.08</v>
      </c>
      <c r="L1850">
        <v>49052.27</v>
      </c>
      <c r="M1850">
        <v>26158.02</v>
      </c>
      <c r="N1850">
        <v>5727.52</v>
      </c>
      <c r="O1850">
        <v>2374.5300000000002</v>
      </c>
      <c r="P1850">
        <v>1559.02</v>
      </c>
      <c r="Q1850">
        <v>722.09</v>
      </c>
      <c r="R1850">
        <v>2343.0500000000002</v>
      </c>
      <c r="S1850">
        <v>711.85</v>
      </c>
      <c r="T1850">
        <v>39596.07</v>
      </c>
      <c r="U1850">
        <v>22894.25</v>
      </c>
      <c r="V1850">
        <v>9456.2000000000007</v>
      </c>
      <c r="W1850">
        <v>8966.1200000000008</v>
      </c>
      <c r="X1850">
        <v>46969.38</v>
      </c>
      <c r="Y1850">
        <v>38627.870000000003</v>
      </c>
    </row>
    <row r="1851" spans="1:25" x14ac:dyDescent="0.25">
      <c r="A1851" t="s">
        <v>1907</v>
      </c>
      <c r="B1851" s="1">
        <v>45446</v>
      </c>
      <c r="C1851">
        <v>2024</v>
      </c>
      <c r="D1851">
        <v>6</v>
      </c>
      <c r="E1851" t="s">
        <v>585</v>
      </c>
      <c r="F1851" t="s">
        <v>358</v>
      </c>
      <c r="G1851" t="s">
        <v>44</v>
      </c>
      <c r="H1851" t="s">
        <v>36</v>
      </c>
      <c r="I1851" t="s">
        <v>45</v>
      </c>
      <c r="J1851">
        <v>40</v>
      </c>
      <c r="K1851">
        <v>1173.3800000000001</v>
      </c>
      <c r="L1851">
        <v>46935.3</v>
      </c>
      <c r="M1851">
        <v>28729.35</v>
      </c>
      <c r="N1851">
        <v>5275.43</v>
      </c>
      <c r="O1851">
        <v>1371.94</v>
      </c>
      <c r="P1851">
        <v>2103.79</v>
      </c>
      <c r="Q1851">
        <v>737.57</v>
      </c>
      <c r="R1851">
        <v>2682.12</v>
      </c>
      <c r="S1851">
        <v>808.62</v>
      </c>
      <c r="T1851">
        <v>41708.81</v>
      </c>
      <c r="U1851">
        <v>18205.95</v>
      </c>
      <c r="V1851">
        <v>5226.49</v>
      </c>
      <c r="W1851">
        <v>5317.7</v>
      </c>
      <c r="X1851">
        <v>49492.41</v>
      </c>
      <c r="Y1851">
        <v>40579.43</v>
      </c>
    </row>
    <row r="1852" spans="1:25" x14ac:dyDescent="0.25">
      <c r="A1852" t="s">
        <v>1908</v>
      </c>
      <c r="B1852" s="1">
        <v>45446</v>
      </c>
      <c r="C1852">
        <v>2024</v>
      </c>
      <c r="D1852">
        <v>6</v>
      </c>
      <c r="E1852" t="s">
        <v>585</v>
      </c>
      <c r="F1852" t="s">
        <v>358</v>
      </c>
      <c r="G1852" t="s">
        <v>44</v>
      </c>
      <c r="H1852" t="s">
        <v>29</v>
      </c>
      <c r="I1852" t="s">
        <v>30</v>
      </c>
      <c r="J1852">
        <v>121</v>
      </c>
      <c r="K1852">
        <v>846.75</v>
      </c>
      <c r="L1852">
        <v>102457.17</v>
      </c>
      <c r="M1852">
        <v>66438.850000000006</v>
      </c>
      <c r="N1852">
        <v>9911.9500000000007</v>
      </c>
      <c r="O1852">
        <v>2914.56</v>
      </c>
      <c r="P1852">
        <v>4459.32</v>
      </c>
      <c r="Q1852">
        <v>1841.18</v>
      </c>
      <c r="R1852">
        <v>4822.32</v>
      </c>
      <c r="S1852">
        <v>2064.7199999999998</v>
      </c>
      <c r="T1852">
        <v>92452.91</v>
      </c>
      <c r="U1852">
        <v>36018.33</v>
      </c>
      <c r="V1852">
        <v>10004.27</v>
      </c>
      <c r="W1852">
        <v>9127.9699999999993</v>
      </c>
      <c r="X1852">
        <v>105495.53</v>
      </c>
      <c r="Y1852">
        <v>97312.88</v>
      </c>
    </row>
    <row r="1853" spans="1:25" x14ac:dyDescent="0.25">
      <c r="A1853" t="s">
        <v>1909</v>
      </c>
      <c r="B1853" s="1">
        <v>45447</v>
      </c>
      <c r="C1853">
        <v>2024</v>
      </c>
      <c r="D1853">
        <v>6</v>
      </c>
      <c r="E1853" t="s">
        <v>585</v>
      </c>
      <c r="F1853" t="s">
        <v>358</v>
      </c>
      <c r="G1853" t="s">
        <v>28</v>
      </c>
      <c r="H1853" t="s">
        <v>29</v>
      </c>
      <c r="I1853" t="s">
        <v>56</v>
      </c>
      <c r="J1853">
        <v>27</v>
      </c>
      <c r="K1853">
        <v>1243.8499999999999</v>
      </c>
      <c r="L1853">
        <v>33584.07</v>
      </c>
      <c r="M1853">
        <v>22216.3</v>
      </c>
      <c r="N1853">
        <v>4291.34</v>
      </c>
      <c r="O1853">
        <v>1200.79</v>
      </c>
      <c r="P1853">
        <v>988.33</v>
      </c>
      <c r="Q1853">
        <v>256.08999999999997</v>
      </c>
      <c r="R1853">
        <v>880.73</v>
      </c>
      <c r="S1853">
        <v>516.26</v>
      </c>
      <c r="T1853">
        <v>30349.84</v>
      </c>
      <c r="U1853">
        <v>11367.76</v>
      </c>
      <c r="V1853">
        <v>3234.23</v>
      </c>
      <c r="W1853">
        <v>3115.53</v>
      </c>
      <c r="X1853">
        <v>36041.21</v>
      </c>
      <c r="Y1853">
        <v>29191.29</v>
      </c>
    </row>
    <row r="1854" spans="1:25" x14ac:dyDescent="0.25">
      <c r="A1854" t="s">
        <v>1910</v>
      </c>
      <c r="B1854" s="1">
        <v>45447</v>
      </c>
      <c r="C1854">
        <v>2024</v>
      </c>
      <c r="D1854">
        <v>6</v>
      </c>
      <c r="E1854" t="s">
        <v>585</v>
      </c>
      <c r="F1854" t="s">
        <v>358</v>
      </c>
      <c r="G1854" t="s">
        <v>35</v>
      </c>
      <c r="H1854" t="s">
        <v>32</v>
      </c>
      <c r="I1854" t="s">
        <v>56</v>
      </c>
      <c r="J1854">
        <v>41</v>
      </c>
      <c r="K1854">
        <v>1116.71</v>
      </c>
      <c r="L1854">
        <v>45785.02</v>
      </c>
      <c r="M1854">
        <v>30463.55</v>
      </c>
      <c r="N1854">
        <v>4539.2700000000004</v>
      </c>
      <c r="O1854">
        <v>2917.88</v>
      </c>
      <c r="P1854">
        <v>1395.98</v>
      </c>
      <c r="Q1854">
        <v>243.92</v>
      </c>
      <c r="R1854">
        <v>2336.63</v>
      </c>
      <c r="S1854">
        <v>753.29</v>
      </c>
      <c r="T1854">
        <v>42650.52</v>
      </c>
      <c r="U1854">
        <v>15321.47</v>
      </c>
      <c r="V1854">
        <v>3134.49</v>
      </c>
      <c r="W1854">
        <v>3145.88</v>
      </c>
      <c r="X1854">
        <v>48876.43</v>
      </c>
      <c r="Y1854">
        <v>42825.760000000002</v>
      </c>
    </row>
    <row r="1855" spans="1:25" x14ac:dyDescent="0.25">
      <c r="A1855" t="s">
        <v>1911</v>
      </c>
      <c r="B1855" s="1">
        <v>45447</v>
      </c>
      <c r="C1855">
        <v>2024</v>
      </c>
      <c r="D1855">
        <v>6</v>
      </c>
      <c r="E1855" t="s">
        <v>585</v>
      </c>
      <c r="F1855" t="s">
        <v>358</v>
      </c>
      <c r="G1855" t="s">
        <v>35</v>
      </c>
      <c r="H1855" t="s">
        <v>36</v>
      </c>
      <c r="I1855" t="s">
        <v>45</v>
      </c>
      <c r="J1855">
        <v>25</v>
      </c>
      <c r="K1855">
        <v>1630.33</v>
      </c>
      <c r="L1855">
        <v>40758.370000000003</v>
      </c>
      <c r="M1855">
        <v>27154.35</v>
      </c>
      <c r="N1855">
        <v>3538.95</v>
      </c>
      <c r="O1855">
        <v>1351.57</v>
      </c>
      <c r="P1855">
        <v>1632.12</v>
      </c>
      <c r="Q1855">
        <v>694.57</v>
      </c>
      <c r="R1855">
        <v>2503.69</v>
      </c>
      <c r="S1855">
        <v>959.92</v>
      </c>
      <c r="T1855">
        <v>37835.17</v>
      </c>
      <c r="U1855">
        <v>13604.02</v>
      </c>
      <c r="V1855">
        <v>2923.21</v>
      </c>
      <c r="W1855">
        <v>2641.5</v>
      </c>
      <c r="X1855">
        <v>45515.67</v>
      </c>
      <c r="Y1855">
        <v>39319.19</v>
      </c>
    </row>
    <row r="1856" spans="1:25" x14ac:dyDescent="0.25">
      <c r="A1856" t="s">
        <v>1912</v>
      </c>
      <c r="B1856" s="1">
        <v>45447</v>
      </c>
      <c r="C1856">
        <v>2024</v>
      </c>
      <c r="D1856">
        <v>6</v>
      </c>
      <c r="E1856" t="s">
        <v>585</v>
      </c>
      <c r="F1856" t="s">
        <v>358</v>
      </c>
      <c r="G1856" t="s">
        <v>44</v>
      </c>
      <c r="H1856" t="s">
        <v>36</v>
      </c>
      <c r="I1856" t="s">
        <v>45</v>
      </c>
      <c r="J1856">
        <v>31</v>
      </c>
      <c r="K1856">
        <v>1175.4100000000001</v>
      </c>
      <c r="L1856">
        <v>36437.800000000003</v>
      </c>
      <c r="M1856">
        <v>24366</v>
      </c>
      <c r="N1856">
        <v>2999.99</v>
      </c>
      <c r="O1856">
        <v>1047.6300000000001</v>
      </c>
      <c r="P1856">
        <v>1415.02</v>
      </c>
      <c r="Q1856">
        <v>373.35</v>
      </c>
      <c r="R1856">
        <v>2201.71</v>
      </c>
      <c r="S1856">
        <v>755.3</v>
      </c>
      <c r="T1856">
        <v>33158.99</v>
      </c>
      <c r="U1856">
        <v>12071.8</v>
      </c>
      <c r="V1856">
        <v>3278.8</v>
      </c>
      <c r="W1856">
        <v>3060.93</v>
      </c>
      <c r="X1856">
        <v>37824.28</v>
      </c>
      <c r="Y1856">
        <v>32064.29</v>
      </c>
    </row>
    <row r="1857" spans="1:25" x14ac:dyDescent="0.25">
      <c r="A1857" t="s">
        <v>1913</v>
      </c>
      <c r="B1857" s="1">
        <v>45447</v>
      </c>
      <c r="C1857">
        <v>2024</v>
      </c>
      <c r="D1857">
        <v>6</v>
      </c>
      <c r="E1857" t="s">
        <v>585</v>
      </c>
      <c r="F1857" t="s">
        <v>358</v>
      </c>
      <c r="G1857" t="s">
        <v>44</v>
      </c>
      <c r="H1857" t="s">
        <v>29</v>
      </c>
      <c r="I1857" t="s">
        <v>39</v>
      </c>
      <c r="J1857">
        <v>29</v>
      </c>
      <c r="K1857">
        <v>1516.75</v>
      </c>
      <c r="L1857">
        <v>43985.89</v>
      </c>
      <c r="M1857">
        <v>26759.79</v>
      </c>
      <c r="N1857">
        <v>3611.72</v>
      </c>
      <c r="O1857">
        <v>1407.72</v>
      </c>
      <c r="P1857">
        <v>1723.39</v>
      </c>
      <c r="Q1857">
        <v>694.66</v>
      </c>
      <c r="R1857">
        <v>1784.38</v>
      </c>
      <c r="S1857">
        <v>585.95000000000005</v>
      </c>
      <c r="T1857">
        <v>36567.61</v>
      </c>
      <c r="U1857">
        <v>17226.099999999999</v>
      </c>
      <c r="V1857">
        <v>7418.28</v>
      </c>
      <c r="W1857">
        <v>6635.56</v>
      </c>
      <c r="X1857">
        <v>41106.32</v>
      </c>
      <c r="Y1857">
        <v>35032.53</v>
      </c>
    </row>
    <row r="1858" spans="1:25" x14ac:dyDescent="0.25">
      <c r="A1858" t="s">
        <v>1914</v>
      </c>
      <c r="B1858" s="1">
        <v>45447</v>
      </c>
      <c r="C1858">
        <v>2024</v>
      </c>
      <c r="D1858">
        <v>6</v>
      </c>
      <c r="E1858" t="s">
        <v>585</v>
      </c>
      <c r="F1858" t="s">
        <v>358</v>
      </c>
      <c r="G1858" t="s">
        <v>44</v>
      </c>
      <c r="H1858" t="s">
        <v>29</v>
      </c>
      <c r="I1858" t="s">
        <v>37</v>
      </c>
      <c r="J1858">
        <v>36</v>
      </c>
      <c r="K1858">
        <v>1648.5</v>
      </c>
      <c r="L1858">
        <v>59346.13</v>
      </c>
      <c r="M1858">
        <v>39271.760000000002</v>
      </c>
      <c r="N1858">
        <v>6765.55</v>
      </c>
      <c r="O1858">
        <v>3226.9</v>
      </c>
      <c r="P1858">
        <v>2589.37</v>
      </c>
      <c r="Q1858">
        <v>770.53</v>
      </c>
      <c r="R1858">
        <v>2822.4</v>
      </c>
      <c r="S1858">
        <v>1027.0999999999999</v>
      </c>
      <c r="T1858">
        <v>56473.62</v>
      </c>
      <c r="U1858">
        <v>20074.37</v>
      </c>
      <c r="V1858">
        <v>2872.5</v>
      </c>
      <c r="W1858">
        <v>2735.82</v>
      </c>
      <c r="X1858">
        <v>64466.32</v>
      </c>
      <c r="Y1858">
        <v>52730.2</v>
      </c>
    </row>
    <row r="1859" spans="1:25" x14ac:dyDescent="0.25">
      <c r="A1859" t="s">
        <v>1915</v>
      </c>
      <c r="B1859" s="1">
        <v>45448</v>
      </c>
      <c r="C1859">
        <v>2024</v>
      </c>
      <c r="D1859">
        <v>6</v>
      </c>
      <c r="E1859" t="s">
        <v>585</v>
      </c>
      <c r="F1859" t="s">
        <v>358</v>
      </c>
      <c r="G1859" t="s">
        <v>35</v>
      </c>
      <c r="H1859" t="s">
        <v>29</v>
      </c>
      <c r="I1859" t="s">
        <v>56</v>
      </c>
      <c r="J1859">
        <v>37</v>
      </c>
      <c r="K1859">
        <v>1094.4000000000001</v>
      </c>
      <c r="L1859">
        <v>40492.75</v>
      </c>
      <c r="M1859">
        <v>22016.76</v>
      </c>
      <c r="N1859">
        <v>3954.83</v>
      </c>
      <c r="O1859">
        <v>1371.97</v>
      </c>
      <c r="P1859">
        <v>1422.5</v>
      </c>
      <c r="Q1859">
        <v>207.13</v>
      </c>
      <c r="R1859">
        <v>1578.64</v>
      </c>
      <c r="S1859">
        <v>752.85</v>
      </c>
      <c r="T1859">
        <v>31304.7</v>
      </c>
      <c r="U1859">
        <v>18476</v>
      </c>
      <c r="V1859">
        <v>9188.0499999999993</v>
      </c>
      <c r="W1859">
        <v>8745.8799999999992</v>
      </c>
      <c r="X1859">
        <v>39529.33</v>
      </c>
      <c r="Y1859">
        <v>32631.48</v>
      </c>
    </row>
    <row r="1860" spans="1:25" x14ac:dyDescent="0.25">
      <c r="A1860" t="s">
        <v>1916</v>
      </c>
      <c r="B1860" s="1">
        <v>45448</v>
      </c>
      <c r="C1860">
        <v>2024</v>
      </c>
      <c r="D1860">
        <v>6</v>
      </c>
      <c r="E1860" t="s">
        <v>585</v>
      </c>
      <c r="F1860" t="s">
        <v>358</v>
      </c>
      <c r="G1860" t="s">
        <v>55</v>
      </c>
      <c r="H1860" t="s">
        <v>36</v>
      </c>
      <c r="I1860" t="s">
        <v>50</v>
      </c>
      <c r="J1860">
        <v>41</v>
      </c>
      <c r="K1860">
        <v>1607.64</v>
      </c>
      <c r="L1860">
        <v>65913.19</v>
      </c>
      <c r="M1860">
        <v>35480.39</v>
      </c>
      <c r="N1860">
        <v>7000.92</v>
      </c>
      <c r="O1860">
        <v>4375.1000000000004</v>
      </c>
      <c r="P1860">
        <v>1628.14</v>
      </c>
      <c r="Q1860">
        <v>1070.83</v>
      </c>
      <c r="R1860">
        <v>2567.77</v>
      </c>
      <c r="S1860">
        <v>1152.3399999999999</v>
      </c>
      <c r="T1860">
        <v>53275.49</v>
      </c>
      <c r="U1860">
        <v>30432.81</v>
      </c>
      <c r="V1860">
        <v>12637.71</v>
      </c>
      <c r="W1860">
        <v>12033.13</v>
      </c>
      <c r="X1860">
        <v>65350.11</v>
      </c>
      <c r="Y1860">
        <v>57537.97</v>
      </c>
    </row>
    <row r="1861" spans="1:25" x14ac:dyDescent="0.25">
      <c r="A1861" t="s">
        <v>1917</v>
      </c>
      <c r="B1861" s="1">
        <v>45449</v>
      </c>
      <c r="C1861">
        <v>2024</v>
      </c>
      <c r="D1861">
        <v>6</v>
      </c>
      <c r="E1861" t="s">
        <v>585</v>
      </c>
      <c r="F1861" t="s">
        <v>358</v>
      </c>
      <c r="G1861" t="s">
        <v>28</v>
      </c>
      <c r="H1861" t="s">
        <v>32</v>
      </c>
      <c r="I1861" t="s">
        <v>30</v>
      </c>
      <c r="J1861">
        <v>73</v>
      </c>
      <c r="K1861">
        <v>1569.57</v>
      </c>
      <c r="L1861">
        <v>114578.33</v>
      </c>
      <c r="M1861">
        <v>63054.76</v>
      </c>
      <c r="N1861">
        <v>11838.95</v>
      </c>
      <c r="O1861">
        <v>5437.55</v>
      </c>
      <c r="P1861">
        <v>4684.18</v>
      </c>
      <c r="Q1861">
        <v>1303.48</v>
      </c>
      <c r="R1861">
        <v>5431.31</v>
      </c>
      <c r="S1861">
        <v>952.04</v>
      </c>
      <c r="T1861">
        <v>92702.26</v>
      </c>
      <c r="U1861">
        <v>51523.57</v>
      </c>
      <c r="V1861">
        <v>21876.07</v>
      </c>
      <c r="W1861">
        <v>22183.51</v>
      </c>
      <c r="X1861">
        <v>118062.62</v>
      </c>
      <c r="Y1861">
        <v>87050.33</v>
      </c>
    </row>
    <row r="1862" spans="1:25" x14ac:dyDescent="0.25">
      <c r="A1862" t="s">
        <v>1918</v>
      </c>
      <c r="B1862" s="1">
        <v>45449</v>
      </c>
      <c r="C1862">
        <v>2024</v>
      </c>
      <c r="D1862">
        <v>6</v>
      </c>
      <c r="E1862" t="s">
        <v>585</v>
      </c>
      <c r="F1862" t="s">
        <v>358</v>
      </c>
      <c r="G1862" t="s">
        <v>28</v>
      </c>
      <c r="H1862" t="s">
        <v>58</v>
      </c>
      <c r="I1862" t="s">
        <v>65</v>
      </c>
      <c r="J1862">
        <v>49</v>
      </c>
      <c r="K1862">
        <v>1536.46</v>
      </c>
      <c r="L1862">
        <v>75286.53</v>
      </c>
      <c r="M1862">
        <v>47803.06</v>
      </c>
      <c r="N1862">
        <v>7585.15</v>
      </c>
      <c r="O1862">
        <v>2424.02</v>
      </c>
      <c r="P1862">
        <v>1848.05</v>
      </c>
      <c r="Q1862">
        <v>614.24</v>
      </c>
      <c r="R1862">
        <v>4308.54</v>
      </c>
      <c r="S1862">
        <v>1646.15</v>
      </c>
      <c r="T1862">
        <v>66229.210000000006</v>
      </c>
      <c r="U1862">
        <v>27483.47</v>
      </c>
      <c r="V1862">
        <v>9057.31</v>
      </c>
      <c r="W1862">
        <v>9050.59</v>
      </c>
      <c r="X1862">
        <v>73260.33</v>
      </c>
      <c r="Y1862">
        <v>71403.070000000007</v>
      </c>
    </row>
    <row r="1863" spans="1:25" x14ac:dyDescent="0.25">
      <c r="A1863" t="s">
        <v>1919</v>
      </c>
      <c r="B1863" s="1">
        <v>45450</v>
      </c>
      <c r="C1863">
        <v>2024</v>
      </c>
      <c r="D1863">
        <v>6</v>
      </c>
      <c r="E1863" t="s">
        <v>585</v>
      </c>
      <c r="F1863" t="s">
        <v>358</v>
      </c>
      <c r="G1863" t="s">
        <v>44</v>
      </c>
      <c r="H1863" t="s">
        <v>32</v>
      </c>
      <c r="I1863" t="s">
        <v>65</v>
      </c>
      <c r="J1863">
        <v>43</v>
      </c>
      <c r="K1863">
        <v>1809.72</v>
      </c>
      <c r="L1863">
        <v>77818.12</v>
      </c>
      <c r="M1863">
        <v>40194.79</v>
      </c>
      <c r="N1863">
        <v>5880.89</v>
      </c>
      <c r="O1863">
        <v>4464.6099999999997</v>
      </c>
      <c r="P1863">
        <v>1891.56</v>
      </c>
      <c r="Q1863">
        <v>540.41</v>
      </c>
      <c r="R1863">
        <v>3987.2</v>
      </c>
      <c r="S1863">
        <v>1128.5999999999999</v>
      </c>
      <c r="T1863">
        <v>58088.07</v>
      </c>
      <c r="U1863">
        <v>37623.33</v>
      </c>
      <c r="V1863">
        <v>19730.05</v>
      </c>
      <c r="W1863">
        <v>17415.37</v>
      </c>
      <c r="X1863">
        <v>78463.009999999995</v>
      </c>
      <c r="Y1863">
        <v>55514.02</v>
      </c>
    </row>
    <row r="1864" spans="1:25" x14ac:dyDescent="0.25">
      <c r="A1864" t="s">
        <v>1920</v>
      </c>
      <c r="B1864" s="1">
        <v>45450</v>
      </c>
      <c r="C1864">
        <v>2024</v>
      </c>
      <c r="D1864">
        <v>6</v>
      </c>
      <c r="E1864" t="s">
        <v>585</v>
      </c>
      <c r="F1864" t="s">
        <v>358</v>
      </c>
      <c r="G1864" t="s">
        <v>28</v>
      </c>
      <c r="H1864" t="s">
        <v>29</v>
      </c>
      <c r="I1864" t="s">
        <v>39</v>
      </c>
      <c r="J1864">
        <v>30</v>
      </c>
      <c r="K1864">
        <v>1588.13</v>
      </c>
      <c r="L1864">
        <v>47643.89</v>
      </c>
      <c r="M1864">
        <v>28717.82</v>
      </c>
      <c r="N1864">
        <v>5675.46</v>
      </c>
      <c r="O1864">
        <v>1608.89</v>
      </c>
      <c r="P1864">
        <v>1927.18</v>
      </c>
      <c r="Q1864">
        <v>640.49</v>
      </c>
      <c r="R1864">
        <v>2183.3200000000002</v>
      </c>
      <c r="S1864">
        <v>723.21</v>
      </c>
      <c r="T1864">
        <v>41476.370000000003</v>
      </c>
      <c r="U1864">
        <v>18926.07</v>
      </c>
      <c r="V1864">
        <v>6167.52</v>
      </c>
      <c r="W1864">
        <v>6067.11</v>
      </c>
      <c r="X1864">
        <v>46572.56</v>
      </c>
      <c r="Y1864">
        <v>38825.5</v>
      </c>
    </row>
    <row r="1865" spans="1:25" x14ac:dyDescent="0.25">
      <c r="A1865" t="s">
        <v>1921</v>
      </c>
      <c r="B1865" s="1">
        <v>45450</v>
      </c>
      <c r="C1865">
        <v>2024</v>
      </c>
      <c r="D1865">
        <v>6</v>
      </c>
      <c r="E1865" t="s">
        <v>585</v>
      </c>
      <c r="F1865" t="s">
        <v>358</v>
      </c>
      <c r="G1865" t="s">
        <v>35</v>
      </c>
      <c r="H1865" t="s">
        <v>53</v>
      </c>
      <c r="I1865" t="s">
        <v>37</v>
      </c>
      <c r="J1865">
        <v>53</v>
      </c>
      <c r="K1865">
        <v>1244.96</v>
      </c>
      <c r="L1865">
        <v>65983.09</v>
      </c>
      <c r="M1865">
        <v>33856.67</v>
      </c>
      <c r="N1865">
        <v>8107.21</v>
      </c>
      <c r="O1865">
        <v>2858.18</v>
      </c>
      <c r="P1865">
        <v>1618.27</v>
      </c>
      <c r="Q1865">
        <v>664.63</v>
      </c>
      <c r="R1865">
        <v>3821.41</v>
      </c>
      <c r="S1865">
        <v>552.54</v>
      </c>
      <c r="T1865">
        <v>51478.92</v>
      </c>
      <c r="U1865">
        <v>32126.42</v>
      </c>
      <c r="V1865">
        <v>14504.17</v>
      </c>
      <c r="W1865">
        <v>13143.98</v>
      </c>
      <c r="X1865">
        <v>72030.98</v>
      </c>
      <c r="Y1865">
        <v>48742.05</v>
      </c>
    </row>
    <row r="1866" spans="1:25" x14ac:dyDescent="0.25">
      <c r="A1866" t="s">
        <v>1922</v>
      </c>
      <c r="B1866" s="1">
        <v>45451</v>
      </c>
      <c r="C1866">
        <v>2024</v>
      </c>
      <c r="D1866">
        <v>6</v>
      </c>
      <c r="E1866" t="s">
        <v>585</v>
      </c>
      <c r="F1866" t="s">
        <v>358</v>
      </c>
      <c r="G1866" t="s">
        <v>28</v>
      </c>
      <c r="H1866" t="s">
        <v>53</v>
      </c>
      <c r="I1866" t="s">
        <v>65</v>
      </c>
      <c r="J1866">
        <v>29</v>
      </c>
      <c r="K1866">
        <v>1488.32</v>
      </c>
      <c r="L1866">
        <v>43161.18</v>
      </c>
      <c r="M1866">
        <v>26884.31</v>
      </c>
      <c r="N1866">
        <v>4311.83</v>
      </c>
      <c r="O1866">
        <v>1308.54</v>
      </c>
      <c r="P1866">
        <v>1591.49</v>
      </c>
      <c r="Q1866">
        <v>257.8</v>
      </c>
      <c r="R1866">
        <v>2085.3000000000002</v>
      </c>
      <c r="S1866">
        <v>1018.37</v>
      </c>
      <c r="T1866">
        <v>37457.64</v>
      </c>
      <c r="U1866">
        <v>16276.87</v>
      </c>
      <c r="V1866">
        <v>5703.53</v>
      </c>
      <c r="W1866">
        <v>5271.38</v>
      </c>
      <c r="X1866">
        <v>42456.22</v>
      </c>
      <c r="Y1866">
        <v>39873.440000000002</v>
      </c>
    </row>
    <row r="1867" spans="1:25" x14ac:dyDescent="0.25">
      <c r="A1867" t="s">
        <v>1923</v>
      </c>
      <c r="B1867" s="1">
        <v>45451</v>
      </c>
      <c r="C1867">
        <v>2024</v>
      </c>
      <c r="D1867">
        <v>6</v>
      </c>
      <c r="E1867" t="s">
        <v>585</v>
      </c>
      <c r="F1867" t="s">
        <v>358</v>
      </c>
      <c r="G1867" t="s">
        <v>28</v>
      </c>
      <c r="H1867" t="s">
        <v>53</v>
      </c>
      <c r="I1867" t="s">
        <v>56</v>
      </c>
      <c r="J1867">
        <v>25</v>
      </c>
      <c r="K1867">
        <v>1526.37</v>
      </c>
      <c r="L1867">
        <v>38159.199999999997</v>
      </c>
      <c r="M1867">
        <v>21698.48</v>
      </c>
      <c r="N1867">
        <v>2698.67</v>
      </c>
      <c r="O1867">
        <v>1110.29</v>
      </c>
      <c r="P1867">
        <v>1380.35</v>
      </c>
      <c r="Q1867">
        <v>566.96</v>
      </c>
      <c r="R1867">
        <v>1988.38</v>
      </c>
      <c r="S1867">
        <v>571.5</v>
      </c>
      <c r="T1867">
        <v>30014.63</v>
      </c>
      <c r="U1867">
        <v>16460.72</v>
      </c>
      <c r="V1867">
        <v>8144.57</v>
      </c>
      <c r="W1867">
        <v>8175.03</v>
      </c>
      <c r="X1867">
        <v>36729.18</v>
      </c>
      <c r="Y1867">
        <v>28634.03</v>
      </c>
    </row>
    <row r="1868" spans="1:25" x14ac:dyDescent="0.25">
      <c r="A1868" t="s">
        <v>1924</v>
      </c>
      <c r="B1868" s="1">
        <v>45451</v>
      </c>
      <c r="C1868">
        <v>2024</v>
      </c>
      <c r="D1868">
        <v>6</v>
      </c>
      <c r="E1868" t="s">
        <v>585</v>
      </c>
      <c r="F1868" t="s">
        <v>358</v>
      </c>
      <c r="G1868" t="s">
        <v>44</v>
      </c>
      <c r="H1868" t="s">
        <v>32</v>
      </c>
      <c r="I1868" t="s">
        <v>37</v>
      </c>
      <c r="J1868">
        <v>55</v>
      </c>
      <c r="K1868">
        <v>1177.01</v>
      </c>
      <c r="L1868">
        <v>64735.34</v>
      </c>
      <c r="M1868">
        <v>41753.71</v>
      </c>
      <c r="N1868">
        <v>5027.08</v>
      </c>
      <c r="O1868">
        <v>4240.4399999999996</v>
      </c>
      <c r="P1868">
        <v>1153.6099999999999</v>
      </c>
      <c r="Q1868">
        <v>1079.44</v>
      </c>
      <c r="R1868">
        <v>3604.46</v>
      </c>
      <c r="S1868">
        <v>1061.1199999999999</v>
      </c>
      <c r="T1868">
        <v>57919.87</v>
      </c>
      <c r="U1868">
        <v>22981.63</v>
      </c>
      <c r="V1868">
        <v>6815.47</v>
      </c>
      <c r="W1868">
        <v>6928.99</v>
      </c>
      <c r="X1868">
        <v>60187.14</v>
      </c>
      <c r="Y1868">
        <v>60721.04</v>
      </c>
    </row>
    <row r="1869" spans="1:25" x14ac:dyDescent="0.25">
      <c r="A1869" t="s">
        <v>1925</v>
      </c>
      <c r="B1869" s="1">
        <v>45451</v>
      </c>
      <c r="C1869">
        <v>2024</v>
      </c>
      <c r="D1869">
        <v>6</v>
      </c>
      <c r="E1869" t="s">
        <v>585</v>
      </c>
      <c r="F1869" t="s">
        <v>358</v>
      </c>
      <c r="G1869" t="s">
        <v>28</v>
      </c>
      <c r="H1869" t="s">
        <v>32</v>
      </c>
      <c r="I1869" t="s">
        <v>30</v>
      </c>
      <c r="J1869">
        <v>114</v>
      </c>
      <c r="K1869">
        <v>851.41</v>
      </c>
      <c r="L1869">
        <v>97060.99</v>
      </c>
      <c r="M1869">
        <v>62688.480000000003</v>
      </c>
      <c r="N1869">
        <v>11903.95</v>
      </c>
      <c r="O1869">
        <v>6003.06</v>
      </c>
      <c r="P1869">
        <v>2884.07</v>
      </c>
      <c r="Q1869">
        <v>1278.73</v>
      </c>
      <c r="R1869">
        <v>5317.96</v>
      </c>
      <c r="S1869">
        <v>1746.06</v>
      </c>
      <c r="T1869">
        <v>91822.31</v>
      </c>
      <c r="U1869">
        <v>34372.51</v>
      </c>
      <c r="V1869">
        <v>5238.68</v>
      </c>
      <c r="W1869">
        <v>4713.5600000000004</v>
      </c>
      <c r="X1869">
        <v>104186.41</v>
      </c>
      <c r="Y1869">
        <v>100853.28</v>
      </c>
    </row>
    <row r="1870" spans="1:25" x14ac:dyDescent="0.25">
      <c r="A1870" t="s">
        <v>1926</v>
      </c>
      <c r="B1870" s="1">
        <v>45452</v>
      </c>
      <c r="C1870">
        <v>2024</v>
      </c>
      <c r="D1870">
        <v>6</v>
      </c>
      <c r="E1870" t="s">
        <v>585</v>
      </c>
      <c r="F1870" t="s">
        <v>358</v>
      </c>
      <c r="G1870" t="s">
        <v>55</v>
      </c>
      <c r="H1870" t="s">
        <v>32</v>
      </c>
      <c r="I1870" t="s">
        <v>37</v>
      </c>
      <c r="J1870">
        <v>104</v>
      </c>
      <c r="K1870">
        <v>924.68</v>
      </c>
      <c r="L1870">
        <v>96166.41</v>
      </c>
      <c r="M1870">
        <v>50557.01</v>
      </c>
      <c r="N1870">
        <v>9764.44</v>
      </c>
      <c r="O1870">
        <v>6727.58</v>
      </c>
      <c r="P1870">
        <v>2634.97</v>
      </c>
      <c r="Q1870">
        <v>623.41</v>
      </c>
      <c r="R1870">
        <v>3632.57</v>
      </c>
      <c r="S1870">
        <v>1596.81</v>
      </c>
      <c r="T1870">
        <v>75536.800000000003</v>
      </c>
      <c r="U1870">
        <v>45609.4</v>
      </c>
      <c r="V1870">
        <v>20629.62</v>
      </c>
      <c r="W1870">
        <v>19866.53</v>
      </c>
      <c r="X1870">
        <v>102981.68</v>
      </c>
      <c r="Y1870">
        <v>72553.91</v>
      </c>
    </row>
    <row r="1871" spans="1:25" x14ac:dyDescent="0.25">
      <c r="A1871" t="s">
        <v>1927</v>
      </c>
      <c r="B1871" s="1">
        <v>45452</v>
      </c>
      <c r="C1871">
        <v>2024</v>
      </c>
      <c r="D1871">
        <v>6</v>
      </c>
      <c r="E1871" t="s">
        <v>585</v>
      </c>
      <c r="F1871" t="s">
        <v>358</v>
      </c>
      <c r="G1871" t="s">
        <v>35</v>
      </c>
      <c r="H1871" t="s">
        <v>36</v>
      </c>
      <c r="I1871" t="s">
        <v>39</v>
      </c>
      <c r="J1871">
        <v>22</v>
      </c>
      <c r="K1871">
        <v>1238.73</v>
      </c>
      <c r="L1871">
        <v>27252.16</v>
      </c>
      <c r="M1871">
        <v>15111.74</v>
      </c>
      <c r="N1871">
        <v>2309.58</v>
      </c>
      <c r="O1871">
        <v>1699.85</v>
      </c>
      <c r="P1871">
        <v>1159.26</v>
      </c>
      <c r="Q1871">
        <v>460.39</v>
      </c>
      <c r="R1871">
        <v>1222.93</v>
      </c>
      <c r="S1871">
        <v>404.9</v>
      </c>
      <c r="T1871">
        <v>22368.65</v>
      </c>
      <c r="U1871">
        <v>12140.42</v>
      </c>
      <c r="V1871">
        <v>4883.51</v>
      </c>
      <c r="W1871">
        <v>4932.9399999999996</v>
      </c>
      <c r="X1871">
        <v>29533.279999999999</v>
      </c>
      <c r="Y1871">
        <v>22242.9</v>
      </c>
    </row>
    <row r="1872" spans="1:25" x14ac:dyDescent="0.25">
      <c r="A1872" t="s">
        <v>1928</v>
      </c>
      <c r="B1872" s="1">
        <v>45452</v>
      </c>
      <c r="C1872">
        <v>2024</v>
      </c>
      <c r="D1872">
        <v>6</v>
      </c>
      <c r="E1872" t="s">
        <v>585</v>
      </c>
      <c r="F1872" t="s">
        <v>358</v>
      </c>
      <c r="G1872" t="s">
        <v>55</v>
      </c>
      <c r="H1872" t="s">
        <v>36</v>
      </c>
      <c r="I1872" t="s">
        <v>65</v>
      </c>
      <c r="J1872">
        <v>37</v>
      </c>
      <c r="K1872">
        <v>1749.04</v>
      </c>
      <c r="L1872">
        <v>64714.32</v>
      </c>
      <c r="M1872">
        <v>43764.33</v>
      </c>
      <c r="N1872">
        <v>7115.41</v>
      </c>
      <c r="O1872">
        <v>3104.94</v>
      </c>
      <c r="P1872">
        <v>1775.44</v>
      </c>
      <c r="Q1872">
        <v>408.34</v>
      </c>
      <c r="R1872">
        <v>2746.72</v>
      </c>
      <c r="S1872">
        <v>1379.29</v>
      </c>
      <c r="T1872">
        <v>60294.48</v>
      </c>
      <c r="U1872">
        <v>20949.98</v>
      </c>
      <c r="V1872">
        <v>4419.84</v>
      </c>
      <c r="W1872">
        <v>4442.26</v>
      </c>
      <c r="X1872">
        <v>65222.52</v>
      </c>
      <c r="Y1872">
        <v>65620.649999999994</v>
      </c>
    </row>
    <row r="1873" spans="1:25" x14ac:dyDescent="0.25">
      <c r="A1873" t="s">
        <v>1929</v>
      </c>
      <c r="B1873" s="1">
        <v>45452</v>
      </c>
      <c r="C1873">
        <v>2024</v>
      </c>
      <c r="D1873">
        <v>6</v>
      </c>
      <c r="E1873" t="s">
        <v>585</v>
      </c>
      <c r="F1873" t="s">
        <v>358</v>
      </c>
      <c r="G1873" t="s">
        <v>55</v>
      </c>
      <c r="H1873" t="s">
        <v>32</v>
      </c>
      <c r="I1873" t="s">
        <v>37</v>
      </c>
      <c r="J1873">
        <v>59</v>
      </c>
      <c r="K1873">
        <v>1752.43</v>
      </c>
      <c r="L1873">
        <v>103393.28</v>
      </c>
      <c r="M1873">
        <v>64315.61</v>
      </c>
      <c r="N1873">
        <v>7968.96</v>
      </c>
      <c r="O1873">
        <v>5389.4</v>
      </c>
      <c r="P1873">
        <v>4607.8</v>
      </c>
      <c r="Q1873">
        <v>1061.33</v>
      </c>
      <c r="R1873">
        <v>5948.29</v>
      </c>
      <c r="S1873">
        <v>1530.58</v>
      </c>
      <c r="T1873">
        <v>90821.97</v>
      </c>
      <c r="U1873">
        <v>39077.67</v>
      </c>
      <c r="V1873">
        <v>12571.31</v>
      </c>
      <c r="W1873">
        <v>12519.63</v>
      </c>
      <c r="X1873">
        <v>105339.73</v>
      </c>
      <c r="Y1873">
        <v>92337.81</v>
      </c>
    </row>
    <row r="1874" spans="1:25" x14ac:dyDescent="0.25">
      <c r="A1874" t="s">
        <v>1930</v>
      </c>
      <c r="B1874" s="1">
        <v>45452</v>
      </c>
      <c r="C1874">
        <v>2024</v>
      </c>
      <c r="D1874">
        <v>6</v>
      </c>
      <c r="E1874" t="s">
        <v>585</v>
      </c>
      <c r="F1874" t="s">
        <v>358</v>
      </c>
      <c r="G1874" t="s">
        <v>35</v>
      </c>
      <c r="H1874" t="s">
        <v>36</v>
      </c>
      <c r="I1874" t="s">
        <v>65</v>
      </c>
      <c r="J1874">
        <v>46</v>
      </c>
      <c r="K1874">
        <v>1409.09</v>
      </c>
      <c r="L1874">
        <v>64818.15</v>
      </c>
      <c r="M1874">
        <v>37809.22</v>
      </c>
      <c r="N1874">
        <v>6604.42</v>
      </c>
      <c r="O1874">
        <v>3756.54</v>
      </c>
      <c r="P1874">
        <v>1788.63</v>
      </c>
      <c r="Q1874">
        <v>430.14</v>
      </c>
      <c r="R1874">
        <v>3672.06</v>
      </c>
      <c r="S1874">
        <v>844.88</v>
      </c>
      <c r="T1874">
        <v>54905.9</v>
      </c>
      <c r="U1874">
        <v>27008.93</v>
      </c>
      <c r="V1874">
        <v>9912.25</v>
      </c>
      <c r="W1874">
        <v>8859.9500000000007</v>
      </c>
      <c r="X1874">
        <v>60425.84</v>
      </c>
      <c r="Y1874">
        <v>55958.14</v>
      </c>
    </row>
    <row r="1875" spans="1:25" x14ac:dyDescent="0.25">
      <c r="A1875" t="s">
        <v>1931</v>
      </c>
      <c r="B1875" s="1">
        <v>45453</v>
      </c>
      <c r="C1875">
        <v>2024</v>
      </c>
      <c r="D1875">
        <v>6</v>
      </c>
      <c r="E1875" t="s">
        <v>585</v>
      </c>
      <c r="F1875" t="s">
        <v>358</v>
      </c>
      <c r="G1875" t="s">
        <v>44</v>
      </c>
      <c r="H1875" t="s">
        <v>36</v>
      </c>
      <c r="I1875" t="s">
        <v>65</v>
      </c>
      <c r="J1875">
        <v>75</v>
      </c>
      <c r="K1875">
        <v>924.49</v>
      </c>
      <c r="L1875">
        <v>69336.509999999995</v>
      </c>
      <c r="M1875">
        <v>43771.09</v>
      </c>
      <c r="N1875">
        <v>8814.14</v>
      </c>
      <c r="O1875">
        <v>2286.27</v>
      </c>
      <c r="P1875">
        <v>2303.0700000000002</v>
      </c>
      <c r="Q1875">
        <v>674.04</v>
      </c>
      <c r="R1875">
        <v>3458.53</v>
      </c>
      <c r="S1875">
        <v>1023.78</v>
      </c>
      <c r="T1875">
        <v>62330.92</v>
      </c>
      <c r="U1875">
        <v>25565.42</v>
      </c>
      <c r="V1875">
        <v>7005.59</v>
      </c>
      <c r="W1875">
        <v>7137.91</v>
      </c>
      <c r="X1875">
        <v>67044.149999999994</v>
      </c>
      <c r="Y1875">
        <v>63614.43</v>
      </c>
    </row>
    <row r="1876" spans="1:25" x14ac:dyDescent="0.25">
      <c r="A1876" t="s">
        <v>1932</v>
      </c>
      <c r="B1876" s="1">
        <v>45453</v>
      </c>
      <c r="C1876">
        <v>2024</v>
      </c>
      <c r="D1876">
        <v>6</v>
      </c>
      <c r="E1876" t="s">
        <v>585</v>
      </c>
      <c r="F1876" t="s">
        <v>358</v>
      </c>
      <c r="G1876" t="s">
        <v>55</v>
      </c>
      <c r="H1876" t="s">
        <v>36</v>
      </c>
      <c r="I1876" t="s">
        <v>33</v>
      </c>
      <c r="J1876">
        <v>52</v>
      </c>
      <c r="K1876">
        <v>1351.16</v>
      </c>
      <c r="L1876">
        <v>70260.460000000006</v>
      </c>
      <c r="M1876">
        <v>38760.519999999997</v>
      </c>
      <c r="N1876">
        <v>5418.54</v>
      </c>
      <c r="O1876">
        <v>2787.27</v>
      </c>
      <c r="P1876">
        <v>2527.19</v>
      </c>
      <c r="Q1876">
        <v>540.16999999999996</v>
      </c>
      <c r="R1876">
        <v>2871.29</v>
      </c>
      <c r="S1876">
        <v>1168.27</v>
      </c>
      <c r="T1876">
        <v>54073.26</v>
      </c>
      <c r="U1876">
        <v>31499.94</v>
      </c>
      <c r="V1876">
        <v>16187.2</v>
      </c>
      <c r="W1876">
        <v>16167.39</v>
      </c>
      <c r="X1876">
        <v>69279.19</v>
      </c>
      <c r="Y1876">
        <v>51477.75</v>
      </c>
    </row>
    <row r="1877" spans="1:25" x14ac:dyDescent="0.25">
      <c r="A1877" t="s">
        <v>1933</v>
      </c>
      <c r="B1877" s="1">
        <v>45454</v>
      </c>
      <c r="C1877">
        <v>2024</v>
      </c>
      <c r="D1877">
        <v>6</v>
      </c>
      <c r="E1877" t="s">
        <v>585</v>
      </c>
      <c r="F1877" t="s">
        <v>358</v>
      </c>
      <c r="G1877" t="s">
        <v>35</v>
      </c>
      <c r="H1877" t="s">
        <v>53</v>
      </c>
      <c r="I1877" t="s">
        <v>50</v>
      </c>
      <c r="J1877">
        <v>23</v>
      </c>
      <c r="K1877">
        <v>1504.18</v>
      </c>
      <c r="L1877">
        <v>34596.11</v>
      </c>
      <c r="M1877">
        <v>23101.43</v>
      </c>
      <c r="N1877">
        <v>3710.7</v>
      </c>
      <c r="O1877">
        <v>1156.81</v>
      </c>
      <c r="P1877">
        <v>1438.17</v>
      </c>
      <c r="Q1877">
        <v>483.97</v>
      </c>
      <c r="R1877">
        <v>1286.78</v>
      </c>
      <c r="S1877">
        <v>335.54</v>
      </c>
      <c r="T1877">
        <v>31513.41</v>
      </c>
      <c r="U1877">
        <v>11494.67</v>
      </c>
      <c r="V1877">
        <v>3082.7</v>
      </c>
      <c r="W1877">
        <v>3022.09</v>
      </c>
      <c r="X1877">
        <v>36757.57</v>
      </c>
      <c r="Y1877">
        <v>34569.72</v>
      </c>
    </row>
    <row r="1878" spans="1:25" x14ac:dyDescent="0.25">
      <c r="A1878" t="s">
        <v>1934</v>
      </c>
      <c r="B1878" s="1">
        <v>45455</v>
      </c>
      <c r="C1878">
        <v>2024</v>
      </c>
      <c r="D1878">
        <v>6</v>
      </c>
      <c r="E1878" t="s">
        <v>585</v>
      </c>
      <c r="F1878" t="s">
        <v>358</v>
      </c>
      <c r="G1878" t="s">
        <v>55</v>
      </c>
      <c r="H1878" t="s">
        <v>32</v>
      </c>
      <c r="I1878" t="s">
        <v>37</v>
      </c>
      <c r="J1878">
        <v>64</v>
      </c>
      <c r="K1878">
        <v>1128.26</v>
      </c>
      <c r="L1878">
        <v>72208.570000000007</v>
      </c>
      <c r="M1878">
        <v>39930.19</v>
      </c>
      <c r="N1878">
        <v>8160.8</v>
      </c>
      <c r="O1878">
        <v>5136.53</v>
      </c>
      <c r="P1878">
        <v>2054.94</v>
      </c>
      <c r="Q1878">
        <v>780.3</v>
      </c>
      <c r="R1878">
        <v>2594.0700000000002</v>
      </c>
      <c r="S1878">
        <v>1268.46</v>
      </c>
      <c r="T1878">
        <v>59925.3</v>
      </c>
      <c r="U1878">
        <v>32278.38</v>
      </c>
      <c r="V1878">
        <v>12283.27</v>
      </c>
      <c r="W1878">
        <v>12422.68</v>
      </c>
      <c r="X1878">
        <v>78532.009999999995</v>
      </c>
      <c r="Y1878">
        <v>61736.92</v>
      </c>
    </row>
    <row r="1879" spans="1:25" x14ac:dyDescent="0.25">
      <c r="A1879" t="s">
        <v>1935</v>
      </c>
      <c r="B1879" s="1">
        <v>45455</v>
      </c>
      <c r="C1879">
        <v>2024</v>
      </c>
      <c r="D1879">
        <v>6</v>
      </c>
      <c r="E1879" t="s">
        <v>585</v>
      </c>
      <c r="F1879" t="s">
        <v>358</v>
      </c>
      <c r="G1879" t="s">
        <v>44</v>
      </c>
      <c r="H1879" t="s">
        <v>29</v>
      </c>
      <c r="I1879" t="s">
        <v>50</v>
      </c>
      <c r="J1879">
        <v>65</v>
      </c>
      <c r="K1879">
        <v>893.88</v>
      </c>
      <c r="L1879">
        <v>58102.09</v>
      </c>
      <c r="M1879">
        <v>37318.339999999997</v>
      </c>
      <c r="N1879">
        <v>6608.15</v>
      </c>
      <c r="O1879">
        <v>3914.48</v>
      </c>
      <c r="P1879">
        <v>2401.66</v>
      </c>
      <c r="Q1879">
        <v>690.7</v>
      </c>
      <c r="R1879">
        <v>1820.56</v>
      </c>
      <c r="S1879">
        <v>1359.44</v>
      </c>
      <c r="T1879">
        <v>54113.33</v>
      </c>
      <c r="U1879">
        <v>20783.759999999998</v>
      </c>
      <c r="V1879">
        <v>3988.77</v>
      </c>
      <c r="W1879">
        <v>3981.72</v>
      </c>
      <c r="X1879">
        <v>61563.48</v>
      </c>
      <c r="Y1879">
        <v>57412.57</v>
      </c>
    </row>
    <row r="1880" spans="1:25" x14ac:dyDescent="0.25">
      <c r="A1880" t="s">
        <v>1936</v>
      </c>
      <c r="B1880" s="1">
        <v>45456</v>
      </c>
      <c r="C1880">
        <v>2024</v>
      </c>
      <c r="D1880">
        <v>6</v>
      </c>
      <c r="E1880" t="s">
        <v>585</v>
      </c>
      <c r="F1880" t="s">
        <v>358</v>
      </c>
      <c r="G1880" t="s">
        <v>44</v>
      </c>
      <c r="H1880" t="s">
        <v>36</v>
      </c>
      <c r="I1880" t="s">
        <v>33</v>
      </c>
      <c r="J1880">
        <v>44</v>
      </c>
      <c r="K1880">
        <v>1537.97</v>
      </c>
      <c r="L1880">
        <v>67670.679999999993</v>
      </c>
      <c r="M1880">
        <v>39390.43</v>
      </c>
      <c r="N1880">
        <v>5684.92</v>
      </c>
      <c r="O1880">
        <v>2295.5100000000002</v>
      </c>
      <c r="P1880">
        <v>2739.98</v>
      </c>
      <c r="Q1880">
        <v>769.21</v>
      </c>
      <c r="R1880">
        <v>3740.01</v>
      </c>
      <c r="S1880">
        <v>1390.63</v>
      </c>
      <c r="T1880">
        <v>56010.68</v>
      </c>
      <c r="U1880">
        <v>28280.25</v>
      </c>
      <c r="V1880">
        <v>11659.99</v>
      </c>
      <c r="W1880">
        <v>10815.81</v>
      </c>
      <c r="X1880">
        <v>65393.55</v>
      </c>
      <c r="Y1880">
        <v>59709.98</v>
      </c>
    </row>
    <row r="1881" spans="1:25" x14ac:dyDescent="0.25">
      <c r="A1881" t="s">
        <v>1937</v>
      </c>
      <c r="B1881" s="1">
        <v>45456</v>
      </c>
      <c r="C1881">
        <v>2024</v>
      </c>
      <c r="D1881">
        <v>6</v>
      </c>
      <c r="E1881" t="s">
        <v>585</v>
      </c>
      <c r="F1881" t="s">
        <v>358</v>
      </c>
      <c r="G1881" t="s">
        <v>35</v>
      </c>
      <c r="H1881" t="s">
        <v>32</v>
      </c>
      <c r="I1881" t="s">
        <v>33</v>
      </c>
      <c r="J1881">
        <v>48</v>
      </c>
      <c r="K1881">
        <v>1311.66</v>
      </c>
      <c r="L1881">
        <v>62959.74</v>
      </c>
      <c r="M1881">
        <v>38768.18</v>
      </c>
      <c r="N1881">
        <v>7001.25</v>
      </c>
      <c r="O1881">
        <v>4413.9799999999996</v>
      </c>
      <c r="P1881">
        <v>1174.6500000000001</v>
      </c>
      <c r="Q1881">
        <v>610.55999999999995</v>
      </c>
      <c r="R1881">
        <v>2283.58</v>
      </c>
      <c r="S1881">
        <v>1394.51</v>
      </c>
      <c r="T1881">
        <v>55646.71</v>
      </c>
      <c r="U1881">
        <v>24191.56</v>
      </c>
      <c r="V1881">
        <v>7313.02</v>
      </c>
      <c r="W1881">
        <v>7163.49</v>
      </c>
      <c r="X1881">
        <v>60533.52</v>
      </c>
      <c r="Y1881">
        <v>53001.23</v>
      </c>
    </row>
    <row r="1882" spans="1:25" x14ac:dyDescent="0.25">
      <c r="A1882" t="s">
        <v>1938</v>
      </c>
      <c r="B1882" s="1">
        <v>45457</v>
      </c>
      <c r="C1882">
        <v>2024</v>
      </c>
      <c r="D1882">
        <v>6</v>
      </c>
      <c r="E1882" t="s">
        <v>585</v>
      </c>
      <c r="F1882" t="s">
        <v>358</v>
      </c>
      <c r="G1882" t="s">
        <v>35</v>
      </c>
      <c r="H1882" t="s">
        <v>32</v>
      </c>
      <c r="I1882" t="s">
        <v>37</v>
      </c>
      <c r="J1882">
        <v>41</v>
      </c>
      <c r="K1882">
        <v>1592.24</v>
      </c>
      <c r="L1882">
        <v>65281.73</v>
      </c>
      <c r="M1882">
        <v>31412.49</v>
      </c>
      <c r="N1882">
        <v>7216.16</v>
      </c>
      <c r="O1882">
        <v>2521.0100000000002</v>
      </c>
      <c r="P1882">
        <v>2538.94</v>
      </c>
      <c r="Q1882">
        <v>1166.6199999999999</v>
      </c>
      <c r="R1882">
        <v>4242.71</v>
      </c>
      <c r="S1882">
        <v>1465.79</v>
      </c>
      <c r="T1882">
        <v>50563.72</v>
      </c>
      <c r="U1882">
        <v>33869.24</v>
      </c>
      <c r="V1882">
        <v>14718</v>
      </c>
      <c r="W1882">
        <v>12960.96</v>
      </c>
      <c r="X1882">
        <v>66090.22</v>
      </c>
      <c r="Y1882">
        <v>55112.71</v>
      </c>
    </row>
    <row r="1883" spans="1:25" x14ac:dyDescent="0.25">
      <c r="A1883" t="s">
        <v>1939</v>
      </c>
      <c r="B1883" s="1">
        <v>45458</v>
      </c>
      <c r="C1883">
        <v>2024</v>
      </c>
      <c r="D1883">
        <v>6</v>
      </c>
      <c r="E1883" t="s">
        <v>585</v>
      </c>
      <c r="F1883" t="s">
        <v>358</v>
      </c>
      <c r="G1883" t="s">
        <v>44</v>
      </c>
      <c r="H1883" t="s">
        <v>32</v>
      </c>
      <c r="I1883" t="s">
        <v>50</v>
      </c>
      <c r="J1883">
        <v>57</v>
      </c>
      <c r="K1883">
        <v>1241.5</v>
      </c>
      <c r="L1883">
        <v>70765.73</v>
      </c>
      <c r="M1883">
        <v>46918.06</v>
      </c>
      <c r="N1883">
        <v>8866.51</v>
      </c>
      <c r="O1883">
        <v>2912.99</v>
      </c>
      <c r="P1883">
        <v>1104.1199999999999</v>
      </c>
      <c r="Q1883">
        <v>1257.33</v>
      </c>
      <c r="R1883">
        <v>4143.2299999999996</v>
      </c>
      <c r="S1883">
        <v>1575.83</v>
      </c>
      <c r="T1883">
        <v>66778.070000000007</v>
      </c>
      <c r="U1883">
        <v>23847.67</v>
      </c>
      <c r="V1883">
        <v>3987.67</v>
      </c>
      <c r="W1883">
        <v>3807.93</v>
      </c>
      <c r="X1883">
        <v>79217.64</v>
      </c>
      <c r="Y1883">
        <v>65451.83</v>
      </c>
    </row>
    <row r="1884" spans="1:25" x14ac:dyDescent="0.25">
      <c r="A1884" t="s">
        <v>1940</v>
      </c>
      <c r="B1884" s="1">
        <v>45458</v>
      </c>
      <c r="C1884">
        <v>2024</v>
      </c>
      <c r="D1884">
        <v>6</v>
      </c>
      <c r="E1884" t="s">
        <v>585</v>
      </c>
      <c r="F1884" t="s">
        <v>358</v>
      </c>
      <c r="G1884" t="s">
        <v>44</v>
      </c>
      <c r="H1884" t="s">
        <v>36</v>
      </c>
      <c r="I1884" t="s">
        <v>37</v>
      </c>
      <c r="J1884">
        <v>36</v>
      </c>
      <c r="K1884">
        <v>1757.63</v>
      </c>
      <c r="L1884">
        <v>63274.76</v>
      </c>
      <c r="M1884">
        <v>32041.14</v>
      </c>
      <c r="N1884">
        <v>7444.25</v>
      </c>
      <c r="O1884">
        <v>2133.64</v>
      </c>
      <c r="P1884">
        <v>1259.76</v>
      </c>
      <c r="Q1884">
        <v>495.52</v>
      </c>
      <c r="R1884">
        <v>3451.75</v>
      </c>
      <c r="S1884">
        <v>1539.3</v>
      </c>
      <c r="T1884">
        <v>48365.36</v>
      </c>
      <c r="U1884">
        <v>31233.62</v>
      </c>
      <c r="V1884">
        <v>14909.4</v>
      </c>
      <c r="W1884">
        <v>13445.85</v>
      </c>
      <c r="X1884">
        <v>70755.83</v>
      </c>
      <c r="Y1884">
        <v>49876.6</v>
      </c>
    </row>
    <row r="1885" spans="1:25" x14ac:dyDescent="0.25">
      <c r="A1885" t="s">
        <v>1941</v>
      </c>
      <c r="B1885" s="1">
        <v>45458</v>
      </c>
      <c r="C1885">
        <v>2024</v>
      </c>
      <c r="D1885">
        <v>6</v>
      </c>
      <c r="E1885" t="s">
        <v>585</v>
      </c>
      <c r="F1885" t="s">
        <v>358</v>
      </c>
      <c r="G1885" t="s">
        <v>28</v>
      </c>
      <c r="H1885" t="s">
        <v>53</v>
      </c>
      <c r="I1885" t="s">
        <v>37</v>
      </c>
      <c r="J1885">
        <v>42</v>
      </c>
      <c r="K1885">
        <v>1442.23</v>
      </c>
      <c r="L1885">
        <v>60573.77</v>
      </c>
      <c r="M1885">
        <v>36445.160000000003</v>
      </c>
      <c r="N1885">
        <v>5619.73</v>
      </c>
      <c r="O1885">
        <v>2756.56</v>
      </c>
      <c r="P1885">
        <v>1474.27</v>
      </c>
      <c r="Q1885">
        <v>660.76</v>
      </c>
      <c r="R1885">
        <v>2166.1999999999998</v>
      </c>
      <c r="S1885">
        <v>570.82000000000005</v>
      </c>
      <c r="T1885">
        <v>49693.49</v>
      </c>
      <c r="U1885">
        <v>24128.61</v>
      </c>
      <c r="V1885">
        <v>10880.27</v>
      </c>
      <c r="W1885">
        <v>9657.5300000000007</v>
      </c>
      <c r="X1885">
        <v>58674.23</v>
      </c>
      <c r="Y1885">
        <v>47630.26</v>
      </c>
    </row>
    <row r="1886" spans="1:25" x14ac:dyDescent="0.25">
      <c r="A1886" t="s">
        <v>1942</v>
      </c>
      <c r="B1886" s="1">
        <v>45458</v>
      </c>
      <c r="C1886">
        <v>2024</v>
      </c>
      <c r="D1886">
        <v>6</v>
      </c>
      <c r="E1886" t="s">
        <v>585</v>
      </c>
      <c r="F1886" t="s">
        <v>358</v>
      </c>
      <c r="G1886" t="s">
        <v>55</v>
      </c>
      <c r="H1886" t="s">
        <v>29</v>
      </c>
      <c r="I1886" t="s">
        <v>33</v>
      </c>
      <c r="J1886">
        <v>69</v>
      </c>
      <c r="K1886">
        <v>1469.31</v>
      </c>
      <c r="L1886">
        <v>101382.62</v>
      </c>
      <c r="M1886">
        <v>53920.57</v>
      </c>
      <c r="N1886">
        <v>9319.94</v>
      </c>
      <c r="O1886">
        <v>5114.37</v>
      </c>
      <c r="P1886">
        <v>2145.7399999999998</v>
      </c>
      <c r="Q1886">
        <v>1169.79</v>
      </c>
      <c r="R1886">
        <v>3379.61</v>
      </c>
      <c r="S1886">
        <v>2213.0100000000002</v>
      </c>
      <c r="T1886">
        <v>77263.03</v>
      </c>
      <c r="U1886">
        <v>47462.06</v>
      </c>
      <c r="V1886">
        <v>24119.59</v>
      </c>
      <c r="W1886">
        <v>23821.9</v>
      </c>
      <c r="X1886">
        <v>109431.75</v>
      </c>
      <c r="Y1886">
        <v>84494.81</v>
      </c>
    </row>
    <row r="1887" spans="1:25" x14ac:dyDescent="0.25">
      <c r="A1887" t="s">
        <v>1943</v>
      </c>
      <c r="B1887" s="1">
        <v>45458</v>
      </c>
      <c r="C1887">
        <v>2024</v>
      </c>
      <c r="D1887">
        <v>6</v>
      </c>
      <c r="E1887" t="s">
        <v>585</v>
      </c>
      <c r="F1887" t="s">
        <v>358</v>
      </c>
      <c r="G1887" t="s">
        <v>35</v>
      </c>
      <c r="H1887" t="s">
        <v>32</v>
      </c>
      <c r="I1887" t="s">
        <v>30</v>
      </c>
      <c r="J1887">
        <v>83</v>
      </c>
      <c r="K1887">
        <v>1058.3499999999999</v>
      </c>
      <c r="L1887">
        <v>87842.72</v>
      </c>
      <c r="M1887">
        <v>42543.519999999997</v>
      </c>
      <c r="N1887">
        <v>10265.91</v>
      </c>
      <c r="O1887">
        <v>3778.47</v>
      </c>
      <c r="P1887">
        <v>2899.01</v>
      </c>
      <c r="Q1887">
        <v>865.06</v>
      </c>
      <c r="R1887">
        <v>4300.75</v>
      </c>
      <c r="S1887">
        <v>1662.42</v>
      </c>
      <c r="T1887">
        <v>66315.13</v>
      </c>
      <c r="U1887">
        <v>45299.19</v>
      </c>
      <c r="V1887">
        <v>21527.59</v>
      </c>
      <c r="W1887">
        <v>20793.7</v>
      </c>
      <c r="X1887">
        <v>97353.46</v>
      </c>
      <c r="Y1887">
        <v>62775.17</v>
      </c>
    </row>
    <row r="1888" spans="1:25" x14ac:dyDescent="0.25">
      <c r="A1888" t="s">
        <v>1944</v>
      </c>
      <c r="B1888" s="1">
        <v>45459</v>
      </c>
      <c r="C1888">
        <v>2024</v>
      </c>
      <c r="D1888">
        <v>6</v>
      </c>
      <c r="E1888" t="s">
        <v>585</v>
      </c>
      <c r="F1888" t="s">
        <v>358</v>
      </c>
      <c r="G1888" t="s">
        <v>28</v>
      </c>
      <c r="H1888" t="s">
        <v>36</v>
      </c>
      <c r="I1888" t="s">
        <v>45</v>
      </c>
      <c r="J1888">
        <v>53</v>
      </c>
      <c r="K1888">
        <v>1109.19</v>
      </c>
      <c r="L1888">
        <v>58787.02</v>
      </c>
      <c r="M1888">
        <v>28566.26</v>
      </c>
      <c r="N1888">
        <v>5344.94</v>
      </c>
      <c r="O1888">
        <v>1580.29</v>
      </c>
      <c r="P1888">
        <v>1687.05</v>
      </c>
      <c r="Q1888">
        <v>852.08</v>
      </c>
      <c r="R1888">
        <v>1995.39</v>
      </c>
      <c r="S1888">
        <v>763.19</v>
      </c>
      <c r="T1888">
        <v>40789.199999999997</v>
      </c>
      <c r="U1888">
        <v>30220.76</v>
      </c>
      <c r="V1888">
        <v>17997.810000000001</v>
      </c>
      <c r="W1888">
        <v>17897.669999999998</v>
      </c>
      <c r="X1888">
        <v>63774.51</v>
      </c>
      <c r="Y1888">
        <v>44763.71</v>
      </c>
    </row>
    <row r="1889" spans="1:25" x14ac:dyDescent="0.25">
      <c r="A1889" t="s">
        <v>1945</v>
      </c>
      <c r="B1889" s="1">
        <v>45459</v>
      </c>
      <c r="C1889">
        <v>2024</v>
      </c>
      <c r="D1889">
        <v>6</v>
      </c>
      <c r="E1889" t="s">
        <v>585</v>
      </c>
      <c r="F1889" t="s">
        <v>358</v>
      </c>
      <c r="G1889" t="s">
        <v>28</v>
      </c>
      <c r="H1889" t="s">
        <v>29</v>
      </c>
      <c r="I1889" t="s">
        <v>33</v>
      </c>
      <c r="J1889">
        <v>58</v>
      </c>
      <c r="K1889">
        <v>1488.11</v>
      </c>
      <c r="L1889">
        <v>86310.31</v>
      </c>
      <c r="M1889">
        <v>52968.04</v>
      </c>
      <c r="N1889">
        <v>11202.49</v>
      </c>
      <c r="O1889">
        <v>6162.07</v>
      </c>
      <c r="P1889">
        <v>2475.17</v>
      </c>
      <c r="Q1889">
        <v>918.41</v>
      </c>
      <c r="R1889">
        <v>3147.17</v>
      </c>
      <c r="S1889">
        <v>1383.01</v>
      </c>
      <c r="T1889">
        <v>78256.350000000006</v>
      </c>
      <c r="U1889">
        <v>33342.269999999997</v>
      </c>
      <c r="V1889">
        <v>8053.95</v>
      </c>
      <c r="W1889">
        <v>8147.31</v>
      </c>
      <c r="X1889">
        <v>89243.56</v>
      </c>
      <c r="Y1889">
        <v>84988.65</v>
      </c>
    </row>
    <row r="1890" spans="1:25" x14ac:dyDescent="0.25">
      <c r="A1890" t="s">
        <v>1946</v>
      </c>
      <c r="B1890" s="1">
        <v>45459</v>
      </c>
      <c r="C1890">
        <v>2024</v>
      </c>
      <c r="D1890">
        <v>6</v>
      </c>
      <c r="E1890" t="s">
        <v>585</v>
      </c>
      <c r="F1890" t="s">
        <v>358</v>
      </c>
      <c r="G1890" t="s">
        <v>44</v>
      </c>
      <c r="H1890" t="s">
        <v>36</v>
      </c>
      <c r="I1890" t="s">
        <v>37</v>
      </c>
      <c r="J1890">
        <v>66</v>
      </c>
      <c r="K1890">
        <v>964.11</v>
      </c>
      <c r="L1890">
        <v>63631.35</v>
      </c>
      <c r="M1890">
        <v>33438.93</v>
      </c>
      <c r="N1890">
        <v>7791.4</v>
      </c>
      <c r="O1890">
        <v>3700.99</v>
      </c>
      <c r="P1890">
        <v>2495.73</v>
      </c>
      <c r="Q1890">
        <v>1015.07</v>
      </c>
      <c r="R1890">
        <v>2758.79</v>
      </c>
      <c r="S1890">
        <v>1098.49</v>
      </c>
      <c r="T1890">
        <v>52299.39</v>
      </c>
      <c r="U1890">
        <v>30192.42</v>
      </c>
      <c r="V1890">
        <v>11331.96</v>
      </c>
      <c r="W1890">
        <v>10910.22</v>
      </c>
      <c r="X1890">
        <v>64268.25</v>
      </c>
      <c r="Y1890">
        <v>56839.86</v>
      </c>
    </row>
    <row r="1891" spans="1:25" x14ac:dyDescent="0.25">
      <c r="A1891" t="s">
        <v>1947</v>
      </c>
      <c r="B1891" s="1">
        <v>45460</v>
      </c>
      <c r="C1891">
        <v>2024</v>
      </c>
      <c r="D1891">
        <v>6</v>
      </c>
      <c r="E1891" t="s">
        <v>585</v>
      </c>
      <c r="F1891" t="s">
        <v>358</v>
      </c>
      <c r="G1891" t="s">
        <v>28</v>
      </c>
      <c r="H1891" t="s">
        <v>32</v>
      </c>
      <c r="I1891" t="s">
        <v>56</v>
      </c>
      <c r="J1891">
        <v>42</v>
      </c>
      <c r="K1891">
        <v>997.92</v>
      </c>
      <c r="L1891">
        <v>41912.79</v>
      </c>
      <c r="M1891">
        <v>24494.71</v>
      </c>
      <c r="N1891">
        <v>3484.31</v>
      </c>
      <c r="O1891">
        <v>1734.63</v>
      </c>
      <c r="P1891">
        <v>1167.5899999999999</v>
      </c>
      <c r="Q1891">
        <v>367.2</v>
      </c>
      <c r="R1891">
        <v>1305.95</v>
      </c>
      <c r="S1891">
        <v>875.65</v>
      </c>
      <c r="T1891">
        <v>33430.03</v>
      </c>
      <c r="U1891">
        <v>17418.080000000002</v>
      </c>
      <c r="V1891">
        <v>8482.76</v>
      </c>
      <c r="W1891">
        <v>7550.09</v>
      </c>
      <c r="X1891">
        <v>44531.61</v>
      </c>
      <c r="Y1891">
        <v>33508.410000000003</v>
      </c>
    </row>
    <row r="1892" spans="1:25" x14ac:dyDescent="0.25">
      <c r="A1892" t="s">
        <v>1948</v>
      </c>
      <c r="B1892" s="1">
        <v>45460</v>
      </c>
      <c r="C1892">
        <v>2024</v>
      </c>
      <c r="D1892">
        <v>6</v>
      </c>
      <c r="E1892" t="s">
        <v>585</v>
      </c>
      <c r="F1892" t="s">
        <v>358</v>
      </c>
      <c r="G1892" t="s">
        <v>44</v>
      </c>
      <c r="H1892" t="s">
        <v>36</v>
      </c>
      <c r="I1892" t="s">
        <v>33</v>
      </c>
      <c r="J1892">
        <v>56</v>
      </c>
      <c r="K1892">
        <v>1404.52</v>
      </c>
      <c r="L1892">
        <v>78653.399999999994</v>
      </c>
      <c r="M1892">
        <v>42146.79</v>
      </c>
      <c r="N1892">
        <v>6530.7</v>
      </c>
      <c r="O1892">
        <v>4745.74</v>
      </c>
      <c r="P1892">
        <v>2472.54</v>
      </c>
      <c r="Q1892">
        <v>565.30999999999995</v>
      </c>
      <c r="R1892">
        <v>4227.7</v>
      </c>
      <c r="S1892">
        <v>649.04999999999995</v>
      </c>
      <c r="T1892">
        <v>61337.84</v>
      </c>
      <c r="U1892">
        <v>36506.61</v>
      </c>
      <c r="V1892">
        <v>17315.55</v>
      </c>
      <c r="W1892">
        <v>15363.75</v>
      </c>
      <c r="X1892">
        <v>76626.12</v>
      </c>
      <c r="Y1892">
        <v>66088.7</v>
      </c>
    </row>
    <row r="1893" spans="1:25" x14ac:dyDescent="0.25">
      <c r="A1893" t="s">
        <v>1949</v>
      </c>
      <c r="B1893" s="1">
        <v>45460</v>
      </c>
      <c r="C1893">
        <v>2024</v>
      </c>
      <c r="D1893">
        <v>6</v>
      </c>
      <c r="E1893" t="s">
        <v>585</v>
      </c>
      <c r="F1893" t="s">
        <v>358</v>
      </c>
      <c r="G1893" t="s">
        <v>55</v>
      </c>
      <c r="H1893" t="s">
        <v>36</v>
      </c>
      <c r="I1893" t="s">
        <v>39</v>
      </c>
      <c r="J1893">
        <v>24</v>
      </c>
      <c r="K1893">
        <v>1809.53</v>
      </c>
      <c r="L1893">
        <v>43428.71</v>
      </c>
      <c r="M1893">
        <v>28175.15</v>
      </c>
      <c r="N1893">
        <v>3573.89</v>
      </c>
      <c r="O1893">
        <v>1548.3</v>
      </c>
      <c r="P1893">
        <v>1615.23</v>
      </c>
      <c r="Q1893">
        <v>583.36</v>
      </c>
      <c r="R1893">
        <v>2422.85</v>
      </c>
      <c r="S1893">
        <v>816.48</v>
      </c>
      <c r="T1893">
        <v>38735.25</v>
      </c>
      <c r="U1893">
        <v>15253.56</v>
      </c>
      <c r="V1893">
        <v>4693.46</v>
      </c>
      <c r="W1893">
        <v>4701.76</v>
      </c>
      <c r="X1893">
        <v>46230.080000000002</v>
      </c>
      <c r="Y1893">
        <v>37585.360000000001</v>
      </c>
    </row>
    <row r="1894" spans="1:25" x14ac:dyDescent="0.25">
      <c r="A1894" t="s">
        <v>1950</v>
      </c>
      <c r="B1894" s="1">
        <v>45460</v>
      </c>
      <c r="C1894">
        <v>2024</v>
      </c>
      <c r="D1894">
        <v>6</v>
      </c>
      <c r="E1894" t="s">
        <v>585</v>
      </c>
      <c r="F1894" t="s">
        <v>358</v>
      </c>
      <c r="G1894" t="s">
        <v>55</v>
      </c>
      <c r="H1894" t="s">
        <v>29</v>
      </c>
      <c r="I1894" t="s">
        <v>65</v>
      </c>
      <c r="J1894">
        <v>82</v>
      </c>
      <c r="K1894">
        <v>1017.9</v>
      </c>
      <c r="L1894">
        <v>83468.179999999993</v>
      </c>
      <c r="M1894">
        <v>46229.17</v>
      </c>
      <c r="N1894">
        <v>9177.64</v>
      </c>
      <c r="O1894">
        <v>4509.9799999999996</v>
      </c>
      <c r="P1894">
        <v>2274.92</v>
      </c>
      <c r="Q1894">
        <v>688.59</v>
      </c>
      <c r="R1894">
        <v>3126.63</v>
      </c>
      <c r="S1894">
        <v>1133.08</v>
      </c>
      <c r="T1894">
        <v>67140.02</v>
      </c>
      <c r="U1894">
        <v>37239.01</v>
      </c>
      <c r="V1894">
        <v>16328.17</v>
      </c>
      <c r="W1894">
        <v>14967.91</v>
      </c>
      <c r="X1894">
        <v>77591.34</v>
      </c>
      <c r="Y1894">
        <v>64767.69</v>
      </c>
    </row>
    <row r="1895" spans="1:25" x14ac:dyDescent="0.25">
      <c r="A1895" t="s">
        <v>1951</v>
      </c>
      <c r="B1895" s="1">
        <v>45461</v>
      </c>
      <c r="C1895">
        <v>2024</v>
      </c>
      <c r="D1895">
        <v>6</v>
      </c>
      <c r="E1895" t="s">
        <v>585</v>
      </c>
      <c r="F1895" t="s">
        <v>358</v>
      </c>
      <c r="G1895" t="s">
        <v>28</v>
      </c>
      <c r="H1895" t="s">
        <v>36</v>
      </c>
      <c r="I1895" t="s">
        <v>50</v>
      </c>
      <c r="J1895">
        <v>41</v>
      </c>
      <c r="K1895">
        <v>1262.95</v>
      </c>
      <c r="L1895">
        <v>51781.04</v>
      </c>
      <c r="M1895">
        <v>27836.36</v>
      </c>
      <c r="N1895">
        <v>4050.17</v>
      </c>
      <c r="O1895">
        <v>3099.41</v>
      </c>
      <c r="P1895">
        <v>2185.08</v>
      </c>
      <c r="Q1895">
        <v>482.94</v>
      </c>
      <c r="R1895">
        <v>2914.67</v>
      </c>
      <c r="S1895">
        <v>864.18</v>
      </c>
      <c r="T1895">
        <v>41432.81</v>
      </c>
      <c r="U1895">
        <v>23944.69</v>
      </c>
      <c r="V1895">
        <v>10348.23</v>
      </c>
      <c r="W1895">
        <v>9672.44</v>
      </c>
      <c r="X1895">
        <v>54485.89</v>
      </c>
      <c r="Y1895">
        <v>40200.49</v>
      </c>
    </row>
    <row r="1896" spans="1:25" x14ac:dyDescent="0.25">
      <c r="A1896" t="s">
        <v>1952</v>
      </c>
      <c r="B1896" s="1">
        <v>45462</v>
      </c>
      <c r="C1896">
        <v>2024</v>
      </c>
      <c r="D1896">
        <v>6</v>
      </c>
      <c r="E1896" t="s">
        <v>585</v>
      </c>
      <c r="F1896" t="s">
        <v>358</v>
      </c>
      <c r="G1896" t="s">
        <v>28</v>
      </c>
      <c r="H1896" t="s">
        <v>58</v>
      </c>
      <c r="I1896" t="s">
        <v>37</v>
      </c>
      <c r="J1896">
        <v>36</v>
      </c>
      <c r="K1896">
        <v>1436.2</v>
      </c>
      <c r="L1896">
        <v>51703.32</v>
      </c>
      <c r="M1896">
        <v>27591.01</v>
      </c>
      <c r="N1896">
        <v>4548.2</v>
      </c>
      <c r="O1896">
        <v>2668.03</v>
      </c>
      <c r="P1896">
        <v>1497</v>
      </c>
      <c r="Q1896">
        <v>283.38</v>
      </c>
      <c r="R1896">
        <v>3120.89</v>
      </c>
      <c r="S1896">
        <v>1253.02</v>
      </c>
      <c r="T1896">
        <v>40961.54</v>
      </c>
      <c r="U1896">
        <v>24112.31</v>
      </c>
      <c r="V1896">
        <v>10741.78</v>
      </c>
      <c r="W1896">
        <v>10926.93</v>
      </c>
      <c r="X1896">
        <v>53579.21</v>
      </c>
      <c r="Y1896">
        <v>39278.32</v>
      </c>
    </row>
    <row r="1897" spans="1:25" x14ac:dyDescent="0.25">
      <c r="A1897" t="s">
        <v>1953</v>
      </c>
      <c r="B1897" s="1">
        <v>45462</v>
      </c>
      <c r="C1897">
        <v>2024</v>
      </c>
      <c r="D1897">
        <v>6</v>
      </c>
      <c r="E1897" t="s">
        <v>585</v>
      </c>
      <c r="F1897" t="s">
        <v>358</v>
      </c>
      <c r="G1897" t="s">
        <v>44</v>
      </c>
      <c r="H1897" t="s">
        <v>32</v>
      </c>
      <c r="I1897" t="s">
        <v>50</v>
      </c>
      <c r="J1897">
        <v>38</v>
      </c>
      <c r="K1897">
        <v>1109.8800000000001</v>
      </c>
      <c r="L1897">
        <v>42175.54</v>
      </c>
      <c r="M1897">
        <v>22704.12</v>
      </c>
      <c r="N1897">
        <v>3046.01</v>
      </c>
      <c r="O1897">
        <v>2073.85</v>
      </c>
      <c r="P1897">
        <v>1790.96</v>
      </c>
      <c r="Q1897">
        <v>382.83</v>
      </c>
      <c r="R1897">
        <v>2707.91</v>
      </c>
      <c r="S1897">
        <v>942.74</v>
      </c>
      <c r="T1897">
        <v>33648.43</v>
      </c>
      <c r="U1897">
        <v>19471.419999999998</v>
      </c>
      <c r="V1897">
        <v>8527.11</v>
      </c>
      <c r="W1897">
        <v>7551.03</v>
      </c>
      <c r="X1897">
        <v>44236.65</v>
      </c>
      <c r="Y1897">
        <v>33274.04</v>
      </c>
    </row>
    <row r="1898" spans="1:25" x14ac:dyDescent="0.25">
      <c r="A1898" t="s">
        <v>1954</v>
      </c>
      <c r="B1898" s="1">
        <v>45462</v>
      </c>
      <c r="C1898">
        <v>2024</v>
      </c>
      <c r="D1898">
        <v>6</v>
      </c>
      <c r="E1898" t="s">
        <v>585</v>
      </c>
      <c r="F1898" t="s">
        <v>358</v>
      </c>
      <c r="G1898" t="s">
        <v>28</v>
      </c>
      <c r="H1898" t="s">
        <v>53</v>
      </c>
      <c r="I1898" t="s">
        <v>45</v>
      </c>
      <c r="J1898">
        <v>24</v>
      </c>
      <c r="K1898">
        <v>1771.11</v>
      </c>
      <c r="L1898">
        <v>42506.65</v>
      </c>
      <c r="M1898">
        <v>28260.59</v>
      </c>
      <c r="N1898">
        <v>3473.07</v>
      </c>
      <c r="O1898">
        <v>1997.6</v>
      </c>
      <c r="P1898">
        <v>704.85</v>
      </c>
      <c r="Q1898">
        <v>497.23</v>
      </c>
      <c r="R1898">
        <v>2314.35</v>
      </c>
      <c r="S1898">
        <v>434.56</v>
      </c>
      <c r="T1898">
        <v>37682.26</v>
      </c>
      <c r="U1898">
        <v>14246.05</v>
      </c>
      <c r="V1898">
        <v>4824.3900000000003</v>
      </c>
      <c r="W1898">
        <v>4728.37</v>
      </c>
      <c r="X1898">
        <v>41524.14</v>
      </c>
      <c r="Y1898">
        <v>37299.339999999997</v>
      </c>
    </row>
    <row r="1899" spans="1:25" x14ac:dyDescent="0.25">
      <c r="A1899" t="s">
        <v>1955</v>
      </c>
      <c r="B1899" s="1">
        <v>45463</v>
      </c>
      <c r="C1899">
        <v>2024</v>
      </c>
      <c r="D1899">
        <v>6</v>
      </c>
      <c r="E1899" t="s">
        <v>585</v>
      </c>
      <c r="F1899" t="s">
        <v>358</v>
      </c>
      <c r="G1899" t="s">
        <v>28</v>
      </c>
      <c r="H1899" t="s">
        <v>32</v>
      </c>
      <c r="I1899" t="s">
        <v>37</v>
      </c>
      <c r="J1899">
        <v>98</v>
      </c>
      <c r="K1899">
        <v>803.23</v>
      </c>
      <c r="L1899">
        <v>78716.100000000006</v>
      </c>
      <c r="M1899">
        <v>40864.51</v>
      </c>
      <c r="N1899">
        <v>8412.9</v>
      </c>
      <c r="O1899">
        <v>5600.77</v>
      </c>
      <c r="P1899">
        <v>2787.74</v>
      </c>
      <c r="Q1899">
        <v>967.33</v>
      </c>
      <c r="R1899">
        <v>2603.04</v>
      </c>
      <c r="S1899">
        <v>670.05</v>
      </c>
      <c r="T1899">
        <v>61906.35</v>
      </c>
      <c r="U1899">
        <v>37851.599999999999</v>
      </c>
      <c r="V1899">
        <v>16809.759999999998</v>
      </c>
      <c r="W1899">
        <v>14901.61</v>
      </c>
      <c r="X1899">
        <v>73273.58</v>
      </c>
      <c r="Y1899">
        <v>62575.33</v>
      </c>
    </row>
    <row r="1900" spans="1:25" x14ac:dyDescent="0.25">
      <c r="A1900" t="s">
        <v>1956</v>
      </c>
      <c r="B1900" s="1">
        <v>45463</v>
      </c>
      <c r="C1900">
        <v>2024</v>
      </c>
      <c r="D1900">
        <v>6</v>
      </c>
      <c r="E1900" t="s">
        <v>585</v>
      </c>
      <c r="F1900" t="s">
        <v>358</v>
      </c>
      <c r="G1900" t="s">
        <v>28</v>
      </c>
      <c r="H1900" t="s">
        <v>32</v>
      </c>
      <c r="I1900" t="s">
        <v>65</v>
      </c>
      <c r="J1900">
        <v>62</v>
      </c>
      <c r="K1900">
        <v>1464.09</v>
      </c>
      <c r="L1900">
        <v>90773.33</v>
      </c>
      <c r="M1900">
        <v>59993.97</v>
      </c>
      <c r="N1900">
        <v>9752.7800000000007</v>
      </c>
      <c r="O1900">
        <v>3284.39</v>
      </c>
      <c r="P1900">
        <v>1470.16</v>
      </c>
      <c r="Q1900">
        <v>1499.27</v>
      </c>
      <c r="R1900">
        <v>2693.07</v>
      </c>
      <c r="S1900">
        <v>843.71</v>
      </c>
      <c r="T1900">
        <v>79537.350000000006</v>
      </c>
      <c r="U1900">
        <v>30779.360000000001</v>
      </c>
      <c r="V1900">
        <v>11235.97</v>
      </c>
      <c r="W1900">
        <v>10057.82</v>
      </c>
      <c r="X1900">
        <v>91741.2</v>
      </c>
      <c r="Y1900">
        <v>82747.960000000006</v>
      </c>
    </row>
    <row r="1901" spans="1:25" x14ac:dyDescent="0.25">
      <c r="A1901" t="s">
        <v>1957</v>
      </c>
      <c r="B1901" s="1">
        <v>45463</v>
      </c>
      <c r="C1901">
        <v>2024</v>
      </c>
      <c r="D1901">
        <v>6</v>
      </c>
      <c r="E1901" t="s">
        <v>585</v>
      </c>
      <c r="F1901" t="s">
        <v>358</v>
      </c>
      <c r="G1901" t="s">
        <v>28</v>
      </c>
      <c r="H1901" t="s">
        <v>53</v>
      </c>
      <c r="I1901" t="s">
        <v>39</v>
      </c>
      <c r="J1901">
        <v>28</v>
      </c>
      <c r="K1901">
        <v>1394.67</v>
      </c>
      <c r="L1901">
        <v>39050.89</v>
      </c>
      <c r="M1901">
        <v>24298.46</v>
      </c>
      <c r="N1901">
        <v>3244.84</v>
      </c>
      <c r="O1901">
        <v>2696.97</v>
      </c>
      <c r="P1901">
        <v>1116.82</v>
      </c>
      <c r="Q1901">
        <v>289.55</v>
      </c>
      <c r="R1901">
        <v>2176.54</v>
      </c>
      <c r="S1901">
        <v>767.91</v>
      </c>
      <c r="T1901">
        <v>34591.089999999997</v>
      </c>
      <c r="U1901">
        <v>14752.44</v>
      </c>
      <c r="V1901">
        <v>4459.8</v>
      </c>
      <c r="W1901">
        <v>4286.08</v>
      </c>
      <c r="X1901">
        <v>38044.410000000003</v>
      </c>
      <c r="Y1901">
        <v>35431.58</v>
      </c>
    </row>
    <row r="1902" spans="1:25" x14ac:dyDescent="0.25">
      <c r="A1902" t="s">
        <v>1958</v>
      </c>
      <c r="B1902" s="1">
        <v>45463</v>
      </c>
      <c r="C1902">
        <v>2024</v>
      </c>
      <c r="D1902">
        <v>6</v>
      </c>
      <c r="E1902" t="s">
        <v>585</v>
      </c>
      <c r="F1902" t="s">
        <v>358</v>
      </c>
      <c r="G1902" t="s">
        <v>35</v>
      </c>
      <c r="H1902" t="s">
        <v>32</v>
      </c>
      <c r="I1902" t="s">
        <v>37</v>
      </c>
      <c r="J1902">
        <v>85</v>
      </c>
      <c r="K1902">
        <v>882.34</v>
      </c>
      <c r="L1902">
        <v>74998.649999999994</v>
      </c>
      <c r="M1902">
        <v>43173.31</v>
      </c>
      <c r="N1902">
        <v>9125.91</v>
      </c>
      <c r="O1902">
        <v>3220.57</v>
      </c>
      <c r="P1902">
        <v>2929.95</v>
      </c>
      <c r="Q1902">
        <v>1132.5999999999999</v>
      </c>
      <c r="R1902">
        <v>3668.48</v>
      </c>
      <c r="S1902">
        <v>1847.24</v>
      </c>
      <c r="T1902">
        <v>65098.06</v>
      </c>
      <c r="U1902">
        <v>31825.35</v>
      </c>
      <c r="V1902">
        <v>9900.6</v>
      </c>
      <c r="W1902">
        <v>9444.17</v>
      </c>
      <c r="X1902">
        <v>78056.25</v>
      </c>
      <c r="Y1902">
        <v>67205</v>
      </c>
    </row>
    <row r="1903" spans="1:25" x14ac:dyDescent="0.25">
      <c r="A1903" t="s">
        <v>1959</v>
      </c>
      <c r="B1903" s="1">
        <v>45463</v>
      </c>
      <c r="C1903">
        <v>2024</v>
      </c>
      <c r="D1903">
        <v>6</v>
      </c>
      <c r="E1903" t="s">
        <v>585</v>
      </c>
      <c r="F1903" t="s">
        <v>358</v>
      </c>
      <c r="G1903" t="s">
        <v>55</v>
      </c>
      <c r="H1903" t="s">
        <v>29</v>
      </c>
      <c r="I1903" t="s">
        <v>33</v>
      </c>
      <c r="J1903">
        <v>76</v>
      </c>
      <c r="K1903">
        <v>1241.21</v>
      </c>
      <c r="L1903">
        <v>94331.88</v>
      </c>
      <c r="M1903">
        <v>48435.360000000001</v>
      </c>
      <c r="N1903">
        <v>9784.11</v>
      </c>
      <c r="O1903">
        <v>6291.48</v>
      </c>
      <c r="P1903">
        <v>1506.37</v>
      </c>
      <c r="Q1903">
        <v>1180.6400000000001</v>
      </c>
      <c r="R1903">
        <v>3789.35</v>
      </c>
      <c r="S1903">
        <v>2105.89</v>
      </c>
      <c r="T1903">
        <v>73093.210000000006</v>
      </c>
      <c r="U1903">
        <v>45896.52</v>
      </c>
      <c r="V1903">
        <v>21238.68</v>
      </c>
      <c r="W1903">
        <v>21352.36</v>
      </c>
      <c r="X1903">
        <v>101615.97</v>
      </c>
      <c r="Y1903">
        <v>77376.95</v>
      </c>
    </row>
    <row r="1904" spans="1:25" x14ac:dyDescent="0.25">
      <c r="A1904" t="s">
        <v>1960</v>
      </c>
      <c r="B1904" s="1">
        <v>45463</v>
      </c>
      <c r="C1904">
        <v>2024</v>
      </c>
      <c r="D1904">
        <v>6</v>
      </c>
      <c r="E1904" t="s">
        <v>585</v>
      </c>
      <c r="F1904" t="s">
        <v>358</v>
      </c>
      <c r="G1904" t="s">
        <v>44</v>
      </c>
      <c r="H1904" t="s">
        <v>32</v>
      </c>
      <c r="I1904" t="s">
        <v>50</v>
      </c>
      <c r="J1904">
        <v>40</v>
      </c>
      <c r="K1904">
        <v>1234.47</v>
      </c>
      <c r="L1904">
        <v>49378.89</v>
      </c>
      <c r="M1904">
        <v>30345.18</v>
      </c>
      <c r="N1904">
        <v>5653.78</v>
      </c>
      <c r="O1904">
        <v>2412.0500000000002</v>
      </c>
      <c r="P1904">
        <v>875.73</v>
      </c>
      <c r="Q1904">
        <v>856.19</v>
      </c>
      <c r="R1904">
        <v>1593.96</v>
      </c>
      <c r="S1904">
        <v>503.93</v>
      </c>
      <c r="T1904">
        <v>42240.83</v>
      </c>
      <c r="U1904">
        <v>19033.7</v>
      </c>
      <c r="V1904">
        <v>7138.06</v>
      </c>
      <c r="W1904">
        <v>6833.2</v>
      </c>
      <c r="X1904">
        <v>54406.1</v>
      </c>
      <c r="Y1904">
        <v>45796.57</v>
      </c>
    </row>
    <row r="1905" spans="1:25" x14ac:dyDescent="0.25">
      <c r="A1905" t="s">
        <v>1961</v>
      </c>
      <c r="B1905" s="1">
        <v>45464</v>
      </c>
      <c r="C1905">
        <v>2024</v>
      </c>
      <c r="D1905">
        <v>6</v>
      </c>
      <c r="E1905" t="s">
        <v>585</v>
      </c>
      <c r="F1905" t="s">
        <v>358</v>
      </c>
      <c r="G1905" t="s">
        <v>28</v>
      </c>
      <c r="H1905" t="s">
        <v>58</v>
      </c>
      <c r="I1905" t="s">
        <v>33</v>
      </c>
      <c r="J1905">
        <v>50</v>
      </c>
      <c r="K1905">
        <v>1672.92</v>
      </c>
      <c r="L1905">
        <v>83645.81</v>
      </c>
      <c r="M1905">
        <v>47835.85</v>
      </c>
      <c r="N1905">
        <v>6323.6</v>
      </c>
      <c r="O1905">
        <v>3861.94</v>
      </c>
      <c r="P1905">
        <v>2103.2199999999998</v>
      </c>
      <c r="Q1905">
        <v>657.86</v>
      </c>
      <c r="R1905">
        <v>5074.9799999999996</v>
      </c>
      <c r="S1905">
        <v>2005.73</v>
      </c>
      <c r="T1905">
        <v>67863.179999999993</v>
      </c>
      <c r="U1905">
        <v>35809.949999999997</v>
      </c>
      <c r="V1905">
        <v>15782.63</v>
      </c>
      <c r="W1905">
        <v>14843.17</v>
      </c>
      <c r="X1905">
        <v>86175.8</v>
      </c>
      <c r="Y1905">
        <v>73199.320000000007</v>
      </c>
    </row>
    <row r="1906" spans="1:25" x14ac:dyDescent="0.25">
      <c r="A1906" t="s">
        <v>1962</v>
      </c>
      <c r="B1906" s="1">
        <v>45466</v>
      </c>
      <c r="C1906">
        <v>2024</v>
      </c>
      <c r="D1906">
        <v>6</v>
      </c>
      <c r="E1906" t="s">
        <v>585</v>
      </c>
      <c r="F1906" t="s">
        <v>358</v>
      </c>
      <c r="G1906" t="s">
        <v>35</v>
      </c>
      <c r="H1906" t="s">
        <v>36</v>
      </c>
      <c r="I1906" t="s">
        <v>65</v>
      </c>
      <c r="J1906">
        <v>39</v>
      </c>
      <c r="K1906">
        <v>1593.81</v>
      </c>
      <c r="L1906">
        <v>62158.77</v>
      </c>
      <c r="M1906">
        <v>31358.19</v>
      </c>
      <c r="N1906">
        <v>6039.54</v>
      </c>
      <c r="O1906">
        <v>2655.64</v>
      </c>
      <c r="P1906">
        <v>1703.18</v>
      </c>
      <c r="Q1906">
        <v>479.13</v>
      </c>
      <c r="R1906">
        <v>1594.04</v>
      </c>
      <c r="S1906">
        <v>1027.1600000000001</v>
      </c>
      <c r="T1906">
        <v>44856.89</v>
      </c>
      <c r="U1906">
        <v>30800.57</v>
      </c>
      <c r="V1906">
        <v>17301.88</v>
      </c>
      <c r="W1906">
        <v>15483</v>
      </c>
      <c r="X1906">
        <v>68235.429999999993</v>
      </c>
      <c r="Y1906">
        <v>45855.77</v>
      </c>
    </row>
    <row r="1907" spans="1:25" x14ac:dyDescent="0.25">
      <c r="A1907" t="s">
        <v>1963</v>
      </c>
      <c r="B1907" s="1">
        <v>45466</v>
      </c>
      <c r="C1907">
        <v>2024</v>
      </c>
      <c r="D1907">
        <v>6</v>
      </c>
      <c r="E1907" t="s">
        <v>585</v>
      </c>
      <c r="F1907" t="s">
        <v>358</v>
      </c>
      <c r="G1907" t="s">
        <v>35</v>
      </c>
      <c r="H1907" t="s">
        <v>32</v>
      </c>
      <c r="I1907" t="s">
        <v>65</v>
      </c>
      <c r="J1907">
        <v>42</v>
      </c>
      <c r="K1907">
        <v>1486.53</v>
      </c>
      <c r="L1907">
        <v>62434.36</v>
      </c>
      <c r="M1907">
        <v>36723.089999999997</v>
      </c>
      <c r="N1907">
        <v>5534.56</v>
      </c>
      <c r="O1907">
        <v>2300.34</v>
      </c>
      <c r="P1907">
        <v>2039.38</v>
      </c>
      <c r="Q1907">
        <v>1092.6600000000001</v>
      </c>
      <c r="R1907">
        <v>2614.87</v>
      </c>
      <c r="S1907">
        <v>812.75</v>
      </c>
      <c r="T1907">
        <v>51117.64</v>
      </c>
      <c r="U1907">
        <v>25711.26</v>
      </c>
      <c r="V1907">
        <v>11316.71</v>
      </c>
      <c r="W1907">
        <v>10699.84</v>
      </c>
      <c r="X1907">
        <v>63185.61</v>
      </c>
      <c r="Y1907">
        <v>55726.29</v>
      </c>
    </row>
    <row r="1908" spans="1:25" x14ac:dyDescent="0.25">
      <c r="A1908" t="s">
        <v>1964</v>
      </c>
      <c r="B1908" s="1">
        <v>45466</v>
      </c>
      <c r="C1908">
        <v>2024</v>
      </c>
      <c r="D1908">
        <v>6</v>
      </c>
      <c r="E1908" t="s">
        <v>585</v>
      </c>
      <c r="F1908" t="s">
        <v>358</v>
      </c>
      <c r="G1908" t="s">
        <v>28</v>
      </c>
      <c r="H1908" t="s">
        <v>36</v>
      </c>
      <c r="I1908" t="s">
        <v>65</v>
      </c>
      <c r="J1908">
        <v>78</v>
      </c>
      <c r="K1908">
        <v>813.89</v>
      </c>
      <c r="L1908">
        <v>63483.59</v>
      </c>
      <c r="M1908">
        <v>38871.800000000003</v>
      </c>
      <c r="N1908">
        <v>6606.11</v>
      </c>
      <c r="O1908">
        <v>2983.39</v>
      </c>
      <c r="P1908">
        <v>1195.44</v>
      </c>
      <c r="Q1908">
        <v>768.51</v>
      </c>
      <c r="R1908">
        <v>2974.81</v>
      </c>
      <c r="S1908">
        <v>1557.56</v>
      </c>
      <c r="T1908">
        <v>54957.61</v>
      </c>
      <c r="U1908">
        <v>24611.78</v>
      </c>
      <c r="V1908">
        <v>8525.9699999999993</v>
      </c>
      <c r="W1908">
        <v>8098.98</v>
      </c>
      <c r="X1908">
        <v>63882.05</v>
      </c>
      <c r="Y1908">
        <v>57514.36</v>
      </c>
    </row>
    <row r="1909" spans="1:25" x14ac:dyDescent="0.25">
      <c r="A1909" t="s">
        <v>1965</v>
      </c>
      <c r="B1909" s="1">
        <v>45466</v>
      </c>
      <c r="C1909">
        <v>2024</v>
      </c>
      <c r="D1909">
        <v>6</v>
      </c>
      <c r="E1909" t="s">
        <v>585</v>
      </c>
      <c r="F1909" t="s">
        <v>358</v>
      </c>
      <c r="G1909" t="s">
        <v>35</v>
      </c>
      <c r="H1909" t="s">
        <v>36</v>
      </c>
      <c r="I1909" t="s">
        <v>50</v>
      </c>
      <c r="J1909">
        <v>29</v>
      </c>
      <c r="K1909">
        <v>1595.15</v>
      </c>
      <c r="L1909">
        <v>46259.37</v>
      </c>
      <c r="M1909">
        <v>23515.56</v>
      </c>
      <c r="N1909">
        <v>4871.92</v>
      </c>
      <c r="O1909">
        <v>2849.41</v>
      </c>
      <c r="P1909">
        <v>1299.3599999999999</v>
      </c>
      <c r="Q1909">
        <v>280.66000000000003</v>
      </c>
      <c r="R1909">
        <v>2314.79</v>
      </c>
      <c r="S1909">
        <v>970.33</v>
      </c>
      <c r="T1909">
        <v>36102.03</v>
      </c>
      <c r="U1909">
        <v>22743.8</v>
      </c>
      <c r="V1909">
        <v>10157.34</v>
      </c>
      <c r="W1909">
        <v>9969.6299999999992</v>
      </c>
      <c r="X1909">
        <v>51358.68</v>
      </c>
      <c r="Y1909">
        <v>36654.57</v>
      </c>
    </row>
    <row r="1910" spans="1:25" x14ac:dyDescent="0.25">
      <c r="A1910" t="s">
        <v>1966</v>
      </c>
      <c r="B1910" s="1">
        <v>45466</v>
      </c>
      <c r="C1910">
        <v>2024</v>
      </c>
      <c r="D1910">
        <v>6</v>
      </c>
      <c r="E1910" t="s">
        <v>585</v>
      </c>
      <c r="F1910" t="s">
        <v>358</v>
      </c>
      <c r="G1910" t="s">
        <v>55</v>
      </c>
      <c r="H1910" t="s">
        <v>53</v>
      </c>
      <c r="I1910" t="s">
        <v>45</v>
      </c>
      <c r="J1910">
        <v>42</v>
      </c>
      <c r="K1910">
        <v>1218.47</v>
      </c>
      <c r="L1910">
        <v>51175.79</v>
      </c>
      <c r="M1910">
        <v>32726.23</v>
      </c>
      <c r="N1910">
        <v>3591.82</v>
      </c>
      <c r="O1910">
        <v>1790.93</v>
      </c>
      <c r="P1910">
        <v>1500.81</v>
      </c>
      <c r="Q1910">
        <v>527.15</v>
      </c>
      <c r="R1910">
        <v>3175.2</v>
      </c>
      <c r="S1910">
        <v>1126.43</v>
      </c>
      <c r="T1910">
        <v>44438.559999999998</v>
      </c>
      <c r="U1910">
        <v>18449.560000000001</v>
      </c>
      <c r="V1910">
        <v>6737.22</v>
      </c>
      <c r="W1910">
        <v>6235.64</v>
      </c>
      <c r="X1910">
        <v>56256.78</v>
      </c>
      <c r="Y1910">
        <v>47962.49</v>
      </c>
    </row>
    <row r="1911" spans="1:25" x14ac:dyDescent="0.25">
      <c r="A1911" t="s">
        <v>1967</v>
      </c>
      <c r="B1911" s="1">
        <v>45466</v>
      </c>
      <c r="C1911">
        <v>2024</v>
      </c>
      <c r="D1911">
        <v>6</v>
      </c>
      <c r="E1911" t="s">
        <v>585</v>
      </c>
      <c r="F1911" t="s">
        <v>358</v>
      </c>
      <c r="G1911" t="s">
        <v>44</v>
      </c>
      <c r="H1911" t="s">
        <v>36</v>
      </c>
      <c r="I1911" t="s">
        <v>30</v>
      </c>
      <c r="J1911">
        <v>46</v>
      </c>
      <c r="K1911">
        <v>1685.15</v>
      </c>
      <c r="L1911">
        <v>77516.89</v>
      </c>
      <c r="M1911">
        <v>47516.69</v>
      </c>
      <c r="N1911">
        <v>6911.63</v>
      </c>
      <c r="O1911">
        <v>3044.08</v>
      </c>
      <c r="P1911">
        <v>1604.38</v>
      </c>
      <c r="Q1911">
        <v>764.29</v>
      </c>
      <c r="R1911">
        <v>3393.58</v>
      </c>
      <c r="S1911">
        <v>968.3</v>
      </c>
      <c r="T1911">
        <v>64202.96</v>
      </c>
      <c r="U1911">
        <v>30000.2</v>
      </c>
      <c r="V1911">
        <v>13313.93</v>
      </c>
      <c r="W1911">
        <v>12850.6</v>
      </c>
      <c r="X1911">
        <v>83947.79</v>
      </c>
      <c r="Y1911">
        <v>62956.09</v>
      </c>
    </row>
    <row r="1912" spans="1:25" x14ac:dyDescent="0.25">
      <c r="A1912" t="s">
        <v>1968</v>
      </c>
      <c r="B1912" s="1">
        <v>45466</v>
      </c>
      <c r="C1912">
        <v>2024</v>
      </c>
      <c r="D1912">
        <v>6</v>
      </c>
      <c r="E1912" t="s">
        <v>585</v>
      </c>
      <c r="F1912" t="s">
        <v>358</v>
      </c>
      <c r="G1912" t="s">
        <v>44</v>
      </c>
      <c r="H1912" t="s">
        <v>29</v>
      </c>
      <c r="I1912" t="s">
        <v>56</v>
      </c>
      <c r="J1912">
        <v>35</v>
      </c>
      <c r="K1912">
        <v>1059.74</v>
      </c>
      <c r="L1912">
        <v>37091</v>
      </c>
      <c r="M1912">
        <v>24219.17</v>
      </c>
      <c r="N1912">
        <v>4478.26</v>
      </c>
      <c r="O1912">
        <v>2651.06</v>
      </c>
      <c r="P1912">
        <v>565.46</v>
      </c>
      <c r="Q1912">
        <v>325.14999999999998</v>
      </c>
      <c r="R1912">
        <v>1120.69</v>
      </c>
      <c r="S1912">
        <v>891.62</v>
      </c>
      <c r="T1912">
        <v>34251.4</v>
      </c>
      <c r="U1912">
        <v>12871.83</v>
      </c>
      <c r="V1912">
        <v>2839.6</v>
      </c>
      <c r="W1912">
        <v>2618.27</v>
      </c>
      <c r="X1912">
        <v>38196</v>
      </c>
      <c r="Y1912">
        <v>34956.980000000003</v>
      </c>
    </row>
    <row r="1913" spans="1:25" x14ac:dyDescent="0.25">
      <c r="A1913" t="s">
        <v>1969</v>
      </c>
      <c r="B1913" s="1">
        <v>45467</v>
      </c>
      <c r="C1913">
        <v>2024</v>
      </c>
      <c r="D1913">
        <v>6</v>
      </c>
      <c r="E1913" t="s">
        <v>585</v>
      </c>
      <c r="F1913" t="s">
        <v>358</v>
      </c>
      <c r="G1913" t="s">
        <v>35</v>
      </c>
      <c r="H1913" t="s">
        <v>32</v>
      </c>
      <c r="I1913" t="s">
        <v>37</v>
      </c>
      <c r="J1913">
        <v>79</v>
      </c>
      <c r="K1913">
        <v>1033.5899999999999</v>
      </c>
      <c r="L1913">
        <v>81653.48</v>
      </c>
      <c r="M1913">
        <v>52873.47</v>
      </c>
      <c r="N1913">
        <v>5993.18</v>
      </c>
      <c r="O1913">
        <v>3751.88</v>
      </c>
      <c r="P1913">
        <v>2739.51</v>
      </c>
      <c r="Q1913">
        <v>1313.13</v>
      </c>
      <c r="R1913">
        <v>4070.98</v>
      </c>
      <c r="S1913">
        <v>2016.89</v>
      </c>
      <c r="T1913">
        <v>72759.03</v>
      </c>
      <c r="U1913">
        <v>28780.01</v>
      </c>
      <c r="V1913">
        <v>8894.4500000000007</v>
      </c>
      <c r="W1913">
        <v>8045.68</v>
      </c>
      <c r="X1913">
        <v>82335.67</v>
      </c>
      <c r="Y1913">
        <v>68779.570000000007</v>
      </c>
    </row>
    <row r="1914" spans="1:25" x14ac:dyDescent="0.25">
      <c r="A1914" t="s">
        <v>1970</v>
      </c>
      <c r="B1914" s="1">
        <v>45467</v>
      </c>
      <c r="C1914">
        <v>2024</v>
      </c>
      <c r="D1914">
        <v>6</v>
      </c>
      <c r="E1914" t="s">
        <v>585</v>
      </c>
      <c r="F1914" t="s">
        <v>358</v>
      </c>
      <c r="G1914" t="s">
        <v>55</v>
      </c>
      <c r="H1914" t="s">
        <v>53</v>
      </c>
      <c r="I1914" t="s">
        <v>56</v>
      </c>
      <c r="J1914">
        <v>28</v>
      </c>
      <c r="K1914">
        <v>1514.91</v>
      </c>
      <c r="L1914">
        <v>42417.440000000002</v>
      </c>
      <c r="M1914">
        <v>24966.02</v>
      </c>
      <c r="N1914">
        <v>5470.12</v>
      </c>
      <c r="O1914">
        <v>2504.69</v>
      </c>
      <c r="P1914">
        <v>859.75</v>
      </c>
      <c r="Q1914">
        <v>290.41000000000003</v>
      </c>
      <c r="R1914">
        <v>2654.17</v>
      </c>
      <c r="S1914">
        <v>341.24</v>
      </c>
      <c r="T1914">
        <v>37086.39</v>
      </c>
      <c r="U1914">
        <v>17451.43</v>
      </c>
      <c r="V1914">
        <v>5331.05</v>
      </c>
      <c r="W1914">
        <v>5096.9799999999996</v>
      </c>
      <c r="X1914">
        <v>45855.05</v>
      </c>
      <c r="Y1914">
        <v>35317.730000000003</v>
      </c>
    </row>
    <row r="1915" spans="1:25" x14ac:dyDescent="0.25">
      <c r="A1915" t="s">
        <v>1971</v>
      </c>
      <c r="B1915" s="1">
        <v>45467</v>
      </c>
      <c r="C1915">
        <v>2024</v>
      </c>
      <c r="D1915">
        <v>6</v>
      </c>
      <c r="E1915" t="s">
        <v>585</v>
      </c>
      <c r="F1915" t="s">
        <v>358</v>
      </c>
      <c r="G1915" t="s">
        <v>35</v>
      </c>
      <c r="H1915" t="s">
        <v>32</v>
      </c>
      <c r="I1915" t="s">
        <v>30</v>
      </c>
      <c r="J1915">
        <v>62</v>
      </c>
      <c r="K1915">
        <v>1532.15</v>
      </c>
      <c r="L1915">
        <v>94993.41</v>
      </c>
      <c r="M1915">
        <v>50645.39</v>
      </c>
      <c r="N1915">
        <v>7553.86</v>
      </c>
      <c r="O1915">
        <v>3761.7</v>
      </c>
      <c r="P1915">
        <v>2737.3</v>
      </c>
      <c r="Q1915">
        <v>1276.05</v>
      </c>
      <c r="R1915">
        <v>6159.03</v>
      </c>
      <c r="S1915">
        <v>994.73</v>
      </c>
      <c r="T1915">
        <v>73128.06</v>
      </c>
      <c r="U1915">
        <v>44348.02</v>
      </c>
      <c r="V1915">
        <v>21865.35</v>
      </c>
      <c r="W1915">
        <v>20250.41</v>
      </c>
      <c r="X1915">
        <v>102936.88</v>
      </c>
      <c r="Y1915">
        <v>78929.34</v>
      </c>
    </row>
    <row r="1916" spans="1:25" x14ac:dyDescent="0.25">
      <c r="A1916" t="s">
        <v>1972</v>
      </c>
      <c r="B1916" s="1">
        <v>45467</v>
      </c>
      <c r="C1916">
        <v>2024</v>
      </c>
      <c r="D1916">
        <v>6</v>
      </c>
      <c r="E1916" t="s">
        <v>585</v>
      </c>
      <c r="F1916" t="s">
        <v>358</v>
      </c>
      <c r="G1916" t="s">
        <v>28</v>
      </c>
      <c r="H1916" t="s">
        <v>32</v>
      </c>
      <c r="I1916" t="s">
        <v>30</v>
      </c>
      <c r="J1916">
        <v>105</v>
      </c>
      <c r="K1916">
        <v>1347.89</v>
      </c>
      <c r="L1916">
        <v>141528.24</v>
      </c>
      <c r="M1916">
        <v>75857.42</v>
      </c>
      <c r="N1916">
        <v>14479.59</v>
      </c>
      <c r="O1916">
        <v>5632.05</v>
      </c>
      <c r="P1916">
        <v>5026.96</v>
      </c>
      <c r="Q1916">
        <v>2025.2</v>
      </c>
      <c r="R1916">
        <v>6569.72</v>
      </c>
      <c r="S1916">
        <v>2258.27</v>
      </c>
      <c r="T1916">
        <v>111849.2</v>
      </c>
      <c r="U1916">
        <v>65670.820000000007</v>
      </c>
      <c r="V1916">
        <v>29679.040000000001</v>
      </c>
      <c r="W1916">
        <v>28459.38</v>
      </c>
      <c r="X1916">
        <v>153296.10999999999</v>
      </c>
      <c r="Y1916">
        <v>115788.01</v>
      </c>
    </row>
    <row r="1917" spans="1:25" x14ac:dyDescent="0.25">
      <c r="A1917" t="s">
        <v>1973</v>
      </c>
      <c r="B1917" s="1">
        <v>45468</v>
      </c>
      <c r="C1917">
        <v>2024</v>
      </c>
      <c r="D1917">
        <v>6</v>
      </c>
      <c r="E1917" t="s">
        <v>585</v>
      </c>
      <c r="F1917" t="s">
        <v>358</v>
      </c>
      <c r="G1917" t="s">
        <v>44</v>
      </c>
      <c r="H1917" t="s">
        <v>36</v>
      </c>
      <c r="I1917" t="s">
        <v>37</v>
      </c>
      <c r="J1917">
        <v>56</v>
      </c>
      <c r="K1917">
        <v>1370.11</v>
      </c>
      <c r="L1917">
        <v>76726.28</v>
      </c>
      <c r="M1917">
        <v>46038.94</v>
      </c>
      <c r="N1917">
        <v>8566.01</v>
      </c>
      <c r="O1917">
        <v>2372.88</v>
      </c>
      <c r="P1917">
        <v>1387.23</v>
      </c>
      <c r="Q1917">
        <v>736.25</v>
      </c>
      <c r="R1917">
        <v>3978.97</v>
      </c>
      <c r="S1917">
        <v>1116.6500000000001</v>
      </c>
      <c r="T1917">
        <v>64196.93</v>
      </c>
      <c r="U1917">
        <v>30687.34</v>
      </c>
      <c r="V1917">
        <v>12529.35</v>
      </c>
      <c r="W1917">
        <v>12627.61</v>
      </c>
      <c r="X1917">
        <v>72493.06</v>
      </c>
      <c r="Y1917">
        <v>60273.07</v>
      </c>
    </row>
    <row r="1918" spans="1:25" x14ac:dyDescent="0.25">
      <c r="A1918" t="s">
        <v>1974</v>
      </c>
      <c r="B1918" s="1">
        <v>45468</v>
      </c>
      <c r="C1918">
        <v>2024</v>
      </c>
      <c r="D1918">
        <v>6</v>
      </c>
      <c r="E1918" t="s">
        <v>585</v>
      </c>
      <c r="F1918" t="s">
        <v>358</v>
      </c>
      <c r="G1918" t="s">
        <v>55</v>
      </c>
      <c r="H1918" t="s">
        <v>32</v>
      </c>
      <c r="I1918" t="s">
        <v>56</v>
      </c>
      <c r="J1918">
        <v>50</v>
      </c>
      <c r="K1918">
        <v>1170.3900000000001</v>
      </c>
      <c r="L1918">
        <v>58519.72</v>
      </c>
      <c r="M1918">
        <v>36034.74</v>
      </c>
      <c r="N1918">
        <v>6464.05</v>
      </c>
      <c r="O1918">
        <v>1594.72</v>
      </c>
      <c r="P1918">
        <v>2383.5500000000002</v>
      </c>
      <c r="Q1918">
        <v>742.36</v>
      </c>
      <c r="R1918">
        <v>2879.53</v>
      </c>
      <c r="S1918">
        <v>1041.97</v>
      </c>
      <c r="T1918">
        <v>51140.93</v>
      </c>
      <c r="U1918">
        <v>22484.98</v>
      </c>
      <c r="V1918">
        <v>7378.8</v>
      </c>
      <c r="W1918">
        <v>6764.78</v>
      </c>
      <c r="X1918">
        <v>57418.63</v>
      </c>
      <c r="Y1918">
        <v>55267.7</v>
      </c>
    </row>
    <row r="1919" spans="1:25" x14ac:dyDescent="0.25">
      <c r="A1919" t="s">
        <v>1975</v>
      </c>
      <c r="B1919" s="1">
        <v>45468</v>
      </c>
      <c r="C1919">
        <v>2024</v>
      </c>
      <c r="D1919">
        <v>6</v>
      </c>
      <c r="E1919" t="s">
        <v>585</v>
      </c>
      <c r="F1919" t="s">
        <v>358</v>
      </c>
      <c r="G1919" t="s">
        <v>55</v>
      </c>
      <c r="H1919" t="s">
        <v>32</v>
      </c>
      <c r="I1919" t="s">
        <v>33</v>
      </c>
      <c r="J1919">
        <v>104</v>
      </c>
      <c r="K1919">
        <v>1099.8699999999999</v>
      </c>
      <c r="L1919">
        <v>114386.73</v>
      </c>
      <c r="M1919">
        <v>55526.37</v>
      </c>
      <c r="N1919">
        <v>8369.25</v>
      </c>
      <c r="O1919">
        <v>7033.89</v>
      </c>
      <c r="P1919">
        <v>4088.4</v>
      </c>
      <c r="Q1919">
        <v>1295.8699999999999</v>
      </c>
      <c r="R1919">
        <v>4403.53</v>
      </c>
      <c r="S1919">
        <v>1258.6500000000001</v>
      </c>
      <c r="T1919">
        <v>81975.95</v>
      </c>
      <c r="U1919">
        <v>58860.36</v>
      </c>
      <c r="V1919">
        <v>32410.78</v>
      </c>
      <c r="W1919">
        <v>32643.77</v>
      </c>
      <c r="X1919">
        <v>117577.88</v>
      </c>
      <c r="Y1919">
        <v>80971.960000000006</v>
      </c>
    </row>
    <row r="1920" spans="1:25" x14ac:dyDescent="0.25">
      <c r="A1920" t="s">
        <v>1976</v>
      </c>
      <c r="B1920" s="1">
        <v>45468</v>
      </c>
      <c r="C1920">
        <v>2024</v>
      </c>
      <c r="D1920">
        <v>6</v>
      </c>
      <c r="E1920" t="s">
        <v>585</v>
      </c>
      <c r="F1920" t="s">
        <v>358</v>
      </c>
      <c r="G1920" t="s">
        <v>55</v>
      </c>
      <c r="H1920" t="s">
        <v>32</v>
      </c>
      <c r="I1920" t="s">
        <v>45</v>
      </c>
      <c r="J1920">
        <v>58</v>
      </c>
      <c r="K1920">
        <v>910.93</v>
      </c>
      <c r="L1920">
        <v>52834.06</v>
      </c>
      <c r="M1920">
        <v>31962.6</v>
      </c>
      <c r="N1920">
        <v>4676.32</v>
      </c>
      <c r="O1920">
        <v>2742.13</v>
      </c>
      <c r="P1920">
        <v>1144.78</v>
      </c>
      <c r="Q1920">
        <v>410.68</v>
      </c>
      <c r="R1920">
        <v>1596.23</v>
      </c>
      <c r="S1920">
        <v>689.39</v>
      </c>
      <c r="T1920">
        <v>43222.13</v>
      </c>
      <c r="U1920">
        <v>20871.46</v>
      </c>
      <c r="V1920">
        <v>9611.93</v>
      </c>
      <c r="W1920">
        <v>9165.5499999999993</v>
      </c>
      <c r="X1920">
        <v>53753.72</v>
      </c>
      <c r="Y1920">
        <v>40899.54</v>
      </c>
    </row>
    <row r="1921" spans="1:25" x14ac:dyDescent="0.25">
      <c r="A1921" t="s">
        <v>1977</v>
      </c>
      <c r="B1921" s="1">
        <v>45468</v>
      </c>
      <c r="C1921">
        <v>2024</v>
      </c>
      <c r="D1921">
        <v>6</v>
      </c>
      <c r="E1921" t="s">
        <v>585</v>
      </c>
      <c r="F1921" t="s">
        <v>358</v>
      </c>
      <c r="G1921" t="s">
        <v>35</v>
      </c>
      <c r="H1921" t="s">
        <v>36</v>
      </c>
      <c r="I1921" t="s">
        <v>37</v>
      </c>
      <c r="J1921">
        <v>46</v>
      </c>
      <c r="K1921">
        <v>1145.75</v>
      </c>
      <c r="L1921">
        <v>52704.59</v>
      </c>
      <c r="M1921">
        <v>26069.06</v>
      </c>
      <c r="N1921">
        <v>5921.65</v>
      </c>
      <c r="O1921">
        <v>2016.56</v>
      </c>
      <c r="P1921">
        <v>1559.21</v>
      </c>
      <c r="Q1921">
        <v>735.35</v>
      </c>
      <c r="R1921">
        <v>1981.45</v>
      </c>
      <c r="S1921">
        <v>685.52</v>
      </c>
      <c r="T1921">
        <v>38968.82</v>
      </c>
      <c r="U1921">
        <v>26635.53</v>
      </c>
      <c r="V1921">
        <v>13735.77</v>
      </c>
      <c r="W1921">
        <v>12673.19</v>
      </c>
      <c r="X1921">
        <v>53345.06</v>
      </c>
      <c r="Y1921">
        <v>37435.89</v>
      </c>
    </row>
    <row r="1922" spans="1:25" x14ac:dyDescent="0.25">
      <c r="A1922" t="s">
        <v>1978</v>
      </c>
      <c r="B1922" s="1">
        <v>45469</v>
      </c>
      <c r="C1922">
        <v>2024</v>
      </c>
      <c r="D1922">
        <v>6</v>
      </c>
      <c r="E1922" t="s">
        <v>585</v>
      </c>
      <c r="F1922" t="s">
        <v>358</v>
      </c>
      <c r="G1922" t="s">
        <v>55</v>
      </c>
      <c r="H1922" t="s">
        <v>58</v>
      </c>
      <c r="I1922" t="s">
        <v>56</v>
      </c>
      <c r="J1922">
        <v>21</v>
      </c>
      <c r="K1922">
        <v>1532.05</v>
      </c>
      <c r="L1922">
        <v>32173.13</v>
      </c>
      <c r="M1922">
        <v>16393.080000000002</v>
      </c>
      <c r="N1922">
        <v>3506.53</v>
      </c>
      <c r="O1922">
        <v>956.32</v>
      </c>
      <c r="P1922">
        <v>1069.73</v>
      </c>
      <c r="Q1922">
        <v>229.66</v>
      </c>
      <c r="R1922">
        <v>1929.54</v>
      </c>
      <c r="S1922">
        <v>490.6</v>
      </c>
      <c r="T1922">
        <v>24575.47</v>
      </c>
      <c r="U1922">
        <v>15780.05</v>
      </c>
      <c r="V1922">
        <v>7597.67</v>
      </c>
      <c r="W1922">
        <v>7156.6</v>
      </c>
      <c r="X1922">
        <v>29750.080000000002</v>
      </c>
      <c r="Y1922">
        <v>27006.1</v>
      </c>
    </row>
    <row r="1923" spans="1:25" x14ac:dyDescent="0.25">
      <c r="A1923" t="s">
        <v>1979</v>
      </c>
      <c r="B1923" s="1">
        <v>45469</v>
      </c>
      <c r="C1923">
        <v>2024</v>
      </c>
      <c r="D1923">
        <v>6</v>
      </c>
      <c r="E1923" t="s">
        <v>585</v>
      </c>
      <c r="F1923" t="s">
        <v>358</v>
      </c>
      <c r="G1923" t="s">
        <v>55</v>
      </c>
      <c r="H1923" t="s">
        <v>32</v>
      </c>
      <c r="I1923" t="s">
        <v>45</v>
      </c>
      <c r="J1923">
        <v>64</v>
      </c>
      <c r="K1923">
        <v>1103.6300000000001</v>
      </c>
      <c r="L1923">
        <v>70632.28</v>
      </c>
      <c r="M1923">
        <v>41681.72</v>
      </c>
      <c r="N1923">
        <v>5784.87</v>
      </c>
      <c r="O1923">
        <v>1982.46</v>
      </c>
      <c r="P1923">
        <v>1952.06</v>
      </c>
      <c r="Q1923">
        <v>1115.01</v>
      </c>
      <c r="R1923">
        <v>2001.31</v>
      </c>
      <c r="S1923">
        <v>882.68</v>
      </c>
      <c r="T1923">
        <v>55400.11</v>
      </c>
      <c r="U1923">
        <v>28950.57</v>
      </c>
      <c r="V1923">
        <v>15232.17</v>
      </c>
      <c r="W1923">
        <v>15310.76</v>
      </c>
      <c r="X1923">
        <v>66720.070000000007</v>
      </c>
      <c r="Y1923">
        <v>54630.879999999997</v>
      </c>
    </row>
    <row r="1924" spans="1:25" x14ac:dyDescent="0.25">
      <c r="A1924" t="s">
        <v>1980</v>
      </c>
      <c r="B1924" s="1">
        <v>45470</v>
      </c>
      <c r="C1924">
        <v>2024</v>
      </c>
      <c r="D1924">
        <v>6</v>
      </c>
      <c r="E1924" t="s">
        <v>585</v>
      </c>
      <c r="F1924" t="s">
        <v>358</v>
      </c>
      <c r="G1924" t="s">
        <v>44</v>
      </c>
      <c r="H1924" t="s">
        <v>53</v>
      </c>
      <c r="I1924" t="s">
        <v>37</v>
      </c>
      <c r="J1924">
        <v>37</v>
      </c>
      <c r="K1924">
        <v>1507.84</v>
      </c>
      <c r="L1924">
        <v>55790.18</v>
      </c>
      <c r="M1924">
        <v>36032.9</v>
      </c>
      <c r="N1924">
        <v>6425.33</v>
      </c>
      <c r="O1924">
        <v>4079.12</v>
      </c>
      <c r="P1924">
        <v>2157.7600000000002</v>
      </c>
      <c r="Q1924">
        <v>745.51</v>
      </c>
      <c r="R1924">
        <v>2802.8</v>
      </c>
      <c r="S1924">
        <v>1004.39</v>
      </c>
      <c r="T1924">
        <v>53247.8</v>
      </c>
      <c r="U1924">
        <v>19757.28</v>
      </c>
      <c r="V1924">
        <v>2542.38</v>
      </c>
      <c r="W1924">
        <v>2273.2199999999998</v>
      </c>
      <c r="X1924">
        <v>51530.34</v>
      </c>
      <c r="Y1924">
        <v>58017.41</v>
      </c>
    </row>
    <row r="1925" spans="1:25" x14ac:dyDescent="0.25">
      <c r="A1925" t="s">
        <v>1981</v>
      </c>
      <c r="B1925" s="1">
        <v>45470</v>
      </c>
      <c r="C1925">
        <v>2024</v>
      </c>
      <c r="D1925">
        <v>6</v>
      </c>
      <c r="E1925" t="s">
        <v>585</v>
      </c>
      <c r="F1925" t="s">
        <v>358</v>
      </c>
      <c r="G1925" t="s">
        <v>28</v>
      </c>
      <c r="H1925" t="s">
        <v>29</v>
      </c>
      <c r="I1925" t="s">
        <v>50</v>
      </c>
      <c r="J1925">
        <v>32</v>
      </c>
      <c r="K1925">
        <v>1646.35</v>
      </c>
      <c r="L1925">
        <v>52683.09</v>
      </c>
      <c r="M1925">
        <v>34870.18</v>
      </c>
      <c r="N1925">
        <v>4431.3100000000004</v>
      </c>
      <c r="O1925">
        <v>1352.51</v>
      </c>
      <c r="P1925">
        <v>1414.46</v>
      </c>
      <c r="Q1925">
        <v>433.38</v>
      </c>
      <c r="R1925">
        <v>1857.03</v>
      </c>
      <c r="S1925">
        <v>843.02</v>
      </c>
      <c r="T1925">
        <v>45201.9</v>
      </c>
      <c r="U1925">
        <v>17812.91</v>
      </c>
      <c r="V1925">
        <v>7481.19</v>
      </c>
      <c r="W1925">
        <v>7414.74</v>
      </c>
      <c r="X1925">
        <v>50071.67</v>
      </c>
      <c r="Y1925">
        <v>47041.98</v>
      </c>
    </row>
    <row r="1926" spans="1:25" x14ac:dyDescent="0.25">
      <c r="A1926" t="s">
        <v>1982</v>
      </c>
      <c r="B1926" s="1">
        <v>45470</v>
      </c>
      <c r="C1926">
        <v>2024</v>
      </c>
      <c r="D1926">
        <v>6</v>
      </c>
      <c r="E1926" t="s">
        <v>585</v>
      </c>
      <c r="F1926" t="s">
        <v>358</v>
      </c>
      <c r="G1926" t="s">
        <v>28</v>
      </c>
      <c r="H1926" t="s">
        <v>36</v>
      </c>
      <c r="I1926" t="s">
        <v>33</v>
      </c>
      <c r="J1926">
        <v>59</v>
      </c>
      <c r="K1926">
        <v>1426.37</v>
      </c>
      <c r="L1926">
        <v>84155.59</v>
      </c>
      <c r="M1926">
        <v>41633.14</v>
      </c>
      <c r="N1926">
        <v>10023.34</v>
      </c>
      <c r="O1926">
        <v>5993.33</v>
      </c>
      <c r="P1926">
        <v>1820.23</v>
      </c>
      <c r="Q1926">
        <v>1413.3</v>
      </c>
      <c r="R1926">
        <v>4416.8999999999996</v>
      </c>
      <c r="S1926">
        <v>1562.11</v>
      </c>
      <c r="T1926">
        <v>66862.350000000006</v>
      </c>
      <c r="U1926">
        <v>42522.45</v>
      </c>
      <c r="V1926">
        <v>17293.240000000002</v>
      </c>
      <c r="W1926">
        <v>15287.28</v>
      </c>
      <c r="X1926">
        <v>87499.08</v>
      </c>
      <c r="Y1926">
        <v>62310.400000000001</v>
      </c>
    </row>
    <row r="1927" spans="1:25" x14ac:dyDescent="0.25">
      <c r="A1927" t="s">
        <v>1983</v>
      </c>
      <c r="B1927" s="1">
        <v>45472</v>
      </c>
      <c r="C1927">
        <v>2024</v>
      </c>
      <c r="D1927">
        <v>6</v>
      </c>
      <c r="E1927" t="s">
        <v>585</v>
      </c>
      <c r="F1927" t="s">
        <v>358</v>
      </c>
      <c r="G1927" t="s">
        <v>55</v>
      </c>
      <c r="H1927" t="s">
        <v>58</v>
      </c>
      <c r="I1927" t="s">
        <v>65</v>
      </c>
      <c r="J1927">
        <v>84</v>
      </c>
      <c r="K1927">
        <v>905.46</v>
      </c>
      <c r="L1927">
        <v>76058.45</v>
      </c>
      <c r="M1927">
        <v>46292.49</v>
      </c>
      <c r="N1927">
        <v>6966.89</v>
      </c>
      <c r="O1927">
        <v>5214.16</v>
      </c>
      <c r="P1927">
        <v>2485.41</v>
      </c>
      <c r="Q1927">
        <v>1245.3599999999999</v>
      </c>
      <c r="R1927">
        <v>4644.95</v>
      </c>
      <c r="S1927">
        <v>1869.08</v>
      </c>
      <c r="T1927">
        <v>68718.34</v>
      </c>
      <c r="U1927">
        <v>29765.96</v>
      </c>
      <c r="V1927">
        <v>7340.11</v>
      </c>
      <c r="W1927">
        <v>6649.33</v>
      </c>
      <c r="X1927">
        <v>83943.64</v>
      </c>
      <c r="Y1927">
        <v>73506.740000000005</v>
      </c>
    </row>
    <row r="1928" spans="1:25" x14ac:dyDescent="0.25">
      <c r="A1928" t="s">
        <v>1984</v>
      </c>
      <c r="B1928" s="1">
        <v>45472</v>
      </c>
      <c r="C1928">
        <v>2024</v>
      </c>
      <c r="D1928">
        <v>6</v>
      </c>
      <c r="E1928" t="s">
        <v>585</v>
      </c>
      <c r="F1928" t="s">
        <v>358</v>
      </c>
      <c r="G1928" t="s">
        <v>44</v>
      </c>
      <c r="H1928" t="s">
        <v>36</v>
      </c>
      <c r="I1928" t="s">
        <v>30</v>
      </c>
      <c r="J1928">
        <v>42</v>
      </c>
      <c r="K1928">
        <v>1763.9</v>
      </c>
      <c r="L1928">
        <v>74083.66</v>
      </c>
      <c r="M1928">
        <v>37549.050000000003</v>
      </c>
      <c r="N1928">
        <v>6697.75</v>
      </c>
      <c r="O1928">
        <v>4876.24</v>
      </c>
      <c r="P1928">
        <v>2203.9899999999998</v>
      </c>
      <c r="Q1928">
        <v>1264.57</v>
      </c>
      <c r="R1928">
        <v>2765.62</v>
      </c>
      <c r="S1928">
        <v>954.71</v>
      </c>
      <c r="T1928">
        <v>56311.94</v>
      </c>
      <c r="U1928">
        <v>36534.6</v>
      </c>
      <c r="V1928">
        <v>17771.71</v>
      </c>
      <c r="W1928">
        <v>17048.29</v>
      </c>
      <c r="X1928">
        <v>72953.440000000002</v>
      </c>
      <c r="Y1928">
        <v>58216.87</v>
      </c>
    </row>
    <row r="1929" spans="1:25" x14ac:dyDescent="0.25">
      <c r="A1929" t="s">
        <v>1985</v>
      </c>
      <c r="B1929" s="1">
        <v>45472</v>
      </c>
      <c r="C1929">
        <v>2024</v>
      </c>
      <c r="D1929">
        <v>6</v>
      </c>
      <c r="E1929" t="s">
        <v>585</v>
      </c>
      <c r="F1929" t="s">
        <v>358</v>
      </c>
      <c r="G1929" t="s">
        <v>55</v>
      </c>
      <c r="H1929" t="s">
        <v>58</v>
      </c>
      <c r="I1929" t="s">
        <v>50</v>
      </c>
      <c r="J1929">
        <v>64</v>
      </c>
      <c r="K1929">
        <v>958.83</v>
      </c>
      <c r="L1929">
        <v>61365.3</v>
      </c>
      <c r="M1929">
        <v>36334.86</v>
      </c>
      <c r="N1929">
        <v>6738.58</v>
      </c>
      <c r="O1929">
        <v>1938.66</v>
      </c>
      <c r="P1929">
        <v>2221.5300000000002</v>
      </c>
      <c r="Q1929">
        <v>644.34</v>
      </c>
      <c r="R1929">
        <v>3396.6</v>
      </c>
      <c r="S1929">
        <v>636.49</v>
      </c>
      <c r="T1929">
        <v>51911.07</v>
      </c>
      <c r="U1929">
        <v>25030.43</v>
      </c>
      <c r="V1929">
        <v>9454.23</v>
      </c>
      <c r="W1929">
        <v>9536.11</v>
      </c>
      <c r="X1929">
        <v>58806.54</v>
      </c>
      <c r="Y1929">
        <v>53311.16</v>
      </c>
    </row>
    <row r="1930" spans="1:25" x14ac:dyDescent="0.25">
      <c r="A1930" t="s">
        <v>1986</v>
      </c>
      <c r="B1930" s="1">
        <v>45472</v>
      </c>
      <c r="C1930">
        <v>2024</v>
      </c>
      <c r="D1930">
        <v>6</v>
      </c>
      <c r="E1930" t="s">
        <v>585</v>
      </c>
      <c r="F1930" t="s">
        <v>358</v>
      </c>
      <c r="G1930" t="s">
        <v>28</v>
      </c>
      <c r="H1930" t="s">
        <v>53</v>
      </c>
      <c r="I1930" t="s">
        <v>33</v>
      </c>
      <c r="J1930">
        <v>54</v>
      </c>
      <c r="K1930">
        <v>1037.98</v>
      </c>
      <c r="L1930">
        <v>56050.83</v>
      </c>
      <c r="M1930">
        <v>31466.61</v>
      </c>
      <c r="N1930">
        <v>7093.33</v>
      </c>
      <c r="O1930">
        <v>2678.43</v>
      </c>
      <c r="P1930">
        <v>2163.31</v>
      </c>
      <c r="Q1930">
        <v>740.46</v>
      </c>
      <c r="R1930">
        <v>3133.96</v>
      </c>
      <c r="S1930">
        <v>911.97</v>
      </c>
      <c r="T1930">
        <v>48188.08</v>
      </c>
      <c r="U1930">
        <v>24584.22</v>
      </c>
      <c r="V1930">
        <v>7862.75</v>
      </c>
      <c r="W1930">
        <v>7286.15</v>
      </c>
      <c r="X1930">
        <v>60032.53</v>
      </c>
      <c r="Y1930">
        <v>46182.82</v>
      </c>
    </row>
    <row r="1931" spans="1:25" x14ac:dyDescent="0.25">
      <c r="A1931" t="s">
        <v>1987</v>
      </c>
      <c r="B1931" s="1">
        <v>45472</v>
      </c>
      <c r="C1931">
        <v>2024</v>
      </c>
      <c r="D1931">
        <v>6</v>
      </c>
      <c r="E1931" t="s">
        <v>585</v>
      </c>
      <c r="F1931" t="s">
        <v>358</v>
      </c>
      <c r="G1931" t="s">
        <v>35</v>
      </c>
      <c r="H1931" t="s">
        <v>58</v>
      </c>
      <c r="I1931" t="s">
        <v>37</v>
      </c>
      <c r="J1931">
        <v>47</v>
      </c>
      <c r="K1931">
        <v>969.83</v>
      </c>
      <c r="L1931">
        <v>45582.2</v>
      </c>
      <c r="M1931">
        <v>23848.98</v>
      </c>
      <c r="N1931">
        <v>4986.37</v>
      </c>
      <c r="O1931">
        <v>3065.44</v>
      </c>
      <c r="P1931">
        <v>706.32</v>
      </c>
      <c r="Q1931">
        <v>596.48</v>
      </c>
      <c r="R1931">
        <v>1288.3800000000001</v>
      </c>
      <c r="S1931">
        <v>713.3</v>
      </c>
      <c r="T1931">
        <v>35205.26</v>
      </c>
      <c r="U1931">
        <v>21733.23</v>
      </c>
      <c r="V1931">
        <v>10376.94</v>
      </c>
      <c r="W1931">
        <v>9159.77</v>
      </c>
      <c r="X1931">
        <v>44405.43</v>
      </c>
      <c r="Y1931">
        <v>34477.83</v>
      </c>
    </row>
    <row r="1932" spans="1:25" x14ac:dyDescent="0.25">
      <c r="A1932" t="s">
        <v>1988</v>
      </c>
      <c r="B1932" s="1">
        <v>45472</v>
      </c>
      <c r="C1932">
        <v>2024</v>
      </c>
      <c r="D1932">
        <v>6</v>
      </c>
      <c r="E1932" t="s">
        <v>585</v>
      </c>
      <c r="F1932" t="s">
        <v>358</v>
      </c>
      <c r="G1932" t="s">
        <v>55</v>
      </c>
      <c r="H1932" t="s">
        <v>32</v>
      </c>
      <c r="I1932" t="s">
        <v>39</v>
      </c>
      <c r="J1932">
        <v>44</v>
      </c>
      <c r="K1932">
        <v>1008.05</v>
      </c>
      <c r="L1932">
        <v>44354.15</v>
      </c>
      <c r="M1932">
        <v>26991.7</v>
      </c>
      <c r="N1932">
        <v>4892.37</v>
      </c>
      <c r="O1932">
        <v>2424.41</v>
      </c>
      <c r="P1932">
        <v>1848.66</v>
      </c>
      <c r="Q1932">
        <v>381.73</v>
      </c>
      <c r="R1932">
        <v>2149.69</v>
      </c>
      <c r="S1932">
        <v>977.84</v>
      </c>
      <c r="T1932">
        <v>39666.410000000003</v>
      </c>
      <c r="U1932">
        <v>17362.46</v>
      </c>
      <c r="V1932">
        <v>4687.75</v>
      </c>
      <c r="W1932">
        <v>4655.95</v>
      </c>
      <c r="X1932">
        <v>49258.92</v>
      </c>
      <c r="Y1932">
        <v>37587.5</v>
      </c>
    </row>
    <row r="1933" spans="1:25" x14ac:dyDescent="0.25">
      <c r="A1933" t="s">
        <v>1989</v>
      </c>
      <c r="B1933" s="1">
        <v>45473</v>
      </c>
      <c r="C1933">
        <v>2024</v>
      </c>
      <c r="D1933">
        <v>6</v>
      </c>
      <c r="E1933" t="s">
        <v>585</v>
      </c>
      <c r="F1933" t="s">
        <v>358</v>
      </c>
      <c r="G1933" t="s">
        <v>55</v>
      </c>
      <c r="H1933" t="s">
        <v>36</v>
      </c>
      <c r="I1933" t="s">
        <v>37</v>
      </c>
      <c r="J1933">
        <v>49</v>
      </c>
      <c r="K1933">
        <v>1597.05</v>
      </c>
      <c r="L1933">
        <v>78255.42</v>
      </c>
      <c r="M1933">
        <v>43465.88</v>
      </c>
      <c r="N1933">
        <v>6006.03</v>
      </c>
      <c r="O1933">
        <v>4904.75</v>
      </c>
      <c r="P1933">
        <v>2523.92</v>
      </c>
      <c r="Q1933">
        <v>543.69000000000005</v>
      </c>
      <c r="R1933">
        <v>2155.75</v>
      </c>
      <c r="S1933">
        <v>1297.8</v>
      </c>
      <c r="T1933">
        <v>60897.82</v>
      </c>
      <c r="U1933">
        <v>34789.54</v>
      </c>
      <c r="V1933">
        <v>17357.599999999999</v>
      </c>
      <c r="W1933">
        <v>15600.69</v>
      </c>
      <c r="X1933">
        <v>80891.320000000007</v>
      </c>
      <c r="Y1933">
        <v>66915.399999999994</v>
      </c>
    </row>
    <row r="1934" spans="1:25" x14ac:dyDescent="0.25">
      <c r="A1934" t="s">
        <v>1990</v>
      </c>
      <c r="B1934" s="1">
        <v>45473</v>
      </c>
      <c r="C1934">
        <v>2024</v>
      </c>
      <c r="D1934">
        <v>6</v>
      </c>
      <c r="E1934" t="s">
        <v>585</v>
      </c>
      <c r="F1934" t="s">
        <v>358</v>
      </c>
      <c r="G1934" t="s">
        <v>28</v>
      </c>
      <c r="H1934" t="s">
        <v>36</v>
      </c>
      <c r="I1934" t="s">
        <v>33</v>
      </c>
      <c r="J1934">
        <v>66</v>
      </c>
      <c r="K1934">
        <v>1512.28</v>
      </c>
      <c r="L1934">
        <v>99810.27</v>
      </c>
      <c r="M1934">
        <v>60161.72</v>
      </c>
      <c r="N1934">
        <v>8975.2900000000009</v>
      </c>
      <c r="O1934">
        <v>3357.99</v>
      </c>
      <c r="P1934">
        <v>4007.48</v>
      </c>
      <c r="Q1934">
        <v>718.09</v>
      </c>
      <c r="R1934">
        <v>6359.76</v>
      </c>
      <c r="S1934">
        <v>1437.58</v>
      </c>
      <c r="T1934">
        <v>85017.919999999998</v>
      </c>
      <c r="U1934">
        <v>39648.550000000003</v>
      </c>
      <c r="V1934">
        <v>14792.35</v>
      </c>
      <c r="W1934">
        <v>13351.58</v>
      </c>
      <c r="X1934">
        <v>110547.88</v>
      </c>
      <c r="Y1934">
        <v>84261.97</v>
      </c>
    </row>
    <row r="1935" spans="1:25" x14ac:dyDescent="0.25">
      <c r="A1935" t="s">
        <v>1991</v>
      </c>
      <c r="B1935" s="1">
        <v>45473</v>
      </c>
      <c r="C1935">
        <v>2024</v>
      </c>
      <c r="D1935">
        <v>6</v>
      </c>
      <c r="E1935" t="s">
        <v>585</v>
      </c>
      <c r="F1935" t="s">
        <v>358</v>
      </c>
      <c r="G1935" t="s">
        <v>44</v>
      </c>
      <c r="H1935" t="s">
        <v>53</v>
      </c>
      <c r="I1935" t="s">
        <v>65</v>
      </c>
      <c r="J1935">
        <v>42</v>
      </c>
      <c r="K1935">
        <v>1078.43</v>
      </c>
      <c r="L1935">
        <v>45293.98</v>
      </c>
      <c r="M1935">
        <v>25111.1</v>
      </c>
      <c r="N1935">
        <v>4612.9399999999996</v>
      </c>
      <c r="O1935">
        <v>3328.18</v>
      </c>
      <c r="P1935">
        <v>1429.84</v>
      </c>
      <c r="Q1935">
        <v>284.79000000000002</v>
      </c>
      <c r="R1935">
        <v>2602.0300000000002</v>
      </c>
      <c r="S1935">
        <v>1032.26</v>
      </c>
      <c r="T1935">
        <v>38401.129999999997</v>
      </c>
      <c r="U1935">
        <v>20182.89</v>
      </c>
      <c r="V1935">
        <v>6892.85</v>
      </c>
      <c r="W1935">
        <v>6236.66</v>
      </c>
      <c r="X1935">
        <v>45093.75</v>
      </c>
      <c r="Y1935">
        <v>40059.74</v>
      </c>
    </row>
    <row r="1936" spans="1:25" x14ac:dyDescent="0.25">
      <c r="A1936" t="s">
        <v>1992</v>
      </c>
      <c r="B1936" s="1">
        <v>45473</v>
      </c>
      <c r="C1936">
        <v>2024</v>
      </c>
      <c r="D1936">
        <v>6</v>
      </c>
      <c r="E1936" t="s">
        <v>585</v>
      </c>
      <c r="F1936" t="s">
        <v>358</v>
      </c>
      <c r="G1936" t="s">
        <v>35</v>
      </c>
      <c r="H1936" t="s">
        <v>29</v>
      </c>
      <c r="I1936" t="s">
        <v>65</v>
      </c>
      <c r="J1936">
        <v>35</v>
      </c>
      <c r="K1936">
        <v>1269.6199999999999</v>
      </c>
      <c r="L1936">
        <v>44436.7</v>
      </c>
      <c r="M1936">
        <v>22699.61</v>
      </c>
      <c r="N1936">
        <v>4770.1000000000004</v>
      </c>
      <c r="O1936">
        <v>2631.47</v>
      </c>
      <c r="P1936">
        <v>1399.62</v>
      </c>
      <c r="Q1936">
        <v>436.77</v>
      </c>
      <c r="R1936">
        <v>2295.8000000000002</v>
      </c>
      <c r="S1936">
        <v>841.12</v>
      </c>
      <c r="T1936">
        <v>35074.480000000003</v>
      </c>
      <c r="U1936">
        <v>21737.09</v>
      </c>
      <c r="V1936">
        <v>9362.2199999999993</v>
      </c>
      <c r="W1936">
        <v>9147.6299999999992</v>
      </c>
      <c r="X1936">
        <v>45802.78</v>
      </c>
      <c r="Y1936">
        <v>33032.43</v>
      </c>
    </row>
    <row r="1937" spans="1:25" x14ac:dyDescent="0.25">
      <c r="A1937" t="s">
        <v>1993</v>
      </c>
      <c r="B1937" s="1">
        <v>45474</v>
      </c>
      <c r="C1937">
        <v>2024</v>
      </c>
      <c r="D1937">
        <v>7</v>
      </c>
      <c r="E1937" t="s">
        <v>690</v>
      </c>
      <c r="F1937" t="s">
        <v>691</v>
      </c>
      <c r="G1937" t="s">
        <v>35</v>
      </c>
      <c r="H1937" t="s">
        <v>36</v>
      </c>
      <c r="I1937" t="s">
        <v>37</v>
      </c>
      <c r="J1937">
        <v>69</v>
      </c>
      <c r="K1937">
        <v>833.98</v>
      </c>
      <c r="L1937">
        <v>57544.88</v>
      </c>
      <c r="M1937">
        <v>33147.269999999997</v>
      </c>
      <c r="N1937">
        <v>5579.61</v>
      </c>
      <c r="O1937">
        <v>3869.21</v>
      </c>
      <c r="P1937">
        <v>961.18</v>
      </c>
      <c r="Q1937">
        <v>1010.63</v>
      </c>
      <c r="R1937">
        <v>3617.99</v>
      </c>
      <c r="S1937">
        <v>1312.31</v>
      </c>
      <c r="T1937">
        <v>49498.18</v>
      </c>
      <c r="U1937">
        <v>24397.61</v>
      </c>
      <c r="V1937">
        <v>8046.7</v>
      </c>
      <c r="W1937">
        <v>7560.71</v>
      </c>
      <c r="X1937">
        <v>61501.87</v>
      </c>
      <c r="Y1937">
        <v>51614.61</v>
      </c>
    </row>
    <row r="1938" spans="1:25" x14ac:dyDescent="0.25">
      <c r="A1938" t="s">
        <v>1994</v>
      </c>
      <c r="B1938" s="1">
        <v>45474</v>
      </c>
      <c r="C1938">
        <v>2024</v>
      </c>
      <c r="D1938">
        <v>7</v>
      </c>
      <c r="E1938" t="s">
        <v>690</v>
      </c>
      <c r="F1938" t="s">
        <v>691</v>
      </c>
      <c r="G1938" t="s">
        <v>28</v>
      </c>
      <c r="H1938" t="s">
        <v>32</v>
      </c>
      <c r="I1938" t="s">
        <v>50</v>
      </c>
      <c r="J1938">
        <v>52</v>
      </c>
      <c r="K1938">
        <v>1282.6099999999999</v>
      </c>
      <c r="L1938">
        <v>66695.53</v>
      </c>
      <c r="M1938">
        <v>36088.800000000003</v>
      </c>
      <c r="N1938">
        <v>6335.04</v>
      </c>
      <c r="O1938">
        <v>4347.38</v>
      </c>
      <c r="P1938">
        <v>2975.13</v>
      </c>
      <c r="Q1938">
        <v>539.72</v>
      </c>
      <c r="R1938">
        <v>1797.85</v>
      </c>
      <c r="S1938">
        <v>1498.85</v>
      </c>
      <c r="T1938">
        <v>53582.78</v>
      </c>
      <c r="U1938">
        <v>30606.73</v>
      </c>
      <c r="V1938">
        <v>13112.75</v>
      </c>
      <c r="W1938">
        <v>13112.88</v>
      </c>
      <c r="X1938">
        <v>66235.149999999994</v>
      </c>
      <c r="Y1938">
        <v>57955.93</v>
      </c>
    </row>
    <row r="1939" spans="1:25" x14ac:dyDescent="0.25">
      <c r="A1939" t="s">
        <v>1995</v>
      </c>
      <c r="B1939" s="1">
        <v>45475</v>
      </c>
      <c r="C1939">
        <v>2024</v>
      </c>
      <c r="D1939">
        <v>7</v>
      </c>
      <c r="E1939" t="s">
        <v>690</v>
      </c>
      <c r="F1939" t="s">
        <v>691</v>
      </c>
      <c r="G1939" t="s">
        <v>44</v>
      </c>
      <c r="H1939" t="s">
        <v>32</v>
      </c>
      <c r="I1939" t="s">
        <v>45</v>
      </c>
      <c r="J1939">
        <v>36</v>
      </c>
      <c r="K1939">
        <v>1726.02</v>
      </c>
      <c r="L1939">
        <v>62136.78</v>
      </c>
      <c r="M1939">
        <v>38878.69</v>
      </c>
      <c r="N1939">
        <v>5629.9</v>
      </c>
      <c r="O1939">
        <v>3057.47</v>
      </c>
      <c r="P1939">
        <v>1558.84</v>
      </c>
      <c r="Q1939">
        <v>781.28</v>
      </c>
      <c r="R1939">
        <v>2726.15</v>
      </c>
      <c r="S1939">
        <v>557.6</v>
      </c>
      <c r="T1939">
        <v>53189.93</v>
      </c>
      <c r="U1939">
        <v>23258.09</v>
      </c>
      <c r="V1939">
        <v>8946.85</v>
      </c>
      <c r="W1939">
        <v>7878.89</v>
      </c>
      <c r="X1939">
        <v>67566.55</v>
      </c>
      <c r="Y1939">
        <v>56503.3</v>
      </c>
    </row>
    <row r="1940" spans="1:25" x14ac:dyDescent="0.25">
      <c r="A1940" t="s">
        <v>1996</v>
      </c>
      <c r="B1940" s="1">
        <v>45475</v>
      </c>
      <c r="C1940">
        <v>2024</v>
      </c>
      <c r="D1940">
        <v>7</v>
      </c>
      <c r="E1940" t="s">
        <v>690</v>
      </c>
      <c r="F1940" t="s">
        <v>691</v>
      </c>
      <c r="G1940" t="s">
        <v>28</v>
      </c>
      <c r="H1940" t="s">
        <v>36</v>
      </c>
      <c r="I1940" t="s">
        <v>45</v>
      </c>
      <c r="J1940">
        <v>25</v>
      </c>
      <c r="K1940">
        <v>1711.6</v>
      </c>
      <c r="L1940">
        <v>42789.88</v>
      </c>
      <c r="M1940">
        <v>26698.17</v>
      </c>
      <c r="N1940">
        <v>3526.31</v>
      </c>
      <c r="O1940">
        <v>2100.38</v>
      </c>
      <c r="P1940">
        <v>1295.33</v>
      </c>
      <c r="Q1940">
        <v>363.8</v>
      </c>
      <c r="R1940">
        <v>2598.06</v>
      </c>
      <c r="S1940">
        <v>510.08</v>
      </c>
      <c r="T1940">
        <v>37092.129999999997</v>
      </c>
      <c r="U1940">
        <v>16091.71</v>
      </c>
      <c r="V1940">
        <v>5697.75</v>
      </c>
      <c r="W1940">
        <v>5578.29</v>
      </c>
      <c r="X1940">
        <v>42462.22</v>
      </c>
      <c r="Y1940">
        <v>37118.620000000003</v>
      </c>
    </row>
    <row r="1941" spans="1:25" x14ac:dyDescent="0.25">
      <c r="A1941" t="s">
        <v>1997</v>
      </c>
      <c r="B1941" s="1">
        <v>45476</v>
      </c>
      <c r="C1941">
        <v>2024</v>
      </c>
      <c r="D1941">
        <v>7</v>
      </c>
      <c r="E1941" t="s">
        <v>690</v>
      </c>
      <c r="F1941" t="s">
        <v>691</v>
      </c>
      <c r="G1941" t="s">
        <v>55</v>
      </c>
      <c r="H1941" t="s">
        <v>29</v>
      </c>
      <c r="I1941" t="s">
        <v>39</v>
      </c>
      <c r="J1941">
        <v>39</v>
      </c>
      <c r="K1941">
        <v>1410.25</v>
      </c>
      <c r="L1941">
        <v>54999.66</v>
      </c>
      <c r="M1941">
        <v>32351.23</v>
      </c>
      <c r="N1941">
        <v>4655.9399999999996</v>
      </c>
      <c r="O1941">
        <v>2439.16</v>
      </c>
      <c r="P1941">
        <v>1923.81</v>
      </c>
      <c r="Q1941">
        <v>444.85</v>
      </c>
      <c r="R1941">
        <v>2449.5100000000002</v>
      </c>
      <c r="S1941">
        <v>825.62</v>
      </c>
      <c r="T1941">
        <v>45090.11</v>
      </c>
      <c r="U1941">
        <v>22648.43</v>
      </c>
      <c r="V1941">
        <v>9909.5499999999993</v>
      </c>
      <c r="W1941">
        <v>8885.08</v>
      </c>
      <c r="X1941">
        <v>57458.22</v>
      </c>
      <c r="Y1941">
        <v>45284.23</v>
      </c>
    </row>
    <row r="1942" spans="1:25" x14ac:dyDescent="0.25">
      <c r="A1942" t="s">
        <v>1998</v>
      </c>
      <c r="B1942" s="1">
        <v>45476</v>
      </c>
      <c r="C1942">
        <v>2024</v>
      </c>
      <c r="D1942">
        <v>7</v>
      </c>
      <c r="E1942" t="s">
        <v>690</v>
      </c>
      <c r="F1942" t="s">
        <v>691</v>
      </c>
      <c r="G1942" t="s">
        <v>35</v>
      </c>
      <c r="H1942" t="s">
        <v>53</v>
      </c>
      <c r="I1942" t="s">
        <v>39</v>
      </c>
      <c r="J1942">
        <v>24</v>
      </c>
      <c r="K1942">
        <v>1239.0999999999999</v>
      </c>
      <c r="L1942">
        <v>29738.44</v>
      </c>
      <c r="M1942">
        <v>16132.49</v>
      </c>
      <c r="N1942">
        <v>3160.69</v>
      </c>
      <c r="O1942">
        <v>1022.74</v>
      </c>
      <c r="P1942">
        <v>1147.57</v>
      </c>
      <c r="Q1942">
        <v>421.38</v>
      </c>
      <c r="R1942">
        <v>1804.29</v>
      </c>
      <c r="S1942">
        <v>707.1</v>
      </c>
      <c r="T1942">
        <v>24396.26</v>
      </c>
      <c r="U1942">
        <v>13605.95</v>
      </c>
      <c r="V1942">
        <v>5342.17</v>
      </c>
      <c r="W1942">
        <v>4941.8500000000004</v>
      </c>
      <c r="X1942">
        <v>29400.23</v>
      </c>
      <c r="Y1942">
        <v>25138.44</v>
      </c>
    </row>
    <row r="1943" spans="1:25" x14ac:dyDescent="0.25">
      <c r="A1943" t="s">
        <v>1999</v>
      </c>
      <c r="B1943" s="1">
        <v>45476</v>
      </c>
      <c r="C1943">
        <v>2024</v>
      </c>
      <c r="D1943">
        <v>7</v>
      </c>
      <c r="E1943" t="s">
        <v>690</v>
      </c>
      <c r="F1943" t="s">
        <v>691</v>
      </c>
      <c r="G1943" t="s">
        <v>55</v>
      </c>
      <c r="H1943" t="s">
        <v>36</v>
      </c>
      <c r="I1943" t="s">
        <v>45</v>
      </c>
      <c r="J1943">
        <v>49</v>
      </c>
      <c r="K1943">
        <v>1178.6099999999999</v>
      </c>
      <c r="L1943">
        <v>57752.09</v>
      </c>
      <c r="M1943">
        <v>38815.9</v>
      </c>
      <c r="N1943">
        <v>6432.26</v>
      </c>
      <c r="O1943">
        <v>3056.93</v>
      </c>
      <c r="P1943">
        <v>1513.44</v>
      </c>
      <c r="Q1943">
        <v>596.39</v>
      </c>
      <c r="R1943">
        <v>3183.32</v>
      </c>
      <c r="S1943">
        <v>1441.04</v>
      </c>
      <c r="T1943">
        <v>55039.27</v>
      </c>
      <c r="U1943">
        <v>18936.189999999999</v>
      </c>
      <c r="V1943">
        <v>2712.82</v>
      </c>
      <c r="W1943">
        <v>2673.42</v>
      </c>
      <c r="X1943">
        <v>60717.53</v>
      </c>
      <c r="Y1943">
        <v>53815.51</v>
      </c>
    </row>
    <row r="1944" spans="1:25" x14ac:dyDescent="0.25">
      <c r="A1944" t="s">
        <v>2000</v>
      </c>
      <c r="B1944" s="1">
        <v>45477</v>
      </c>
      <c r="C1944">
        <v>2024</v>
      </c>
      <c r="D1944">
        <v>7</v>
      </c>
      <c r="E1944" t="s">
        <v>690</v>
      </c>
      <c r="F1944" t="s">
        <v>691</v>
      </c>
      <c r="G1944" t="s">
        <v>35</v>
      </c>
      <c r="H1944" t="s">
        <v>29</v>
      </c>
      <c r="I1944" t="s">
        <v>50</v>
      </c>
      <c r="J1944">
        <v>40</v>
      </c>
      <c r="K1944">
        <v>1046.92</v>
      </c>
      <c r="L1944">
        <v>41876.86</v>
      </c>
      <c r="M1944">
        <v>27826.32</v>
      </c>
      <c r="N1944">
        <v>3551.2</v>
      </c>
      <c r="O1944">
        <v>2275.08</v>
      </c>
      <c r="P1944">
        <v>1135.02</v>
      </c>
      <c r="Q1944">
        <v>704.68</v>
      </c>
      <c r="R1944">
        <v>2099.0100000000002</v>
      </c>
      <c r="S1944">
        <v>966.65</v>
      </c>
      <c r="T1944">
        <v>38557.96</v>
      </c>
      <c r="U1944">
        <v>14050.54</v>
      </c>
      <c r="V1944">
        <v>3318.89</v>
      </c>
      <c r="W1944">
        <v>3075.03</v>
      </c>
      <c r="X1944">
        <v>44982.94</v>
      </c>
      <c r="Y1944">
        <v>37508.980000000003</v>
      </c>
    </row>
    <row r="1945" spans="1:25" x14ac:dyDescent="0.25">
      <c r="A1945" t="s">
        <v>2001</v>
      </c>
      <c r="B1945" s="1">
        <v>45477</v>
      </c>
      <c r="C1945">
        <v>2024</v>
      </c>
      <c r="D1945">
        <v>7</v>
      </c>
      <c r="E1945" t="s">
        <v>690</v>
      </c>
      <c r="F1945" t="s">
        <v>691</v>
      </c>
      <c r="G1945" t="s">
        <v>55</v>
      </c>
      <c r="H1945" t="s">
        <v>53</v>
      </c>
      <c r="I1945" t="s">
        <v>65</v>
      </c>
      <c r="J1945">
        <v>58</v>
      </c>
      <c r="K1945">
        <v>885.61</v>
      </c>
      <c r="L1945">
        <v>51365.33</v>
      </c>
      <c r="M1945">
        <v>32888.51</v>
      </c>
      <c r="N1945">
        <v>4459.1499999999996</v>
      </c>
      <c r="O1945">
        <v>2143.0700000000002</v>
      </c>
      <c r="P1945">
        <v>2198.5700000000002</v>
      </c>
      <c r="Q1945">
        <v>455.38</v>
      </c>
      <c r="R1945">
        <v>1364.83</v>
      </c>
      <c r="S1945">
        <v>544.86</v>
      </c>
      <c r="T1945">
        <v>44054.37</v>
      </c>
      <c r="U1945">
        <v>18476.82</v>
      </c>
      <c r="V1945">
        <v>7310.96</v>
      </c>
      <c r="W1945">
        <v>7042.77</v>
      </c>
      <c r="X1945">
        <v>49506.36</v>
      </c>
      <c r="Y1945">
        <v>47909.45</v>
      </c>
    </row>
    <row r="1946" spans="1:25" x14ac:dyDescent="0.25">
      <c r="A1946" t="s">
        <v>2002</v>
      </c>
      <c r="B1946" s="1">
        <v>45477</v>
      </c>
      <c r="C1946">
        <v>2024</v>
      </c>
      <c r="D1946">
        <v>7</v>
      </c>
      <c r="E1946" t="s">
        <v>690</v>
      </c>
      <c r="F1946" t="s">
        <v>691</v>
      </c>
      <c r="G1946" t="s">
        <v>44</v>
      </c>
      <c r="H1946" t="s">
        <v>36</v>
      </c>
      <c r="I1946" t="s">
        <v>56</v>
      </c>
      <c r="J1946">
        <v>15</v>
      </c>
      <c r="K1946">
        <v>1751.65</v>
      </c>
      <c r="L1946">
        <v>26274.73</v>
      </c>
      <c r="M1946">
        <v>16073.33</v>
      </c>
      <c r="N1946">
        <v>2158.19</v>
      </c>
      <c r="O1946">
        <v>1694.44</v>
      </c>
      <c r="P1946">
        <v>969.4</v>
      </c>
      <c r="Q1946">
        <v>248.7</v>
      </c>
      <c r="R1946">
        <v>1608.92</v>
      </c>
      <c r="S1946">
        <v>354.23</v>
      </c>
      <c r="T1946">
        <v>23107.21</v>
      </c>
      <c r="U1946">
        <v>10201.4</v>
      </c>
      <c r="V1946">
        <v>3167.52</v>
      </c>
      <c r="W1946">
        <v>3114.69</v>
      </c>
      <c r="X1946">
        <v>26947.93</v>
      </c>
      <c r="Y1946">
        <v>23415.83</v>
      </c>
    </row>
    <row r="1947" spans="1:25" x14ac:dyDescent="0.25">
      <c r="A1947" t="s">
        <v>2003</v>
      </c>
      <c r="B1947" s="1">
        <v>45478</v>
      </c>
      <c r="C1947">
        <v>2024</v>
      </c>
      <c r="D1947">
        <v>7</v>
      </c>
      <c r="E1947" t="s">
        <v>690</v>
      </c>
      <c r="F1947" t="s">
        <v>691</v>
      </c>
      <c r="G1947" t="s">
        <v>28</v>
      </c>
      <c r="H1947" t="s">
        <v>36</v>
      </c>
      <c r="I1947" t="s">
        <v>56</v>
      </c>
      <c r="J1947">
        <v>26</v>
      </c>
      <c r="K1947">
        <v>1218.5899999999999</v>
      </c>
      <c r="L1947">
        <v>31683.46</v>
      </c>
      <c r="M1947">
        <v>21367.25</v>
      </c>
      <c r="N1947">
        <v>2240.58</v>
      </c>
      <c r="O1947">
        <v>1588.81</v>
      </c>
      <c r="P1947">
        <v>540.72</v>
      </c>
      <c r="Q1947">
        <v>179.01</v>
      </c>
      <c r="R1947">
        <v>1584.67</v>
      </c>
      <c r="S1947">
        <v>364.61</v>
      </c>
      <c r="T1947">
        <v>27865.64</v>
      </c>
      <c r="U1947">
        <v>10316.209999999999</v>
      </c>
      <c r="V1947">
        <v>3817.82</v>
      </c>
      <c r="W1947">
        <v>3632.49</v>
      </c>
      <c r="X1947">
        <v>35082.120000000003</v>
      </c>
      <c r="Y1947">
        <v>29459.88</v>
      </c>
    </row>
    <row r="1948" spans="1:25" x14ac:dyDescent="0.25">
      <c r="A1948" t="s">
        <v>2004</v>
      </c>
      <c r="B1948" s="1">
        <v>45478</v>
      </c>
      <c r="C1948">
        <v>2024</v>
      </c>
      <c r="D1948">
        <v>7</v>
      </c>
      <c r="E1948" t="s">
        <v>690</v>
      </c>
      <c r="F1948" t="s">
        <v>691</v>
      </c>
      <c r="G1948" t="s">
        <v>35</v>
      </c>
      <c r="H1948" t="s">
        <v>29</v>
      </c>
      <c r="I1948" t="s">
        <v>65</v>
      </c>
      <c r="J1948">
        <v>36</v>
      </c>
      <c r="K1948">
        <v>1738.87</v>
      </c>
      <c r="L1948">
        <v>62599.19</v>
      </c>
      <c r="M1948">
        <v>30386.41</v>
      </c>
      <c r="N1948">
        <v>5050.91</v>
      </c>
      <c r="O1948">
        <v>2936.45</v>
      </c>
      <c r="P1948">
        <v>1259.32</v>
      </c>
      <c r="Q1948">
        <v>809.26</v>
      </c>
      <c r="R1948">
        <v>2630.25</v>
      </c>
      <c r="S1948">
        <v>1242.47</v>
      </c>
      <c r="T1948">
        <v>44315.06</v>
      </c>
      <c r="U1948">
        <v>32212.78</v>
      </c>
      <c r="V1948">
        <v>18284.13</v>
      </c>
      <c r="W1948">
        <v>16738.79</v>
      </c>
      <c r="X1948">
        <v>64196.6</v>
      </c>
      <c r="Y1948">
        <v>47945.17</v>
      </c>
    </row>
    <row r="1949" spans="1:25" x14ac:dyDescent="0.25">
      <c r="A1949" t="s">
        <v>2005</v>
      </c>
      <c r="B1949" s="1">
        <v>45479</v>
      </c>
      <c r="C1949">
        <v>2024</v>
      </c>
      <c r="D1949">
        <v>7</v>
      </c>
      <c r="E1949" t="s">
        <v>690</v>
      </c>
      <c r="F1949" t="s">
        <v>691</v>
      </c>
      <c r="G1949" t="s">
        <v>28</v>
      </c>
      <c r="H1949" t="s">
        <v>29</v>
      </c>
      <c r="I1949" t="s">
        <v>33</v>
      </c>
      <c r="J1949">
        <v>70</v>
      </c>
      <c r="K1949">
        <v>1236.04</v>
      </c>
      <c r="L1949">
        <v>86522.7</v>
      </c>
      <c r="M1949">
        <v>47067.46</v>
      </c>
      <c r="N1949">
        <v>7700.83</v>
      </c>
      <c r="O1949">
        <v>5761.84</v>
      </c>
      <c r="P1949">
        <v>3166.09</v>
      </c>
      <c r="Q1949">
        <v>1518.29</v>
      </c>
      <c r="R1949">
        <v>2218.17</v>
      </c>
      <c r="S1949">
        <v>2069.48</v>
      </c>
      <c r="T1949">
        <v>69502.179999999993</v>
      </c>
      <c r="U1949">
        <v>39455.24</v>
      </c>
      <c r="V1949">
        <v>17020.52</v>
      </c>
      <c r="W1949">
        <v>15789.57</v>
      </c>
      <c r="X1949">
        <v>95677.45</v>
      </c>
      <c r="Y1949">
        <v>68140.7</v>
      </c>
    </row>
    <row r="1950" spans="1:25" x14ac:dyDescent="0.25">
      <c r="A1950" t="s">
        <v>2006</v>
      </c>
      <c r="B1950" s="1">
        <v>45479</v>
      </c>
      <c r="C1950">
        <v>2024</v>
      </c>
      <c r="D1950">
        <v>7</v>
      </c>
      <c r="E1950" t="s">
        <v>690</v>
      </c>
      <c r="F1950" t="s">
        <v>691</v>
      </c>
      <c r="G1950" t="s">
        <v>55</v>
      </c>
      <c r="H1950" t="s">
        <v>58</v>
      </c>
      <c r="I1950" t="s">
        <v>37</v>
      </c>
      <c r="J1950">
        <v>63</v>
      </c>
      <c r="K1950">
        <v>1071.42</v>
      </c>
      <c r="L1950">
        <v>67499.63</v>
      </c>
      <c r="M1950">
        <v>32980.78</v>
      </c>
      <c r="N1950">
        <v>8444.75</v>
      </c>
      <c r="O1950">
        <v>4729.57</v>
      </c>
      <c r="P1950">
        <v>2707.73</v>
      </c>
      <c r="Q1950">
        <v>491.08</v>
      </c>
      <c r="R1950">
        <v>2521.4</v>
      </c>
      <c r="S1950">
        <v>876.58</v>
      </c>
      <c r="T1950">
        <v>52751.9</v>
      </c>
      <c r="U1950">
        <v>34518.85</v>
      </c>
      <c r="V1950">
        <v>14747.73</v>
      </c>
      <c r="W1950">
        <v>14486.18</v>
      </c>
      <c r="X1950">
        <v>74225.440000000002</v>
      </c>
      <c r="Y1950">
        <v>56842.79</v>
      </c>
    </row>
    <row r="1951" spans="1:25" x14ac:dyDescent="0.25">
      <c r="A1951" t="s">
        <v>2007</v>
      </c>
      <c r="B1951" s="1">
        <v>45479</v>
      </c>
      <c r="C1951">
        <v>2024</v>
      </c>
      <c r="D1951">
        <v>7</v>
      </c>
      <c r="E1951" t="s">
        <v>690</v>
      </c>
      <c r="F1951" t="s">
        <v>691</v>
      </c>
      <c r="G1951" t="s">
        <v>55</v>
      </c>
      <c r="H1951" t="s">
        <v>29</v>
      </c>
      <c r="I1951" t="s">
        <v>65</v>
      </c>
      <c r="J1951">
        <v>33</v>
      </c>
      <c r="K1951">
        <v>1652.53</v>
      </c>
      <c r="L1951">
        <v>54533.599999999999</v>
      </c>
      <c r="M1951">
        <v>30936.84</v>
      </c>
      <c r="N1951">
        <v>3932.73</v>
      </c>
      <c r="O1951">
        <v>3577.07</v>
      </c>
      <c r="P1951">
        <v>1258.4100000000001</v>
      </c>
      <c r="Q1951">
        <v>935.2</v>
      </c>
      <c r="R1951">
        <v>3160.09</v>
      </c>
      <c r="S1951">
        <v>746.94</v>
      </c>
      <c r="T1951">
        <v>44547.28</v>
      </c>
      <c r="U1951">
        <v>23596.76</v>
      </c>
      <c r="V1951">
        <v>9986.32</v>
      </c>
      <c r="W1951">
        <v>9935.66</v>
      </c>
      <c r="X1951">
        <v>59070.36</v>
      </c>
      <c r="Y1951">
        <v>44823.56</v>
      </c>
    </row>
    <row r="1952" spans="1:25" x14ac:dyDescent="0.25">
      <c r="A1952" t="s">
        <v>2008</v>
      </c>
      <c r="B1952" s="1">
        <v>45479</v>
      </c>
      <c r="C1952">
        <v>2024</v>
      </c>
      <c r="D1952">
        <v>7</v>
      </c>
      <c r="E1952" t="s">
        <v>690</v>
      </c>
      <c r="F1952" t="s">
        <v>691</v>
      </c>
      <c r="G1952" t="s">
        <v>28</v>
      </c>
      <c r="H1952" t="s">
        <v>36</v>
      </c>
      <c r="I1952" t="s">
        <v>33</v>
      </c>
      <c r="J1952">
        <v>42</v>
      </c>
      <c r="K1952">
        <v>1455.89</v>
      </c>
      <c r="L1952">
        <v>61147.360000000001</v>
      </c>
      <c r="M1952">
        <v>34906.57</v>
      </c>
      <c r="N1952">
        <v>5676.59</v>
      </c>
      <c r="O1952">
        <v>1928.46</v>
      </c>
      <c r="P1952">
        <v>2563.04</v>
      </c>
      <c r="Q1952">
        <v>703.65</v>
      </c>
      <c r="R1952">
        <v>3746.41</v>
      </c>
      <c r="S1952">
        <v>1269.3699999999999</v>
      </c>
      <c r="T1952">
        <v>50794.1</v>
      </c>
      <c r="U1952">
        <v>26240.79</v>
      </c>
      <c r="V1952">
        <v>10353.26</v>
      </c>
      <c r="W1952">
        <v>9151.9500000000007</v>
      </c>
      <c r="X1952">
        <v>62632.38</v>
      </c>
      <c r="Y1952">
        <v>54677.62</v>
      </c>
    </row>
    <row r="1953" spans="1:25" x14ac:dyDescent="0.25">
      <c r="A1953" t="s">
        <v>2009</v>
      </c>
      <c r="B1953" s="1">
        <v>45479</v>
      </c>
      <c r="C1953">
        <v>2024</v>
      </c>
      <c r="D1953">
        <v>7</v>
      </c>
      <c r="E1953" t="s">
        <v>690</v>
      </c>
      <c r="F1953" t="s">
        <v>691</v>
      </c>
      <c r="G1953" t="s">
        <v>44</v>
      </c>
      <c r="H1953" t="s">
        <v>32</v>
      </c>
      <c r="I1953" t="s">
        <v>56</v>
      </c>
      <c r="J1953">
        <v>34</v>
      </c>
      <c r="K1953">
        <v>1245.6300000000001</v>
      </c>
      <c r="L1953">
        <v>42351.47</v>
      </c>
      <c r="M1953">
        <v>21315.11</v>
      </c>
      <c r="N1953">
        <v>3541.82</v>
      </c>
      <c r="O1953">
        <v>2793.33</v>
      </c>
      <c r="P1953">
        <v>1343.88</v>
      </c>
      <c r="Q1953">
        <v>470.49</v>
      </c>
      <c r="R1953">
        <v>2026.6</v>
      </c>
      <c r="S1953">
        <v>629.32000000000005</v>
      </c>
      <c r="T1953">
        <v>32120.54</v>
      </c>
      <c r="U1953">
        <v>21036.36</v>
      </c>
      <c r="V1953">
        <v>10230.93</v>
      </c>
      <c r="W1953">
        <v>10046.280000000001</v>
      </c>
      <c r="X1953">
        <v>42500.01</v>
      </c>
      <c r="Y1953">
        <v>33836.43</v>
      </c>
    </row>
    <row r="1954" spans="1:25" x14ac:dyDescent="0.25">
      <c r="A1954" t="s">
        <v>2010</v>
      </c>
      <c r="B1954" s="1">
        <v>45480</v>
      </c>
      <c r="C1954">
        <v>2024</v>
      </c>
      <c r="D1954">
        <v>7</v>
      </c>
      <c r="E1954" t="s">
        <v>690</v>
      </c>
      <c r="F1954" t="s">
        <v>691</v>
      </c>
      <c r="G1954" t="s">
        <v>55</v>
      </c>
      <c r="H1954" t="s">
        <v>53</v>
      </c>
      <c r="I1954" t="s">
        <v>50</v>
      </c>
      <c r="J1954">
        <v>58</v>
      </c>
      <c r="K1954">
        <v>991.46</v>
      </c>
      <c r="L1954">
        <v>57504.51</v>
      </c>
      <c r="M1954">
        <v>28531.05</v>
      </c>
      <c r="N1954">
        <v>6831</v>
      </c>
      <c r="O1954">
        <v>3539.34</v>
      </c>
      <c r="P1954">
        <v>1461.56</v>
      </c>
      <c r="Q1954">
        <v>878.86</v>
      </c>
      <c r="R1954">
        <v>2441.84</v>
      </c>
      <c r="S1954">
        <v>946.25</v>
      </c>
      <c r="T1954">
        <v>44629.9</v>
      </c>
      <c r="U1954">
        <v>28973.46</v>
      </c>
      <c r="V1954">
        <v>12874.62</v>
      </c>
      <c r="W1954">
        <v>12340.12</v>
      </c>
      <c r="X1954">
        <v>53230.67</v>
      </c>
      <c r="Y1954">
        <v>41604.58</v>
      </c>
    </row>
    <row r="1955" spans="1:25" x14ac:dyDescent="0.25">
      <c r="A1955" t="s">
        <v>2011</v>
      </c>
      <c r="B1955" s="1">
        <v>45480</v>
      </c>
      <c r="C1955">
        <v>2024</v>
      </c>
      <c r="D1955">
        <v>7</v>
      </c>
      <c r="E1955" t="s">
        <v>690</v>
      </c>
      <c r="F1955" t="s">
        <v>691</v>
      </c>
      <c r="G1955" t="s">
        <v>28</v>
      </c>
      <c r="H1955" t="s">
        <v>53</v>
      </c>
      <c r="I1955" t="s">
        <v>50</v>
      </c>
      <c r="J1955">
        <v>44</v>
      </c>
      <c r="K1955">
        <v>1243.3499999999999</v>
      </c>
      <c r="L1955">
        <v>54707.43</v>
      </c>
      <c r="M1955">
        <v>35758.699999999997</v>
      </c>
      <c r="N1955">
        <v>5114.99</v>
      </c>
      <c r="O1955">
        <v>1688.07</v>
      </c>
      <c r="P1955">
        <v>1370.91</v>
      </c>
      <c r="Q1955">
        <v>914.02</v>
      </c>
      <c r="R1955">
        <v>1943.06</v>
      </c>
      <c r="S1955">
        <v>1354.51</v>
      </c>
      <c r="T1955">
        <v>48144.26</v>
      </c>
      <c r="U1955">
        <v>18948.73</v>
      </c>
      <c r="V1955">
        <v>6563.17</v>
      </c>
      <c r="W1955">
        <v>6024.33</v>
      </c>
      <c r="X1955">
        <v>54531.19</v>
      </c>
      <c r="Y1955">
        <v>51869.919999999998</v>
      </c>
    </row>
    <row r="1956" spans="1:25" x14ac:dyDescent="0.25">
      <c r="A1956" t="s">
        <v>2012</v>
      </c>
      <c r="B1956" s="1">
        <v>45480</v>
      </c>
      <c r="C1956">
        <v>2024</v>
      </c>
      <c r="D1956">
        <v>7</v>
      </c>
      <c r="E1956" t="s">
        <v>690</v>
      </c>
      <c r="F1956" t="s">
        <v>691</v>
      </c>
      <c r="G1956" t="s">
        <v>28</v>
      </c>
      <c r="H1956" t="s">
        <v>36</v>
      </c>
      <c r="I1956" t="s">
        <v>45</v>
      </c>
      <c r="J1956">
        <v>39</v>
      </c>
      <c r="K1956">
        <v>1462.92</v>
      </c>
      <c r="L1956">
        <v>57053.85</v>
      </c>
      <c r="M1956">
        <v>37830.480000000003</v>
      </c>
      <c r="N1956">
        <v>4264</v>
      </c>
      <c r="O1956">
        <v>3767.69</v>
      </c>
      <c r="P1956">
        <v>1392.02</v>
      </c>
      <c r="Q1956">
        <v>971.96</v>
      </c>
      <c r="R1956">
        <v>2229.11</v>
      </c>
      <c r="S1956">
        <v>1013.32</v>
      </c>
      <c r="T1956">
        <v>51468.58</v>
      </c>
      <c r="U1956">
        <v>19223.36</v>
      </c>
      <c r="V1956">
        <v>5585.26</v>
      </c>
      <c r="W1956">
        <v>5295.37</v>
      </c>
      <c r="X1956">
        <v>58185.1</v>
      </c>
      <c r="Y1956">
        <v>53614.2</v>
      </c>
    </row>
    <row r="1957" spans="1:25" x14ac:dyDescent="0.25">
      <c r="A1957" t="s">
        <v>2013</v>
      </c>
      <c r="B1957" s="1">
        <v>45480</v>
      </c>
      <c r="C1957">
        <v>2024</v>
      </c>
      <c r="D1957">
        <v>7</v>
      </c>
      <c r="E1957" t="s">
        <v>690</v>
      </c>
      <c r="F1957" t="s">
        <v>691</v>
      </c>
      <c r="G1957" t="s">
        <v>28</v>
      </c>
      <c r="H1957" t="s">
        <v>53</v>
      </c>
      <c r="I1957" t="s">
        <v>33</v>
      </c>
      <c r="J1957">
        <v>49</v>
      </c>
      <c r="K1957">
        <v>1641.46</v>
      </c>
      <c r="L1957">
        <v>80431.47</v>
      </c>
      <c r="M1957">
        <v>45133.41</v>
      </c>
      <c r="N1957">
        <v>8022.86</v>
      </c>
      <c r="O1957">
        <v>3860.35</v>
      </c>
      <c r="P1957">
        <v>1594.7</v>
      </c>
      <c r="Q1957">
        <v>1346.66</v>
      </c>
      <c r="R1957">
        <v>2628.43</v>
      </c>
      <c r="S1957">
        <v>1830.61</v>
      </c>
      <c r="T1957">
        <v>64417.02</v>
      </c>
      <c r="U1957">
        <v>35298.050000000003</v>
      </c>
      <c r="V1957">
        <v>16014.45</v>
      </c>
      <c r="W1957">
        <v>16126.15</v>
      </c>
      <c r="X1957">
        <v>86392.85</v>
      </c>
      <c r="Y1957">
        <v>64954.49</v>
      </c>
    </row>
    <row r="1958" spans="1:25" x14ac:dyDescent="0.25">
      <c r="A1958" t="s">
        <v>2014</v>
      </c>
      <c r="B1958" s="1">
        <v>45480</v>
      </c>
      <c r="C1958">
        <v>2024</v>
      </c>
      <c r="D1958">
        <v>7</v>
      </c>
      <c r="E1958" t="s">
        <v>690</v>
      </c>
      <c r="F1958" t="s">
        <v>691</v>
      </c>
      <c r="G1958" t="s">
        <v>44</v>
      </c>
      <c r="H1958" t="s">
        <v>29</v>
      </c>
      <c r="I1958" t="s">
        <v>45</v>
      </c>
      <c r="J1958">
        <v>43</v>
      </c>
      <c r="K1958">
        <v>1198.8599999999999</v>
      </c>
      <c r="L1958">
        <v>51551.13</v>
      </c>
      <c r="M1958">
        <v>28188.15</v>
      </c>
      <c r="N1958">
        <v>6346.76</v>
      </c>
      <c r="O1958">
        <v>1589.18</v>
      </c>
      <c r="P1958">
        <v>1808.02</v>
      </c>
      <c r="Q1958">
        <v>443.82</v>
      </c>
      <c r="R1958">
        <v>1994.93</v>
      </c>
      <c r="S1958">
        <v>663.83</v>
      </c>
      <c r="T1958">
        <v>41034.69</v>
      </c>
      <c r="U1958">
        <v>23362.98</v>
      </c>
      <c r="V1958">
        <v>10516.44</v>
      </c>
      <c r="W1958">
        <v>10552.81</v>
      </c>
      <c r="X1958">
        <v>49673.03</v>
      </c>
      <c r="Y1958">
        <v>40228.53</v>
      </c>
    </row>
    <row r="1959" spans="1:25" x14ac:dyDescent="0.25">
      <c r="A1959" t="s">
        <v>2015</v>
      </c>
      <c r="B1959" s="1">
        <v>45481</v>
      </c>
      <c r="C1959">
        <v>2024</v>
      </c>
      <c r="D1959">
        <v>7</v>
      </c>
      <c r="E1959" t="s">
        <v>690</v>
      </c>
      <c r="F1959" t="s">
        <v>691</v>
      </c>
      <c r="G1959" t="s">
        <v>28</v>
      </c>
      <c r="H1959" t="s">
        <v>58</v>
      </c>
      <c r="I1959" t="s">
        <v>65</v>
      </c>
      <c r="J1959">
        <v>39</v>
      </c>
      <c r="K1959">
        <v>1157.8599999999999</v>
      </c>
      <c r="L1959">
        <v>45156.35</v>
      </c>
      <c r="M1959">
        <v>24664.76</v>
      </c>
      <c r="N1959">
        <v>5344.95</v>
      </c>
      <c r="O1959">
        <v>3246.38</v>
      </c>
      <c r="P1959">
        <v>2018.71</v>
      </c>
      <c r="Q1959">
        <v>330.52</v>
      </c>
      <c r="R1959">
        <v>2079.98</v>
      </c>
      <c r="S1959">
        <v>644.96</v>
      </c>
      <c r="T1959">
        <v>38330.28</v>
      </c>
      <c r="U1959">
        <v>20491.59</v>
      </c>
      <c r="V1959">
        <v>6826.07</v>
      </c>
      <c r="W1959">
        <v>6727.03</v>
      </c>
      <c r="X1959">
        <v>45217.85</v>
      </c>
      <c r="Y1959">
        <v>36674.160000000003</v>
      </c>
    </row>
    <row r="1960" spans="1:25" x14ac:dyDescent="0.25">
      <c r="A1960" t="s">
        <v>2016</v>
      </c>
      <c r="B1960" s="1">
        <v>45481</v>
      </c>
      <c r="C1960">
        <v>2024</v>
      </c>
      <c r="D1960">
        <v>7</v>
      </c>
      <c r="E1960" t="s">
        <v>690</v>
      </c>
      <c r="F1960" t="s">
        <v>691</v>
      </c>
      <c r="G1960" t="s">
        <v>28</v>
      </c>
      <c r="H1960" t="s">
        <v>58</v>
      </c>
      <c r="I1960" t="s">
        <v>56</v>
      </c>
      <c r="J1960">
        <v>23</v>
      </c>
      <c r="K1960">
        <v>1590.2</v>
      </c>
      <c r="L1960">
        <v>36574.519999999997</v>
      </c>
      <c r="M1960">
        <v>20395.07</v>
      </c>
      <c r="N1960">
        <v>3463.17</v>
      </c>
      <c r="O1960">
        <v>1372.68</v>
      </c>
      <c r="P1960">
        <v>1338.57</v>
      </c>
      <c r="Q1960">
        <v>387.48</v>
      </c>
      <c r="R1960">
        <v>1226.58</v>
      </c>
      <c r="S1960">
        <v>531.04</v>
      </c>
      <c r="T1960">
        <v>28714.58</v>
      </c>
      <c r="U1960">
        <v>16179.46</v>
      </c>
      <c r="V1960">
        <v>7859.94</v>
      </c>
      <c r="W1960">
        <v>7149.09</v>
      </c>
      <c r="X1960">
        <v>39323.129999999997</v>
      </c>
      <c r="Y1960">
        <v>26805.42</v>
      </c>
    </row>
    <row r="1961" spans="1:25" x14ac:dyDescent="0.25">
      <c r="A1961" t="s">
        <v>2017</v>
      </c>
      <c r="B1961" s="1">
        <v>45483</v>
      </c>
      <c r="C1961">
        <v>2024</v>
      </c>
      <c r="D1961">
        <v>7</v>
      </c>
      <c r="E1961" t="s">
        <v>690</v>
      </c>
      <c r="F1961" t="s">
        <v>691</v>
      </c>
      <c r="G1961" t="s">
        <v>55</v>
      </c>
      <c r="H1961" t="s">
        <v>53</v>
      </c>
      <c r="I1961" t="s">
        <v>39</v>
      </c>
      <c r="J1961">
        <v>35</v>
      </c>
      <c r="K1961">
        <v>897.26</v>
      </c>
      <c r="L1961">
        <v>31404.080000000002</v>
      </c>
      <c r="M1961">
        <v>20489.57</v>
      </c>
      <c r="N1961">
        <v>3350.03</v>
      </c>
      <c r="O1961">
        <v>2289.16</v>
      </c>
      <c r="P1961">
        <v>662.05</v>
      </c>
      <c r="Q1961">
        <v>187.09</v>
      </c>
      <c r="R1961">
        <v>869.67</v>
      </c>
      <c r="S1961">
        <v>718.44</v>
      </c>
      <c r="T1961">
        <v>28566</v>
      </c>
      <c r="U1961">
        <v>10914.5</v>
      </c>
      <c r="V1961">
        <v>2838.07</v>
      </c>
      <c r="W1961">
        <v>2736.7</v>
      </c>
      <c r="X1961">
        <v>30266.79</v>
      </c>
      <c r="Y1961">
        <v>31172.79</v>
      </c>
    </row>
    <row r="1962" spans="1:25" x14ac:dyDescent="0.25">
      <c r="A1962" t="s">
        <v>2018</v>
      </c>
      <c r="B1962" s="1">
        <v>45483</v>
      </c>
      <c r="C1962">
        <v>2024</v>
      </c>
      <c r="D1962">
        <v>7</v>
      </c>
      <c r="E1962" t="s">
        <v>690</v>
      </c>
      <c r="F1962" t="s">
        <v>691</v>
      </c>
      <c r="G1962" t="s">
        <v>28</v>
      </c>
      <c r="H1962" t="s">
        <v>32</v>
      </c>
      <c r="I1962" t="s">
        <v>30</v>
      </c>
      <c r="J1962">
        <v>95</v>
      </c>
      <c r="K1962">
        <v>942.8</v>
      </c>
      <c r="L1962">
        <v>89565.55</v>
      </c>
      <c r="M1962">
        <v>48268.53</v>
      </c>
      <c r="N1962">
        <v>8908.0499999999993</v>
      </c>
      <c r="O1962">
        <v>5265.96</v>
      </c>
      <c r="P1962">
        <v>3308.88</v>
      </c>
      <c r="Q1962">
        <v>1106.83</v>
      </c>
      <c r="R1962">
        <v>4627.83</v>
      </c>
      <c r="S1962">
        <v>1221.6199999999999</v>
      </c>
      <c r="T1962">
        <v>72707.679999999993</v>
      </c>
      <c r="U1962">
        <v>41297.019999999997</v>
      </c>
      <c r="V1962">
        <v>16857.87</v>
      </c>
      <c r="W1962">
        <v>16695.66</v>
      </c>
      <c r="X1962">
        <v>88493.17</v>
      </c>
      <c r="Y1962">
        <v>71887.88</v>
      </c>
    </row>
    <row r="1963" spans="1:25" x14ac:dyDescent="0.25">
      <c r="A1963" t="s">
        <v>2019</v>
      </c>
      <c r="B1963" s="1">
        <v>45483</v>
      </c>
      <c r="C1963">
        <v>2024</v>
      </c>
      <c r="D1963">
        <v>7</v>
      </c>
      <c r="E1963" t="s">
        <v>690</v>
      </c>
      <c r="F1963" t="s">
        <v>691</v>
      </c>
      <c r="G1963" t="s">
        <v>35</v>
      </c>
      <c r="H1963" t="s">
        <v>32</v>
      </c>
      <c r="I1963" t="s">
        <v>37</v>
      </c>
      <c r="J1963">
        <v>38</v>
      </c>
      <c r="K1963">
        <v>1714.34</v>
      </c>
      <c r="L1963">
        <v>65144.800000000003</v>
      </c>
      <c r="M1963">
        <v>37713.410000000003</v>
      </c>
      <c r="N1963">
        <v>7240.95</v>
      </c>
      <c r="O1963">
        <v>2063.2800000000002</v>
      </c>
      <c r="P1963">
        <v>2185.5100000000002</v>
      </c>
      <c r="Q1963">
        <v>481.11</v>
      </c>
      <c r="R1963">
        <v>3676.63</v>
      </c>
      <c r="S1963">
        <v>979.28</v>
      </c>
      <c r="T1963">
        <v>54340.160000000003</v>
      </c>
      <c r="U1963">
        <v>27431.39</v>
      </c>
      <c r="V1963">
        <v>10804.63</v>
      </c>
      <c r="W1963">
        <v>10442.530000000001</v>
      </c>
      <c r="X1963">
        <v>67718.399999999994</v>
      </c>
      <c r="Y1963">
        <v>58116.43</v>
      </c>
    </row>
    <row r="1964" spans="1:25" x14ac:dyDescent="0.25">
      <c r="A1964" t="s">
        <v>2020</v>
      </c>
      <c r="B1964" s="1">
        <v>45483</v>
      </c>
      <c r="C1964">
        <v>2024</v>
      </c>
      <c r="D1964">
        <v>7</v>
      </c>
      <c r="E1964" t="s">
        <v>690</v>
      </c>
      <c r="F1964" t="s">
        <v>691</v>
      </c>
      <c r="G1964" t="s">
        <v>28</v>
      </c>
      <c r="H1964" t="s">
        <v>29</v>
      </c>
      <c r="I1964" t="s">
        <v>39</v>
      </c>
      <c r="J1964">
        <v>25</v>
      </c>
      <c r="K1964">
        <v>1559.63</v>
      </c>
      <c r="L1964">
        <v>38990.69</v>
      </c>
      <c r="M1964">
        <v>24350.63</v>
      </c>
      <c r="N1964">
        <v>4169.4399999999996</v>
      </c>
      <c r="O1964">
        <v>1743.43</v>
      </c>
      <c r="P1964">
        <v>1596.5</v>
      </c>
      <c r="Q1964">
        <v>450.96</v>
      </c>
      <c r="R1964">
        <v>2097.12</v>
      </c>
      <c r="S1964">
        <v>577.33000000000004</v>
      </c>
      <c r="T1964">
        <v>34985.410000000003</v>
      </c>
      <c r="U1964">
        <v>14640.06</v>
      </c>
      <c r="V1964">
        <v>4005.28</v>
      </c>
      <c r="W1964">
        <v>3662.01</v>
      </c>
      <c r="X1964">
        <v>36693.74</v>
      </c>
      <c r="Y1964">
        <v>36266.43</v>
      </c>
    </row>
    <row r="1965" spans="1:25" x14ac:dyDescent="0.25">
      <c r="A1965" t="s">
        <v>2021</v>
      </c>
      <c r="B1965" s="1">
        <v>45483</v>
      </c>
      <c r="C1965">
        <v>2024</v>
      </c>
      <c r="D1965">
        <v>7</v>
      </c>
      <c r="E1965" t="s">
        <v>690</v>
      </c>
      <c r="F1965" t="s">
        <v>691</v>
      </c>
      <c r="G1965" t="s">
        <v>55</v>
      </c>
      <c r="H1965" t="s">
        <v>53</v>
      </c>
      <c r="I1965" t="s">
        <v>56</v>
      </c>
      <c r="J1965">
        <v>20</v>
      </c>
      <c r="K1965">
        <v>1456.89</v>
      </c>
      <c r="L1965">
        <v>29137.88</v>
      </c>
      <c r="M1965">
        <v>15365.04</v>
      </c>
      <c r="N1965">
        <v>2688.76</v>
      </c>
      <c r="O1965">
        <v>1233.8800000000001</v>
      </c>
      <c r="P1965">
        <v>468.62</v>
      </c>
      <c r="Q1965">
        <v>447.25</v>
      </c>
      <c r="R1965">
        <v>1614.65</v>
      </c>
      <c r="S1965">
        <v>652.62</v>
      </c>
      <c r="T1965">
        <v>22470.81</v>
      </c>
      <c r="U1965">
        <v>13772.84</v>
      </c>
      <c r="V1965">
        <v>6667.06</v>
      </c>
      <c r="W1965">
        <v>6237.25</v>
      </c>
      <c r="X1965">
        <v>32438.959999999999</v>
      </c>
      <c r="Y1965">
        <v>23926.15</v>
      </c>
    </row>
    <row r="1966" spans="1:25" x14ac:dyDescent="0.25">
      <c r="A1966" t="s">
        <v>2022</v>
      </c>
      <c r="B1966" s="1">
        <v>45484</v>
      </c>
      <c r="C1966">
        <v>2024</v>
      </c>
      <c r="D1966">
        <v>7</v>
      </c>
      <c r="E1966" t="s">
        <v>690</v>
      </c>
      <c r="F1966" t="s">
        <v>691</v>
      </c>
      <c r="G1966" t="s">
        <v>55</v>
      </c>
      <c r="H1966" t="s">
        <v>29</v>
      </c>
      <c r="I1966" t="s">
        <v>45</v>
      </c>
      <c r="J1966">
        <v>51</v>
      </c>
      <c r="K1966">
        <v>847.72</v>
      </c>
      <c r="L1966">
        <v>43233.93</v>
      </c>
      <c r="M1966">
        <v>24335.16</v>
      </c>
      <c r="N1966">
        <v>4199.67</v>
      </c>
      <c r="O1966">
        <v>3150.88</v>
      </c>
      <c r="P1966">
        <v>1560.62</v>
      </c>
      <c r="Q1966">
        <v>734.24</v>
      </c>
      <c r="R1966">
        <v>2248.1999999999998</v>
      </c>
      <c r="S1966">
        <v>368.18</v>
      </c>
      <c r="T1966">
        <v>36596.94</v>
      </c>
      <c r="U1966">
        <v>18898.77</v>
      </c>
      <c r="V1966">
        <v>6636.98</v>
      </c>
      <c r="W1966">
        <v>6216.84</v>
      </c>
      <c r="X1966">
        <v>47779.519999999997</v>
      </c>
      <c r="Y1966">
        <v>34768.239999999998</v>
      </c>
    </row>
    <row r="1967" spans="1:25" x14ac:dyDescent="0.25">
      <c r="A1967" t="s">
        <v>2023</v>
      </c>
      <c r="B1967" s="1">
        <v>45484</v>
      </c>
      <c r="C1967">
        <v>2024</v>
      </c>
      <c r="D1967">
        <v>7</v>
      </c>
      <c r="E1967" t="s">
        <v>690</v>
      </c>
      <c r="F1967" t="s">
        <v>691</v>
      </c>
      <c r="G1967" t="s">
        <v>28</v>
      </c>
      <c r="H1967" t="s">
        <v>36</v>
      </c>
      <c r="I1967" t="s">
        <v>65</v>
      </c>
      <c r="J1967">
        <v>40</v>
      </c>
      <c r="K1967">
        <v>1212.9000000000001</v>
      </c>
      <c r="L1967">
        <v>48516.11</v>
      </c>
      <c r="M1967">
        <v>30212.86</v>
      </c>
      <c r="N1967">
        <v>4473.62</v>
      </c>
      <c r="O1967">
        <v>2143.02</v>
      </c>
      <c r="P1967">
        <v>1154.0999999999999</v>
      </c>
      <c r="Q1967">
        <v>412.89</v>
      </c>
      <c r="R1967">
        <v>2404.5300000000002</v>
      </c>
      <c r="S1967">
        <v>985.72</v>
      </c>
      <c r="T1967">
        <v>41786.730000000003</v>
      </c>
      <c r="U1967">
        <v>18303.259999999998</v>
      </c>
      <c r="V1967">
        <v>6729.38</v>
      </c>
      <c r="W1967">
        <v>6683.9</v>
      </c>
      <c r="X1967">
        <v>45942.67</v>
      </c>
      <c r="Y1967">
        <v>40626.449999999997</v>
      </c>
    </row>
    <row r="1968" spans="1:25" x14ac:dyDescent="0.25">
      <c r="A1968" t="s">
        <v>2024</v>
      </c>
      <c r="B1968" s="1">
        <v>45484</v>
      </c>
      <c r="C1968">
        <v>2024</v>
      </c>
      <c r="D1968">
        <v>7</v>
      </c>
      <c r="E1968" t="s">
        <v>690</v>
      </c>
      <c r="F1968" t="s">
        <v>691</v>
      </c>
      <c r="G1968" t="s">
        <v>28</v>
      </c>
      <c r="H1968" t="s">
        <v>32</v>
      </c>
      <c r="I1968" t="s">
        <v>56</v>
      </c>
      <c r="J1968">
        <v>34</v>
      </c>
      <c r="K1968">
        <v>1260.52</v>
      </c>
      <c r="L1968">
        <v>42857.55</v>
      </c>
      <c r="M1968">
        <v>21650.63</v>
      </c>
      <c r="N1968">
        <v>5352.42</v>
      </c>
      <c r="O1968">
        <v>2013.84</v>
      </c>
      <c r="P1968">
        <v>1149.76</v>
      </c>
      <c r="Q1968">
        <v>641.66999999999996</v>
      </c>
      <c r="R1968">
        <v>2407.11</v>
      </c>
      <c r="S1968">
        <v>664.51</v>
      </c>
      <c r="T1968">
        <v>33879.94</v>
      </c>
      <c r="U1968">
        <v>21206.92</v>
      </c>
      <c r="V1968">
        <v>8977.61</v>
      </c>
      <c r="W1968">
        <v>8296.67</v>
      </c>
      <c r="X1968">
        <v>43449.55</v>
      </c>
      <c r="Y1968">
        <v>36914.269999999997</v>
      </c>
    </row>
    <row r="1969" spans="1:25" x14ac:dyDescent="0.25">
      <c r="A1969" t="s">
        <v>2025</v>
      </c>
      <c r="B1969" s="1">
        <v>45485</v>
      </c>
      <c r="C1969">
        <v>2024</v>
      </c>
      <c r="D1969">
        <v>7</v>
      </c>
      <c r="E1969" t="s">
        <v>690</v>
      </c>
      <c r="F1969" t="s">
        <v>691</v>
      </c>
      <c r="G1969" t="s">
        <v>55</v>
      </c>
      <c r="H1969" t="s">
        <v>53</v>
      </c>
      <c r="I1969" t="s">
        <v>65</v>
      </c>
      <c r="J1969">
        <v>55</v>
      </c>
      <c r="K1969">
        <v>1141.6500000000001</v>
      </c>
      <c r="L1969">
        <v>62790.76</v>
      </c>
      <c r="M1969">
        <v>40400.160000000003</v>
      </c>
      <c r="N1969">
        <v>6854.98</v>
      </c>
      <c r="O1969">
        <v>3512.75</v>
      </c>
      <c r="P1969">
        <v>2427.91</v>
      </c>
      <c r="Q1969">
        <v>1111.19</v>
      </c>
      <c r="R1969">
        <v>2108.69</v>
      </c>
      <c r="S1969">
        <v>1268.42</v>
      </c>
      <c r="T1969">
        <v>57684.09</v>
      </c>
      <c r="U1969">
        <v>22390.61</v>
      </c>
      <c r="V1969">
        <v>5106.68</v>
      </c>
      <c r="W1969">
        <v>5106.66</v>
      </c>
      <c r="X1969">
        <v>63642.04</v>
      </c>
      <c r="Y1969">
        <v>54711.44</v>
      </c>
    </row>
    <row r="1970" spans="1:25" x14ac:dyDescent="0.25">
      <c r="A1970" t="s">
        <v>2026</v>
      </c>
      <c r="B1970" s="1">
        <v>45485</v>
      </c>
      <c r="C1970">
        <v>2024</v>
      </c>
      <c r="D1970">
        <v>7</v>
      </c>
      <c r="E1970" t="s">
        <v>690</v>
      </c>
      <c r="F1970" t="s">
        <v>691</v>
      </c>
      <c r="G1970" t="s">
        <v>28</v>
      </c>
      <c r="H1970" t="s">
        <v>36</v>
      </c>
      <c r="I1970" t="s">
        <v>56</v>
      </c>
      <c r="J1970">
        <v>19</v>
      </c>
      <c r="K1970">
        <v>1490.56</v>
      </c>
      <c r="L1970">
        <v>28320.720000000001</v>
      </c>
      <c r="M1970">
        <v>16844.86</v>
      </c>
      <c r="N1970">
        <v>3059.57</v>
      </c>
      <c r="O1970">
        <v>973.24</v>
      </c>
      <c r="P1970">
        <v>823.37</v>
      </c>
      <c r="Q1970">
        <v>507.47</v>
      </c>
      <c r="R1970">
        <v>883.63</v>
      </c>
      <c r="S1970">
        <v>595.88</v>
      </c>
      <c r="T1970">
        <v>23688.02</v>
      </c>
      <c r="U1970">
        <v>11475.86</v>
      </c>
      <c r="V1970">
        <v>4632.7</v>
      </c>
      <c r="W1970">
        <v>4372.75</v>
      </c>
      <c r="X1970">
        <v>28652.95</v>
      </c>
      <c r="Y1970">
        <v>22683.95</v>
      </c>
    </row>
    <row r="1971" spans="1:25" x14ac:dyDescent="0.25">
      <c r="A1971" t="s">
        <v>2027</v>
      </c>
      <c r="B1971" s="1">
        <v>45485</v>
      </c>
      <c r="C1971">
        <v>2024</v>
      </c>
      <c r="D1971">
        <v>7</v>
      </c>
      <c r="E1971" t="s">
        <v>690</v>
      </c>
      <c r="F1971" t="s">
        <v>691</v>
      </c>
      <c r="G1971" t="s">
        <v>55</v>
      </c>
      <c r="H1971" t="s">
        <v>58</v>
      </c>
      <c r="I1971" t="s">
        <v>37</v>
      </c>
      <c r="J1971">
        <v>54</v>
      </c>
      <c r="K1971">
        <v>1346.26</v>
      </c>
      <c r="L1971">
        <v>72697.820000000007</v>
      </c>
      <c r="M1971">
        <v>44757.63</v>
      </c>
      <c r="N1971">
        <v>5206.6000000000004</v>
      </c>
      <c r="O1971">
        <v>2465.34</v>
      </c>
      <c r="P1971">
        <v>2865.33</v>
      </c>
      <c r="Q1971">
        <v>782.73</v>
      </c>
      <c r="R1971">
        <v>3124.03</v>
      </c>
      <c r="S1971">
        <v>990.55</v>
      </c>
      <c r="T1971">
        <v>60192.21</v>
      </c>
      <c r="U1971">
        <v>27940.19</v>
      </c>
      <c r="V1971">
        <v>12505.6</v>
      </c>
      <c r="W1971">
        <v>12393.88</v>
      </c>
      <c r="X1971">
        <v>74106.399999999994</v>
      </c>
      <c r="Y1971">
        <v>57045.89</v>
      </c>
    </row>
    <row r="1972" spans="1:25" x14ac:dyDescent="0.25">
      <c r="A1972" t="s">
        <v>2028</v>
      </c>
      <c r="B1972" s="1">
        <v>45485</v>
      </c>
      <c r="C1972">
        <v>2024</v>
      </c>
      <c r="D1972">
        <v>7</v>
      </c>
      <c r="E1972" t="s">
        <v>690</v>
      </c>
      <c r="F1972" t="s">
        <v>691</v>
      </c>
      <c r="G1972" t="s">
        <v>35</v>
      </c>
      <c r="H1972" t="s">
        <v>32</v>
      </c>
      <c r="I1972" t="s">
        <v>65</v>
      </c>
      <c r="J1972">
        <v>32</v>
      </c>
      <c r="K1972">
        <v>1797.94</v>
      </c>
      <c r="L1972">
        <v>57534.15</v>
      </c>
      <c r="M1972">
        <v>29637.63</v>
      </c>
      <c r="N1972">
        <v>6825.39</v>
      </c>
      <c r="O1972">
        <v>3359.35</v>
      </c>
      <c r="P1972">
        <v>1548.37</v>
      </c>
      <c r="Q1972">
        <v>420.12</v>
      </c>
      <c r="R1972">
        <v>1956.01</v>
      </c>
      <c r="S1972">
        <v>1322.91</v>
      </c>
      <c r="T1972">
        <v>45069.79</v>
      </c>
      <c r="U1972">
        <v>27896.52</v>
      </c>
      <c r="V1972">
        <v>12464.35</v>
      </c>
      <c r="W1972">
        <v>12400.87</v>
      </c>
      <c r="X1972">
        <v>56734.57</v>
      </c>
      <c r="Y1972">
        <v>42636.18</v>
      </c>
    </row>
    <row r="1973" spans="1:25" x14ac:dyDescent="0.25">
      <c r="A1973" t="s">
        <v>2029</v>
      </c>
      <c r="B1973" s="1">
        <v>45485</v>
      </c>
      <c r="C1973">
        <v>2024</v>
      </c>
      <c r="D1973">
        <v>7</v>
      </c>
      <c r="E1973" t="s">
        <v>690</v>
      </c>
      <c r="F1973" t="s">
        <v>691</v>
      </c>
      <c r="G1973" t="s">
        <v>28</v>
      </c>
      <c r="H1973" t="s">
        <v>53</v>
      </c>
      <c r="I1973" t="s">
        <v>45</v>
      </c>
      <c r="J1973">
        <v>34</v>
      </c>
      <c r="K1973">
        <v>1037.1400000000001</v>
      </c>
      <c r="L1973">
        <v>35262.879999999997</v>
      </c>
      <c r="M1973">
        <v>19035.48</v>
      </c>
      <c r="N1973">
        <v>3237.45</v>
      </c>
      <c r="O1973">
        <v>963.39</v>
      </c>
      <c r="P1973">
        <v>1577.28</v>
      </c>
      <c r="Q1973">
        <v>337.76</v>
      </c>
      <c r="R1973">
        <v>1285.3399999999999</v>
      </c>
      <c r="S1973">
        <v>585.45000000000005</v>
      </c>
      <c r="T1973">
        <v>27022.14</v>
      </c>
      <c r="U1973">
        <v>16227.41</v>
      </c>
      <c r="V1973">
        <v>8240.74</v>
      </c>
      <c r="W1973">
        <v>7616.03</v>
      </c>
      <c r="X1973">
        <v>36724.44</v>
      </c>
      <c r="Y1973">
        <v>27937.89</v>
      </c>
    </row>
    <row r="1974" spans="1:25" x14ac:dyDescent="0.25">
      <c r="A1974" t="s">
        <v>2030</v>
      </c>
      <c r="B1974" s="1">
        <v>45485</v>
      </c>
      <c r="C1974">
        <v>2024</v>
      </c>
      <c r="D1974">
        <v>7</v>
      </c>
      <c r="E1974" t="s">
        <v>690</v>
      </c>
      <c r="F1974" t="s">
        <v>691</v>
      </c>
      <c r="G1974" t="s">
        <v>35</v>
      </c>
      <c r="H1974" t="s">
        <v>58</v>
      </c>
      <c r="I1974" t="s">
        <v>56</v>
      </c>
      <c r="J1974">
        <v>36</v>
      </c>
      <c r="K1974">
        <v>960</v>
      </c>
      <c r="L1974">
        <v>34559.879999999997</v>
      </c>
      <c r="M1974">
        <v>23235.84</v>
      </c>
      <c r="N1974">
        <v>3539.81</v>
      </c>
      <c r="O1974">
        <v>2370.88</v>
      </c>
      <c r="P1974">
        <v>545.53</v>
      </c>
      <c r="Q1974">
        <v>291.86</v>
      </c>
      <c r="R1974">
        <v>1356.68</v>
      </c>
      <c r="S1974">
        <v>333.95</v>
      </c>
      <c r="T1974">
        <v>31674.55</v>
      </c>
      <c r="U1974">
        <v>11324.04</v>
      </c>
      <c r="V1974">
        <v>2885.33</v>
      </c>
      <c r="W1974">
        <v>2627.69</v>
      </c>
      <c r="X1974">
        <v>36686.82</v>
      </c>
      <c r="Y1974">
        <v>31752.92</v>
      </c>
    </row>
    <row r="1975" spans="1:25" x14ac:dyDescent="0.25">
      <c r="A1975" t="s">
        <v>2031</v>
      </c>
      <c r="B1975" s="1">
        <v>45485</v>
      </c>
      <c r="C1975">
        <v>2024</v>
      </c>
      <c r="D1975">
        <v>7</v>
      </c>
      <c r="E1975" t="s">
        <v>690</v>
      </c>
      <c r="F1975" t="s">
        <v>691</v>
      </c>
      <c r="G1975" t="s">
        <v>44</v>
      </c>
      <c r="H1975" t="s">
        <v>36</v>
      </c>
      <c r="I1975" t="s">
        <v>37</v>
      </c>
      <c r="J1975">
        <v>45</v>
      </c>
      <c r="K1975">
        <v>1374.01</v>
      </c>
      <c r="L1975">
        <v>61830.35</v>
      </c>
      <c r="M1975">
        <v>37223.64</v>
      </c>
      <c r="N1975">
        <v>6474.87</v>
      </c>
      <c r="O1975">
        <v>4492.93</v>
      </c>
      <c r="P1975">
        <v>976.07</v>
      </c>
      <c r="Q1975">
        <v>727.69</v>
      </c>
      <c r="R1975">
        <v>2766.55</v>
      </c>
      <c r="S1975">
        <v>1522.88</v>
      </c>
      <c r="T1975">
        <v>54184.63</v>
      </c>
      <c r="U1975">
        <v>24606.71</v>
      </c>
      <c r="V1975">
        <v>7645.72</v>
      </c>
      <c r="W1975">
        <v>7196.57</v>
      </c>
      <c r="X1975">
        <v>60515.75</v>
      </c>
      <c r="Y1975">
        <v>52467.67</v>
      </c>
    </row>
    <row r="1976" spans="1:25" x14ac:dyDescent="0.25">
      <c r="A1976" t="s">
        <v>2032</v>
      </c>
      <c r="B1976" s="1">
        <v>45486</v>
      </c>
      <c r="C1976">
        <v>2024</v>
      </c>
      <c r="D1976">
        <v>7</v>
      </c>
      <c r="E1976" t="s">
        <v>690</v>
      </c>
      <c r="F1976" t="s">
        <v>691</v>
      </c>
      <c r="G1976" t="s">
        <v>55</v>
      </c>
      <c r="H1976" t="s">
        <v>53</v>
      </c>
      <c r="I1976" t="s">
        <v>65</v>
      </c>
      <c r="J1976">
        <v>37</v>
      </c>
      <c r="K1976">
        <v>1421.7</v>
      </c>
      <c r="L1976">
        <v>52602.89</v>
      </c>
      <c r="M1976">
        <v>26564.13</v>
      </c>
      <c r="N1976">
        <v>6403.54</v>
      </c>
      <c r="O1976">
        <v>2843.43</v>
      </c>
      <c r="P1976">
        <v>1608.59</v>
      </c>
      <c r="Q1976">
        <v>363.86</v>
      </c>
      <c r="R1976">
        <v>1505.77</v>
      </c>
      <c r="S1976">
        <v>775.76</v>
      </c>
      <c r="T1976">
        <v>40065.07</v>
      </c>
      <c r="U1976">
        <v>26038.76</v>
      </c>
      <c r="V1976">
        <v>12537.82</v>
      </c>
      <c r="W1976">
        <v>12699.31</v>
      </c>
      <c r="X1976">
        <v>54314.33</v>
      </c>
      <c r="Y1976">
        <v>41148.5</v>
      </c>
    </row>
    <row r="1977" spans="1:25" x14ac:dyDescent="0.25">
      <c r="A1977" t="s">
        <v>2033</v>
      </c>
      <c r="B1977" s="1">
        <v>45486</v>
      </c>
      <c r="C1977">
        <v>2024</v>
      </c>
      <c r="D1977">
        <v>7</v>
      </c>
      <c r="E1977" t="s">
        <v>690</v>
      </c>
      <c r="F1977" t="s">
        <v>691</v>
      </c>
      <c r="G1977" t="s">
        <v>44</v>
      </c>
      <c r="H1977" t="s">
        <v>36</v>
      </c>
      <c r="I1977" t="s">
        <v>33</v>
      </c>
      <c r="J1977">
        <v>70</v>
      </c>
      <c r="K1977">
        <v>841.41</v>
      </c>
      <c r="L1977">
        <v>58898.87</v>
      </c>
      <c r="M1977">
        <v>32540.07</v>
      </c>
      <c r="N1977">
        <v>4561.72</v>
      </c>
      <c r="O1977">
        <v>1762.93</v>
      </c>
      <c r="P1977">
        <v>1167.8599999999999</v>
      </c>
      <c r="Q1977">
        <v>746.49</v>
      </c>
      <c r="R1977">
        <v>3688.15</v>
      </c>
      <c r="S1977">
        <v>774.69</v>
      </c>
      <c r="T1977">
        <v>45241.9</v>
      </c>
      <c r="U1977">
        <v>26358.799999999999</v>
      </c>
      <c r="V1977">
        <v>13656.97</v>
      </c>
      <c r="W1977">
        <v>12796.98</v>
      </c>
      <c r="X1977">
        <v>60603.27</v>
      </c>
      <c r="Y1977">
        <v>43716.71</v>
      </c>
    </row>
    <row r="1978" spans="1:25" x14ac:dyDescent="0.25">
      <c r="A1978" t="s">
        <v>2034</v>
      </c>
      <c r="B1978" s="1">
        <v>45486</v>
      </c>
      <c r="C1978">
        <v>2024</v>
      </c>
      <c r="D1978">
        <v>7</v>
      </c>
      <c r="E1978" t="s">
        <v>690</v>
      </c>
      <c r="F1978" t="s">
        <v>691</v>
      </c>
      <c r="G1978" t="s">
        <v>28</v>
      </c>
      <c r="H1978" t="s">
        <v>53</v>
      </c>
      <c r="I1978" t="s">
        <v>33</v>
      </c>
      <c r="J1978">
        <v>56</v>
      </c>
      <c r="K1978">
        <v>1166.8499999999999</v>
      </c>
      <c r="L1978">
        <v>65343.8</v>
      </c>
      <c r="M1978">
        <v>39095.480000000003</v>
      </c>
      <c r="N1978">
        <v>7117.92</v>
      </c>
      <c r="O1978">
        <v>3577.26</v>
      </c>
      <c r="P1978">
        <v>2659.94</v>
      </c>
      <c r="Q1978">
        <v>885.64</v>
      </c>
      <c r="R1978">
        <v>3913.14</v>
      </c>
      <c r="S1978">
        <v>1281.6500000000001</v>
      </c>
      <c r="T1978">
        <v>58531.02</v>
      </c>
      <c r="U1978">
        <v>26248.32</v>
      </c>
      <c r="V1978">
        <v>6812.78</v>
      </c>
      <c r="W1978">
        <v>6724.45</v>
      </c>
      <c r="X1978">
        <v>69568.649999999994</v>
      </c>
      <c r="Y1978">
        <v>58038.38</v>
      </c>
    </row>
    <row r="1979" spans="1:25" x14ac:dyDescent="0.25">
      <c r="A1979" t="s">
        <v>2035</v>
      </c>
      <c r="B1979" s="1">
        <v>45486</v>
      </c>
      <c r="C1979">
        <v>2024</v>
      </c>
      <c r="D1979">
        <v>7</v>
      </c>
      <c r="E1979" t="s">
        <v>690</v>
      </c>
      <c r="F1979" t="s">
        <v>691</v>
      </c>
      <c r="G1979" t="s">
        <v>44</v>
      </c>
      <c r="H1979" t="s">
        <v>32</v>
      </c>
      <c r="I1979" t="s">
        <v>45</v>
      </c>
      <c r="J1979">
        <v>42</v>
      </c>
      <c r="K1979">
        <v>1266.71</v>
      </c>
      <c r="L1979">
        <v>53201.72</v>
      </c>
      <c r="M1979">
        <v>34941.14</v>
      </c>
      <c r="N1979">
        <v>5347.49</v>
      </c>
      <c r="O1979">
        <v>2460.4899999999998</v>
      </c>
      <c r="P1979">
        <v>2066.14</v>
      </c>
      <c r="Q1979">
        <v>649.76</v>
      </c>
      <c r="R1979">
        <v>1359.77</v>
      </c>
      <c r="S1979">
        <v>769.96</v>
      </c>
      <c r="T1979">
        <v>47594.75</v>
      </c>
      <c r="U1979">
        <v>18260.580000000002</v>
      </c>
      <c r="V1979">
        <v>5606.96</v>
      </c>
      <c r="W1979">
        <v>5656.03</v>
      </c>
      <c r="X1979">
        <v>54451.15</v>
      </c>
      <c r="Y1979">
        <v>45144.52</v>
      </c>
    </row>
    <row r="1980" spans="1:25" x14ac:dyDescent="0.25">
      <c r="A1980" t="s">
        <v>2036</v>
      </c>
      <c r="B1980" s="1">
        <v>45486</v>
      </c>
      <c r="C1980">
        <v>2024</v>
      </c>
      <c r="D1980">
        <v>7</v>
      </c>
      <c r="E1980" t="s">
        <v>690</v>
      </c>
      <c r="F1980" t="s">
        <v>691</v>
      </c>
      <c r="G1980" t="s">
        <v>28</v>
      </c>
      <c r="H1980" t="s">
        <v>32</v>
      </c>
      <c r="I1980" t="s">
        <v>56</v>
      </c>
      <c r="J1980">
        <v>32</v>
      </c>
      <c r="K1980">
        <v>1727.96</v>
      </c>
      <c r="L1980">
        <v>55294.83</v>
      </c>
      <c r="M1980">
        <v>33385.82</v>
      </c>
      <c r="N1980">
        <v>4753.49</v>
      </c>
      <c r="O1980">
        <v>2231.9299999999998</v>
      </c>
      <c r="P1980">
        <v>1807.51</v>
      </c>
      <c r="Q1980">
        <v>543.23</v>
      </c>
      <c r="R1980">
        <v>2296.2800000000002</v>
      </c>
      <c r="S1980">
        <v>1197.7</v>
      </c>
      <c r="T1980">
        <v>46215.95</v>
      </c>
      <c r="U1980">
        <v>21909</v>
      </c>
      <c r="V1980">
        <v>9078.8700000000008</v>
      </c>
      <c r="W1980">
        <v>8490.42</v>
      </c>
      <c r="X1980">
        <v>51099.87</v>
      </c>
      <c r="Y1980">
        <v>46001.53</v>
      </c>
    </row>
    <row r="1981" spans="1:25" x14ac:dyDescent="0.25">
      <c r="A1981" t="s">
        <v>2037</v>
      </c>
      <c r="B1981" s="1">
        <v>45486</v>
      </c>
      <c r="C1981">
        <v>2024</v>
      </c>
      <c r="D1981">
        <v>7</v>
      </c>
      <c r="E1981" t="s">
        <v>690</v>
      </c>
      <c r="F1981" t="s">
        <v>691</v>
      </c>
      <c r="G1981" t="s">
        <v>35</v>
      </c>
      <c r="H1981" t="s">
        <v>32</v>
      </c>
      <c r="I1981" t="s">
        <v>56</v>
      </c>
      <c r="J1981">
        <v>33</v>
      </c>
      <c r="K1981">
        <v>921.67</v>
      </c>
      <c r="L1981">
        <v>30415.05</v>
      </c>
      <c r="M1981">
        <v>17170.560000000001</v>
      </c>
      <c r="N1981">
        <v>3145.03</v>
      </c>
      <c r="O1981">
        <v>1919.49</v>
      </c>
      <c r="P1981">
        <v>847.69</v>
      </c>
      <c r="Q1981">
        <v>408.89</v>
      </c>
      <c r="R1981">
        <v>1907.37</v>
      </c>
      <c r="S1981">
        <v>244.45</v>
      </c>
      <c r="T1981">
        <v>25643.48</v>
      </c>
      <c r="U1981">
        <v>13244.5</v>
      </c>
      <c r="V1981">
        <v>4771.58</v>
      </c>
      <c r="W1981">
        <v>4618.28</v>
      </c>
      <c r="X1981">
        <v>31190.36</v>
      </c>
      <c r="Y1981">
        <v>28176.36</v>
      </c>
    </row>
    <row r="1982" spans="1:25" x14ac:dyDescent="0.25">
      <c r="A1982" t="s">
        <v>2038</v>
      </c>
      <c r="B1982" s="1">
        <v>45486</v>
      </c>
      <c r="C1982">
        <v>2024</v>
      </c>
      <c r="D1982">
        <v>7</v>
      </c>
      <c r="E1982" t="s">
        <v>690</v>
      </c>
      <c r="F1982" t="s">
        <v>691</v>
      </c>
      <c r="G1982" t="s">
        <v>35</v>
      </c>
      <c r="H1982" t="s">
        <v>32</v>
      </c>
      <c r="I1982" t="s">
        <v>65</v>
      </c>
      <c r="J1982">
        <v>37</v>
      </c>
      <c r="K1982">
        <v>1754.14</v>
      </c>
      <c r="L1982">
        <v>64903.29</v>
      </c>
      <c r="M1982">
        <v>32675.18</v>
      </c>
      <c r="N1982">
        <v>5403.23</v>
      </c>
      <c r="O1982">
        <v>2690.09</v>
      </c>
      <c r="P1982">
        <v>1673.05</v>
      </c>
      <c r="Q1982">
        <v>355.76</v>
      </c>
      <c r="R1982">
        <v>1811.52</v>
      </c>
      <c r="S1982">
        <v>799.69</v>
      </c>
      <c r="T1982">
        <v>45408.52</v>
      </c>
      <c r="U1982">
        <v>32228.11</v>
      </c>
      <c r="V1982">
        <v>19494.77</v>
      </c>
      <c r="W1982">
        <v>17894.34</v>
      </c>
      <c r="X1982">
        <v>63431.16</v>
      </c>
      <c r="Y1982">
        <v>47456.87</v>
      </c>
    </row>
    <row r="1983" spans="1:25" x14ac:dyDescent="0.25">
      <c r="A1983" t="s">
        <v>2039</v>
      </c>
      <c r="B1983" s="1">
        <v>45487</v>
      </c>
      <c r="C1983">
        <v>2024</v>
      </c>
      <c r="D1983">
        <v>7</v>
      </c>
      <c r="E1983" t="s">
        <v>690</v>
      </c>
      <c r="F1983" t="s">
        <v>691</v>
      </c>
      <c r="G1983" t="s">
        <v>44</v>
      </c>
      <c r="H1983" t="s">
        <v>32</v>
      </c>
      <c r="I1983" t="s">
        <v>50</v>
      </c>
      <c r="J1983">
        <v>51</v>
      </c>
      <c r="K1983">
        <v>1313.09</v>
      </c>
      <c r="L1983">
        <v>66967.839999999997</v>
      </c>
      <c r="M1983">
        <v>43834.1</v>
      </c>
      <c r="N1983">
        <v>6512.83</v>
      </c>
      <c r="O1983">
        <v>4181.8999999999996</v>
      </c>
      <c r="P1983">
        <v>2787.58</v>
      </c>
      <c r="Q1983">
        <v>589.03</v>
      </c>
      <c r="R1983">
        <v>2011.16</v>
      </c>
      <c r="S1983">
        <v>1289.81</v>
      </c>
      <c r="T1983">
        <v>61206.42</v>
      </c>
      <c r="U1983">
        <v>23133.74</v>
      </c>
      <c r="V1983">
        <v>5761.42</v>
      </c>
      <c r="W1983">
        <v>5160.38</v>
      </c>
      <c r="X1983">
        <v>70150.31</v>
      </c>
      <c r="Y1983">
        <v>64167.39</v>
      </c>
    </row>
    <row r="1984" spans="1:25" x14ac:dyDescent="0.25">
      <c r="A1984" t="s">
        <v>2040</v>
      </c>
      <c r="B1984" s="1">
        <v>45487</v>
      </c>
      <c r="C1984">
        <v>2024</v>
      </c>
      <c r="D1984">
        <v>7</v>
      </c>
      <c r="E1984" t="s">
        <v>690</v>
      </c>
      <c r="F1984" t="s">
        <v>691</v>
      </c>
      <c r="G1984" t="s">
        <v>55</v>
      </c>
      <c r="H1984" t="s">
        <v>32</v>
      </c>
      <c r="I1984" t="s">
        <v>37</v>
      </c>
      <c r="J1984">
        <v>60</v>
      </c>
      <c r="K1984">
        <v>1793.82</v>
      </c>
      <c r="L1984">
        <v>107628.95</v>
      </c>
      <c r="M1984">
        <v>56234.37</v>
      </c>
      <c r="N1984">
        <v>13253.13</v>
      </c>
      <c r="O1984">
        <v>3612.41</v>
      </c>
      <c r="P1984">
        <v>2265.41</v>
      </c>
      <c r="Q1984">
        <v>1453.56</v>
      </c>
      <c r="R1984">
        <v>6718.73</v>
      </c>
      <c r="S1984">
        <v>1673.29</v>
      </c>
      <c r="T1984">
        <v>85210.91</v>
      </c>
      <c r="U1984">
        <v>51394.58</v>
      </c>
      <c r="V1984">
        <v>22418.05</v>
      </c>
      <c r="W1984">
        <v>20926.07</v>
      </c>
      <c r="X1984">
        <v>102001.67</v>
      </c>
      <c r="Y1984">
        <v>87900.09</v>
      </c>
    </row>
    <row r="1985" spans="1:25" x14ac:dyDescent="0.25">
      <c r="A1985" t="s">
        <v>2041</v>
      </c>
      <c r="B1985" s="1">
        <v>45487</v>
      </c>
      <c r="C1985">
        <v>2024</v>
      </c>
      <c r="D1985">
        <v>7</v>
      </c>
      <c r="E1985" t="s">
        <v>690</v>
      </c>
      <c r="F1985" t="s">
        <v>691</v>
      </c>
      <c r="G1985" t="s">
        <v>35</v>
      </c>
      <c r="H1985" t="s">
        <v>53</v>
      </c>
      <c r="I1985" t="s">
        <v>45</v>
      </c>
      <c r="J1985">
        <v>25</v>
      </c>
      <c r="K1985">
        <v>1738.25</v>
      </c>
      <c r="L1985">
        <v>43456.14</v>
      </c>
      <c r="M1985">
        <v>27174.95</v>
      </c>
      <c r="N1985">
        <v>3405.28</v>
      </c>
      <c r="O1985">
        <v>1557.06</v>
      </c>
      <c r="P1985">
        <v>1727.77</v>
      </c>
      <c r="Q1985">
        <v>739.2</v>
      </c>
      <c r="R1985">
        <v>1792.06</v>
      </c>
      <c r="S1985">
        <v>787.99</v>
      </c>
      <c r="T1985">
        <v>37184.300000000003</v>
      </c>
      <c r="U1985">
        <v>16281.19</v>
      </c>
      <c r="V1985">
        <v>6271.84</v>
      </c>
      <c r="W1985">
        <v>5540.54</v>
      </c>
      <c r="X1985">
        <v>45843.14</v>
      </c>
      <c r="Y1985">
        <v>39522.120000000003</v>
      </c>
    </row>
    <row r="1986" spans="1:25" x14ac:dyDescent="0.25">
      <c r="A1986" t="s">
        <v>2042</v>
      </c>
      <c r="B1986" s="1">
        <v>45487</v>
      </c>
      <c r="C1986">
        <v>2024</v>
      </c>
      <c r="D1986">
        <v>7</v>
      </c>
      <c r="E1986" t="s">
        <v>690</v>
      </c>
      <c r="F1986" t="s">
        <v>691</v>
      </c>
      <c r="G1986" t="s">
        <v>28</v>
      </c>
      <c r="H1986" t="s">
        <v>29</v>
      </c>
      <c r="I1986" t="s">
        <v>37</v>
      </c>
      <c r="J1986">
        <v>44</v>
      </c>
      <c r="K1986">
        <v>1755.08</v>
      </c>
      <c r="L1986">
        <v>77223.539999999994</v>
      </c>
      <c r="M1986">
        <v>40197.919999999998</v>
      </c>
      <c r="N1986">
        <v>7787.62</v>
      </c>
      <c r="O1986">
        <v>4279.0600000000004</v>
      </c>
      <c r="P1986">
        <v>1311.47</v>
      </c>
      <c r="Q1986">
        <v>883.7</v>
      </c>
      <c r="R1986">
        <v>3464.97</v>
      </c>
      <c r="S1986">
        <v>1532.9</v>
      </c>
      <c r="T1986">
        <v>59457.63</v>
      </c>
      <c r="U1986">
        <v>37025.61</v>
      </c>
      <c r="V1986">
        <v>17765.900000000001</v>
      </c>
      <c r="W1986">
        <v>17263.95</v>
      </c>
      <c r="X1986">
        <v>81603.94</v>
      </c>
      <c r="Y1986">
        <v>62610.92</v>
      </c>
    </row>
    <row r="1987" spans="1:25" x14ac:dyDescent="0.25">
      <c r="A1987" t="s">
        <v>2043</v>
      </c>
      <c r="B1987" s="1">
        <v>45487</v>
      </c>
      <c r="C1987">
        <v>2024</v>
      </c>
      <c r="D1987">
        <v>7</v>
      </c>
      <c r="E1987" t="s">
        <v>690</v>
      </c>
      <c r="F1987" t="s">
        <v>691</v>
      </c>
      <c r="G1987" t="s">
        <v>55</v>
      </c>
      <c r="H1987" t="s">
        <v>36</v>
      </c>
      <c r="I1987" t="s">
        <v>65</v>
      </c>
      <c r="J1987">
        <v>66</v>
      </c>
      <c r="K1987">
        <v>1116.1199999999999</v>
      </c>
      <c r="L1987">
        <v>73663.63</v>
      </c>
      <c r="M1987">
        <v>49328.73</v>
      </c>
      <c r="N1987">
        <v>8986.5499999999993</v>
      </c>
      <c r="O1987">
        <v>3854.44</v>
      </c>
      <c r="P1987">
        <v>1524.58</v>
      </c>
      <c r="Q1987">
        <v>1099.7</v>
      </c>
      <c r="R1987">
        <v>3238.96</v>
      </c>
      <c r="S1987">
        <v>840.52</v>
      </c>
      <c r="T1987">
        <v>68873.490000000005</v>
      </c>
      <c r="U1987">
        <v>24334.9</v>
      </c>
      <c r="V1987">
        <v>4790.1400000000003</v>
      </c>
      <c r="W1987">
        <v>4750.45</v>
      </c>
      <c r="X1987">
        <v>75867</v>
      </c>
      <c r="Y1987">
        <v>72458.05</v>
      </c>
    </row>
    <row r="1988" spans="1:25" x14ac:dyDescent="0.25">
      <c r="A1988" t="s">
        <v>2044</v>
      </c>
      <c r="B1988" s="1">
        <v>45487</v>
      </c>
      <c r="C1988">
        <v>2024</v>
      </c>
      <c r="D1988">
        <v>7</v>
      </c>
      <c r="E1988" t="s">
        <v>690</v>
      </c>
      <c r="F1988" t="s">
        <v>691</v>
      </c>
      <c r="G1988" t="s">
        <v>44</v>
      </c>
      <c r="H1988" t="s">
        <v>29</v>
      </c>
      <c r="I1988" t="s">
        <v>65</v>
      </c>
      <c r="J1988">
        <v>50</v>
      </c>
      <c r="K1988">
        <v>1213.18</v>
      </c>
      <c r="L1988">
        <v>60659.06</v>
      </c>
      <c r="M1988">
        <v>39136.86</v>
      </c>
      <c r="N1988">
        <v>6776.19</v>
      </c>
      <c r="O1988">
        <v>4198.18</v>
      </c>
      <c r="P1988">
        <v>2015.24</v>
      </c>
      <c r="Q1988">
        <v>527.75</v>
      </c>
      <c r="R1988">
        <v>2458.7600000000002</v>
      </c>
      <c r="S1988">
        <v>1498.77</v>
      </c>
      <c r="T1988">
        <v>56611.76</v>
      </c>
      <c r="U1988">
        <v>21522.2</v>
      </c>
      <c r="V1988">
        <v>4047.3</v>
      </c>
      <c r="W1988">
        <v>3778.26</v>
      </c>
      <c r="X1988">
        <v>59699</v>
      </c>
      <c r="Y1988">
        <v>58698.57</v>
      </c>
    </row>
    <row r="1989" spans="1:25" x14ac:dyDescent="0.25">
      <c r="A1989" t="s">
        <v>2045</v>
      </c>
      <c r="B1989" s="1">
        <v>45489</v>
      </c>
      <c r="C1989">
        <v>2024</v>
      </c>
      <c r="D1989">
        <v>7</v>
      </c>
      <c r="E1989" t="s">
        <v>690</v>
      </c>
      <c r="F1989" t="s">
        <v>691</v>
      </c>
      <c r="G1989" t="s">
        <v>44</v>
      </c>
      <c r="H1989" t="s">
        <v>32</v>
      </c>
      <c r="I1989" t="s">
        <v>33</v>
      </c>
      <c r="J1989">
        <v>61</v>
      </c>
      <c r="K1989">
        <v>1301.33</v>
      </c>
      <c r="L1989">
        <v>79380.929999999993</v>
      </c>
      <c r="M1989">
        <v>39257.86</v>
      </c>
      <c r="N1989">
        <v>8269.9500000000007</v>
      </c>
      <c r="O1989">
        <v>5630.21</v>
      </c>
      <c r="P1989">
        <v>2327.6799999999998</v>
      </c>
      <c r="Q1989">
        <v>933.42</v>
      </c>
      <c r="R1989">
        <v>3560.62</v>
      </c>
      <c r="S1989">
        <v>1779.34</v>
      </c>
      <c r="T1989">
        <v>61759.09</v>
      </c>
      <c r="U1989">
        <v>40123.07</v>
      </c>
      <c r="V1989">
        <v>17621.849999999999</v>
      </c>
      <c r="W1989">
        <v>17494.509999999998</v>
      </c>
      <c r="X1989">
        <v>77536.98</v>
      </c>
      <c r="Y1989">
        <v>59383.13</v>
      </c>
    </row>
    <row r="1990" spans="1:25" x14ac:dyDescent="0.25">
      <c r="A1990" t="s">
        <v>2046</v>
      </c>
      <c r="B1990" s="1">
        <v>45489</v>
      </c>
      <c r="C1990">
        <v>2024</v>
      </c>
      <c r="D1990">
        <v>7</v>
      </c>
      <c r="E1990" t="s">
        <v>690</v>
      </c>
      <c r="F1990" t="s">
        <v>691</v>
      </c>
      <c r="G1990" t="s">
        <v>55</v>
      </c>
      <c r="H1990" t="s">
        <v>36</v>
      </c>
      <c r="I1990" t="s">
        <v>33</v>
      </c>
      <c r="J1990">
        <v>71</v>
      </c>
      <c r="K1990">
        <v>1345.5</v>
      </c>
      <c r="L1990">
        <v>95530.51</v>
      </c>
      <c r="M1990">
        <v>51092.25</v>
      </c>
      <c r="N1990">
        <v>8464.81</v>
      </c>
      <c r="O1990">
        <v>4187.88</v>
      </c>
      <c r="P1990">
        <v>2778.35</v>
      </c>
      <c r="Q1990">
        <v>1318.5</v>
      </c>
      <c r="R1990">
        <v>4445.1400000000003</v>
      </c>
      <c r="S1990">
        <v>1616.15</v>
      </c>
      <c r="T1990">
        <v>73903.09</v>
      </c>
      <c r="U1990">
        <v>44438.26</v>
      </c>
      <c r="V1990">
        <v>21627.42</v>
      </c>
      <c r="W1990">
        <v>21484.07</v>
      </c>
      <c r="X1990">
        <v>104077.68</v>
      </c>
      <c r="Y1990">
        <v>80196.240000000005</v>
      </c>
    </row>
    <row r="1991" spans="1:25" x14ac:dyDescent="0.25">
      <c r="A1991" t="s">
        <v>2047</v>
      </c>
      <c r="B1991" s="1">
        <v>45489</v>
      </c>
      <c r="C1991">
        <v>2024</v>
      </c>
      <c r="D1991">
        <v>7</v>
      </c>
      <c r="E1991" t="s">
        <v>690</v>
      </c>
      <c r="F1991" t="s">
        <v>691</v>
      </c>
      <c r="G1991" t="s">
        <v>28</v>
      </c>
      <c r="H1991" t="s">
        <v>32</v>
      </c>
      <c r="I1991" t="s">
        <v>65</v>
      </c>
      <c r="J1991">
        <v>58</v>
      </c>
      <c r="K1991">
        <v>1282.05</v>
      </c>
      <c r="L1991">
        <v>74359.149999999994</v>
      </c>
      <c r="M1991">
        <v>46602.080000000002</v>
      </c>
      <c r="N1991">
        <v>6082.04</v>
      </c>
      <c r="O1991">
        <v>4729.29</v>
      </c>
      <c r="P1991">
        <v>2893.52</v>
      </c>
      <c r="Q1991">
        <v>402.18</v>
      </c>
      <c r="R1991">
        <v>2823.67</v>
      </c>
      <c r="S1991">
        <v>1068.3699999999999</v>
      </c>
      <c r="T1991">
        <v>64601.15</v>
      </c>
      <c r="U1991">
        <v>27757.07</v>
      </c>
      <c r="V1991">
        <v>9758.01</v>
      </c>
      <c r="W1991">
        <v>9346.3799999999992</v>
      </c>
      <c r="X1991">
        <v>79046.94</v>
      </c>
      <c r="Y1991">
        <v>61593.41</v>
      </c>
    </row>
    <row r="1992" spans="1:25" x14ac:dyDescent="0.25">
      <c r="A1992" t="s">
        <v>2048</v>
      </c>
      <c r="B1992" s="1">
        <v>45489</v>
      </c>
      <c r="C1992">
        <v>2024</v>
      </c>
      <c r="D1992">
        <v>7</v>
      </c>
      <c r="E1992" t="s">
        <v>690</v>
      </c>
      <c r="F1992" t="s">
        <v>691</v>
      </c>
      <c r="G1992" t="s">
        <v>44</v>
      </c>
      <c r="H1992" t="s">
        <v>36</v>
      </c>
      <c r="I1992" t="s">
        <v>45</v>
      </c>
      <c r="J1992">
        <v>24</v>
      </c>
      <c r="K1992">
        <v>1341.64</v>
      </c>
      <c r="L1992">
        <v>32199.279999999999</v>
      </c>
      <c r="M1992">
        <v>17344.61</v>
      </c>
      <c r="N1992">
        <v>3675.89</v>
      </c>
      <c r="O1992">
        <v>1218.04</v>
      </c>
      <c r="P1992">
        <v>884.17</v>
      </c>
      <c r="Q1992">
        <v>170.3</v>
      </c>
      <c r="R1992">
        <v>869.12</v>
      </c>
      <c r="S1992">
        <v>679</v>
      </c>
      <c r="T1992">
        <v>24841.15</v>
      </c>
      <c r="U1992">
        <v>14854.66</v>
      </c>
      <c r="V1992">
        <v>7358.13</v>
      </c>
      <c r="W1992">
        <v>6969.26</v>
      </c>
      <c r="X1992">
        <v>34817.129999999997</v>
      </c>
      <c r="Y1992">
        <v>25641.07</v>
      </c>
    </row>
    <row r="1993" spans="1:25" x14ac:dyDescent="0.25">
      <c r="A1993" t="s">
        <v>2049</v>
      </c>
      <c r="B1993" s="1">
        <v>45489</v>
      </c>
      <c r="C1993">
        <v>2024</v>
      </c>
      <c r="D1993">
        <v>7</v>
      </c>
      <c r="E1993" t="s">
        <v>690</v>
      </c>
      <c r="F1993" t="s">
        <v>691</v>
      </c>
      <c r="G1993" t="s">
        <v>35</v>
      </c>
      <c r="H1993" t="s">
        <v>32</v>
      </c>
      <c r="I1993" t="s">
        <v>33</v>
      </c>
      <c r="J1993">
        <v>82</v>
      </c>
      <c r="K1993">
        <v>1133.3</v>
      </c>
      <c r="L1993">
        <v>92930.95</v>
      </c>
      <c r="M1993">
        <v>57274.35</v>
      </c>
      <c r="N1993">
        <v>11897.51</v>
      </c>
      <c r="O1993">
        <v>2887.73</v>
      </c>
      <c r="P1993">
        <v>2287.16</v>
      </c>
      <c r="Q1993">
        <v>1127.26</v>
      </c>
      <c r="R1993">
        <v>5606.46</v>
      </c>
      <c r="S1993">
        <v>1925.93</v>
      </c>
      <c r="T1993">
        <v>83006.39</v>
      </c>
      <c r="U1993">
        <v>35656.6</v>
      </c>
      <c r="V1993">
        <v>9924.56</v>
      </c>
      <c r="W1993">
        <v>9127.7900000000009</v>
      </c>
      <c r="X1993">
        <v>92250.62</v>
      </c>
      <c r="Y1993">
        <v>87248.21</v>
      </c>
    </row>
    <row r="1994" spans="1:25" x14ac:dyDescent="0.25">
      <c r="A1994" t="s">
        <v>2050</v>
      </c>
      <c r="B1994" s="1">
        <v>45489</v>
      </c>
      <c r="C1994">
        <v>2024</v>
      </c>
      <c r="D1994">
        <v>7</v>
      </c>
      <c r="E1994" t="s">
        <v>690</v>
      </c>
      <c r="F1994" t="s">
        <v>691</v>
      </c>
      <c r="G1994" t="s">
        <v>28</v>
      </c>
      <c r="H1994" t="s">
        <v>32</v>
      </c>
      <c r="I1994" t="s">
        <v>45</v>
      </c>
      <c r="J1994">
        <v>40</v>
      </c>
      <c r="K1994">
        <v>1604.38</v>
      </c>
      <c r="L1994">
        <v>64175.25</v>
      </c>
      <c r="M1994">
        <v>31639.74</v>
      </c>
      <c r="N1994">
        <v>4602.3100000000004</v>
      </c>
      <c r="O1994">
        <v>3575.53</v>
      </c>
      <c r="P1994">
        <v>1302.49</v>
      </c>
      <c r="Q1994">
        <v>783.76</v>
      </c>
      <c r="R1994">
        <v>2401.98</v>
      </c>
      <c r="S1994">
        <v>629.03</v>
      </c>
      <c r="T1994">
        <v>44934.85</v>
      </c>
      <c r="U1994">
        <v>32535.51</v>
      </c>
      <c r="V1994">
        <v>19240.400000000001</v>
      </c>
      <c r="W1994">
        <v>17032.23</v>
      </c>
      <c r="X1994">
        <v>60219.97</v>
      </c>
      <c r="Y1994">
        <v>43076.25</v>
      </c>
    </row>
    <row r="1995" spans="1:25" x14ac:dyDescent="0.25">
      <c r="A1995" t="s">
        <v>2051</v>
      </c>
      <c r="B1995" s="1">
        <v>45490</v>
      </c>
      <c r="C1995">
        <v>2024</v>
      </c>
      <c r="D1995">
        <v>7</v>
      </c>
      <c r="E1995" t="s">
        <v>690</v>
      </c>
      <c r="F1995" t="s">
        <v>691</v>
      </c>
      <c r="G1995" t="s">
        <v>28</v>
      </c>
      <c r="H1995" t="s">
        <v>29</v>
      </c>
      <c r="I1995" t="s">
        <v>56</v>
      </c>
      <c r="J1995">
        <v>34</v>
      </c>
      <c r="K1995">
        <v>1043.49</v>
      </c>
      <c r="L1995">
        <v>35478.67</v>
      </c>
      <c r="M1995">
        <v>23080.46</v>
      </c>
      <c r="N1995">
        <v>2653.53</v>
      </c>
      <c r="O1995">
        <v>1740.23</v>
      </c>
      <c r="P1995">
        <v>1034</v>
      </c>
      <c r="Q1995">
        <v>616.29999999999995</v>
      </c>
      <c r="R1995">
        <v>1749.85</v>
      </c>
      <c r="S1995">
        <v>682.64</v>
      </c>
      <c r="T1995">
        <v>31557.01</v>
      </c>
      <c r="U1995">
        <v>12398.21</v>
      </c>
      <c r="V1995">
        <v>3921.66</v>
      </c>
      <c r="W1995">
        <v>3480.37</v>
      </c>
      <c r="X1995">
        <v>36586.03</v>
      </c>
      <c r="Y1995">
        <v>30081.39</v>
      </c>
    </row>
    <row r="1996" spans="1:25" x14ac:dyDescent="0.25">
      <c r="A1996" t="s">
        <v>2052</v>
      </c>
      <c r="B1996" s="1">
        <v>45490</v>
      </c>
      <c r="C1996">
        <v>2024</v>
      </c>
      <c r="D1996">
        <v>7</v>
      </c>
      <c r="E1996" t="s">
        <v>690</v>
      </c>
      <c r="F1996" t="s">
        <v>691</v>
      </c>
      <c r="G1996" t="s">
        <v>28</v>
      </c>
      <c r="H1996" t="s">
        <v>32</v>
      </c>
      <c r="I1996" t="s">
        <v>33</v>
      </c>
      <c r="J1996">
        <v>79</v>
      </c>
      <c r="K1996">
        <v>924.69</v>
      </c>
      <c r="L1996">
        <v>73050.320000000007</v>
      </c>
      <c r="M1996">
        <v>38852.910000000003</v>
      </c>
      <c r="N1996">
        <v>9143.01</v>
      </c>
      <c r="O1996">
        <v>3462.22</v>
      </c>
      <c r="P1996">
        <v>1902.19</v>
      </c>
      <c r="Q1996">
        <v>977.39</v>
      </c>
      <c r="R1996">
        <v>2729.25</v>
      </c>
      <c r="S1996">
        <v>596.39</v>
      </c>
      <c r="T1996">
        <v>57663.37</v>
      </c>
      <c r="U1996">
        <v>34197.42</v>
      </c>
      <c r="V1996">
        <v>15386.96</v>
      </c>
      <c r="W1996">
        <v>14269.4</v>
      </c>
      <c r="X1996">
        <v>69065.039999999994</v>
      </c>
      <c r="Y1996">
        <v>58807.43</v>
      </c>
    </row>
    <row r="1997" spans="1:25" x14ac:dyDescent="0.25">
      <c r="A1997" t="s">
        <v>2053</v>
      </c>
      <c r="B1997" s="1">
        <v>45490</v>
      </c>
      <c r="C1997">
        <v>2024</v>
      </c>
      <c r="D1997">
        <v>7</v>
      </c>
      <c r="E1997" t="s">
        <v>690</v>
      </c>
      <c r="F1997" t="s">
        <v>691</v>
      </c>
      <c r="G1997" t="s">
        <v>35</v>
      </c>
      <c r="H1997" t="s">
        <v>53</v>
      </c>
      <c r="I1997" t="s">
        <v>33</v>
      </c>
      <c r="J1997">
        <v>39</v>
      </c>
      <c r="K1997">
        <v>1764.46</v>
      </c>
      <c r="L1997">
        <v>68813.960000000006</v>
      </c>
      <c r="M1997">
        <v>42081.42</v>
      </c>
      <c r="N1997">
        <v>7675.12</v>
      </c>
      <c r="O1997">
        <v>4163.6899999999996</v>
      </c>
      <c r="P1997">
        <v>2984.01</v>
      </c>
      <c r="Q1997">
        <v>543.42999999999995</v>
      </c>
      <c r="R1997">
        <v>4392.68</v>
      </c>
      <c r="S1997">
        <v>927.3</v>
      </c>
      <c r="T1997">
        <v>62767.66</v>
      </c>
      <c r="U1997">
        <v>26732.54</v>
      </c>
      <c r="V1997">
        <v>6046.3</v>
      </c>
      <c r="W1997">
        <v>5962.88</v>
      </c>
      <c r="X1997">
        <v>65480.31</v>
      </c>
      <c r="Y1997">
        <v>60432.82</v>
      </c>
    </row>
    <row r="1998" spans="1:25" x14ac:dyDescent="0.25">
      <c r="A1998" t="s">
        <v>2054</v>
      </c>
      <c r="B1998" s="1">
        <v>45490</v>
      </c>
      <c r="C1998">
        <v>2024</v>
      </c>
      <c r="D1998">
        <v>7</v>
      </c>
      <c r="E1998" t="s">
        <v>690</v>
      </c>
      <c r="F1998" t="s">
        <v>691</v>
      </c>
      <c r="G1998" t="s">
        <v>35</v>
      </c>
      <c r="H1998" t="s">
        <v>32</v>
      </c>
      <c r="I1998" t="s">
        <v>37</v>
      </c>
      <c r="J1998">
        <v>65</v>
      </c>
      <c r="K1998">
        <v>1292.03</v>
      </c>
      <c r="L1998">
        <v>83981.72</v>
      </c>
      <c r="M1998">
        <v>44816.01</v>
      </c>
      <c r="N1998">
        <v>6133.26</v>
      </c>
      <c r="O1998">
        <v>3840.82</v>
      </c>
      <c r="P1998">
        <v>2657.21</v>
      </c>
      <c r="Q1998">
        <v>1100.07</v>
      </c>
      <c r="R1998">
        <v>2692.31</v>
      </c>
      <c r="S1998">
        <v>843.69</v>
      </c>
      <c r="T1998">
        <v>62083.37</v>
      </c>
      <c r="U1998">
        <v>39165.71</v>
      </c>
      <c r="V1998">
        <v>21898.35</v>
      </c>
      <c r="W1998">
        <v>20561.91</v>
      </c>
      <c r="X1998">
        <v>85083.11</v>
      </c>
      <c r="Y1998">
        <v>60389.79</v>
      </c>
    </row>
    <row r="1999" spans="1:25" x14ac:dyDescent="0.25">
      <c r="A1999" t="s">
        <v>2055</v>
      </c>
      <c r="B1999" s="1">
        <v>45490</v>
      </c>
      <c r="C1999">
        <v>2024</v>
      </c>
      <c r="D1999">
        <v>7</v>
      </c>
      <c r="E1999" t="s">
        <v>690</v>
      </c>
      <c r="F1999" t="s">
        <v>691</v>
      </c>
      <c r="G1999" t="s">
        <v>35</v>
      </c>
      <c r="H1999" t="s">
        <v>53</v>
      </c>
      <c r="I1999" t="s">
        <v>33</v>
      </c>
      <c r="J1999">
        <v>38</v>
      </c>
      <c r="K1999">
        <v>1644.64</v>
      </c>
      <c r="L1999">
        <v>62496.36</v>
      </c>
      <c r="M1999">
        <v>35287.339999999997</v>
      </c>
      <c r="N1999">
        <v>6883.16</v>
      </c>
      <c r="O1999">
        <v>4624.7700000000004</v>
      </c>
      <c r="P1999">
        <v>956.1</v>
      </c>
      <c r="Q1999">
        <v>1072.3399999999999</v>
      </c>
      <c r="R1999">
        <v>3229.96</v>
      </c>
      <c r="S1999">
        <v>989.94</v>
      </c>
      <c r="T1999">
        <v>53043.61</v>
      </c>
      <c r="U1999">
        <v>27209.02</v>
      </c>
      <c r="V1999">
        <v>9452.75</v>
      </c>
      <c r="W1999">
        <v>8546.6</v>
      </c>
      <c r="X1999">
        <v>66276.009999999995</v>
      </c>
      <c r="Y1999">
        <v>51540.07</v>
      </c>
    </row>
    <row r="2000" spans="1:25" x14ac:dyDescent="0.25">
      <c r="A2000" t="s">
        <v>2056</v>
      </c>
      <c r="B2000" s="1">
        <v>45491</v>
      </c>
      <c r="C2000">
        <v>2024</v>
      </c>
      <c r="D2000">
        <v>7</v>
      </c>
      <c r="E2000" t="s">
        <v>690</v>
      </c>
      <c r="F2000" t="s">
        <v>691</v>
      </c>
      <c r="G2000" t="s">
        <v>28</v>
      </c>
      <c r="H2000" t="s">
        <v>53</v>
      </c>
      <c r="I2000" t="s">
        <v>39</v>
      </c>
      <c r="J2000">
        <v>28</v>
      </c>
      <c r="K2000">
        <v>1046.47</v>
      </c>
      <c r="L2000">
        <v>29301.03</v>
      </c>
      <c r="M2000">
        <v>14677.94</v>
      </c>
      <c r="N2000">
        <v>2937</v>
      </c>
      <c r="O2000">
        <v>873.41</v>
      </c>
      <c r="P2000">
        <v>627.77</v>
      </c>
      <c r="Q2000">
        <v>477.14</v>
      </c>
      <c r="R2000">
        <v>1292.08</v>
      </c>
      <c r="S2000">
        <v>313.45999999999998</v>
      </c>
      <c r="T2000">
        <v>21198.799999999999</v>
      </c>
      <c r="U2000">
        <v>14623.09</v>
      </c>
      <c r="V2000">
        <v>8102.22</v>
      </c>
      <c r="W2000">
        <v>7372.03</v>
      </c>
      <c r="X2000">
        <v>31728.19</v>
      </c>
      <c r="Y2000">
        <v>20756.87</v>
      </c>
    </row>
    <row r="2001" spans="1:25" x14ac:dyDescent="0.25">
      <c r="A2001" t="s">
        <v>2057</v>
      </c>
      <c r="B2001" s="1">
        <v>45491</v>
      </c>
      <c r="C2001">
        <v>2024</v>
      </c>
      <c r="D2001">
        <v>7</v>
      </c>
      <c r="E2001" t="s">
        <v>690</v>
      </c>
      <c r="F2001" t="s">
        <v>691</v>
      </c>
      <c r="G2001" t="s">
        <v>28</v>
      </c>
      <c r="H2001" t="s">
        <v>58</v>
      </c>
      <c r="I2001" t="s">
        <v>30</v>
      </c>
      <c r="J2001">
        <v>79</v>
      </c>
      <c r="K2001">
        <v>921.47</v>
      </c>
      <c r="L2001">
        <v>72795.75</v>
      </c>
      <c r="M2001">
        <v>49333.34</v>
      </c>
      <c r="N2001">
        <v>7010.64</v>
      </c>
      <c r="O2001">
        <v>2634.96</v>
      </c>
      <c r="P2001">
        <v>2095.6999999999998</v>
      </c>
      <c r="Q2001">
        <v>887.55</v>
      </c>
      <c r="R2001">
        <v>2957.45</v>
      </c>
      <c r="S2001">
        <v>666.02</v>
      </c>
      <c r="T2001">
        <v>65585.66</v>
      </c>
      <c r="U2001">
        <v>23462.42</v>
      </c>
      <c r="V2001">
        <v>7210.09</v>
      </c>
      <c r="W2001">
        <v>6821.8</v>
      </c>
      <c r="X2001">
        <v>69270.41</v>
      </c>
      <c r="Y2001">
        <v>67213.13</v>
      </c>
    </row>
    <row r="2002" spans="1:25" x14ac:dyDescent="0.25">
      <c r="A2002" t="s">
        <v>2058</v>
      </c>
      <c r="B2002" s="1">
        <v>45491</v>
      </c>
      <c r="C2002">
        <v>2024</v>
      </c>
      <c r="D2002">
        <v>7</v>
      </c>
      <c r="E2002" t="s">
        <v>690</v>
      </c>
      <c r="F2002" t="s">
        <v>691</v>
      </c>
      <c r="G2002" t="s">
        <v>28</v>
      </c>
      <c r="H2002" t="s">
        <v>36</v>
      </c>
      <c r="I2002" t="s">
        <v>56</v>
      </c>
      <c r="J2002">
        <v>32</v>
      </c>
      <c r="K2002">
        <v>1050.5999999999999</v>
      </c>
      <c r="L2002">
        <v>33619.19</v>
      </c>
      <c r="M2002">
        <v>20760.23</v>
      </c>
      <c r="N2002">
        <v>2537.14</v>
      </c>
      <c r="O2002">
        <v>1300.0899999999999</v>
      </c>
      <c r="P2002">
        <v>537.41</v>
      </c>
      <c r="Q2002">
        <v>274.60000000000002</v>
      </c>
      <c r="R2002">
        <v>1559.42</v>
      </c>
      <c r="S2002">
        <v>579.11</v>
      </c>
      <c r="T2002">
        <v>27548</v>
      </c>
      <c r="U2002">
        <v>12858.96</v>
      </c>
      <c r="V2002">
        <v>6071.19</v>
      </c>
      <c r="W2002">
        <v>5990.14</v>
      </c>
      <c r="X2002">
        <v>36436.6</v>
      </c>
      <c r="Y2002">
        <v>29881.27</v>
      </c>
    </row>
    <row r="2003" spans="1:25" x14ac:dyDescent="0.25">
      <c r="A2003" t="s">
        <v>2059</v>
      </c>
      <c r="B2003" s="1">
        <v>45492</v>
      </c>
      <c r="C2003">
        <v>2024</v>
      </c>
      <c r="D2003">
        <v>7</v>
      </c>
      <c r="E2003" t="s">
        <v>690</v>
      </c>
      <c r="F2003" t="s">
        <v>691</v>
      </c>
      <c r="G2003" t="s">
        <v>55</v>
      </c>
      <c r="H2003" t="s">
        <v>36</v>
      </c>
      <c r="I2003" t="s">
        <v>56</v>
      </c>
      <c r="J2003">
        <v>33</v>
      </c>
      <c r="K2003">
        <v>1434.29</v>
      </c>
      <c r="L2003">
        <v>47331.53</v>
      </c>
      <c r="M2003">
        <v>30976.26</v>
      </c>
      <c r="N2003">
        <v>3715.26</v>
      </c>
      <c r="O2003">
        <v>3203.09</v>
      </c>
      <c r="P2003">
        <v>1973.06</v>
      </c>
      <c r="Q2003">
        <v>277.24</v>
      </c>
      <c r="R2003">
        <v>2293.77</v>
      </c>
      <c r="S2003">
        <v>719.6</v>
      </c>
      <c r="T2003">
        <v>43158.27</v>
      </c>
      <c r="U2003">
        <v>16355.27</v>
      </c>
      <c r="V2003">
        <v>4173.26</v>
      </c>
      <c r="W2003">
        <v>3701.58</v>
      </c>
      <c r="X2003">
        <v>45928.69</v>
      </c>
      <c r="Y2003">
        <v>44222.67</v>
      </c>
    </row>
    <row r="2004" spans="1:25" x14ac:dyDescent="0.25">
      <c r="A2004" t="s">
        <v>2060</v>
      </c>
      <c r="B2004" s="1">
        <v>45492</v>
      </c>
      <c r="C2004">
        <v>2024</v>
      </c>
      <c r="D2004">
        <v>7</v>
      </c>
      <c r="E2004" t="s">
        <v>690</v>
      </c>
      <c r="F2004" t="s">
        <v>691</v>
      </c>
      <c r="G2004" t="s">
        <v>44</v>
      </c>
      <c r="H2004" t="s">
        <v>32</v>
      </c>
      <c r="I2004" t="s">
        <v>39</v>
      </c>
      <c r="J2004">
        <v>68</v>
      </c>
      <c r="K2004">
        <v>821.05</v>
      </c>
      <c r="L2004">
        <v>55831.39</v>
      </c>
      <c r="M2004">
        <v>30107.56</v>
      </c>
      <c r="N2004">
        <v>3941.06</v>
      </c>
      <c r="O2004">
        <v>1559.83</v>
      </c>
      <c r="P2004">
        <v>1137.75</v>
      </c>
      <c r="Q2004">
        <v>436.02</v>
      </c>
      <c r="R2004">
        <v>2607.1999999999998</v>
      </c>
      <c r="S2004">
        <v>1315.86</v>
      </c>
      <c r="T2004">
        <v>41105.269999999997</v>
      </c>
      <c r="U2004">
        <v>25723.83</v>
      </c>
      <c r="V2004">
        <v>14726.12</v>
      </c>
      <c r="W2004">
        <v>13820.09</v>
      </c>
      <c r="X2004">
        <v>52015.99</v>
      </c>
      <c r="Y2004">
        <v>42698.49</v>
      </c>
    </row>
    <row r="2005" spans="1:25" x14ac:dyDescent="0.25">
      <c r="A2005" t="s">
        <v>2061</v>
      </c>
      <c r="B2005" s="1">
        <v>45492</v>
      </c>
      <c r="C2005">
        <v>2024</v>
      </c>
      <c r="D2005">
        <v>7</v>
      </c>
      <c r="E2005" t="s">
        <v>690</v>
      </c>
      <c r="F2005" t="s">
        <v>691</v>
      </c>
      <c r="G2005" t="s">
        <v>28</v>
      </c>
      <c r="H2005" t="s">
        <v>32</v>
      </c>
      <c r="I2005" t="s">
        <v>45</v>
      </c>
      <c r="J2005">
        <v>53</v>
      </c>
      <c r="K2005">
        <v>1135.7</v>
      </c>
      <c r="L2005">
        <v>60192.08</v>
      </c>
      <c r="M2005">
        <v>39062.83</v>
      </c>
      <c r="N2005">
        <v>4457.68</v>
      </c>
      <c r="O2005">
        <v>2969.59</v>
      </c>
      <c r="P2005">
        <v>1805.81</v>
      </c>
      <c r="Q2005">
        <v>711.18</v>
      </c>
      <c r="R2005">
        <v>1536.58</v>
      </c>
      <c r="S2005">
        <v>612.28</v>
      </c>
      <c r="T2005">
        <v>51155.95</v>
      </c>
      <c r="U2005">
        <v>21129.25</v>
      </c>
      <c r="V2005">
        <v>9036.1299999999992</v>
      </c>
      <c r="W2005">
        <v>9164.43</v>
      </c>
      <c r="X2005">
        <v>59471.96</v>
      </c>
      <c r="Y2005">
        <v>51420.46</v>
      </c>
    </row>
    <row r="2006" spans="1:25" x14ac:dyDescent="0.25">
      <c r="A2006" t="s">
        <v>2062</v>
      </c>
      <c r="B2006" s="1">
        <v>45492</v>
      </c>
      <c r="C2006">
        <v>2024</v>
      </c>
      <c r="D2006">
        <v>7</v>
      </c>
      <c r="E2006" t="s">
        <v>690</v>
      </c>
      <c r="F2006" t="s">
        <v>691</v>
      </c>
      <c r="G2006" t="s">
        <v>35</v>
      </c>
      <c r="H2006" t="s">
        <v>32</v>
      </c>
      <c r="I2006" t="s">
        <v>45</v>
      </c>
      <c r="J2006">
        <v>27</v>
      </c>
      <c r="K2006">
        <v>1714.9</v>
      </c>
      <c r="L2006">
        <v>46302.239999999998</v>
      </c>
      <c r="M2006">
        <v>24393.48</v>
      </c>
      <c r="N2006">
        <v>5112.3</v>
      </c>
      <c r="O2006">
        <v>3037.99</v>
      </c>
      <c r="P2006">
        <v>1452.77</v>
      </c>
      <c r="Q2006">
        <v>688.83</v>
      </c>
      <c r="R2006">
        <v>2373.59</v>
      </c>
      <c r="S2006">
        <v>574.48</v>
      </c>
      <c r="T2006">
        <v>37633.43</v>
      </c>
      <c r="U2006">
        <v>21908.76</v>
      </c>
      <c r="V2006">
        <v>8668.81</v>
      </c>
      <c r="W2006">
        <v>8481.2900000000009</v>
      </c>
      <c r="X2006">
        <v>51774.91</v>
      </c>
      <c r="Y2006">
        <v>40942.39</v>
      </c>
    </row>
    <row r="2007" spans="1:25" x14ac:dyDescent="0.25">
      <c r="A2007" t="s">
        <v>2063</v>
      </c>
      <c r="B2007" s="1">
        <v>45493</v>
      </c>
      <c r="C2007">
        <v>2024</v>
      </c>
      <c r="D2007">
        <v>7</v>
      </c>
      <c r="E2007" t="s">
        <v>690</v>
      </c>
      <c r="F2007" t="s">
        <v>691</v>
      </c>
      <c r="G2007" t="s">
        <v>44</v>
      </c>
      <c r="H2007" t="s">
        <v>29</v>
      </c>
      <c r="I2007" t="s">
        <v>65</v>
      </c>
      <c r="J2007">
        <v>35</v>
      </c>
      <c r="K2007">
        <v>1451.36</v>
      </c>
      <c r="L2007">
        <v>50797.5</v>
      </c>
      <c r="M2007">
        <v>33742.49</v>
      </c>
      <c r="N2007">
        <v>4595.13</v>
      </c>
      <c r="O2007">
        <v>2934.53</v>
      </c>
      <c r="P2007">
        <v>1630.1</v>
      </c>
      <c r="Q2007">
        <v>379.06</v>
      </c>
      <c r="R2007">
        <v>2835.7</v>
      </c>
      <c r="S2007">
        <v>978.22</v>
      </c>
      <c r="T2007">
        <v>47095.23</v>
      </c>
      <c r="U2007">
        <v>17055.009999999998</v>
      </c>
      <c r="V2007">
        <v>3702.27</v>
      </c>
      <c r="W2007">
        <v>3708.88</v>
      </c>
      <c r="X2007">
        <v>55490.76</v>
      </c>
      <c r="Y2007">
        <v>49369.96</v>
      </c>
    </row>
    <row r="2008" spans="1:25" x14ac:dyDescent="0.25">
      <c r="A2008" t="s">
        <v>2064</v>
      </c>
      <c r="B2008" s="1">
        <v>45493</v>
      </c>
      <c r="C2008">
        <v>2024</v>
      </c>
      <c r="D2008">
        <v>7</v>
      </c>
      <c r="E2008" t="s">
        <v>690</v>
      </c>
      <c r="F2008" t="s">
        <v>691</v>
      </c>
      <c r="G2008" t="s">
        <v>28</v>
      </c>
      <c r="H2008" t="s">
        <v>32</v>
      </c>
      <c r="I2008" t="s">
        <v>30</v>
      </c>
      <c r="J2008">
        <v>133</v>
      </c>
      <c r="K2008">
        <v>1017.31</v>
      </c>
      <c r="L2008">
        <v>135301.99</v>
      </c>
      <c r="M2008">
        <v>77732.100000000006</v>
      </c>
      <c r="N2008">
        <v>11699.53</v>
      </c>
      <c r="O2008">
        <v>9482.7000000000007</v>
      </c>
      <c r="P2008">
        <v>2550.2800000000002</v>
      </c>
      <c r="Q2008">
        <v>2387.27</v>
      </c>
      <c r="R2008">
        <v>5541.26</v>
      </c>
      <c r="S2008">
        <v>3199.26</v>
      </c>
      <c r="T2008">
        <v>112592.42</v>
      </c>
      <c r="U2008">
        <v>57569.88</v>
      </c>
      <c r="V2008">
        <v>22709.57</v>
      </c>
      <c r="W2008">
        <v>21987.07</v>
      </c>
      <c r="X2008">
        <v>130713.04</v>
      </c>
      <c r="Y2008">
        <v>106586.52</v>
      </c>
    </row>
    <row r="2009" spans="1:25" x14ac:dyDescent="0.25">
      <c r="A2009" t="s">
        <v>2065</v>
      </c>
      <c r="B2009" s="1">
        <v>45493</v>
      </c>
      <c r="C2009">
        <v>2024</v>
      </c>
      <c r="D2009">
        <v>7</v>
      </c>
      <c r="E2009" t="s">
        <v>690</v>
      </c>
      <c r="F2009" t="s">
        <v>691</v>
      </c>
      <c r="G2009" t="s">
        <v>28</v>
      </c>
      <c r="H2009" t="s">
        <v>53</v>
      </c>
      <c r="I2009" t="s">
        <v>56</v>
      </c>
      <c r="J2009">
        <v>25</v>
      </c>
      <c r="K2009">
        <v>1040.1400000000001</v>
      </c>
      <c r="L2009">
        <v>26003.62</v>
      </c>
      <c r="M2009">
        <v>14794.12</v>
      </c>
      <c r="N2009">
        <v>2064.1</v>
      </c>
      <c r="O2009">
        <v>1339.47</v>
      </c>
      <c r="P2009">
        <v>646.91999999999996</v>
      </c>
      <c r="Q2009">
        <v>376.31</v>
      </c>
      <c r="R2009">
        <v>1057.46</v>
      </c>
      <c r="S2009">
        <v>538.13</v>
      </c>
      <c r="T2009">
        <v>20816.509999999998</v>
      </c>
      <c r="U2009">
        <v>11209.51</v>
      </c>
      <c r="V2009">
        <v>5187.12</v>
      </c>
      <c r="W2009">
        <v>5206.6899999999996</v>
      </c>
      <c r="X2009">
        <v>27478.95</v>
      </c>
      <c r="Y2009">
        <v>22039.45</v>
      </c>
    </row>
    <row r="2010" spans="1:25" x14ac:dyDescent="0.25">
      <c r="A2010" t="s">
        <v>2066</v>
      </c>
      <c r="B2010" s="1">
        <v>45494</v>
      </c>
      <c r="C2010">
        <v>2024</v>
      </c>
      <c r="D2010">
        <v>7</v>
      </c>
      <c r="E2010" t="s">
        <v>690</v>
      </c>
      <c r="F2010" t="s">
        <v>691</v>
      </c>
      <c r="G2010" t="s">
        <v>35</v>
      </c>
      <c r="H2010" t="s">
        <v>32</v>
      </c>
      <c r="I2010" t="s">
        <v>39</v>
      </c>
      <c r="J2010">
        <v>43</v>
      </c>
      <c r="K2010">
        <v>1144.97</v>
      </c>
      <c r="L2010">
        <v>49233.8</v>
      </c>
      <c r="M2010">
        <v>25554.39</v>
      </c>
      <c r="N2010">
        <v>3794.56</v>
      </c>
      <c r="O2010">
        <v>1414.09</v>
      </c>
      <c r="P2010">
        <v>1933.27</v>
      </c>
      <c r="Q2010">
        <v>513.82000000000005</v>
      </c>
      <c r="R2010">
        <v>2927.43</v>
      </c>
      <c r="S2010">
        <v>733.54</v>
      </c>
      <c r="T2010">
        <v>36871.1</v>
      </c>
      <c r="U2010">
        <v>23679.41</v>
      </c>
      <c r="V2010">
        <v>12362.7</v>
      </c>
      <c r="W2010">
        <v>10929.59</v>
      </c>
      <c r="X2010">
        <v>46902.55</v>
      </c>
      <c r="Y2010">
        <v>35430.57</v>
      </c>
    </row>
    <row r="2011" spans="1:25" x14ac:dyDescent="0.25">
      <c r="A2011" t="s">
        <v>2067</v>
      </c>
      <c r="B2011" s="1">
        <v>45494</v>
      </c>
      <c r="C2011">
        <v>2024</v>
      </c>
      <c r="D2011">
        <v>7</v>
      </c>
      <c r="E2011" t="s">
        <v>690</v>
      </c>
      <c r="F2011" t="s">
        <v>691</v>
      </c>
      <c r="G2011" t="s">
        <v>35</v>
      </c>
      <c r="H2011" t="s">
        <v>32</v>
      </c>
      <c r="I2011" t="s">
        <v>39</v>
      </c>
      <c r="J2011">
        <v>30</v>
      </c>
      <c r="K2011">
        <v>1731.01</v>
      </c>
      <c r="L2011">
        <v>51930.19</v>
      </c>
      <c r="M2011">
        <v>27183.88</v>
      </c>
      <c r="N2011">
        <v>5552.68</v>
      </c>
      <c r="O2011">
        <v>2282.5500000000002</v>
      </c>
      <c r="P2011">
        <v>2292.6</v>
      </c>
      <c r="Q2011">
        <v>659.52</v>
      </c>
      <c r="R2011">
        <v>2554.16</v>
      </c>
      <c r="S2011">
        <v>855.23</v>
      </c>
      <c r="T2011">
        <v>41380.61</v>
      </c>
      <c r="U2011">
        <v>24746.3</v>
      </c>
      <c r="V2011">
        <v>10549.57</v>
      </c>
      <c r="W2011">
        <v>10462.9</v>
      </c>
      <c r="X2011">
        <v>56628.77</v>
      </c>
      <c r="Y2011">
        <v>43545.91</v>
      </c>
    </row>
    <row r="2012" spans="1:25" x14ac:dyDescent="0.25">
      <c r="A2012" t="s">
        <v>2068</v>
      </c>
      <c r="B2012" s="1">
        <v>45495</v>
      </c>
      <c r="C2012">
        <v>2024</v>
      </c>
      <c r="D2012">
        <v>7</v>
      </c>
      <c r="E2012" t="s">
        <v>690</v>
      </c>
      <c r="F2012" t="s">
        <v>691</v>
      </c>
      <c r="G2012" t="s">
        <v>35</v>
      </c>
      <c r="H2012" t="s">
        <v>36</v>
      </c>
      <c r="I2012" t="s">
        <v>33</v>
      </c>
      <c r="J2012">
        <v>45</v>
      </c>
      <c r="K2012">
        <v>1689.12</v>
      </c>
      <c r="L2012">
        <v>76010.41</v>
      </c>
      <c r="M2012">
        <v>43001.42</v>
      </c>
      <c r="N2012">
        <v>6985.42</v>
      </c>
      <c r="O2012">
        <v>2633.61</v>
      </c>
      <c r="P2012">
        <v>2288.46</v>
      </c>
      <c r="Q2012">
        <v>399.78</v>
      </c>
      <c r="R2012">
        <v>3582.62</v>
      </c>
      <c r="S2012">
        <v>1412.13</v>
      </c>
      <c r="T2012">
        <v>60303.46</v>
      </c>
      <c r="U2012">
        <v>33008.99</v>
      </c>
      <c r="V2012">
        <v>15706.95</v>
      </c>
      <c r="W2012">
        <v>14309.63</v>
      </c>
      <c r="X2012">
        <v>83420.710000000006</v>
      </c>
      <c r="Y2012">
        <v>63968.959999999999</v>
      </c>
    </row>
    <row r="2013" spans="1:25" x14ac:dyDescent="0.25">
      <c r="A2013" t="s">
        <v>2069</v>
      </c>
      <c r="B2013" s="1">
        <v>45495</v>
      </c>
      <c r="C2013">
        <v>2024</v>
      </c>
      <c r="D2013">
        <v>7</v>
      </c>
      <c r="E2013" t="s">
        <v>690</v>
      </c>
      <c r="F2013" t="s">
        <v>691</v>
      </c>
      <c r="G2013" t="s">
        <v>28</v>
      </c>
      <c r="H2013" t="s">
        <v>32</v>
      </c>
      <c r="I2013" t="s">
        <v>37</v>
      </c>
      <c r="J2013">
        <v>78</v>
      </c>
      <c r="K2013">
        <v>1165.51</v>
      </c>
      <c r="L2013">
        <v>90909.440000000002</v>
      </c>
      <c r="M2013">
        <v>45560.73</v>
      </c>
      <c r="N2013">
        <v>7598.52</v>
      </c>
      <c r="O2013">
        <v>2688.32</v>
      </c>
      <c r="P2013">
        <v>3570.6</v>
      </c>
      <c r="Q2013">
        <v>1024.33</v>
      </c>
      <c r="R2013">
        <v>2840.34</v>
      </c>
      <c r="S2013">
        <v>1273.49</v>
      </c>
      <c r="T2013">
        <v>64556.34</v>
      </c>
      <c r="U2013">
        <v>45348.71</v>
      </c>
      <c r="V2013">
        <v>26353.11</v>
      </c>
      <c r="W2013">
        <v>26054.12</v>
      </c>
      <c r="X2013">
        <v>88220.21</v>
      </c>
      <c r="Y2013">
        <v>65323.53</v>
      </c>
    </row>
    <row r="2014" spans="1:25" x14ac:dyDescent="0.25">
      <c r="A2014" t="s">
        <v>2070</v>
      </c>
      <c r="B2014" s="1">
        <v>45495</v>
      </c>
      <c r="C2014">
        <v>2024</v>
      </c>
      <c r="D2014">
        <v>7</v>
      </c>
      <c r="E2014" t="s">
        <v>690</v>
      </c>
      <c r="F2014" t="s">
        <v>691</v>
      </c>
      <c r="G2014" t="s">
        <v>28</v>
      </c>
      <c r="H2014" t="s">
        <v>53</v>
      </c>
      <c r="I2014" t="s">
        <v>37</v>
      </c>
      <c r="J2014">
        <v>76</v>
      </c>
      <c r="K2014">
        <v>889.6</v>
      </c>
      <c r="L2014">
        <v>67609.45</v>
      </c>
      <c r="M2014">
        <v>45207.29</v>
      </c>
      <c r="N2014">
        <v>6088.04</v>
      </c>
      <c r="O2014">
        <v>4650.95</v>
      </c>
      <c r="P2014">
        <v>2241.34</v>
      </c>
      <c r="Q2014">
        <v>1078.21</v>
      </c>
      <c r="R2014">
        <v>3083.03</v>
      </c>
      <c r="S2014">
        <v>859.52</v>
      </c>
      <c r="T2014">
        <v>63208.38</v>
      </c>
      <c r="U2014">
        <v>22402.16</v>
      </c>
      <c r="V2014">
        <v>4401.07</v>
      </c>
      <c r="W2014">
        <v>4204.9399999999996</v>
      </c>
      <c r="X2014">
        <v>69728.679999999993</v>
      </c>
      <c r="Y2014">
        <v>64799.86</v>
      </c>
    </row>
    <row r="2015" spans="1:25" x14ac:dyDescent="0.25">
      <c r="A2015" t="s">
        <v>2071</v>
      </c>
      <c r="B2015" s="1">
        <v>45496</v>
      </c>
      <c r="C2015">
        <v>2024</v>
      </c>
      <c r="D2015">
        <v>7</v>
      </c>
      <c r="E2015" t="s">
        <v>690</v>
      </c>
      <c r="F2015" t="s">
        <v>691</v>
      </c>
      <c r="G2015" t="s">
        <v>35</v>
      </c>
      <c r="H2015" t="s">
        <v>53</v>
      </c>
      <c r="I2015" t="s">
        <v>33</v>
      </c>
      <c r="J2015">
        <v>44</v>
      </c>
      <c r="K2015">
        <v>1537.98</v>
      </c>
      <c r="L2015">
        <v>67671.19</v>
      </c>
      <c r="M2015">
        <v>33735.769999999997</v>
      </c>
      <c r="N2015">
        <v>7065.86</v>
      </c>
      <c r="O2015">
        <v>2436.85</v>
      </c>
      <c r="P2015">
        <v>1159.08</v>
      </c>
      <c r="Q2015">
        <v>946.61</v>
      </c>
      <c r="R2015">
        <v>3572.79</v>
      </c>
      <c r="S2015">
        <v>1631.04</v>
      </c>
      <c r="T2015">
        <v>50548</v>
      </c>
      <c r="U2015">
        <v>33935.410000000003</v>
      </c>
      <c r="V2015">
        <v>17123.189999999999</v>
      </c>
      <c r="W2015">
        <v>16060.47</v>
      </c>
      <c r="X2015">
        <v>74571.86</v>
      </c>
      <c r="Y2015">
        <v>54306.04</v>
      </c>
    </row>
    <row r="2016" spans="1:25" x14ac:dyDescent="0.25">
      <c r="A2016" t="s">
        <v>2072</v>
      </c>
      <c r="B2016" s="1">
        <v>45496</v>
      </c>
      <c r="C2016">
        <v>2024</v>
      </c>
      <c r="D2016">
        <v>7</v>
      </c>
      <c r="E2016" t="s">
        <v>690</v>
      </c>
      <c r="F2016" t="s">
        <v>691</v>
      </c>
      <c r="G2016" t="s">
        <v>44</v>
      </c>
      <c r="H2016" t="s">
        <v>36</v>
      </c>
      <c r="I2016" t="s">
        <v>37</v>
      </c>
      <c r="J2016">
        <v>36</v>
      </c>
      <c r="K2016">
        <v>1431.29</v>
      </c>
      <c r="L2016">
        <v>51526.49</v>
      </c>
      <c r="M2016">
        <v>31889.5</v>
      </c>
      <c r="N2016">
        <v>5424.23</v>
      </c>
      <c r="O2016">
        <v>3743.48</v>
      </c>
      <c r="P2016">
        <v>1728.94</v>
      </c>
      <c r="Q2016">
        <v>870.2</v>
      </c>
      <c r="R2016">
        <v>1477.7</v>
      </c>
      <c r="S2016">
        <v>686.38</v>
      </c>
      <c r="T2016">
        <v>45820.43</v>
      </c>
      <c r="U2016">
        <v>19636.990000000002</v>
      </c>
      <c r="V2016">
        <v>5706.06</v>
      </c>
      <c r="W2016">
        <v>5676.07</v>
      </c>
      <c r="X2016">
        <v>51267.18</v>
      </c>
      <c r="Y2016">
        <v>49172.18</v>
      </c>
    </row>
    <row r="2017" spans="1:25" x14ac:dyDescent="0.25">
      <c r="A2017" t="s">
        <v>2073</v>
      </c>
      <c r="B2017" s="1">
        <v>45496</v>
      </c>
      <c r="C2017">
        <v>2024</v>
      </c>
      <c r="D2017">
        <v>7</v>
      </c>
      <c r="E2017" t="s">
        <v>690</v>
      </c>
      <c r="F2017" t="s">
        <v>691</v>
      </c>
      <c r="G2017" t="s">
        <v>55</v>
      </c>
      <c r="H2017" t="s">
        <v>29</v>
      </c>
      <c r="I2017" t="s">
        <v>50</v>
      </c>
      <c r="J2017">
        <v>39</v>
      </c>
      <c r="K2017">
        <v>1656.02</v>
      </c>
      <c r="L2017">
        <v>64584.97</v>
      </c>
      <c r="M2017">
        <v>40106.230000000003</v>
      </c>
      <c r="N2017">
        <v>5616.82</v>
      </c>
      <c r="O2017">
        <v>2135.02</v>
      </c>
      <c r="P2017">
        <v>1468.04</v>
      </c>
      <c r="Q2017">
        <v>1085.1500000000001</v>
      </c>
      <c r="R2017">
        <v>1784.15</v>
      </c>
      <c r="S2017">
        <v>844.55</v>
      </c>
      <c r="T2017">
        <v>53039.95</v>
      </c>
      <c r="U2017">
        <v>24478.74</v>
      </c>
      <c r="V2017">
        <v>11545.02</v>
      </c>
      <c r="W2017">
        <v>11651.64</v>
      </c>
      <c r="X2017">
        <v>60067.09</v>
      </c>
      <c r="Y2017">
        <v>55815.05</v>
      </c>
    </row>
    <row r="2018" spans="1:25" x14ac:dyDescent="0.25">
      <c r="A2018" t="s">
        <v>2074</v>
      </c>
      <c r="B2018" s="1">
        <v>45496</v>
      </c>
      <c r="C2018">
        <v>2024</v>
      </c>
      <c r="D2018">
        <v>7</v>
      </c>
      <c r="E2018" t="s">
        <v>690</v>
      </c>
      <c r="F2018" t="s">
        <v>691</v>
      </c>
      <c r="G2018" t="s">
        <v>28</v>
      </c>
      <c r="H2018" t="s">
        <v>53</v>
      </c>
      <c r="I2018" t="s">
        <v>56</v>
      </c>
      <c r="J2018">
        <v>20</v>
      </c>
      <c r="K2018">
        <v>1297.73</v>
      </c>
      <c r="L2018">
        <v>25954.52</v>
      </c>
      <c r="M2018">
        <v>14982.05</v>
      </c>
      <c r="N2018">
        <v>3111.87</v>
      </c>
      <c r="O2018">
        <v>1915.79</v>
      </c>
      <c r="P2018">
        <v>540.64</v>
      </c>
      <c r="Q2018">
        <v>365.6</v>
      </c>
      <c r="R2018">
        <v>661.78</v>
      </c>
      <c r="S2018">
        <v>258.42</v>
      </c>
      <c r="T2018">
        <v>21836.15</v>
      </c>
      <c r="U2018">
        <v>10972.47</v>
      </c>
      <c r="V2018">
        <v>4118.37</v>
      </c>
      <c r="W2018">
        <v>4134.21</v>
      </c>
      <c r="X2018">
        <v>24337.67</v>
      </c>
      <c r="Y2018">
        <v>21641.05</v>
      </c>
    </row>
    <row r="2019" spans="1:25" x14ac:dyDescent="0.25">
      <c r="A2019" t="s">
        <v>2075</v>
      </c>
      <c r="B2019" s="1">
        <v>45496</v>
      </c>
      <c r="C2019">
        <v>2024</v>
      </c>
      <c r="D2019">
        <v>7</v>
      </c>
      <c r="E2019" t="s">
        <v>690</v>
      </c>
      <c r="F2019" t="s">
        <v>691</v>
      </c>
      <c r="G2019" t="s">
        <v>44</v>
      </c>
      <c r="H2019" t="s">
        <v>32</v>
      </c>
      <c r="I2019" t="s">
        <v>50</v>
      </c>
      <c r="J2019">
        <v>57</v>
      </c>
      <c r="K2019">
        <v>1204.0899999999999</v>
      </c>
      <c r="L2019">
        <v>68633.23</v>
      </c>
      <c r="M2019">
        <v>41499.879999999997</v>
      </c>
      <c r="N2019">
        <v>5282.58</v>
      </c>
      <c r="O2019">
        <v>3375.23</v>
      </c>
      <c r="P2019">
        <v>2127.33</v>
      </c>
      <c r="Q2019">
        <v>415.39</v>
      </c>
      <c r="R2019">
        <v>3780.79</v>
      </c>
      <c r="S2019">
        <v>1703.06</v>
      </c>
      <c r="T2019">
        <v>58184.27</v>
      </c>
      <c r="U2019">
        <v>27133.35</v>
      </c>
      <c r="V2019">
        <v>10448.969999999999</v>
      </c>
      <c r="W2019">
        <v>10480.459999999999</v>
      </c>
      <c r="X2019">
        <v>70090.899999999994</v>
      </c>
      <c r="Y2019">
        <v>63334.15</v>
      </c>
    </row>
    <row r="2020" spans="1:25" x14ac:dyDescent="0.25">
      <c r="A2020" t="s">
        <v>2076</v>
      </c>
      <c r="B2020" s="1">
        <v>45497</v>
      </c>
      <c r="C2020">
        <v>2024</v>
      </c>
      <c r="D2020">
        <v>7</v>
      </c>
      <c r="E2020" t="s">
        <v>690</v>
      </c>
      <c r="F2020" t="s">
        <v>691</v>
      </c>
      <c r="G2020" t="s">
        <v>44</v>
      </c>
      <c r="H2020" t="s">
        <v>58</v>
      </c>
      <c r="I2020" t="s">
        <v>56</v>
      </c>
      <c r="J2020">
        <v>32</v>
      </c>
      <c r="K2020">
        <v>1098.6400000000001</v>
      </c>
      <c r="L2020">
        <v>35156.620000000003</v>
      </c>
      <c r="M2020">
        <v>21801.77</v>
      </c>
      <c r="N2020">
        <v>2800.45</v>
      </c>
      <c r="O2020">
        <v>1509.52</v>
      </c>
      <c r="P2020">
        <v>1061.0899999999999</v>
      </c>
      <c r="Q2020">
        <v>353.31</v>
      </c>
      <c r="R2020">
        <v>1127.72</v>
      </c>
      <c r="S2020">
        <v>688.28</v>
      </c>
      <c r="T2020">
        <v>29342.14</v>
      </c>
      <c r="U2020">
        <v>13354.84</v>
      </c>
      <c r="V2020">
        <v>5814.48</v>
      </c>
      <c r="W2020">
        <v>5190.2</v>
      </c>
      <c r="X2020">
        <v>38760.71</v>
      </c>
      <c r="Y2020">
        <v>27675.82</v>
      </c>
    </row>
    <row r="2021" spans="1:25" x14ac:dyDescent="0.25">
      <c r="A2021" t="s">
        <v>2077</v>
      </c>
      <c r="B2021" s="1">
        <v>45497</v>
      </c>
      <c r="C2021">
        <v>2024</v>
      </c>
      <c r="D2021">
        <v>7</v>
      </c>
      <c r="E2021" t="s">
        <v>690</v>
      </c>
      <c r="F2021" t="s">
        <v>691</v>
      </c>
      <c r="G2021" t="s">
        <v>55</v>
      </c>
      <c r="H2021" t="s">
        <v>58</v>
      </c>
      <c r="I2021" t="s">
        <v>50</v>
      </c>
      <c r="J2021">
        <v>60</v>
      </c>
      <c r="K2021">
        <v>915.67</v>
      </c>
      <c r="L2021">
        <v>54940.39</v>
      </c>
      <c r="M2021">
        <v>33933.94</v>
      </c>
      <c r="N2021">
        <v>6743.27</v>
      </c>
      <c r="O2021">
        <v>2184.06</v>
      </c>
      <c r="P2021">
        <v>1301.98</v>
      </c>
      <c r="Q2021">
        <v>913.77</v>
      </c>
      <c r="R2021">
        <v>3156.32</v>
      </c>
      <c r="S2021">
        <v>1162.72</v>
      </c>
      <c r="T2021">
        <v>49396.06</v>
      </c>
      <c r="U2021">
        <v>21006.46</v>
      </c>
      <c r="V2021">
        <v>5544.34</v>
      </c>
      <c r="W2021">
        <v>5403.01</v>
      </c>
      <c r="X2021">
        <v>55714.84</v>
      </c>
      <c r="Y2021">
        <v>53157.14</v>
      </c>
    </row>
    <row r="2022" spans="1:25" x14ac:dyDescent="0.25">
      <c r="A2022" t="s">
        <v>2078</v>
      </c>
      <c r="B2022" s="1">
        <v>45497</v>
      </c>
      <c r="C2022">
        <v>2024</v>
      </c>
      <c r="D2022">
        <v>7</v>
      </c>
      <c r="E2022" t="s">
        <v>690</v>
      </c>
      <c r="F2022" t="s">
        <v>691</v>
      </c>
      <c r="G2022" t="s">
        <v>44</v>
      </c>
      <c r="H2022" t="s">
        <v>32</v>
      </c>
      <c r="I2022" t="s">
        <v>33</v>
      </c>
      <c r="J2022">
        <v>43</v>
      </c>
      <c r="K2022">
        <v>1740.2</v>
      </c>
      <c r="L2022">
        <v>74828.429999999993</v>
      </c>
      <c r="M2022">
        <v>47224.72</v>
      </c>
      <c r="N2022">
        <v>7953.08</v>
      </c>
      <c r="O2022">
        <v>4934.3500000000004</v>
      </c>
      <c r="P2022">
        <v>3287.31</v>
      </c>
      <c r="Q2022">
        <v>889.83</v>
      </c>
      <c r="R2022">
        <v>4100.72</v>
      </c>
      <c r="S2022">
        <v>1818.1</v>
      </c>
      <c r="T2022">
        <v>70208.11</v>
      </c>
      <c r="U2022">
        <v>27603.71</v>
      </c>
      <c r="V2022">
        <v>4620.32</v>
      </c>
      <c r="W2022">
        <v>4553.1499999999996</v>
      </c>
      <c r="X2022">
        <v>69409.42</v>
      </c>
      <c r="Y2022">
        <v>71401.990000000005</v>
      </c>
    </row>
    <row r="2023" spans="1:25" x14ac:dyDescent="0.25">
      <c r="A2023" t="s">
        <v>2079</v>
      </c>
      <c r="B2023" s="1">
        <v>45497</v>
      </c>
      <c r="C2023">
        <v>2024</v>
      </c>
      <c r="D2023">
        <v>7</v>
      </c>
      <c r="E2023" t="s">
        <v>690</v>
      </c>
      <c r="F2023" t="s">
        <v>691</v>
      </c>
      <c r="G2023" t="s">
        <v>55</v>
      </c>
      <c r="H2023" t="s">
        <v>36</v>
      </c>
      <c r="I2023" t="s">
        <v>33</v>
      </c>
      <c r="J2023">
        <v>77</v>
      </c>
      <c r="K2023">
        <v>848.47</v>
      </c>
      <c r="L2023">
        <v>65332.03</v>
      </c>
      <c r="M2023">
        <v>38123.26</v>
      </c>
      <c r="N2023">
        <v>5308.39</v>
      </c>
      <c r="O2023">
        <v>4334.58</v>
      </c>
      <c r="P2023">
        <v>2787.9</v>
      </c>
      <c r="Q2023">
        <v>498.6</v>
      </c>
      <c r="R2023">
        <v>2622.78</v>
      </c>
      <c r="S2023">
        <v>625.57000000000005</v>
      </c>
      <c r="T2023">
        <v>54301.07</v>
      </c>
      <c r="U2023">
        <v>27208.77</v>
      </c>
      <c r="V2023">
        <v>11030.96</v>
      </c>
      <c r="W2023">
        <v>11239.6</v>
      </c>
      <c r="X2023">
        <v>66224.78</v>
      </c>
      <c r="Y2023">
        <v>52078.34</v>
      </c>
    </row>
    <row r="2024" spans="1:25" x14ac:dyDescent="0.25">
      <c r="A2024" t="s">
        <v>2080</v>
      </c>
      <c r="B2024" s="1">
        <v>45498</v>
      </c>
      <c r="C2024">
        <v>2024</v>
      </c>
      <c r="D2024">
        <v>7</v>
      </c>
      <c r="E2024" t="s">
        <v>690</v>
      </c>
      <c r="F2024" t="s">
        <v>691</v>
      </c>
      <c r="G2024" t="s">
        <v>44</v>
      </c>
      <c r="H2024" t="s">
        <v>36</v>
      </c>
      <c r="I2024" t="s">
        <v>39</v>
      </c>
      <c r="J2024">
        <v>38</v>
      </c>
      <c r="K2024">
        <v>1272.8900000000001</v>
      </c>
      <c r="L2024">
        <v>48369.81</v>
      </c>
      <c r="M2024">
        <v>29118.400000000001</v>
      </c>
      <c r="N2024">
        <v>4632.6499999999996</v>
      </c>
      <c r="O2024">
        <v>2274.06</v>
      </c>
      <c r="P2024">
        <v>857.6</v>
      </c>
      <c r="Q2024">
        <v>527.67999999999995</v>
      </c>
      <c r="R2024">
        <v>2455.36</v>
      </c>
      <c r="S2024">
        <v>1129.78</v>
      </c>
      <c r="T2024">
        <v>40995.519999999997</v>
      </c>
      <c r="U2024">
        <v>19251.41</v>
      </c>
      <c r="V2024">
        <v>7374.28</v>
      </c>
      <c r="W2024">
        <v>6902.81</v>
      </c>
      <c r="X2024">
        <v>47313.68</v>
      </c>
      <c r="Y2024">
        <v>44730.86</v>
      </c>
    </row>
    <row r="2025" spans="1:25" x14ac:dyDescent="0.25">
      <c r="A2025" t="s">
        <v>2081</v>
      </c>
      <c r="B2025" s="1">
        <v>45498</v>
      </c>
      <c r="C2025">
        <v>2024</v>
      </c>
      <c r="D2025">
        <v>7</v>
      </c>
      <c r="E2025" t="s">
        <v>690</v>
      </c>
      <c r="F2025" t="s">
        <v>691</v>
      </c>
      <c r="G2025" t="s">
        <v>44</v>
      </c>
      <c r="H2025" t="s">
        <v>36</v>
      </c>
      <c r="I2025" t="s">
        <v>33</v>
      </c>
      <c r="J2025">
        <v>41</v>
      </c>
      <c r="K2025">
        <v>1666.34</v>
      </c>
      <c r="L2025">
        <v>68320.039999999994</v>
      </c>
      <c r="M2025">
        <v>33086.79</v>
      </c>
      <c r="N2025">
        <v>6955.08</v>
      </c>
      <c r="O2025">
        <v>3569.63</v>
      </c>
      <c r="P2025">
        <v>2613.2800000000002</v>
      </c>
      <c r="Q2025">
        <v>365.9</v>
      </c>
      <c r="R2025">
        <v>2047.35</v>
      </c>
      <c r="S2025">
        <v>1612.57</v>
      </c>
      <c r="T2025">
        <v>50250.61</v>
      </c>
      <c r="U2025">
        <v>35233.25</v>
      </c>
      <c r="V2025">
        <v>18069.43</v>
      </c>
      <c r="W2025">
        <v>17143.36</v>
      </c>
      <c r="X2025">
        <v>73458.17</v>
      </c>
      <c r="Y2025">
        <v>49857.57</v>
      </c>
    </row>
    <row r="2026" spans="1:25" x14ac:dyDescent="0.25">
      <c r="A2026" t="s">
        <v>2082</v>
      </c>
      <c r="B2026" s="1">
        <v>45499</v>
      </c>
      <c r="C2026">
        <v>2024</v>
      </c>
      <c r="D2026">
        <v>7</v>
      </c>
      <c r="E2026" t="s">
        <v>690</v>
      </c>
      <c r="F2026" t="s">
        <v>691</v>
      </c>
      <c r="G2026" t="s">
        <v>28</v>
      </c>
      <c r="H2026" t="s">
        <v>36</v>
      </c>
      <c r="I2026" t="s">
        <v>33</v>
      </c>
      <c r="J2026">
        <v>39</v>
      </c>
      <c r="K2026">
        <v>1630.42</v>
      </c>
      <c r="L2026">
        <v>63586.46</v>
      </c>
      <c r="M2026">
        <v>43185.14</v>
      </c>
      <c r="N2026">
        <v>7064.92</v>
      </c>
      <c r="O2026">
        <v>2102.54</v>
      </c>
      <c r="P2026">
        <v>2656.25</v>
      </c>
      <c r="Q2026">
        <v>658.23</v>
      </c>
      <c r="R2026">
        <v>2137.92</v>
      </c>
      <c r="S2026">
        <v>1276.02</v>
      </c>
      <c r="T2026">
        <v>59081.02</v>
      </c>
      <c r="U2026">
        <v>20401.32</v>
      </c>
      <c r="V2026">
        <v>4505.4399999999996</v>
      </c>
      <c r="W2026">
        <v>4413.87</v>
      </c>
      <c r="X2026">
        <v>68384.210000000006</v>
      </c>
      <c r="Y2026">
        <v>63585.73</v>
      </c>
    </row>
    <row r="2027" spans="1:25" x14ac:dyDescent="0.25">
      <c r="A2027" t="s">
        <v>2083</v>
      </c>
      <c r="B2027" s="1">
        <v>45499</v>
      </c>
      <c r="C2027">
        <v>2024</v>
      </c>
      <c r="D2027">
        <v>7</v>
      </c>
      <c r="E2027" t="s">
        <v>690</v>
      </c>
      <c r="F2027" t="s">
        <v>691</v>
      </c>
      <c r="G2027" t="s">
        <v>44</v>
      </c>
      <c r="H2027" t="s">
        <v>53</v>
      </c>
      <c r="I2027" t="s">
        <v>56</v>
      </c>
      <c r="J2027">
        <v>23</v>
      </c>
      <c r="K2027">
        <v>1290.17</v>
      </c>
      <c r="L2027">
        <v>29673.919999999998</v>
      </c>
      <c r="M2027">
        <v>18093.32</v>
      </c>
      <c r="N2027">
        <v>3141.71</v>
      </c>
      <c r="O2027">
        <v>1345.91</v>
      </c>
      <c r="P2027">
        <v>909.13</v>
      </c>
      <c r="Q2027">
        <v>416.03</v>
      </c>
      <c r="R2027">
        <v>889.62</v>
      </c>
      <c r="S2027">
        <v>652.13</v>
      </c>
      <c r="T2027">
        <v>25447.85</v>
      </c>
      <c r="U2027">
        <v>11580.61</v>
      </c>
      <c r="V2027">
        <v>4226.07</v>
      </c>
      <c r="W2027">
        <v>3951.86</v>
      </c>
      <c r="X2027">
        <v>29755.01</v>
      </c>
      <c r="Y2027">
        <v>26945.08</v>
      </c>
    </row>
    <row r="2028" spans="1:25" x14ac:dyDescent="0.25">
      <c r="A2028" t="s">
        <v>2084</v>
      </c>
      <c r="B2028" s="1">
        <v>45499</v>
      </c>
      <c r="C2028">
        <v>2024</v>
      </c>
      <c r="D2028">
        <v>7</v>
      </c>
      <c r="E2028" t="s">
        <v>690</v>
      </c>
      <c r="F2028" t="s">
        <v>691</v>
      </c>
      <c r="G2028" t="s">
        <v>28</v>
      </c>
      <c r="H2028" t="s">
        <v>29</v>
      </c>
      <c r="I2028" t="s">
        <v>39</v>
      </c>
      <c r="J2028">
        <v>42</v>
      </c>
      <c r="K2028">
        <v>848.6</v>
      </c>
      <c r="L2028">
        <v>35641.379999999997</v>
      </c>
      <c r="M2028">
        <v>19528.07</v>
      </c>
      <c r="N2028">
        <v>4119.55</v>
      </c>
      <c r="O2028">
        <v>2548.25</v>
      </c>
      <c r="P2028">
        <v>1350.35</v>
      </c>
      <c r="Q2028">
        <v>346.81</v>
      </c>
      <c r="R2028">
        <v>2193.31</v>
      </c>
      <c r="S2028">
        <v>437.92</v>
      </c>
      <c r="T2028">
        <v>30524.25</v>
      </c>
      <c r="U2028">
        <v>16113.31</v>
      </c>
      <c r="V2028">
        <v>5117.13</v>
      </c>
      <c r="W2028">
        <v>4737.3999999999996</v>
      </c>
      <c r="X2028">
        <v>34932.199999999997</v>
      </c>
      <c r="Y2028">
        <v>29906.33</v>
      </c>
    </row>
    <row r="2029" spans="1:25" x14ac:dyDescent="0.25">
      <c r="A2029" t="s">
        <v>2085</v>
      </c>
      <c r="B2029" s="1">
        <v>45499</v>
      </c>
      <c r="C2029">
        <v>2024</v>
      </c>
      <c r="D2029">
        <v>7</v>
      </c>
      <c r="E2029" t="s">
        <v>690</v>
      </c>
      <c r="F2029" t="s">
        <v>691</v>
      </c>
      <c r="G2029" t="s">
        <v>28</v>
      </c>
      <c r="H2029" t="s">
        <v>29</v>
      </c>
      <c r="I2029" t="s">
        <v>45</v>
      </c>
      <c r="J2029">
        <v>40</v>
      </c>
      <c r="K2029">
        <v>1214.4100000000001</v>
      </c>
      <c r="L2029">
        <v>48576.6</v>
      </c>
      <c r="M2029">
        <v>30192.91</v>
      </c>
      <c r="N2029">
        <v>3577.16</v>
      </c>
      <c r="O2029">
        <v>3157.78</v>
      </c>
      <c r="P2029">
        <v>1528.58</v>
      </c>
      <c r="Q2029">
        <v>580.89</v>
      </c>
      <c r="R2029">
        <v>2515.4899999999998</v>
      </c>
      <c r="S2029">
        <v>972.01</v>
      </c>
      <c r="T2029">
        <v>42524.82</v>
      </c>
      <c r="U2029">
        <v>18383.68</v>
      </c>
      <c r="V2029">
        <v>6051.78</v>
      </c>
      <c r="W2029">
        <v>5409.09</v>
      </c>
      <c r="X2029">
        <v>46918.68</v>
      </c>
      <c r="Y2029">
        <v>39601.019999999997</v>
      </c>
    </row>
    <row r="2030" spans="1:25" x14ac:dyDescent="0.25">
      <c r="A2030" t="s">
        <v>2086</v>
      </c>
      <c r="B2030" s="1">
        <v>45500</v>
      </c>
      <c r="C2030">
        <v>2024</v>
      </c>
      <c r="D2030">
        <v>7</v>
      </c>
      <c r="E2030" t="s">
        <v>690</v>
      </c>
      <c r="F2030" t="s">
        <v>691</v>
      </c>
      <c r="G2030" t="s">
        <v>35</v>
      </c>
      <c r="H2030" t="s">
        <v>32</v>
      </c>
      <c r="I2030" t="s">
        <v>50</v>
      </c>
      <c r="J2030">
        <v>45</v>
      </c>
      <c r="K2030">
        <v>1254.8399999999999</v>
      </c>
      <c r="L2030">
        <v>56467.88</v>
      </c>
      <c r="M2030">
        <v>28102.47</v>
      </c>
      <c r="N2030">
        <v>5329.73</v>
      </c>
      <c r="O2030">
        <v>4106.9799999999996</v>
      </c>
      <c r="P2030">
        <v>1645.08</v>
      </c>
      <c r="Q2030">
        <v>771.65</v>
      </c>
      <c r="R2030">
        <v>2851.07</v>
      </c>
      <c r="S2030">
        <v>951.88</v>
      </c>
      <c r="T2030">
        <v>43758.86</v>
      </c>
      <c r="U2030">
        <v>28365.4</v>
      </c>
      <c r="V2030">
        <v>12709.01</v>
      </c>
      <c r="W2030">
        <v>11776.7</v>
      </c>
      <c r="X2030">
        <v>53284.959999999999</v>
      </c>
      <c r="Y2030">
        <v>45687.6</v>
      </c>
    </row>
    <row r="2031" spans="1:25" x14ac:dyDescent="0.25">
      <c r="A2031" t="s">
        <v>2087</v>
      </c>
      <c r="B2031" s="1">
        <v>45500</v>
      </c>
      <c r="C2031">
        <v>2024</v>
      </c>
      <c r="D2031">
        <v>7</v>
      </c>
      <c r="E2031" t="s">
        <v>690</v>
      </c>
      <c r="F2031" t="s">
        <v>691</v>
      </c>
      <c r="G2031" t="s">
        <v>55</v>
      </c>
      <c r="H2031" t="s">
        <v>36</v>
      </c>
      <c r="I2031" t="s">
        <v>39</v>
      </c>
      <c r="J2031">
        <v>36</v>
      </c>
      <c r="K2031">
        <v>1422.46</v>
      </c>
      <c r="L2031">
        <v>51208.480000000003</v>
      </c>
      <c r="M2031">
        <v>31554.43</v>
      </c>
      <c r="N2031">
        <v>4768.54</v>
      </c>
      <c r="O2031">
        <v>1923.1</v>
      </c>
      <c r="P2031">
        <v>1499.63</v>
      </c>
      <c r="Q2031">
        <v>538.11</v>
      </c>
      <c r="R2031">
        <v>2537.88</v>
      </c>
      <c r="S2031">
        <v>567.30999999999995</v>
      </c>
      <c r="T2031">
        <v>43389</v>
      </c>
      <c r="U2031">
        <v>19654.04</v>
      </c>
      <c r="V2031">
        <v>7819.48</v>
      </c>
      <c r="W2031">
        <v>7896.31</v>
      </c>
      <c r="X2031">
        <v>47295.81</v>
      </c>
      <c r="Y2031">
        <v>46163.68</v>
      </c>
    </row>
    <row r="2032" spans="1:25" x14ac:dyDescent="0.25">
      <c r="A2032" t="s">
        <v>2088</v>
      </c>
      <c r="B2032" s="1">
        <v>45500</v>
      </c>
      <c r="C2032">
        <v>2024</v>
      </c>
      <c r="D2032">
        <v>7</v>
      </c>
      <c r="E2032" t="s">
        <v>690</v>
      </c>
      <c r="F2032" t="s">
        <v>691</v>
      </c>
      <c r="G2032" t="s">
        <v>35</v>
      </c>
      <c r="H2032" t="s">
        <v>32</v>
      </c>
      <c r="I2032" t="s">
        <v>56</v>
      </c>
      <c r="J2032">
        <v>18</v>
      </c>
      <c r="K2032">
        <v>1713.89</v>
      </c>
      <c r="L2032">
        <v>30849.96</v>
      </c>
      <c r="M2032">
        <v>14828.16</v>
      </c>
      <c r="N2032">
        <v>3191.35</v>
      </c>
      <c r="O2032">
        <v>812.21</v>
      </c>
      <c r="P2032">
        <v>1140.1300000000001</v>
      </c>
      <c r="Q2032">
        <v>501.61</v>
      </c>
      <c r="R2032">
        <v>783.42</v>
      </c>
      <c r="S2032">
        <v>757.19</v>
      </c>
      <c r="T2032">
        <v>22014.080000000002</v>
      </c>
      <c r="U2032">
        <v>16021.8</v>
      </c>
      <c r="V2032">
        <v>8835.8799999999992</v>
      </c>
      <c r="W2032">
        <v>8958.76</v>
      </c>
      <c r="X2032">
        <v>30355.32</v>
      </c>
      <c r="Y2032">
        <v>24133.89</v>
      </c>
    </row>
    <row r="2033" spans="1:25" x14ac:dyDescent="0.25">
      <c r="A2033" t="s">
        <v>2089</v>
      </c>
      <c r="B2033" s="1">
        <v>45500</v>
      </c>
      <c r="C2033">
        <v>2024</v>
      </c>
      <c r="D2033">
        <v>7</v>
      </c>
      <c r="E2033" t="s">
        <v>690</v>
      </c>
      <c r="F2033" t="s">
        <v>691</v>
      </c>
      <c r="G2033" t="s">
        <v>55</v>
      </c>
      <c r="H2033" t="s">
        <v>58</v>
      </c>
      <c r="I2033" t="s">
        <v>45</v>
      </c>
      <c r="J2033">
        <v>31</v>
      </c>
      <c r="K2033">
        <v>1710.02</v>
      </c>
      <c r="L2033">
        <v>53010.7</v>
      </c>
      <c r="M2033">
        <v>26865.73</v>
      </c>
      <c r="N2033">
        <v>3997.81</v>
      </c>
      <c r="O2033">
        <v>3893.4</v>
      </c>
      <c r="P2033">
        <v>1695.23</v>
      </c>
      <c r="Q2033">
        <v>549.37</v>
      </c>
      <c r="R2033">
        <v>2195.31</v>
      </c>
      <c r="S2033">
        <v>514.14</v>
      </c>
      <c r="T2033">
        <v>39710.99</v>
      </c>
      <c r="U2033">
        <v>26144.98</v>
      </c>
      <c r="V2033">
        <v>13299.71</v>
      </c>
      <c r="W2033">
        <v>12387.35</v>
      </c>
      <c r="X2033">
        <v>50085.38</v>
      </c>
      <c r="Y2033">
        <v>39438.36</v>
      </c>
    </row>
    <row r="2034" spans="1:25" x14ac:dyDescent="0.25">
      <c r="A2034" t="s">
        <v>2090</v>
      </c>
      <c r="B2034" s="1">
        <v>45501</v>
      </c>
      <c r="C2034">
        <v>2024</v>
      </c>
      <c r="D2034">
        <v>7</v>
      </c>
      <c r="E2034" t="s">
        <v>690</v>
      </c>
      <c r="F2034" t="s">
        <v>691</v>
      </c>
      <c r="G2034" t="s">
        <v>44</v>
      </c>
      <c r="H2034" t="s">
        <v>29</v>
      </c>
      <c r="I2034" t="s">
        <v>33</v>
      </c>
      <c r="J2034">
        <v>87</v>
      </c>
      <c r="K2034">
        <v>887.23</v>
      </c>
      <c r="L2034">
        <v>77188.63</v>
      </c>
      <c r="M2034">
        <v>46388.49</v>
      </c>
      <c r="N2034">
        <v>8498.8799999999992</v>
      </c>
      <c r="O2034">
        <v>3105.42</v>
      </c>
      <c r="P2034">
        <v>2188.8200000000002</v>
      </c>
      <c r="Q2034">
        <v>1258.8499999999999</v>
      </c>
      <c r="R2034">
        <v>1943.45</v>
      </c>
      <c r="S2034">
        <v>1065.04</v>
      </c>
      <c r="T2034">
        <v>64448.95</v>
      </c>
      <c r="U2034">
        <v>30800.14</v>
      </c>
      <c r="V2034">
        <v>12739.68</v>
      </c>
      <c r="W2034">
        <v>12189.72</v>
      </c>
      <c r="X2034">
        <v>72409.149999999994</v>
      </c>
      <c r="Y2034">
        <v>63731.78</v>
      </c>
    </row>
    <row r="2035" spans="1:25" x14ac:dyDescent="0.25">
      <c r="A2035" t="s">
        <v>2091</v>
      </c>
      <c r="B2035" s="1">
        <v>45501</v>
      </c>
      <c r="C2035">
        <v>2024</v>
      </c>
      <c r="D2035">
        <v>7</v>
      </c>
      <c r="E2035" t="s">
        <v>690</v>
      </c>
      <c r="F2035" t="s">
        <v>691</v>
      </c>
      <c r="G2035" t="s">
        <v>35</v>
      </c>
      <c r="H2035" t="s">
        <v>32</v>
      </c>
      <c r="I2035" t="s">
        <v>56</v>
      </c>
      <c r="J2035">
        <v>19</v>
      </c>
      <c r="K2035">
        <v>1625.26</v>
      </c>
      <c r="L2035">
        <v>30879.89</v>
      </c>
      <c r="M2035">
        <v>15497.66</v>
      </c>
      <c r="N2035">
        <v>3091.26</v>
      </c>
      <c r="O2035">
        <v>1060.8</v>
      </c>
      <c r="P2035">
        <v>770.65</v>
      </c>
      <c r="Q2035">
        <v>346.11</v>
      </c>
      <c r="R2035">
        <v>1656.43</v>
      </c>
      <c r="S2035">
        <v>262.86</v>
      </c>
      <c r="T2035">
        <v>22685.78</v>
      </c>
      <c r="U2035">
        <v>15382.23</v>
      </c>
      <c r="V2035">
        <v>8194.11</v>
      </c>
      <c r="W2035">
        <v>7589.19</v>
      </c>
      <c r="X2035">
        <v>30113.59</v>
      </c>
      <c r="Y2035">
        <v>21272.68</v>
      </c>
    </row>
    <row r="2036" spans="1:25" x14ac:dyDescent="0.25">
      <c r="A2036" t="s">
        <v>2092</v>
      </c>
      <c r="B2036" s="1">
        <v>45501</v>
      </c>
      <c r="C2036">
        <v>2024</v>
      </c>
      <c r="D2036">
        <v>7</v>
      </c>
      <c r="E2036" t="s">
        <v>690</v>
      </c>
      <c r="F2036" t="s">
        <v>691</v>
      </c>
      <c r="G2036" t="s">
        <v>35</v>
      </c>
      <c r="H2036" t="s">
        <v>53</v>
      </c>
      <c r="I2036" t="s">
        <v>39</v>
      </c>
      <c r="J2036">
        <v>19</v>
      </c>
      <c r="K2036">
        <v>1517.55</v>
      </c>
      <c r="L2036">
        <v>28833.4</v>
      </c>
      <c r="M2036">
        <v>14789.72</v>
      </c>
      <c r="N2036">
        <v>2188.56</v>
      </c>
      <c r="O2036">
        <v>1940.28</v>
      </c>
      <c r="P2036">
        <v>720.51</v>
      </c>
      <c r="Q2036">
        <v>203.61</v>
      </c>
      <c r="R2036">
        <v>1545.12</v>
      </c>
      <c r="S2036">
        <v>275.85000000000002</v>
      </c>
      <c r="T2036">
        <v>21663.65</v>
      </c>
      <c r="U2036">
        <v>14043.68</v>
      </c>
      <c r="V2036">
        <v>7169.75</v>
      </c>
      <c r="W2036">
        <v>6514.9</v>
      </c>
      <c r="X2036">
        <v>31915.69</v>
      </c>
      <c r="Y2036">
        <v>22355.24</v>
      </c>
    </row>
    <row r="2037" spans="1:25" x14ac:dyDescent="0.25">
      <c r="A2037" t="s">
        <v>2093</v>
      </c>
      <c r="B2037" s="1">
        <v>45501</v>
      </c>
      <c r="C2037">
        <v>2024</v>
      </c>
      <c r="D2037">
        <v>7</v>
      </c>
      <c r="E2037" t="s">
        <v>690</v>
      </c>
      <c r="F2037" t="s">
        <v>691</v>
      </c>
      <c r="G2037" t="s">
        <v>44</v>
      </c>
      <c r="H2037" t="s">
        <v>32</v>
      </c>
      <c r="I2037" t="s">
        <v>50</v>
      </c>
      <c r="J2037">
        <v>69</v>
      </c>
      <c r="K2037">
        <v>935.41</v>
      </c>
      <c r="L2037">
        <v>64543.360000000001</v>
      </c>
      <c r="M2037">
        <v>33031.78</v>
      </c>
      <c r="N2037">
        <v>6215.8</v>
      </c>
      <c r="O2037">
        <v>4390.3999999999996</v>
      </c>
      <c r="P2037">
        <v>2415.73</v>
      </c>
      <c r="Q2037">
        <v>562.62</v>
      </c>
      <c r="R2037">
        <v>1994.99</v>
      </c>
      <c r="S2037">
        <v>708.12</v>
      </c>
      <c r="T2037">
        <v>49319.44</v>
      </c>
      <c r="U2037">
        <v>31511.58</v>
      </c>
      <c r="V2037">
        <v>15223.92</v>
      </c>
      <c r="W2037">
        <v>15362.5</v>
      </c>
      <c r="X2037">
        <v>61275.01</v>
      </c>
      <c r="Y2037">
        <v>49335.02</v>
      </c>
    </row>
    <row r="2038" spans="1:25" x14ac:dyDescent="0.25">
      <c r="A2038" t="s">
        <v>2094</v>
      </c>
      <c r="B2038" s="1">
        <v>45501</v>
      </c>
      <c r="C2038">
        <v>2024</v>
      </c>
      <c r="D2038">
        <v>7</v>
      </c>
      <c r="E2038" t="s">
        <v>690</v>
      </c>
      <c r="F2038" t="s">
        <v>691</v>
      </c>
      <c r="G2038" t="s">
        <v>44</v>
      </c>
      <c r="H2038" t="s">
        <v>32</v>
      </c>
      <c r="I2038" t="s">
        <v>45</v>
      </c>
      <c r="J2038">
        <v>42</v>
      </c>
      <c r="K2038">
        <v>1109.6099999999999</v>
      </c>
      <c r="L2038">
        <v>46603.56</v>
      </c>
      <c r="M2038">
        <v>25101.43</v>
      </c>
      <c r="N2038">
        <v>4959.6099999999997</v>
      </c>
      <c r="O2038">
        <v>2520.17</v>
      </c>
      <c r="P2038">
        <v>843.76</v>
      </c>
      <c r="Q2038">
        <v>758.45</v>
      </c>
      <c r="R2038">
        <v>1768.09</v>
      </c>
      <c r="S2038">
        <v>559.97</v>
      </c>
      <c r="T2038">
        <v>36511.49</v>
      </c>
      <c r="U2038">
        <v>21502.13</v>
      </c>
      <c r="V2038">
        <v>10092.07</v>
      </c>
      <c r="W2038">
        <v>10046.64</v>
      </c>
      <c r="X2038">
        <v>51927.48</v>
      </c>
      <c r="Y2038">
        <v>38713.300000000003</v>
      </c>
    </row>
    <row r="2039" spans="1:25" x14ac:dyDescent="0.25">
      <c r="A2039" t="s">
        <v>2095</v>
      </c>
      <c r="B2039" s="1">
        <v>45501</v>
      </c>
      <c r="C2039">
        <v>2024</v>
      </c>
      <c r="D2039">
        <v>7</v>
      </c>
      <c r="E2039" t="s">
        <v>690</v>
      </c>
      <c r="F2039" t="s">
        <v>691</v>
      </c>
      <c r="G2039" t="s">
        <v>35</v>
      </c>
      <c r="H2039" t="s">
        <v>29</v>
      </c>
      <c r="I2039" t="s">
        <v>37</v>
      </c>
      <c r="J2039">
        <v>37</v>
      </c>
      <c r="K2039">
        <v>1625.46</v>
      </c>
      <c r="L2039">
        <v>60142.16</v>
      </c>
      <c r="M2039">
        <v>38891.21</v>
      </c>
      <c r="N2039">
        <v>6184.65</v>
      </c>
      <c r="O2039">
        <v>3263.74</v>
      </c>
      <c r="P2039">
        <v>1451.24</v>
      </c>
      <c r="Q2039">
        <v>973.17</v>
      </c>
      <c r="R2039">
        <v>3687.93</v>
      </c>
      <c r="S2039">
        <v>745.81</v>
      </c>
      <c r="T2039">
        <v>55197.760000000002</v>
      </c>
      <c r="U2039">
        <v>21250.95</v>
      </c>
      <c r="V2039">
        <v>4944.3999999999996</v>
      </c>
      <c r="W2039">
        <v>5009.21</v>
      </c>
      <c r="X2039">
        <v>65067.26</v>
      </c>
      <c r="Y2039">
        <v>52248.19</v>
      </c>
    </row>
    <row r="2040" spans="1:25" x14ac:dyDescent="0.25">
      <c r="A2040" t="s">
        <v>2096</v>
      </c>
      <c r="B2040" s="1">
        <v>45502</v>
      </c>
      <c r="C2040">
        <v>2024</v>
      </c>
      <c r="D2040">
        <v>7</v>
      </c>
      <c r="E2040" t="s">
        <v>690</v>
      </c>
      <c r="F2040" t="s">
        <v>691</v>
      </c>
      <c r="G2040" t="s">
        <v>35</v>
      </c>
      <c r="H2040" t="s">
        <v>32</v>
      </c>
      <c r="I2040" t="s">
        <v>45</v>
      </c>
      <c r="J2040">
        <v>38</v>
      </c>
      <c r="K2040">
        <v>1331.08</v>
      </c>
      <c r="L2040">
        <v>50580.92</v>
      </c>
      <c r="M2040">
        <v>25988.32</v>
      </c>
      <c r="N2040">
        <v>4369.34</v>
      </c>
      <c r="O2040">
        <v>2837.51</v>
      </c>
      <c r="P2040">
        <v>1436.32</v>
      </c>
      <c r="Q2040">
        <v>335.61</v>
      </c>
      <c r="R2040">
        <v>1428.93</v>
      </c>
      <c r="S2040">
        <v>1202.6400000000001</v>
      </c>
      <c r="T2040">
        <v>37598.67</v>
      </c>
      <c r="U2040">
        <v>24592.6</v>
      </c>
      <c r="V2040">
        <v>12982.25</v>
      </c>
      <c r="W2040">
        <v>11518.37</v>
      </c>
      <c r="X2040">
        <v>52084.86</v>
      </c>
      <c r="Y2040">
        <v>38048.49</v>
      </c>
    </row>
    <row r="2041" spans="1:25" x14ac:dyDescent="0.25">
      <c r="A2041" t="s">
        <v>2097</v>
      </c>
      <c r="B2041" s="1">
        <v>45502</v>
      </c>
      <c r="C2041">
        <v>2024</v>
      </c>
      <c r="D2041">
        <v>7</v>
      </c>
      <c r="E2041" t="s">
        <v>690</v>
      </c>
      <c r="F2041" t="s">
        <v>691</v>
      </c>
      <c r="G2041" t="s">
        <v>44</v>
      </c>
      <c r="H2041" t="s">
        <v>32</v>
      </c>
      <c r="I2041" t="s">
        <v>33</v>
      </c>
      <c r="J2041">
        <v>60</v>
      </c>
      <c r="K2041">
        <v>1697.13</v>
      </c>
      <c r="L2041">
        <v>101827.83</v>
      </c>
      <c r="M2041">
        <v>49899.18</v>
      </c>
      <c r="N2041">
        <v>11852.02</v>
      </c>
      <c r="O2041">
        <v>6244.85</v>
      </c>
      <c r="P2041">
        <v>4168.5200000000004</v>
      </c>
      <c r="Q2041">
        <v>1091.76</v>
      </c>
      <c r="R2041">
        <v>5261.14</v>
      </c>
      <c r="S2041">
        <v>2240.6799999999998</v>
      </c>
      <c r="T2041">
        <v>80758.149999999994</v>
      </c>
      <c r="U2041">
        <v>51928.65</v>
      </c>
      <c r="V2041">
        <v>21069.68</v>
      </c>
      <c r="W2041">
        <v>21175.5</v>
      </c>
      <c r="X2041">
        <v>97483.01</v>
      </c>
      <c r="Y2041">
        <v>87257.72</v>
      </c>
    </row>
    <row r="2042" spans="1:25" x14ac:dyDescent="0.25">
      <c r="A2042" t="s">
        <v>2098</v>
      </c>
      <c r="B2042" s="1">
        <v>45503</v>
      </c>
      <c r="C2042">
        <v>2024</v>
      </c>
      <c r="D2042">
        <v>7</v>
      </c>
      <c r="E2042" t="s">
        <v>690</v>
      </c>
      <c r="F2042" t="s">
        <v>691</v>
      </c>
      <c r="G2042" t="s">
        <v>28</v>
      </c>
      <c r="H2042" t="s">
        <v>32</v>
      </c>
      <c r="I2042" t="s">
        <v>39</v>
      </c>
      <c r="J2042">
        <v>60</v>
      </c>
      <c r="K2042">
        <v>970.48</v>
      </c>
      <c r="L2042">
        <v>58228.67</v>
      </c>
      <c r="M2042">
        <v>34353.040000000001</v>
      </c>
      <c r="N2042">
        <v>4380</v>
      </c>
      <c r="O2042">
        <v>2515.92</v>
      </c>
      <c r="P2042">
        <v>1621.62</v>
      </c>
      <c r="Q2042">
        <v>993.42</v>
      </c>
      <c r="R2042">
        <v>2258.73</v>
      </c>
      <c r="S2042">
        <v>1157.32</v>
      </c>
      <c r="T2042">
        <v>47280.05</v>
      </c>
      <c r="U2042">
        <v>23875.63</v>
      </c>
      <c r="V2042">
        <v>10948.62</v>
      </c>
      <c r="W2042">
        <v>9930.2000000000007</v>
      </c>
      <c r="X2042">
        <v>59271.75</v>
      </c>
      <c r="Y2042">
        <v>50256.26</v>
      </c>
    </row>
    <row r="2043" spans="1:25" x14ac:dyDescent="0.25">
      <c r="A2043" t="s">
        <v>2099</v>
      </c>
      <c r="B2043" s="1">
        <v>45503</v>
      </c>
      <c r="C2043">
        <v>2024</v>
      </c>
      <c r="D2043">
        <v>7</v>
      </c>
      <c r="E2043" t="s">
        <v>690</v>
      </c>
      <c r="F2043" t="s">
        <v>691</v>
      </c>
      <c r="G2043" t="s">
        <v>55</v>
      </c>
      <c r="H2043" t="s">
        <v>32</v>
      </c>
      <c r="I2043" t="s">
        <v>56</v>
      </c>
      <c r="J2043">
        <v>53</v>
      </c>
      <c r="K2043">
        <v>966.58</v>
      </c>
      <c r="L2043">
        <v>51228.98</v>
      </c>
      <c r="M2043">
        <v>27101.1</v>
      </c>
      <c r="N2043">
        <v>4811.01</v>
      </c>
      <c r="O2043">
        <v>3077.14</v>
      </c>
      <c r="P2043">
        <v>976.91</v>
      </c>
      <c r="Q2043">
        <v>322.95</v>
      </c>
      <c r="R2043">
        <v>1825.39</v>
      </c>
      <c r="S2043">
        <v>666.43</v>
      </c>
      <c r="T2043">
        <v>38780.94</v>
      </c>
      <c r="U2043">
        <v>24127.87</v>
      </c>
      <c r="V2043">
        <v>12448.03</v>
      </c>
      <c r="W2043">
        <v>12679.91</v>
      </c>
      <c r="X2043">
        <v>55178.35</v>
      </c>
      <c r="Y2043">
        <v>38579.72</v>
      </c>
    </row>
    <row r="2044" spans="1:25" x14ac:dyDescent="0.25">
      <c r="A2044" t="s">
        <v>2100</v>
      </c>
      <c r="B2044" s="1">
        <v>45504</v>
      </c>
      <c r="C2044">
        <v>2024</v>
      </c>
      <c r="D2044">
        <v>7</v>
      </c>
      <c r="E2044" t="s">
        <v>690</v>
      </c>
      <c r="F2044" t="s">
        <v>691</v>
      </c>
      <c r="G2044" t="s">
        <v>28</v>
      </c>
      <c r="H2044" t="s">
        <v>58</v>
      </c>
      <c r="I2044" t="s">
        <v>45</v>
      </c>
      <c r="J2044">
        <v>35</v>
      </c>
      <c r="K2044">
        <v>1403.08</v>
      </c>
      <c r="L2044">
        <v>49107.8</v>
      </c>
      <c r="M2044">
        <v>33284.080000000002</v>
      </c>
      <c r="N2044">
        <v>5345.41</v>
      </c>
      <c r="O2044">
        <v>2418.09</v>
      </c>
      <c r="P2044">
        <v>1156.44</v>
      </c>
      <c r="Q2044">
        <v>298.95999999999998</v>
      </c>
      <c r="R2044">
        <v>3163.34</v>
      </c>
      <c r="S2044">
        <v>1085.29</v>
      </c>
      <c r="T2044">
        <v>46751.6</v>
      </c>
      <c r="U2044">
        <v>15823.72</v>
      </c>
      <c r="V2044">
        <v>2356.1999999999998</v>
      </c>
      <c r="W2044">
        <v>2339.86</v>
      </c>
      <c r="X2044">
        <v>45948.09</v>
      </c>
      <c r="Y2044">
        <v>50911.17</v>
      </c>
    </row>
    <row r="2045" spans="1:25" x14ac:dyDescent="0.25">
      <c r="A2045" t="s">
        <v>2101</v>
      </c>
      <c r="B2045" s="1">
        <v>45504</v>
      </c>
      <c r="C2045">
        <v>2024</v>
      </c>
      <c r="D2045">
        <v>7</v>
      </c>
      <c r="E2045" t="s">
        <v>690</v>
      </c>
      <c r="F2045" t="s">
        <v>691</v>
      </c>
      <c r="G2045" t="s">
        <v>35</v>
      </c>
      <c r="H2045" t="s">
        <v>36</v>
      </c>
      <c r="I2045" t="s">
        <v>33</v>
      </c>
      <c r="J2045">
        <v>41</v>
      </c>
      <c r="K2045">
        <v>1373.1</v>
      </c>
      <c r="L2045">
        <v>56297.04</v>
      </c>
      <c r="M2045">
        <v>30304.75</v>
      </c>
      <c r="N2045">
        <v>4690.78</v>
      </c>
      <c r="O2045">
        <v>2972.85</v>
      </c>
      <c r="P2045">
        <v>1582.2</v>
      </c>
      <c r="Q2045">
        <v>768.21</v>
      </c>
      <c r="R2045">
        <v>3417.95</v>
      </c>
      <c r="S2045">
        <v>877.01</v>
      </c>
      <c r="T2045">
        <v>44613.75</v>
      </c>
      <c r="U2045">
        <v>25992.28</v>
      </c>
      <c r="V2045">
        <v>11683.29</v>
      </c>
      <c r="W2045">
        <v>11704.26</v>
      </c>
      <c r="X2045">
        <v>55042.79</v>
      </c>
      <c r="Y2045">
        <v>47311.49</v>
      </c>
    </row>
    <row r="2046" spans="1:25" x14ac:dyDescent="0.25">
      <c r="A2046" t="s">
        <v>2102</v>
      </c>
      <c r="B2046" s="1">
        <v>45504</v>
      </c>
      <c r="C2046">
        <v>2024</v>
      </c>
      <c r="D2046">
        <v>7</v>
      </c>
      <c r="E2046" t="s">
        <v>690</v>
      </c>
      <c r="F2046" t="s">
        <v>691</v>
      </c>
      <c r="G2046" t="s">
        <v>28</v>
      </c>
      <c r="H2046" t="s">
        <v>36</v>
      </c>
      <c r="I2046" t="s">
        <v>33</v>
      </c>
      <c r="J2046">
        <v>67</v>
      </c>
      <c r="K2046">
        <v>1426.03</v>
      </c>
      <c r="L2046">
        <v>95544.15</v>
      </c>
      <c r="M2046">
        <v>55572.73</v>
      </c>
      <c r="N2046">
        <v>11874.69</v>
      </c>
      <c r="O2046">
        <v>5980.75</v>
      </c>
      <c r="P2046">
        <v>4246.28</v>
      </c>
      <c r="Q2046">
        <v>1336.56</v>
      </c>
      <c r="R2046">
        <v>4427.6499999999996</v>
      </c>
      <c r="S2046">
        <v>2305.0100000000002</v>
      </c>
      <c r="T2046">
        <v>85743.679999999993</v>
      </c>
      <c r="U2046">
        <v>39971.42</v>
      </c>
      <c r="V2046">
        <v>9800.4699999999993</v>
      </c>
      <c r="W2046">
        <v>9103.5</v>
      </c>
      <c r="X2046">
        <v>103850.6</v>
      </c>
      <c r="Y2046">
        <v>88250.07</v>
      </c>
    </row>
    <row r="2047" spans="1:25" x14ac:dyDescent="0.25">
      <c r="A2047" t="s">
        <v>2103</v>
      </c>
      <c r="B2047" s="1">
        <v>45504</v>
      </c>
      <c r="C2047">
        <v>2024</v>
      </c>
      <c r="D2047">
        <v>7</v>
      </c>
      <c r="E2047" t="s">
        <v>690</v>
      </c>
      <c r="F2047" t="s">
        <v>691</v>
      </c>
      <c r="G2047" t="s">
        <v>28</v>
      </c>
      <c r="H2047" t="s">
        <v>29</v>
      </c>
      <c r="I2047" t="s">
        <v>33</v>
      </c>
      <c r="J2047">
        <v>57</v>
      </c>
      <c r="K2047">
        <v>1766.03</v>
      </c>
      <c r="L2047">
        <v>100663.88</v>
      </c>
      <c r="M2047">
        <v>66196.27</v>
      </c>
      <c r="N2047">
        <v>10359.07</v>
      </c>
      <c r="O2047">
        <v>7077.63</v>
      </c>
      <c r="P2047">
        <v>4523</v>
      </c>
      <c r="Q2047">
        <v>904.85</v>
      </c>
      <c r="R2047">
        <v>6089.8</v>
      </c>
      <c r="S2047">
        <v>1554.54</v>
      </c>
      <c r="T2047">
        <v>96705.17</v>
      </c>
      <c r="U2047">
        <v>34467.61</v>
      </c>
      <c r="V2047">
        <v>3958.71</v>
      </c>
      <c r="W2047">
        <v>3775.5</v>
      </c>
      <c r="X2047">
        <v>107577.01</v>
      </c>
      <c r="Y2047">
        <v>90636.93</v>
      </c>
    </row>
    <row r="2048" spans="1:25" x14ac:dyDescent="0.25">
      <c r="A2048" t="s">
        <v>2104</v>
      </c>
      <c r="B2048" s="1">
        <v>45505</v>
      </c>
      <c r="C2048">
        <v>2024</v>
      </c>
      <c r="D2048">
        <v>8</v>
      </c>
      <c r="E2048" t="s">
        <v>814</v>
      </c>
      <c r="F2048" t="s">
        <v>691</v>
      </c>
      <c r="G2048" t="s">
        <v>28</v>
      </c>
      <c r="H2048" t="s">
        <v>32</v>
      </c>
      <c r="I2048" t="s">
        <v>45</v>
      </c>
      <c r="J2048">
        <v>50</v>
      </c>
      <c r="K2048">
        <v>952.76</v>
      </c>
      <c r="L2048">
        <v>47638.14</v>
      </c>
      <c r="M2048">
        <v>28350.639999999999</v>
      </c>
      <c r="N2048">
        <v>4745.8100000000004</v>
      </c>
      <c r="O2048">
        <v>3404.92</v>
      </c>
      <c r="P2048">
        <v>2024.95</v>
      </c>
      <c r="Q2048">
        <v>417.8</v>
      </c>
      <c r="R2048">
        <v>2430.2399999999998</v>
      </c>
      <c r="S2048">
        <v>609.94000000000005</v>
      </c>
      <c r="T2048">
        <v>41984.29</v>
      </c>
      <c r="U2048">
        <v>19287.5</v>
      </c>
      <c r="V2048">
        <v>5653.85</v>
      </c>
      <c r="W2048">
        <v>5544.08</v>
      </c>
      <c r="X2048">
        <v>45024.73</v>
      </c>
      <c r="Y2048">
        <v>42475.85</v>
      </c>
    </row>
    <row r="2049" spans="1:25" x14ac:dyDescent="0.25">
      <c r="A2049" t="s">
        <v>2105</v>
      </c>
      <c r="B2049" s="1">
        <v>45505</v>
      </c>
      <c r="C2049">
        <v>2024</v>
      </c>
      <c r="D2049">
        <v>8</v>
      </c>
      <c r="E2049" t="s">
        <v>814</v>
      </c>
      <c r="F2049" t="s">
        <v>691</v>
      </c>
      <c r="G2049" t="s">
        <v>44</v>
      </c>
      <c r="H2049" t="s">
        <v>36</v>
      </c>
      <c r="I2049" t="s">
        <v>39</v>
      </c>
      <c r="J2049">
        <v>29</v>
      </c>
      <c r="K2049">
        <v>1697.14</v>
      </c>
      <c r="L2049">
        <v>49217.07</v>
      </c>
      <c r="M2049">
        <v>27179.279999999999</v>
      </c>
      <c r="N2049">
        <v>3553.36</v>
      </c>
      <c r="O2049">
        <v>2028.29</v>
      </c>
      <c r="P2049">
        <v>806.92</v>
      </c>
      <c r="Q2049">
        <v>386.59</v>
      </c>
      <c r="R2049">
        <v>1498.65</v>
      </c>
      <c r="S2049">
        <v>1168.97</v>
      </c>
      <c r="T2049">
        <v>36622.07</v>
      </c>
      <c r="U2049">
        <v>22037.8</v>
      </c>
      <c r="V2049">
        <v>12595</v>
      </c>
      <c r="W2049">
        <v>12329.57</v>
      </c>
      <c r="X2049">
        <v>48545.09</v>
      </c>
      <c r="Y2049">
        <v>35156.480000000003</v>
      </c>
    </row>
    <row r="2050" spans="1:25" x14ac:dyDescent="0.25">
      <c r="A2050" t="s">
        <v>2106</v>
      </c>
      <c r="B2050" s="1">
        <v>45505</v>
      </c>
      <c r="C2050">
        <v>2024</v>
      </c>
      <c r="D2050">
        <v>8</v>
      </c>
      <c r="E2050" t="s">
        <v>814</v>
      </c>
      <c r="F2050" t="s">
        <v>691</v>
      </c>
      <c r="G2050" t="s">
        <v>55</v>
      </c>
      <c r="H2050" t="s">
        <v>53</v>
      </c>
      <c r="I2050" t="s">
        <v>33</v>
      </c>
      <c r="J2050">
        <v>77</v>
      </c>
      <c r="K2050">
        <v>1189.8499999999999</v>
      </c>
      <c r="L2050">
        <v>91618.34</v>
      </c>
      <c r="M2050">
        <v>44717.71</v>
      </c>
      <c r="N2050">
        <v>7187.75</v>
      </c>
      <c r="O2050">
        <v>4964.8900000000003</v>
      </c>
      <c r="P2050">
        <v>3680.71</v>
      </c>
      <c r="Q2050">
        <v>1633.75</v>
      </c>
      <c r="R2050">
        <v>4292.8100000000004</v>
      </c>
      <c r="S2050">
        <v>1928.44</v>
      </c>
      <c r="T2050">
        <v>68406.06</v>
      </c>
      <c r="U2050">
        <v>46900.639999999999</v>
      </c>
      <c r="V2050">
        <v>23212.28</v>
      </c>
      <c r="W2050">
        <v>22450.1</v>
      </c>
      <c r="X2050">
        <v>85485.02</v>
      </c>
      <c r="Y2050">
        <v>65177.04</v>
      </c>
    </row>
    <row r="2051" spans="1:25" x14ac:dyDescent="0.25">
      <c r="A2051" t="s">
        <v>2107</v>
      </c>
      <c r="B2051" s="1">
        <v>45505</v>
      </c>
      <c r="C2051">
        <v>2024</v>
      </c>
      <c r="D2051">
        <v>8</v>
      </c>
      <c r="E2051" t="s">
        <v>814</v>
      </c>
      <c r="F2051" t="s">
        <v>691</v>
      </c>
      <c r="G2051" t="s">
        <v>28</v>
      </c>
      <c r="H2051" t="s">
        <v>53</v>
      </c>
      <c r="I2051" t="s">
        <v>65</v>
      </c>
      <c r="J2051">
        <v>41</v>
      </c>
      <c r="K2051">
        <v>1402.67</v>
      </c>
      <c r="L2051">
        <v>57509.4</v>
      </c>
      <c r="M2051">
        <v>35762.449999999997</v>
      </c>
      <c r="N2051">
        <v>5077.55</v>
      </c>
      <c r="O2051">
        <v>1818.93</v>
      </c>
      <c r="P2051">
        <v>942.55</v>
      </c>
      <c r="Q2051">
        <v>580.77</v>
      </c>
      <c r="R2051">
        <v>1682.6</v>
      </c>
      <c r="S2051">
        <v>1420.66</v>
      </c>
      <c r="T2051">
        <v>47285.5</v>
      </c>
      <c r="U2051">
        <v>21746.959999999999</v>
      </c>
      <c r="V2051">
        <v>10223.9</v>
      </c>
      <c r="W2051">
        <v>9738.4599999999991</v>
      </c>
      <c r="X2051">
        <v>56971.41</v>
      </c>
      <c r="Y2051">
        <v>45456.47</v>
      </c>
    </row>
    <row r="2052" spans="1:25" x14ac:dyDescent="0.25">
      <c r="A2052" t="s">
        <v>2108</v>
      </c>
      <c r="B2052" s="1">
        <v>45506</v>
      </c>
      <c r="C2052">
        <v>2024</v>
      </c>
      <c r="D2052">
        <v>8</v>
      </c>
      <c r="E2052" t="s">
        <v>814</v>
      </c>
      <c r="F2052" t="s">
        <v>691</v>
      </c>
      <c r="G2052" t="s">
        <v>35</v>
      </c>
      <c r="H2052" t="s">
        <v>32</v>
      </c>
      <c r="I2052" t="s">
        <v>56</v>
      </c>
      <c r="J2052">
        <v>25</v>
      </c>
      <c r="K2052">
        <v>1742.6</v>
      </c>
      <c r="L2052">
        <v>43565.01</v>
      </c>
      <c r="M2052">
        <v>28113.09</v>
      </c>
      <c r="N2052">
        <v>4853.74</v>
      </c>
      <c r="O2052">
        <v>2543.02</v>
      </c>
      <c r="P2052">
        <v>1078.98</v>
      </c>
      <c r="Q2052">
        <v>700.47</v>
      </c>
      <c r="R2052">
        <v>2452.7800000000002</v>
      </c>
      <c r="S2052">
        <v>527.94000000000005</v>
      </c>
      <c r="T2052">
        <v>40270.019999999997</v>
      </c>
      <c r="U2052">
        <v>15451.92</v>
      </c>
      <c r="V2052">
        <v>3294.99</v>
      </c>
      <c r="W2052">
        <v>3221.9</v>
      </c>
      <c r="X2052">
        <v>40517.83</v>
      </c>
      <c r="Y2052">
        <v>40773.980000000003</v>
      </c>
    </row>
    <row r="2053" spans="1:25" x14ac:dyDescent="0.25">
      <c r="A2053" t="s">
        <v>2109</v>
      </c>
      <c r="B2053" s="1">
        <v>45506</v>
      </c>
      <c r="C2053">
        <v>2024</v>
      </c>
      <c r="D2053">
        <v>8</v>
      </c>
      <c r="E2053" t="s">
        <v>814</v>
      </c>
      <c r="F2053" t="s">
        <v>691</v>
      </c>
      <c r="G2053" t="s">
        <v>28</v>
      </c>
      <c r="H2053" t="s">
        <v>32</v>
      </c>
      <c r="I2053" t="s">
        <v>50</v>
      </c>
      <c r="J2053">
        <v>52</v>
      </c>
      <c r="K2053">
        <v>1138.54</v>
      </c>
      <c r="L2053">
        <v>59203.9</v>
      </c>
      <c r="M2053">
        <v>34669.46</v>
      </c>
      <c r="N2053">
        <v>6505.23</v>
      </c>
      <c r="O2053">
        <v>3533.3</v>
      </c>
      <c r="P2053">
        <v>1485.11</v>
      </c>
      <c r="Q2053">
        <v>726.63</v>
      </c>
      <c r="R2053">
        <v>2004.47</v>
      </c>
      <c r="S2053">
        <v>877.32</v>
      </c>
      <c r="T2053">
        <v>49801.53</v>
      </c>
      <c r="U2053">
        <v>24534.43</v>
      </c>
      <c r="V2053">
        <v>9402.3700000000008</v>
      </c>
      <c r="W2053">
        <v>9509.3799999999992</v>
      </c>
      <c r="X2053">
        <v>63276.32</v>
      </c>
      <c r="Y2053">
        <v>49230.559999999998</v>
      </c>
    </row>
    <row r="2054" spans="1:25" x14ac:dyDescent="0.25">
      <c r="A2054" t="s">
        <v>2110</v>
      </c>
      <c r="B2054" s="1">
        <v>45507</v>
      </c>
      <c r="C2054">
        <v>2024</v>
      </c>
      <c r="D2054">
        <v>8</v>
      </c>
      <c r="E2054" t="s">
        <v>814</v>
      </c>
      <c r="F2054" t="s">
        <v>691</v>
      </c>
      <c r="G2054" t="s">
        <v>28</v>
      </c>
      <c r="H2054" t="s">
        <v>36</v>
      </c>
      <c r="I2054" t="s">
        <v>33</v>
      </c>
      <c r="J2054">
        <v>37</v>
      </c>
      <c r="K2054">
        <v>1592.81</v>
      </c>
      <c r="L2054">
        <v>58934.13</v>
      </c>
      <c r="M2054">
        <v>37506.35</v>
      </c>
      <c r="N2054">
        <v>4624.01</v>
      </c>
      <c r="O2054">
        <v>2723.02</v>
      </c>
      <c r="P2054">
        <v>1174.8499999999999</v>
      </c>
      <c r="Q2054">
        <v>356.74</v>
      </c>
      <c r="R2054">
        <v>2145.39</v>
      </c>
      <c r="S2054">
        <v>661.49</v>
      </c>
      <c r="T2054">
        <v>49191.839999999997</v>
      </c>
      <c r="U2054">
        <v>21427.78</v>
      </c>
      <c r="V2054">
        <v>9742.2999999999993</v>
      </c>
      <c r="W2054">
        <v>9926.48</v>
      </c>
      <c r="X2054">
        <v>65929.570000000007</v>
      </c>
      <c r="Y2054">
        <v>49103.61</v>
      </c>
    </row>
    <row r="2055" spans="1:25" x14ac:dyDescent="0.25">
      <c r="A2055" t="s">
        <v>2111</v>
      </c>
      <c r="B2055" s="1">
        <v>45507</v>
      </c>
      <c r="C2055">
        <v>2024</v>
      </c>
      <c r="D2055">
        <v>8</v>
      </c>
      <c r="E2055" t="s">
        <v>814</v>
      </c>
      <c r="F2055" t="s">
        <v>691</v>
      </c>
      <c r="G2055" t="s">
        <v>44</v>
      </c>
      <c r="H2055" t="s">
        <v>53</v>
      </c>
      <c r="I2055" t="s">
        <v>65</v>
      </c>
      <c r="J2055">
        <v>46</v>
      </c>
      <c r="K2055">
        <v>1185.3599999999999</v>
      </c>
      <c r="L2055">
        <v>54526.5</v>
      </c>
      <c r="M2055">
        <v>32136.69</v>
      </c>
      <c r="N2055">
        <v>5960.54</v>
      </c>
      <c r="O2055">
        <v>2555.79</v>
      </c>
      <c r="P2055">
        <v>1244.97</v>
      </c>
      <c r="Q2055">
        <v>778.54</v>
      </c>
      <c r="R2055">
        <v>3475.8</v>
      </c>
      <c r="S2055">
        <v>1113.44</v>
      </c>
      <c r="T2055">
        <v>47265.760000000002</v>
      </c>
      <c r="U2055">
        <v>22389.81</v>
      </c>
      <c r="V2055">
        <v>7260.74</v>
      </c>
      <c r="W2055">
        <v>7143.44</v>
      </c>
      <c r="X2055">
        <v>54075.91</v>
      </c>
      <c r="Y2055">
        <v>49987.89</v>
      </c>
    </row>
    <row r="2056" spans="1:25" x14ac:dyDescent="0.25">
      <c r="A2056" t="s">
        <v>2112</v>
      </c>
      <c r="B2056" s="1">
        <v>45507</v>
      </c>
      <c r="C2056">
        <v>2024</v>
      </c>
      <c r="D2056">
        <v>8</v>
      </c>
      <c r="E2056" t="s">
        <v>814</v>
      </c>
      <c r="F2056" t="s">
        <v>691</v>
      </c>
      <c r="G2056" t="s">
        <v>55</v>
      </c>
      <c r="H2056" t="s">
        <v>29</v>
      </c>
      <c r="I2056" t="s">
        <v>30</v>
      </c>
      <c r="J2056">
        <v>69</v>
      </c>
      <c r="K2056">
        <v>1694.04</v>
      </c>
      <c r="L2056">
        <v>116888.98</v>
      </c>
      <c r="M2056">
        <v>72112.820000000007</v>
      </c>
      <c r="N2056">
        <v>8546.3799999999992</v>
      </c>
      <c r="O2056">
        <v>5626.61</v>
      </c>
      <c r="P2056">
        <v>2720.14</v>
      </c>
      <c r="Q2056">
        <v>1544.43</v>
      </c>
      <c r="R2056">
        <v>6036.29</v>
      </c>
      <c r="S2056">
        <v>1767.72</v>
      </c>
      <c r="T2056">
        <v>98354.4</v>
      </c>
      <c r="U2056">
        <v>44776.15</v>
      </c>
      <c r="V2056">
        <v>18534.580000000002</v>
      </c>
      <c r="W2056">
        <v>16844.12</v>
      </c>
      <c r="X2056">
        <v>118544.68</v>
      </c>
      <c r="Y2056">
        <v>102227.55</v>
      </c>
    </row>
    <row r="2057" spans="1:25" x14ac:dyDescent="0.25">
      <c r="A2057" t="s">
        <v>2113</v>
      </c>
      <c r="B2057" s="1">
        <v>45507</v>
      </c>
      <c r="C2057">
        <v>2024</v>
      </c>
      <c r="D2057">
        <v>8</v>
      </c>
      <c r="E2057" t="s">
        <v>814</v>
      </c>
      <c r="F2057" t="s">
        <v>691</v>
      </c>
      <c r="G2057" t="s">
        <v>55</v>
      </c>
      <c r="H2057" t="s">
        <v>32</v>
      </c>
      <c r="I2057" t="s">
        <v>33</v>
      </c>
      <c r="J2057">
        <v>81</v>
      </c>
      <c r="K2057">
        <v>1515.08</v>
      </c>
      <c r="L2057">
        <v>122721.41</v>
      </c>
      <c r="M2057">
        <v>67067.95</v>
      </c>
      <c r="N2057">
        <v>10403.06</v>
      </c>
      <c r="O2057">
        <v>8609.08</v>
      </c>
      <c r="P2057">
        <v>3769.85</v>
      </c>
      <c r="Q2057">
        <v>969.57</v>
      </c>
      <c r="R2057">
        <v>4980.6899999999996</v>
      </c>
      <c r="S2057">
        <v>2082.8000000000002</v>
      </c>
      <c r="T2057">
        <v>97883</v>
      </c>
      <c r="U2057">
        <v>55653.46</v>
      </c>
      <c r="V2057">
        <v>24838.400000000001</v>
      </c>
      <c r="W2057">
        <v>25314.76</v>
      </c>
      <c r="X2057">
        <v>120797.89</v>
      </c>
      <c r="Y2057">
        <v>92701.94</v>
      </c>
    </row>
    <row r="2058" spans="1:25" x14ac:dyDescent="0.25">
      <c r="A2058" t="s">
        <v>2114</v>
      </c>
      <c r="B2058" s="1">
        <v>45507</v>
      </c>
      <c r="C2058">
        <v>2024</v>
      </c>
      <c r="D2058">
        <v>8</v>
      </c>
      <c r="E2058" t="s">
        <v>814</v>
      </c>
      <c r="F2058" t="s">
        <v>691</v>
      </c>
      <c r="G2058" t="s">
        <v>44</v>
      </c>
      <c r="H2058" t="s">
        <v>53</v>
      </c>
      <c r="I2058" t="s">
        <v>33</v>
      </c>
      <c r="J2058">
        <v>41</v>
      </c>
      <c r="K2058">
        <v>1477.89</v>
      </c>
      <c r="L2058">
        <v>60593.57</v>
      </c>
      <c r="M2058">
        <v>38335.33</v>
      </c>
      <c r="N2058">
        <v>7505.05</v>
      </c>
      <c r="O2058">
        <v>3236.11</v>
      </c>
      <c r="P2058">
        <v>1285.24</v>
      </c>
      <c r="Q2058">
        <v>856.85</v>
      </c>
      <c r="R2058">
        <v>3354.64</v>
      </c>
      <c r="S2058">
        <v>1353.06</v>
      </c>
      <c r="T2058">
        <v>55926.28</v>
      </c>
      <c r="U2058">
        <v>22258.240000000002</v>
      </c>
      <c r="V2058">
        <v>4667.29</v>
      </c>
      <c r="W2058">
        <v>4558.97</v>
      </c>
      <c r="X2058">
        <v>67335.350000000006</v>
      </c>
      <c r="Y2058">
        <v>55173.46</v>
      </c>
    </row>
    <row r="2059" spans="1:25" x14ac:dyDescent="0.25">
      <c r="A2059" t="s">
        <v>2115</v>
      </c>
      <c r="B2059" s="1">
        <v>45508</v>
      </c>
      <c r="C2059">
        <v>2024</v>
      </c>
      <c r="D2059">
        <v>8</v>
      </c>
      <c r="E2059" t="s">
        <v>814</v>
      </c>
      <c r="F2059" t="s">
        <v>691</v>
      </c>
      <c r="G2059" t="s">
        <v>55</v>
      </c>
      <c r="H2059" t="s">
        <v>32</v>
      </c>
      <c r="I2059" t="s">
        <v>50</v>
      </c>
      <c r="J2059">
        <v>74</v>
      </c>
      <c r="K2059">
        <v>1125.98</v>
      </c>
      <c r="L2059">
        <v>83322.3</v>
      </c>
      <c r="M2059">
        <v>54836.35</v>
      </c>
      <c r="N2059">
        <v>5911.73</v>
      </c>
      <c r="O2059">
        <v>2405.0700000000002</v>
      </c>
      <c r="P2059">
        <v>2346.16</v>
      </c>
      <c r="Q2059">
        <v>875.6</v>
      </c>
      <c r="R2059">
        <v>5042.25</v>
      </c>
      <c r="S2059">
        <v>1695.64</v>
      </c>
      <c r="T2059">
        <v>73112.800000000003</v>
      </c>
      <c r="U2059">
        <v>28485.95</v>
      </c>
      <c r="V2059">
        <v>10209.51</v>
      </c>
      <c r="W2059">
        <v>10234.200000000001</v>
      </c>
      <c r="X2059">
        <v>92701.68</v>
      </c>
      <c r="Y2059">
        <v>69002.97</v>
      </c>
    </row>
    <row r="2060" spans="1:25" x14ac:dyDescent="0.25">
      <c r="A2060" t="s">
        <v>2116</v>
      </c>
      <c r="B2060" s="1">
        <v>45508</v>
      </c>
      <c r="C2060">
        <v>2024</v>
      </c>
      <c r="D2060">
        <v>8</v>
      </c>
      <c r="E2060" t="s">
        <v>814</v>
      </c>
      <c r="F2060" t="s">
        <v>691</v>
      </c>
      <c r="G2060" t="s">
        <v>28</v>
      </c>
      <c r="H2060" t="s">
        <v>32</v>
      </c>
      <c r="I2060" t="s">
        <v>33</v>
      </c>
      <c r="J2060">
        <v>72</v>
      </c>
      <c r="K2060">
        <v>1423.31</v>
      </c>
      <c r="L2060">
        <v>102478.6</v>
      </c>
      <c r="M2060">
        <v>63955.67</v>
      </c>
      <c r="N2060">
        <v>8292.9</v>
      </c>
      <c r="O2060">
        <v>4966.46</v>
      </c>
      <c r="P2060">
        <v>2039.51</v>
      </c>
      <c r="Q2060">
        <v>1271.06</v>
      </c>
      <c r="R2060">
        <v>4028.78</v>
      </c>
      <c r="S2060">
        <v>2518.59</v>
      </c>
      <c r="T2060">
        <v>87072.97</v>
      </c>
      <c r="U2060">
        <v>38522.93</v>
      </c>
      <c r="V2060">
        <v>15405.63</v>
      </c>
      <c r="W2060">
        <v>14556.43</v>
      </c>
      <c r="X2060">
        <v>102683.99</v>
      </c>
      <c r="Y2060">
        <v>82161.63</v>
      </c>
    </row>
    <row r="2061" spans="1:25" x14ac:dyDescent="0.25">
      <c r="A2061" t="s">
        <v>2117</v>
      </c>
      <c r="B2061" s="1">
        <v>45508</v>
      </c>
      <c r="C2061">
        <v>2024</v>
      </c>
      <c r="D2061">
        <v>8</v>
      </c>
      <c r="E2061" t="s">
        <v>814</v>
      </c>
      <c r="F2061" t="s">
        <v>691</v>
      </c>
      <c r="G2061" t="s">
        <v>44</v>
      </c>
      <c r="H2061" t="s">
        <v>32</v>
      </c>
      <c r="I2061" t="s">
        <v>39</v>
      </c>
      <c r="J2061">
        <v>38</v>
      </c>
      <c r="K2061">
        <v>1150.2</v>
      </c>
      <c r="L2061">
        <v>43707.44</v>
      </c>
      <c r="M2061">
        <v>24210.01</v>
      </c>
      <c r="N2061">
        <v>3801.1</v>
      </c>
      <c r="O2061">
        <v>1930.02</v>
      </c>
      <c r="P2061">
        <v>757.33</v>
      </c>
      <c r="Q2061">
        <v>488.58</v>
      </c>
      <c r="R2061">
        <v>1216.3</v>
      </c>
      <c r="S2061">
        <v>432.23</v>
      </c>
      <c r="T2061">
        <v>32835.57</v>
      </c>
      <c r="U2061">
        <v>19497.43</v>
      </c>
      <c r="V2061">
        <v>10871.87</v>
      </c>
      <c r="W2061">
        <v>9816.69</v>
      </c>
      <c r="X2061">
        <v>47156.05</v>
      </c>
      <c r="Y2061">
        <v>33745.49</v>
      </c>
    </row>
    <row r="2062" spans="1:25" x14ac:dyDescent="0.25">
      <c r="A2062" t="s">
        <v>2118</v>
      </c>
      <c r="B2062" s="1">
        <v>45509</v>
      </c>
      <c r="C2062">
        <v>2024</v>
      </c>
      <c r="D2062">
        <v>8</v>
      </c>
      <c r="E2062" t="s">
        <v>814</v>
      </c>
      <c r="F2062" t="s">
        <v>691</v>
      </c>
      <c r="G2062" t="s">
        <v>44</v>
      </c>
      <c r="H2062" t="s">
        <v>32</v>
      </c>
      <c r="I2062" t="s">
        <v>39</v>
      </c>
      <c r="J2062">
        <v>30</v>
      </c>
      <c r="K2062">
        <v>1487.68</v>
      </c>
      <c r="L2062">
        <v>44630.400000000001</v>
      </c>
      <c r="M2062">
        <v>25222.29</v>
      </c>
      <c r="N2062">
        <v>3156.69</v>
      </c>
      <c r="O2062">
        <v>2029.48</v>
      </c>
      <c r="P2062">
        <v>1363.58</v>
      </c>
      <c r="Q2062">
        <v>542.49</v>
      </c>
      <c r="R2062">
        <v>1141.9100000000001</v>
      </c>
      <c r="S2062">
        <v>862.42</v>
      </c>
      <c r="T2062">
        <v>34318.870000000003</v>
      </c>
      <c r="U2062">
        <v>19408.11</v>
      </c>
      <c r="V2062">
        <v>10311.530000000001</v>
      </c>
      <c r="W2062">
        <v>9445.39</v>
      </c>
      <c r="X2062">
        <v>46882.559999999998</v>
      </c>
      <c r="Y2062">
        <v>32839.300000000003</v>
      </c>
    </row>
    <row r="2063" spans="1:25" x14ac:dyDescent="0.25">
      <c r="A2063" t="s">
        <v>2119</v>
      </c>
      <c r="B2063" s="1">
        <v>45509</v>
      </c>
      <c r="C2063">
        <v>2024</v>
      </c>
      <c r="D2063">
        <v>8</v>
      </c>
      <c r="E2063" t="s">
        <v>814</v>
      </c>
      <c r="F2063" t="s">
        <v>691</v>
      </c>
      <c r="G2063" t="s">
        <v>44</v>
      </c>
      <c r="H2063" t="s">
        <v>32</v>
      </c>
      <c r="I2063" t="s">
        <v>30</v>
      </c>
      <c r="J2063">
        <v>64</v>
      </c>
      <c r="K2063">
        <v>1269.6600000000001</v>
      </c>
      <c r="L2063">
        <v>81258.55</v>
      </c>
      <c r="M2063">
        <v>44589.24</v>
      </c>
      <c r="N2063">
        <v>7806</v>
      </c>
      <c r="O2063">
        <v>4592.6899999999996</v>
      </c>
      <c r="P2063">
        <v>2560.4899999999998</v>
      </c>
      <c r="Q2063">
        <v>980.1</v>
      </c>
      <c r="R2063">
        <v>4445.1400000000003</v>
      </c>
      <c r="S2063">
        <v>1586.54</v>
      </c>
      <c r="T2063">
        <v>66560.2</v>
      </c>
      <c r="U2063">
        <v>36669.31</v>
      </c>
      <c r="V2063">
        <v>14698.35</v>
      </c>
      <c r="W2063">
        <v>13783.51</v>
      </c>
      <c r="X2063">
        <v>76456.759999999995</v>
      </c>
      <c r="Y2063">
        <v>69732.350000000006</v>
      </c>
    </row>
    <row r="2064" spans="1:25" x14ac:dyDescent="0.25">
      <c r="A2064" t="s">
        <v>2120</v>
      </c>
      <c r="B2064" s="1">
        <v>45510</v>
      </c>
      <c r="C2064">
        <v>2024</v>
      </c>
      <c r="D2064">
        <v>8</v>
      </c>
      <c r="E2064" t="s">
        <v>814</v>
      </c>
      <c r="F2064" t="s">
        <v>691</v>
      </c>
      <c r="G2064" t="s">
        <v>35</v>
      </c>
      <c r="H2064" t="s">
        <v>58</v>
      </c>
      <c r="I2064" t="s">
        <v>37</v>
      </c>
      <c r="J2064">
        <v>33</v>
      </c>
      <c r="K2064">
        <v>1332.74</v>
      </c>
      <c r="L2064">
        <v>43980.56</v>
      </c>
      <c r="M2064">
        <v>27621.31</v>
      </c>
      <c r="N2064">
        <v>3982.49</v>
      </c>
      <c r="O2064">
        <v>1901.82</v>
      </c>
      <c r="P2064">
        <v>1973.28</v>
      </c>
      <c r="Q2064">
        <v>229.04</v>
      </c>
      <c r="R2064">
        <v>2104.0300000000002</v>
      </c>
      <c r="S2064">
        <v>939.24</v>
      </c>
      <c r="T2064">
        <v>38751.21</v>
      </c>
      <c r="U2064">
        <v>16359.25</v>
      </c>
      <c r="V2064">
        <v>5229.34</v>
      </c>
      <c r="W2064">
        <v>4785.6400000000003</v>
      </c>
      <c r="X2064">
        <v>46597.47</v>
      </c>
      <c r="Y2064">
        <v>42179.15</v>
      </c>
    </row>
    <row r="2065" spans="1:25" x14ac:dyDescent="0.25">
      <c r="A2065" t="s">
        <v>2121</v>
      </c>
      <c r="B2065" s="1">
        <v>45510</v>
      </c>
      <c r="C2065">
        <v>2024</v>
      </c>
      <c r="D2065">
        <v>8</v>
      </c>
      <c r="E2065" t="s">
        <v>814</v>
      </c>
      <c r="F2065" t="s">
        <v>691</v>
      </c>
      <c r="G2065" t="s">
        <v>55</v>
      </c>
      <c r="H2065" t="s">
        <v>36</v>
      </c>
      <c r="I2065" t="s">
        <v>37</v>
      </c>
      <c r="J2065">
        <v>47</v>
      </c>
      <c r="K2065">
        <v>1686.06</v>
      </c>
      <c r="L2065">
        <v>79244.710000000006</v>
      </c>
      <c r="M2065">
        <v>41273.800000000003</v>
      </c>
      <c r="N2065">
        <v>9642.1200000000008</v>
      </c>
      <c r="O2065">
        <v>2269.08</v>
      </c>
      <c r="P2065">
        <v>3047.43</v>
      </c>
      <c r="Q2065">
        <v>902.12</v>
      </c>
      <c r="R2065">
        <v>2052.48</v>
      </c>
      <c r="S2065">
        <v>1863.16</v>
      </c>
      <c r="T2065">
        <v>61050.19</v>
      </c>
      <c r="U2065">
        <v>37970.910000000003</v>
      </c>
      <c r="V2065">
        <v>18194.52</v>
      </c>
      <c r="W2065">
        <v>18172.98</v>
      </c>
      <c r="X2065">
        <v>74273.64</v>
      </c>
      <c r="Y2065">
        <v>59541.83</v>
      </c>
    </row>
    <row r="2066" spans="1:25" x14ac:dyDescent="0.25">
      <c r="A2066" t="s">
        <v>2122</v>
      </c>
      <c r="B2066" s="1">
        <v>45510</v>
      </c>
      <c r="C2066">
        <v>2024</v>
      </c>
      <c r="D2066">
        <v>8</v>
      </c>
      <c r="E2066" t="s">
        <v>814</v>
      </c>
      <c r="F2066" t="s">
        <v>691</v>
      </c>
      <c r="G2066" t="s">
        <v>35</v>
      </c>
      <c r="H2066" t="s">
        <v>58</v>
      </c>
      <c r="I2066" t="s">
        <v>56</v>
      </c>
      <c r="J2066">
        <v>32</v>
      </c>
      <c r="K2066">
        <v>1095.6400000000001</v>
      </c>
      <c r="L2066">
        <v>35060.51</v>
      </c>
      <c r="M2066">
        <v>22275.68</v>
      </c>
      <c r="N2066">
        <v>3672.65</v>
      </c>
      <c r="O2066">
        <v>1697.99</v>
      </c>
      <c r="P2066">
        <v>1323.78</v>
      </c>
      <c r="Q2066">
        <v>295.60000000000002</v>
      </c>
      <c r="R2066">
        <v>904.73</v>
      </c>
      <c r="S2066">
        <v>690.04</v>
      </c>
      <c r="T2066">
        <v>30860.46</v>
      </c>
      <c r="U2066">
        <v>12784.83</v>
      </c>
      <c r="V2066">
        <v>4200.05</v>
      </c>
      <c r="W2066">
        <v>3787.31</v>
      </c>
      <c r="X2066">
        <v>32580.54</v>
      </c>
      <c r="Y2066">
        <v>33824.800000000003</v>
      </c>
    </row>
    <row r="2067" spans="1:25" x14ac:dyDescent="0.25">
      <c r="A2067" t="s">
        <v>2123</v>
      </c>
      <c r="B2067" s="1">
        <v>45510</v>
      </c>
      <c r="C2067">
        <v>2024</v>
      </c>
      <c r="D2067">
        <v>8</v>
      </c>
      <c r="E2067" t="s">
        <v>814</v>
      </c>
      <c r="F2067" t="s">
        <v>691</v>
      </c>
      <c r="G2067" t="s">
        <v>35</v>
      </c>
      <c r="H2067" t="s">
        <v>36</v>
      </c>
      <c r="I2067" t="s">
        <v>33</v>
      </c>
      <c r="J2067">
        <v>54</v>
      </c>
      <c r="K2067">
        <v>1539.18</v>
      </c>
      <c r="L2067">
        <v>83115.899999999994</v>
      </c>
      <c r="M2067">
        <v>41369.07</v>
      </c>
      <c r="N2067">
        <v>9438.48</v>
      </c>
      <c r="O2067">
        <v>5737.47</v>
      </c>
      <c r="P2067">
        <v>1779.43</v>
      </c>
      <c r="Q2067">
        <v>592.04</v>
      </c>
      <c r="R2067">
        <v>4809.1499999999996</v>
      </c>
      <c r="S2067">
        <v>1181.42</v>
      </c>
      <c r="T2067">
        <v>64907.06</v>
      </c>
      <c r="U2067">
        <v>41746.83</v>
      </c>
      <c r="V2067">
        <v>18208.849999999999</v>
      </c>
      <c r="W2067">
        <v>16560.13</v>
      </c>
      <c r="X2067">
        <v>92166.17</v>
      </c>
      <c r="Y2067">
        <v>61695.32</v>
      </c>
    </row>
    <row r="2068" spans="1:25" x14ac:dyDescent="0.25">
      <c r="A2068" t="s">
        <v>2124</v>
      </c>
      <c r="B2068" s="1">
        <v>45511</v>
      </c>
      <c r="C2068">
        <v>2024</v>
      </c>
      <c r="D2068">
        <v>8</v>
      </c>
      <c r="E2068" t="s">
        <v>814</v>
      </c>
      <c r="F2068" t="s">
        <v>691</v>
      </c>
      <c r="G2068" t="s">
        <v>28</v>
      </c>
      <c r="H2068" t="s">
        <v>32</v>
      </c>
      <c r="I2068" t="s">
        <v>65</v>
      </c>
      <c r="J2068">
        <v>69</v>
      </c>
      <c r="K2068">
        <v>1191.2</v>
      </c>
      <c r="L2068">
        <v>82192.62</v>
      </c>
      <c r="M2068">
        <v>39895.879999999997</v>
      </c>
      <c r="N2068">
        <v>7537.25</v>
      </c>
      <c r="O2068">
        <v>2620.33</v>
      </c>
      <c r="P2068">
        <v>1656.6</v>
      </c>
      <c r="Q2068">
        <v>1286.81</v>
      </c>
      <c r="R2068">
        <v>3286.6</v>
      </c>
      <c r="S2068">
        <v>1526.73</v>
      </c>
      <c r="T2068">
        <v>57810.21</v>
      </c>
      <c r="U2068">
        <v>42296.74</v>
      </c>
      <c r="V2068">
        <v>24382.41</v>
      </c>
      <c r="W2068">
        <v>21514.39</v>
      </c>
      <c r="X2068">
        <v>75811.73</v>
      </c>
      <c r="Y2068">
        <v>61343</v>
      </c>
    </row>
    <row r="2069" spans="1:25" x14ac:dyDescent="0.25">
      <c r="A2069" t="s">
        <v>2125</v>
      </c>
      <c r="B2069" s="1">
        <v>45511</v>
      </c>
      <c r="C2069">
        <v>2024</v>
      </c>
      <c r="D2069">
        <v>8</v>
      </c>
      <c r="E2069" t="s">
        <v>814</v>
      </c>
      <c r="F2069" t="s">
        <v>691</v>
      </c>
      <c r="G2069" t="s">
        <v>35</v>
      </c>
      <c r="H2069" t="s">
        <v>29</v>
      </c>
      <c r="I2069" t="s">
        <v>33</v>
      </c>
      <c r="J2069">
        <v>53</v>
      </c>
      <c r="K2069">
        <v>1178.74</v>
      </c>
      <c r="L2069">
        <v>62473.05</v>
      </c>
      <c r="M2069">
        <v>34113.96</v>
      </c>
      <c r="N2069">
        <v>7794.54</v>
      </c>
      <c r="O2069">
        <v>4636.9399999999996</v>
      </c>
      <c r="P2069">
        <v>2614.4899999999998</v>
      </c>
      <c r="Q2069">
        <v>1085.98</v>
      </c>
      <c r="R2069">
        <v>3813.43</v>
      </c>
      <c r="S2069">
        <v>1449.25</v>
      </c>
      <c r="T2069">
        <v>55508.59</v>
      </c>
      <c r="U2069">
        <v>28359.1</v>
      </c>
      <c r="V2069">
        <v>6964.47</v>
      </c>
      <c r="W2069">
        <v>7086.33</v>
      </c>
      <c r="X2069">
        <v>57595.02</v>
      </c>
      <c r="Y2069">
        <v>59863.46</v>
      </c>
    </row>
    <row r="2070" spans="1:25" x14ac:dyDescent="0.25">
      <c r="A2070" t="s">
        <v>2126</v>
      </c>
      <c r="B2070" s="1">
        <v>45512</v>
      </c>
      <c r="C2070">
        <v>2024</v>
      </c>
      <c r="D2070">
        <v>8</v>
      </c>
      <c r="E2070" t="s">
        <v>814</v>
      </c>
      <c r="F2070" t="s">
        <v>691</v>
      </c>
      <c r="G2070" t="s">
        <v>35</v>
      </c>
      <c r="H2070" t="s">
        <v>32</v>
      </c>
      <c r="I2070" t="s">
        <v>45</v>
      </c>
      <c r="J2070">
        <v>65</v>
      </c>
      <c r="K2070">
        <v>841.25</v>
      </c>
      <c r="L2070">
        <v>54681.57</v>
      </c>
      <c r="M2070">
        <v>30342.54</v>
      </c>
      <c r="N2070">
        <v>3946.44</v>
      </c>
      <c r="O2070">
        <v>3456.34</v>
      </c>
      <c r="P2070">
        <v>2252.7199999999998</v>
      </c>
      <c r="Q2070">
        <v>914.57</v>
      </c>
      <c r="R2070">
        <v>2878</v>
      </c>
      <c r="S2070">
        <v>971.55</v>
      </c>
      <c r="T2070">
        <v>44762.15</v>
      </c>
      <c r="U2070">
        <v>24339.03</v>
      </c>
      <c r="V2070">
        <v>9919.42</v>
      </c>
      <c r="W2070">
        <v>9711.68</v>
      </c>
      <c r="X2070">
        <v>55683.97</v>
      </c>
      <c r="Y2070">
        <v>42155.08</v>
      </c>
    </row>
    <row r="2071" spans="1:25" x14ac:dyDescent="0.25">
      <c r="A2071" t="s">
        <v>2127</v>
      </c>
      <c r="B2071" s="1">
        <v>45512</v>
      </c>
      <c r="C2071">
        <v>2024</v>
      </c>
      <c r="D2071">
        <v>8</v>
      </c>
      <c r="E2071" t="s">
        <v>814</v>
      </c>
      <c r="F2071" t="s">
        <v>691</v>
      </c>
      <c r="G2071" t="s">
        <v>44</v>
      </c>
      <c r="H2071" t="s">
        <v>32</v>
      </c>
      <c r="I2071" t="s">
        <v>30</v>
      </c>
      <c r="J2071">
        <v>88</v>
      </c>
      <c r="K2071">
        <v>1431.89</v>
      </c>
      <c r="L2071">
        <v>126006.5</v>
      </c>
      <c r="M2071">
        <v>69407.009999999995</v>
      </c>
      <c r="N2071">
        <v>14298.89</v>
      </c>
      <c r="O2071">
        <v>8347.59</v>
      </c>
      <c r="P2071">
        <v>4792.22</v>
      </c>
      <c r="Q2071">
        <v>2158.54</v>
      </c>
      <c r="R2071">
        <v>5999.69</v>
      </c>
      <c r="S2071">
        <v>2609.58</v>
      </c>
      <c r="T2071">
        <v>107613.52</v>
      </c>
      <c r="U2071">
        <v>56599.49</v>
      </c>
      <c r="V2071">
        <v>18392.98</v>
      </c>
      <c r="W2071">
        <v>18219.580000000002</v>
      </c>
      <c r="X2071">
        <v>123449.64</v>
      </c>
      <c r="Y2071">
        <v>106913.71</v>
      </c>
    </row>
    <row r="2072" spans="1:25" x14ac:dyDescent="0.25">
      <c r="A2072" t="s">
        <v>2128</v>
      </c>
      <c r="B2072" s="1">
        <v>45513</v>
      </c>
      <c r="C2072">
        <v>2024</v>
      </c>
      <c r="D2072">
        <v>8</v>
      </c>
      <c r="E2072" t="s">
        <v>814</v>
      </c>
      <c r="F2072" t="s">
        <v>691</v>
      </c>
      <c r="G2072" t="s">
        <v>44</v>
      </c>
      <c r="H2072" t="s">
        <v>36</v>
      </c>
      <c r="I2072" t="s">
        <v>30</v>
      </c>
      <c r="J2072">
        <v>57</v>
      </c>
      <c r="K2072">
        <v>1160.03</v>
      </c>
      <c r="L2072">
        <v>66121.58</v>
      </c>
      <c r="M2072">
        <v>40260.49</v>
      </c>
      <c r="N2072">
        <v>6046.48</v>
      </c>
      <c r="O2072">
        <v>4737.3100000000004</v>
      </c>
      <c r="P2072">
        <v>2349.5500000000002</v>
      </c>
      <c r="Q2072">
        <v>398.18</v>
      </c>
      <c r="R2072">
        <v>2754.03</v>
      </c>
      <c r="S2072">
        <v>1156.97</v>
      </c>
      <c r="T2072">
        <v>57703.01</v>
      </c>
      <c r="U2072">
        <v>25861.09</v>
      </c>
      <c r="V2072">
        <v>8418.57</v>
      </c>
      <c r="W2072">
        <v>8031.37</v>
      </c>
      <c r="X2072">
        <v>67041.039999999994</v>
      </c>
      <c r="Y2072">
        <v>57835.96</v>
      </c>
    </row>
    <row r="2073" spans="1:25" x14ac:dyDescent="0.25">
      <c r="A2073" t="s">
        <v>2129</v>
      </c>
      <c r="B2073" s="1">
        <v>45513</v>
      </c>
      <c r="C2073">
        <v>2024</v>
      </c>
      <c r="D2073">
        <v>8</v>
      </c>
      <c r="E2073" t="s">
        <v>814</v>
      </c>
      <c r="F2073" t="s">
        <v>691</v>
      </c>
      <c r="G2073" t="s">
        <v>28</v>
      </c>
      <c r="H2073" t="s">
        <v>32</v>
      </c>
      <c r="I2073" t="s">
        <v>39</v>
      </c>
      <c r="J2073">
        <v>43</v>
      </c>
      <c r="K2073">
        <v>1462.84</v>
      </c>
      <c r="L2073">
        <v>62902.080000000002</v>
      </c>
      <c r="M2073">
        <v>41817.019999999997</v>
      </c>
      <c r="N2073">
        <v>5943.64</v>
      </c>
      <c r="O2073">
        <v>3554.12</v>
      </c>
      <c r="P2073">
        <v>2455.14</v>
      </c>
      <c r="Q2073">
        <v>571.63</v>
      </c>
      <c r="R2073">
        <v>2089.64</v>
      </c>
      <c r="S2073">
        <v>649.1</v>
      </c>
      <c r="T2073">
        <v>57080.29</v>
      </c>
      <c r="U2073">
        <v>21085.06</v>
      </c>
      <c r="V2073">
        <v>5821.78</v>
      </c>
      <c r="W2073">
        <v>5178.37</v>
      </c>
      <c r="X2073">
        <v>61281.41</v>
      </c>
      <c r="Y2073">
        <v>56009.84</v>
      </c>
    </row>
    <row r="2074" spans="1:25" x14ac:dyDescent="0.25">
      <c r="A2074" t="s">
        <v>2130</v>
      </c>
      <c r="B2074" s="1">
        <v>45514</v>
      </c>
      <c r="C2074">
        <v>2024</v>
      </c>
      <c r="D2074">
        <v>8</v>
      </c>
      <c r="E2074" t="s">
        <v>814</v>
      </c>
      <c r="F2074" t="s">
        <v>691</v>
      </c>
      <c r="G2074" t="s">
        <v>28</v>
      </c>
      <c r="H2074" t="s">
        <v>32</v>
      </c>
      <c r="I2074" t="s">
        <v>37</v>
      </c>
      <c r="J2074">
        <v>60</v>
      </c>
      <c r="K2074">
        <v>1531.05</v>
      </c>
      <c r="L2074">
        <v>91863.18</v>
      </c>
      <c r="M2074">
        <v>53571.41</v>
      </c>
      <c r="N2074">
        <v>11538.7</v>
      </c>
      <c r="O2074">
        <v>2878.15</v>
      </c>
      <c r="P2074">
        <v>2872.31</v>
      </c>
      <c r="Q2074">
        <v>1063.21</v>
      </c>
      <c r="R2074">
        <v>5540.15</v>
      </c>
      <c r="S2074">
        <v>777.48</v>
      </c>
      <c r="T2074">
        <v>78241.399999999994</v>
      </c>
      <c r="U2074">
        <v>38291.769999999997</v>
      </c>
      <c r="V2074">
        <v>13621.77</v>
      </c>
      <c r="W2074">
        <v>13043.47</v>
      </c>
      <c r="X2074">
        <v>85547.97</v>
      </c>
      <c r="Y2074">
        <v>77372.77</v>
      </c>
    </row>
    <row r="2075" spans="1:25" x14ac:dyDescent="0.25">
      <c r="A2075" t="s">
        <v>2131</v>
      </c>
      <c r="B2075" s="1">
        <v>45514</v>
      </c>
      <c r="C2075">
        <v>2024</v>
      </c>
      <c r="D2075">
        <v>8</v>
      </c>
      <c r="E2075" t="s">
        <v>814</v>
      </c>
      <c r="F2075" t="s">
        <v>691</v>
      </c>
      <c r="G2075" t="s">
        <v>44</v>
      </c>
      <c r="H2075" t="s">
        <v>36</v>
      </c>
      <c r="I2075" t="s">
        <v>56</v>
      </c>
      <c r="J2075">
        <v>25</v>
      </c>
      <c r="K2075">
        <v>1187.95</v>
      </c>
      <c r="L2075">
        <v>29698.71</v>
      </c>
      <c r="M2075">
        <v>18627.439999999999</v>
      </c>
      <c r="N2075">
        <v>3401.86</v>
      </c>
      <c r="O2075">
        <v>800.09</v>
      </c>
      <c r="P2075">
        <v>926.56</v>
      </c>
      <c r="Q2075">
        <v>183.31</v>
      </c>
      <c r="R2075">
        <v>924.62</v>
      </c>
      <c r="S2075">
        <v>523.65</v>
      </c>
      <c r="T2075">
        <v>25387.53</v>
      </c>
      <c r="U2075">
        <v>11071.27</v>
      </c>
      <c r="V2075">
        <v>4311.18</v>
      </c>
      <c r="W2075">
        <v>3972.24</v>
      </c>
      <c r="X2075">
        <v>31694.45</v>
      </c>
      <c r="Y2075">
        <v>23802.17</v>
      </c>
    </row>
    <row r="2076" spans="1:25" x14ac:dyDescent="0.25">
      <c r="A2076" t="s">
        <v>2132</v>
      </c>
      <c r="B2076" s="1">
        <v>45514</v>
      </c>
      <c r="C2076">
        <v>2024</v>
      </c>
      <c r="D2076">
        <v>8</v>
      </c>
      <c r="E2076" t="s">
        <v>814</v>
      </c>
      <c r="F2076" t="s">
        <v>691</v>
      </c>
      <c r="G2076" t="s">
        <v>44</v>
      </c>
      <c r="H2076" t="s">
        <v>32</v>
      </c>
      <c r="I2076" t="s">
        <v>45</v>
      </c>
      <c r="J2076">
        <v>63</v>
      </c>
      <c r="K2076">
        <v>953.55</v>
      </c>
      <c r="L2076">
        <v>60073.77</v>
      </c>
      <c r="M2076">
        <v>36472.1</v>
      </c>
      <c r="N2076">
        <v>5143.54</v>
      </c>
      <c r="O2076">
        <v>4353.1099999999997</v>
      </c>
      <c r="P2076">
        <v>1984.52</v>
      </c>
      <c r="Q2076">
        <v>735.13</v>
      </c>
      <c r="R2076">
        <v>3897.08</v>
      </c>
      <c r="S2076">
        <v>754.16</v>
      </c>
      <c r="T2076">
        <v>53339.63</v>
      </c>
      <c r="U2076">
        <v>23601.67</v>
      </c>
      <c r="V2076">
        <v>6734.14</v>
      </c>
      <c r="W2076">
        <v>6256.72</v>
      </c>
      <c r="X2076">
        <v>60707.41</v>
      </c>
      <c r="Y2076">
        <v>54593.18</v>
      </c>
    </row>
    <row r="2077" spans="1:25" x14ac:dyDescent="0.25">
      <c r="A2077" t="s">
        <v>2133</v>
      </c>
      <c r="B2077" s="1">
        <v>45514</v>
      </c>
      <c r="C2077">
        <v>2024</v>
      </c>
      <c r="D2077">
        <v>8</v>
      </c>
      <c r="E2077" t="s">
        <v>814</v>
      </c>
      <c r="F2077" t="s">
        <v>691</v>
      </c>
      <c r="G2077" t="s">
        <v>35</v>
      </c>
      <c r="H2077" t="s">
        <v>32</v>
      </c>
      <c r="I2077" t="s">
        <v>37</v>
      </c>
      <c r="J2077">
        <v>85</v>
      </c>
      <c r="K2077">
        <v>873.68</v>
      </c>
      <c r="L2077">
        <v>74262.39</v>
      </c>
      <c r="M2077">
        <v>49814.85</v>
      </c>
      <c r="N2077">
        <v>9042.26</v>
      </c>
      <c r="O2077">
        <v>4115.8900000000003</v>
      </c>
      <c r="P2077">
        <v>1757.35</v>
      </c>
      <c r="Q2077">
        <v>479.99</v>
      </c>
      <c r="R2077">
        <v>4092.22</v>
      </c>
      <c r="S2077">
        <v>1256.05</v>
      </c>
      <c r="T2077">
        <v>70558.61</v>
      </c>
      <c r="U2077">
        <v>24447.54</v>
      </c>
      <c r="V2077">
        <v>3703.78</v>
      </c>
      <c r="W2077">
        <v>3528.55</v>
      </c>
      <c r="X2077">
        <v>70912.31</v>
      </c>
      <c r="Y2077">
        <v>67457.850000000006</v>
      </c>
    </row>
    <row r="2078" spans="1:25" x14ac:dyDescent="0.25">
      <c r="A2078" t="s">
        <v>2134</v>
      </c>
      <c r="B2078" s="1">
        <v>45514</v>
      </c>
      <c r="C2078">
        <v>2024</v>
      </c>
      <c r="D2078">
        <v>8</v>
      </c>
      <c r="E2078" t="s">
        <v>814</v>
      </c>
      <c r="F2078" t="s">
        <v>691</v>
      </c>
      <c r="G2078" t="s">
        <v>35</v>
      </c>
      <c r="H2078" t="s">
        <v>32</v>
      </c>
      <c r="I2078" t="s">
        <v>33</v>
      </c>
      <c r="J2078">
        <v>64</v>
      </c>
      <c r="K2078">
        <v>1399.2</v>
      </c>
      <c r="L2078">
        <v>89548.71</v>
      </c>
      <c r="M2078">
        <v>59492.42</v>
      </c>
      <c r="N2078">
        <v>7616.36</v>
      </c>
      <c r="O2078">
        <v>5747.28</v>
      </c>
      <c r="P2078">
        <v>3387.34</v>
      </c>
      <c r="Q2078">
        <v>1262.24</v>
      </c>
      <c r="R2078">
        <v>2268.83</v>
      </c>
      <c r="S2078">
        <v>918.26</v>
      </c>
      <c r="T2078">
        <v>80692.73</v>
      </c>
      <c r="U2078">
        <v>30056.29</v>
      </c>
      <c r="V2078">
        <v>8855.98</v>
      </c>
      <c r="W2078">
        <v>8058.39</v>
      </c>
      <c r="X2078">
        <v>97967.41</v>
      </c>
      <c r="Y2078">
        <v>86503.48</v>
      </c>
    </row>
    <row r="2079" spans="1:25" x14ac:dyDescent="0.25">
      <c r="A2079" t="s">
        <v>2135</v>
      </c>
      <c r="B2079" s="1">
        <v>45514</v>
      </c>
      <c r="C2079">
        <v>2024</v>
      </c>
      <c r="D2079">
        <v>8</v>
      </c>
      <c r="E2079" t="s">
        <v>814</v>
      </c>
      <c r="F2079" t="s">
        <v>691</v>
      </c>
      <c r="G2079" t="s">
        <v>55</v>
      </c>
      <c r="H2079" t="s">
        <v>58</v>
      </c>
      <c r="I2079" t="s">
        <v>45</v>
      </c>
      <c r="J2079">
        <v>43</v>
      </c>
      <c r="K2079">
        <v>1123.79</v>
      </c>
      <c r="L2079">
        <v>48323.03</v>
      </c>
      <c r="M2079">
        <v>26194.400000000001</v>
      </c>
      <c r="N2079">
        <v>5419.85</v>
      </c>
      <c r="O2079">
        <v>2775.93</v>
      </c>
      <c r="P2079">
        <v>1686.48</v>
      </c>
      <c r="Q2079">
        <v>363.1</v>
      </c>
      <c r="R2079">
        <v>1405.47</v>
      </c>
      <c r="S2079">
        <v>778.1</v>
      </c>
      <c r="T2079">
        <v>38623.32</v>
      </c>
      <c r="U2079">
        <v>22128.639999999999</v>
      </c>
      <c r="V2079">
        <v>9699.7099999999991</v>
      </c>
      <c r="W2079">
        <v>9149.6</v>
      </c>
      <c r="X2079">
        <v>51014.13</v>
      </c>
      <c r="Y2079">
        <v>40839.870000000003</v>
      </c>
    </row>
    <row r="2080" spans="1:25" x14ac:dyDescent="0.25">
      <c r="A2080" t="s">
        <v>2136</v>
      </c>
      <c r="B2080" s="1">
        <v>45514</v>
      </c>
      <c r="C2080">
        <v>2024</v>
      </c>
      <c r="D2080">
        <v>8</v>
      </c>
      <c r="E2080" t="s">
        <v>814</v>
      </c>
      <c r="F2080" t="s">
        <v>691</v>
      </c>
      <c r="G2080" t="s">
        <v>28</v>
      </c>
      <c r="H2080" t="s">
        <v>29</v>
      </c>
      <c r="I2080" t="s">
        <v>50</v>
      </c>
      <c r="J2080">
        <v>37</v>
      </c>
      <c r="K2080">
        <v>1750.76</v>
      </c>
      <c r="L2080">
        <v>64778.2</v>
      </c>
      <c r="M2080">
        <v>40446.379999999997</v>
      </c>
      <c r="N2080">
        <v>5262.83</v>
      </c>
      <c r="O2080">
        <v>3726.23</v>
      </c>
      <c r="P2080">
        <v>2263.33</v>
      </c>
      <c r="Q2080">
        <v>872.76</v>
      </c>
      <c r="R2080">
        <v>2656.13</v>
      </c>
      <c r="S2080">
        <v>1136.33</v>
      </c>
      <c r="T2080">
        <v>56363.99</v>
      </c>
      <c r="U2080">
        <v>24331.81</v>
      </c>
      <c r="V2080">
        <v>8414.2000000000007</v>
      </c>
      <c r="W2080">
        <v>8253.2900000000009</v>
      </c>
      <c r="X2080">
        <v>66529.7</v>
      </c>
      <c r="Y2080">
        <v>60622.65</v>
      </c>
    </row>
    <row r="2081" spans="1:25" x14ac:dyDescent="0.25">
      <c r="A2081" t="s">
        <v>2137</v>
      </c>
      <c r="B2081" s="1">
        <v>45514</v>
      </c>
      <c r="C2081">
        <v>2024</v>
      </c>
      <c r="D2081">
        <v>8</v>
      </c>
      <c r="E2081" t="s">
        <v>814</v>
      </c>
      <c r="F2081" t="s">
        <v>691</v>
      </c>
      <c r="G2081" t="s">
        <v>55</v>
      </c>
      <c r="H2081" t="s">
        <v>58</v>
      </c>
      <c r="I2081" t="s">
        <v>50</v>
      </c>
      <c r="J2081">
        <v>34</v>
      </c>
      <c r="K2081">
        <v>1695.95</v>
      </c>
      <c r="L2081">
        <v>57662.13</v>
      </c>
      <c r="M2081">
        <v>35294.639999999999</v>
      </c>
      <c r="N2081">
        <v>4720.25</v>
      </c>
      <c r="O2081">
        <v>3194.18</v>
      </c>
      <c r="P2081">
        <v>1683.76</v>
      </c>
      <c r="Q2081">
        <v>381.81</v>
      </c>
      <c r="R2081">
        <v>3318.49</v>
      </c>
      <c r="S2081">
        <v>1123.26</v>
      </c>
      <c r="T2081">
        <v>49716.39</v>
      </c>
      <c r="U2081">
        <v>22367.49</v>
      </c>
      <c r="V2081">
        <v>7945.74</v>
      </c>
      <c r="W2081">
        <v>7936.72</v>
      </c>
      <c r="X2081">
        <v>62555.09</v>
      </c>
      <c r="Y2081">
        <v>53990.45</v>
      </c>
    </row>
    <row r="2082" spans="1:25" x14ac:dyDescent="0.25">
      <c r="A2082" t="s">
        <v>2138</v>
      </c>
      <c r="B2082" s="1">
        <v>45515</v>
      </c>
      <c r="C2082">
        <v>2024</v>
      </c>
      <c r="D2082">
        <v>8</v>
      </c>
      <c r="E2082" t="s">
        <v>814</v>
      </c>
      <c r="F2082" t="s">
        <v>691</v>
      </c>
      <c r="G2082" t="s">
        <v>35</v>
      </c>
      <c r="H2082" t="s">
        <v>53</v>
      </c>
      <c r="I2082" t="s">
        <v>30</v>
      </c>
      <c r="J2082">
        <v>86</v>
      </c>
      <c r="K2082">
        <v>943.78</v>
      </c>
      <c r="L2082">
        <v>81165.100000000006</v>
      </c>
      <c r="M2082">
        <v>45129.57</v>
      </c>
      <c r="N2082">
        <v>5877.88</v>
      </c>
      <c r="O2082">
        <v>5397.3</v>
      </c>
      <c r="P2082">
        <v>3018.44</v>
      </c>
      <c r="Q2082">
        <v>664.64</v>
      </c>
      <c r="R2082">
        <v>4051.84</v>
      </c>
      <c r="S2082">
        <v>816.39</v>
      </c>
      <c r="T2082">
        <v>64956.06</v>
      </c>
      <c r="U2082">
        <v>36035.54</v>
      </c>
      <c r="V2082">
        <v>16209.04</v>
      </c>
      <c r="W2082">
        <v>16036.46</v>
      </c>
      <c r="X2082">
        <v>77653.61</v>
      </c>
      <c r="Y2082">
        <v>60501.440000000002</v>
      </c>
    </row>
    <row r="2083" spans="1:25" x14ac:dyDescent="0.25">
      <c r="A2083" t="s">
        <v>2139</v>
      </c>
      <c r="B2083" s="1">
        <v>45515</v>
      </c>
      <c r="C2083">
        <v>2024</v>
      </c>
      <c r="D2083">
        <v>8</v>
      </c>
      <c r="E2083" t="s">
        <v>814</v>
      </c>
      <c r="F2083" t="s">
        <v>691</v>
      </c>
      <c r="G2083" t="s">
        <v>35</v>
      </c>
      <c r="H2083" t="s">
        <v>53</v>
      </c>
      <c r="I2083" t="s">
        <v>56</v>
      </c>
      <c r="J2083">
        <v>38</v>
      </c>
      <c r="K2083">
        <v>858.41</v>
      </c>
      <c r="L2083">
        <v>32619.7</v>
      </c>
      <c r="M2083">
        <v>21044.57</v>
      </c>
      <c r="N2083">
        <v>3312.29</v>
      </c>
      <c r="O2083">
        <v>987.51</v>
      </c>
      <c r="P2083">
        <v>832.26</v>
      </c>
      <c r="Q2083">
        <v>475.34</v>
      </c>
      <c r="R2083">
        <v>832.91</v>
      </c>
      <c r="S2083">
        <v>280.58</v>
      </c>
      <c r="T2083">
        <v>27765.47</v>
      </c>
      <c r="U2083">
        <v>11575.12</v>
      </c>
      <c r="V2083">
        <v>4854.22</v>
      </c>
      <c r="W2083">
        <v>4838.59</v>
      </c>
      <c r="X2083">
        <v>31909.39</v>
      </c>
      <c r="Y2083">
        <v>27493.57</v>
      </c>
    </row>
    <row r="2084" spans="1:25" x14ac:dyDescent="0.25">
      <c r="A2084" t="s">
        <v>2140</v>
      </c>
      <c r="B2084" s="1">
        <v>45515</v>
      </c>
      <c r="C2084">
        <v>2024</v>
      </c>
      <c r="D2084">
        <v>8</v>
      </c>
      <c r="E2084" t="s">
        <v>814</v>
      </c>
      <c r="F2084" t="s">
        <v>691</v>
      </c>
      <c r="G2084" t="s">
        <v>55</v>
      </c>
      <c r="H2084" t="s">
        <v>32</v>
      </c>
      <c r="I2084" t="s">
        <v>30</v>
      </c>
      <c r="J2084">
        <v>74</v>
      </c>
      <c r="K2084">
        <v>1545.92</v>
      </c>
      <c r="L2084">
        <v>114398.02</v>
      </c>
      <c r="M2084">
        <v>74431.070000000007</v>
      </c>
      <c r="N2084">
        <v>9434.3700000000008</v>
      </c>
      <c r="O2084">
        <v>6415.48</v>
      </c>
      <c r="P2084">
        <v>4289.87</v>
      </c>
      <c r="Q2084">
        <v>1694.12</v>
      </c>
      <c r="R2084">
        <v>6798.21</v>
      </c>
      <c r="S2084">
        <v>1449.94</v>
      </c>
      <c r="T2084">
        <v>104513.07</v>
      </c>
      <c r="U2084">
        <v>39966.949999999997</v>
      </c>
      <c r="V2084">
        <v>9884.9599999999991</v>
      </c>
      <c r="W2084">
        <v>8844.23</v>
      </c>
      <c r="X2084">
        <v>118864.54</v>
      </c>
      <c r="Y2084">
        <v>97730.42</v>
      </c>
    </row>
    <row r="2085" spans="1:25" x14ac:dyDescent="0.25">
      <c r="A2085" t="s">
        <v>2141</v>
      </c>
      <c r="B2085" s="1">
        <v>45515</v>
      </c>
      <c r="C2085">
        <v>2024</v>
      </c>
      <c r="D2085">
        <v>8</v>
      </c>
      <c r="E2085" t="s">
        <v>814</v>
      </c>
      <c r="F2085" t="s">
        <v>691</v>
      </c>
      <c r="G2085" t="s">
        <v>35</v>
      </c>
      <c r="H2085" t="s">
        <v>36</v>
      </c>
      <c r="I2085" t="s">
        <v>33</v>
      </c>
      <c r="J2085">
        <v>32</v>
      </c>
      <c r="K2085">
        <v>1618.33</v>
      </c>
      <c r="L2085">
        <v>51786.57</v>
      </c>
      <c r="M2085">
        <v>32998.559999999998</v>
      </c>
      <c r="N2085">
        <v>5303.74</v>
      </c>
      <c r="O2085">
        <v>1565.13</v>
      </c>
      <c r="P2085">
        <v>1533.87</v>
      </c>
      <c r="Q2085">
        <v>472.55</v>
      </c>
      <c r="R2085">
        <v>2410.27</v>
      </c>
      <c r="S2085">
        <v>912.33</v>
      </c>
      <c r="T2085">
        <v>45196.45</v>
      </c>
      <c r="U2085">
        <v>18788.009999999998</v>
      </c>
      <c r="V2085">
        <v>6590.12</v>
      </c>
      <c r="W2085">
        <v>5850.42</v>
      </c>
      <c r="X2085">
        <v>48841.54</v>
      </c>
      <c r="Y2085">
        <v>47671.68</v>
      </c>
    </row>
    <row r="2086" spans="1:25" x14ac:dyDescent="0.25">
      <c r="A2086" t="s">
        <v>2142</v>
      </c>
      <c r="B2086" s="1">
        <v>45515</v>
      </c>
      <c r="C2086">
        <v>2024</v>
      </c>
      <c r="D2086">
        <v>8</v>
      </c>
      <c r="E2086" t="s">
        <v>814</v>
      </c>
      <c r="F2086" t="s">
        <v>691</v>
      </c>
      <c r="G2086" t="s">
        <v>28</v>
      </c>
      <c r="H2086" t="s">
        <v>32</v>
      </c>
      <c r="I2086" t="s">
        <v>39</v>
      </c>
      <c r="J2086">
        <v>77</v>
      </c>
      <c r="K2086">
        <v>859.97</v>
      </c>
      <c r="L2086">
        <v>66217.960000000006</v>
      </c>
      <c r="M2086">
        <v>31887.31</v>
      </c>
      <c r="N2086">
        <v>5178.91</v>
      </c>
      <c r="O2086">
        <v>4917.43</v>
      </c>
      <c r="P2086">
        <v>1566.14</v>
      </c>
      <c r="Q2086">
        <v>676.09</v>
      </c>
      <c r="R2086">
        <v>2399.81</v>
      </c>
      <c r="S2086">
        <v>1597.82</v>
      </c>
      <c r="T2086">
        <v>48223.519999999997</v>
      </c>
      <c r="U2086">
        <v>34330.639999999999</v>
      </c>
      <c r="V2086">
        <v>17994.439999999999</v>
      </c>
      <c r="W2086">
        <v>16889.63</v>
      </c>
      <c r="X2086">
        <v>63573.33</v>
      </c>
      <c r="Y2086">
        <v>52029.02</v>
      </c>
    </row>
    <row r="2087" spans="1:25" x14ac:dyDescent="0.25">
      <c r="A2087" t="s">
        <v>2143</v>
      </c>
      <c r="B2087" s="1">
        <v>45516</v>
      </c>
      <c r="C2087">
        <v>2024</v>
      </c>
      <c r="D2087">
        <v>8</v>
      </c>
      <c r="E2087" t="s">
        <v>814</v>
      </c>
      <c r="F2087" t="s">
        <v>691</v>
      </c>
      <c r="G2087" t="s">
        <v>55</v>
      </c>
      <c r="H2087" t="s">
        <v>32</v>
      </c>
      <c r="I2087" t="s">
        <v>39</v>
      </c>
      <c r="J2087">
        <v>30</v>
      </c>
      <c r="K2087">
        <v>1594.21</v>
      </c>
      <c r="L2087">
        <v>47826.44</v>
      </c>
      <c r="M2087">
        <v>28433.69</v>
      </c>
      <c r="N2087">
        <v>6148.01</v>
      </c>
      <c r="O2087">
        <v>2307.7800000000002</v>
      </c>
      <c r="P2087">
        <v>1687.98</v>
      </c>
      <c r="Q2087">
        <v>426.24</v>
      </c>
      <c r="R2087">
        <v>2331.83</v>
      </c>
      <c r="S2087">
        <v>895.17</v>
      </c>
      <c r="T2087">
        <v>42230.69</v>
      </c>
      <c r="U2087">
        <v>19392.75</v>
      </c>
      <c r="V2087">
        <v>5595.75</v>
      </c>
      <c r="W2087">
        <v>5240.78</v>
      </c>
      <c r="X2087">
        <v>45263.98</v>
      </c>
      <c r="Y2087">
        <v>40978.75</v>
      </c>
    </row>
    <row r="2088" spans="1:25" x14ac:dyDescent="0.25">
      <c r="A2088" t="s">
        <v>2144</v>
      </c>
      <c r="B2088" s="1">
        <v>45516</v>
      </c>
      <c r="C2088">
        <v>2024</v>
      </c>
      <c r="D2088">
        <v>8</v>
      </c>
      <c r="E2088" t="s">
        <v>814</v>
      </c>
      <c r="F2088" t="s">
        <v>691</v>
      </c>
      <c r="G2088" t="s">
        <v>55</v>
      </c>
      <c r="H2088" t="s">
        <v>58</v>
      </c>
      <c r="I2088" t="s">
        <v>33</v>
      </c>
      <c r="J2088">
        <v>68</v>
      </c>
      <c r="K2088">
        <v>1284.01</v>
      </c>
      <c r="L2088">
        <v>87312.76</v>
      </c>
      <c r="M2088">
        <v>47836.18</v>
      </c>
      <c r="N2088">
        <v>6640.75</v>
      </c>
      <c r="O2088">
        <v>4107.75</v>
      </c>
      <c r="P2088">
        <v>2606.11</v>
      </c>
      <c r="Q2088">
        <v>698.83</v>
      </c>
      <c r="R2088">
        <v>3145.42</v>
      </c>
      <c r="S2088">
        <v>930.05</v>
      </c>
      <c r="T2088">
        <v>65965.100000000006</v>
      </c>
      <c r="U2088">
        <v>39476.58</v>
      </c>
      <c r="V2088">
        <v>21347.66</v>
      </c>
      <c r="W2088">
        <v>19747.78</v>
      </c>
      <c r="X2088">
        <v>87397.1</v>
      </c>
      <c r="Y2088">
        <v>71625.009999999995</v>
      </c>
    </row>
    <row r="2089" spans="1:25" x14ac:dyDescent="0.25">
      <c r="A2089" t="s">
        <v>2145</v>
      </c>
      <c r="B2089" s="1">
        <v>45517</v>
      </c>
      <c r="C2089">
        <v>2024</v>
      </c>
      <c r="D2089">
        <v>8</v>
      </c>
      <c r="E2089" t="s">
        <v>814</v>
      </c>
      <c r="F2089" t="s">
        <v>691</v>
      </c>
      <c r="G2089" t="s">
        <v>35</v>
      </c>
      <c r="H2089" t="s">
        <v>32</v>
      </c>
      <c r="I2089" t="s">
        <v>50</v>
      </c>
      <c r="J2089">
        <v>34</v>
      </c>
      <c r="K2089">
        <v>1472.64</v>
      </c>
      <c r="L2089">
        <v>50069.9</v>
      </c>
      <c r="M2089">
        <v>33349.519999999997</v>
      </c>
      <c r="N2089">
        <v>5213.26</v>
      </c>
      <c r="O2089">
        <v>3228.87</v>
      </c>
      <c r="P2089">
        <v>1374.56</v>
      </c>
      <c r="Q2089">
        <v>290.64999999999998</v>
      </c>
      <c r="R2089">
        <v>2974.38</v>
      </c>
      <c r="S2089">
        <v>931.55</v>
      </c>
      <c r="T2089">
        <v>47362.79</v>
      </c>
      <c r="U2089">
        <v>16720.38</v>
      </c>
      <c r="V2089">
        <v>2707.11</v>
      </c>
      <c r="W2089">
        <v>2575.34</v>
      </c>
      <c r="X2089">
        <v>46766.080000000002</v>
      </c>
      <c r="Y2089">
        <v>49802.71</v>
      </c>
    </row>
    <row r="2090" spans="1:25" x14ac:dyDescent="0.25">
      <c r="A2090" t="s">
        <v>2146</v>
      </c>
      <c r="B2090" s="1">
        <v>45518</v>
      </c>
      <c r="C2090">
        <v>2024</v>
      </c>
      <c r="D2090">
        <v>8</v>
      </c>
      <c r="E2090" t="s">
        <v>814</v>
      </c>
      <c r="F2090" t="s">
        <v>691</v>
      </c>
      <c r="G2090" t="s">
        <v>28</v>
      </c>
      <c r="H2090" t="s">
        <v>32</v>
      </c>
      <c r="I2090" t="s">
        <v>50</v>
      </c>
      <c r="J2090">
        <v>40</v>
      </c>
      <c r="K2090">
        <v>1625.06</v>
      </c>
      <c r="L2090">
        <v>65002.41</v>
      </c>
      <c r="M2090">
        <v>42973.36</v>
      </c>
      <c r="N2090">
        <v>5503.86</v>
      </c>
      <c r="O2090">
        <v>3908.42</v>
      </c>
      <c r="P2090">
        <v>2492.38</v>
      </c>
      <c r="Q2090">
        <v>718.5</v>
      </c>
      <c r="R2090">
        <v>3563.67</v>
      </c>
      <c r="S2090">
        <v>1471.42</v>
      </c>
      <c r="T2090">
        <v>60631.6</v>
      </c>
      <c r="U2090">
        <v>22029.05</v>
      </c>
      <c r="V2090">
        <v>4370.8100000000004</v>
      </c>
      <c r="W2090">
        <v>4420.71</v>
      </c>
      <c r="X2090">
        <v>60989.99</v>
      </c>
      <c r="Y2090">
        <v>66284.98</v>
      </c>
    </row>
    <row r="2091" spans="1:25" x14ac:dyDescent="0.25">
      <c r="A2091" t="s">
        <v>2147</v>
      </c>
      <c r="B2091" s="1">
        <v>45518</v>
      </c>
      <c r="C2091">
        <v>2024</v>
      </c>
      <c r="D2091">
        <v>8</v>
      </c>
      <c r="E2091" t="s">
        <v>814</v>
      </c>
      <c r="F2091" t="s">
        <v>691</v>
      </c>
      <c r="G2091" t="s">
        <v>55</v>
      </c>
      <c r="H2091" t="s">
        <v>36</v>
      </c>
      <c r="I2091" t="s">
        <v>39</v>
      </c>
      <c r="J2091">
        <v>28</v>
      </c>
      <c r="K2091">
        <v>1631.59</v>
      </c>
      <c r="L2091">
        <v>45684.58</v>
      </c>
      <c r="M2091">
        <v>25000.67</v>
      </c>
      <c r="N2091">
        <v>3955.96</v>
      </c>
      <c r="O2091">
        <v>2421.29</v>
      </c>
      <c r="P2091">
        <v>1851.7</v>
      </c>
      <c r="Q2091">
        <v>389.04</v>
      </c>
      <c r="R2091">
        <v>2903.67</v>
      </c>
      <c r="S2091">
        <v>972.1</v>
      </c>
      <c r="T2091">
        <v>37494.43</v>
      </c>
      <c r="U2091">
        <v>20683.91</v>
      </c>
      <c r="V2091">
        <v>8190.15</v>
      </c>
      <c r="W2091">
        <v>7349.13</v>
      </c>
      <c r="X2091">
        <v>45471.86</v>
      </c>
      <c r="Y2091">
        <v>37476.76</v>
      </c>
    </row>
    <row r="2092" spans="1:25" x14ac:dyDescent="0.25">
      <c r="A2092" t="s">
        <v>2148</v>
      </c>
      <c r="B2092" s="1">
        <v>45519</v>
      </c>
      <c r="C2092">
        <v>2024</v>
      </c>
      <c r="D2092">
        <v>8</v>
      </c>
      <c r="E2092" t="s">
        <v>814</v>
      </c>
      <c r="F2092" t="s">
        <v>691</v>
      </c>
      <c r="G2092" t="s">
        <v>44</v>
      </c>
      <c r="H2092" t="s">
        <v>53</v>
      </c>
      <c r="I2092" t="s">
        <v>39</v>
      </c>
      <c r="J2092">
        <v>23</v>
      </c>
      <c r="K2092">
        <v>1271.9000000000001</v>
      </c>
      <c r="L2092">
        <v>29253.7</v>
      </c>
      <c r="M2092">
        <v>14517.75</v>
      </c>
      <c r="N2092">
        <v>2989.89</v>
      </c>
      <c r="O2092">
        <v>922.93</v>
      </c>
      <c r="P2092">
        <v>1217.77</v>
      </c>
      <c r="Q2092">
        <v>517.54</v>
      </c>
      <c r="R2092">
        <v>1507.78</v>
      </c>
      <c r="S2092">
        <v>494.25</v>
      </c>
      <c r="T2092">
        <v>22167.91</v>
      </c>
      <c r="U2092">
        <v>14735.95</v>
      </c>
      <c r="V2092">
        <v>7085.8</v>
      </c>
      <c r="W2092">
        <v>6256.12</v>
      </c>
      <c r="X2092">
        <v>29282.19</v>
      </c>
      <c r="Y2092">
        <v>23349.52</v>
      </c>
    </row>
    <row r="2093" spans="1:25" x14ac:dyDescent="0.25">
      <c r="A2093" t="s">
        <v>2149</v>
      </c>
      <c r="B2093" s="1">
        <v>45519</v>
      </c>
      <c r="C2093">
        <v>2024</v>
      </c>
      <c r="D2093">
        <v>8</v>
      </c>
      <c r="E2093" t="s">
        <v>814</v>
      </c>
      <c r="F2093" t="s">
        <v>691</v>
      </c>
      <c r="G2093" t="s">
        <v>35</v>
      </c>
      <c r="H2093" t="s">
        <v>36</v>
      </c>
      <c r="I2093" t="s">
        <v>30</v>
      </c>
      <c r="J2093">
        <v>75</v>
      </c>
      <c r="K2093">
        <v>1060.26</v>
      </c>
      <c r="L2093">
        <v>79519.399999999994</v>
      </c>
      <c r="M2093">
        <v>53236.13</v>
      </c>
      <c r="N2093">
        <v>8878.52</v>
      </c>
      <c r="O2093">
        <v>4928.8500000000004</v>
      </c>
      <c r="P2093">
        <v>1961.11</v>
      </c>
      <c r="Q2093">
        <v>1244.3</v>
      </c>
      <c r="R2093">
        <v>3775.46</v>
      </c>
      <c r="S2093">
        <v>1686.53</v>
      </c>
      <c r="T2093">
        <v>75710.91</v>
      </c>
      <c r="U2093">
        <v>26283.26</v>
      </c>
      <c r="V2093">
        <v>3808.49</v>
      </c>
      <c r="W2093">
        <v>3730.47</v>
      </c>
      <c r="X2093">
        <v>86805.62</v>
      </c>
      <c r="Y2093">
        <v>70786.61</v>
      </c>
    </row>
    <row r="2094" spans="1:25" x14ac:dyDescent="0.25">
      <c r="A2094" t="s">
        <v>2150</v>
      </c>
      <c r="B2094" s="1">
        <v>45519</v>
      </c>
      <c r="C2094">
        <v>2024</v>
      </c>
      <c r="D2094">
        <v>8</v>
      </c>
      <c r="E2094" t="s">
        <v>814</v>
      </c>
      <c r="F2094" t="s">
        <v>691</v>
      </c>
      <c r="G2094" t="s">
        <v>55</v>
      </c>
      <c r="H2094" t="s">
        <v>32</v>
      </c>
      <c r="I2094" t="s">
        <v>37</v>
      </c>
      <c r="J2094">
        <v>67</v>
      </c>
      <c r="K2094">
        <v>1591.91</v>
      </c>
      <c r="L2094">
        <v>106657.92</v>
      </c>
      <c r="M2094">
        <v>62476.87</v>
      </c>
      <c r="N2094">
        <v>7931.8</v>
      </c>
      <c r="O2094">
        <v>2830.59</v>
      </c>
      <c r="P2094">
        <v>4414.5</v>
      </c>
      <c r="Q2094">
        <v>688.31</v>
      </c>
      <c r="R2094">
        <v>5127.53</v>
      </c>
      <c r="S2094">
        <v>1701.01</v>
      </c>
      <c r="T2094">
        <v>85170.61</v>
      </c>
      <c r="U2094">
        <v>44181.05</v>
      </c>
      <c r="V2094">
        <v>21487.32</v>
      </c>
      <c r="W2094">
        <v>21078.15</v>
      </c>
      <c r="X2094">
        <v>106415.01</v>
      </c>
      <c r="Y2094">
        <v>86563.68</v>
      </c>
    </row>
    <row r="2095" spans="1:25" x14ac:dyDescent="0.25">
      <c r="A2095" t="s">
        <v>2151</v>
      </c>
      <c r="B2095" s="1">
        <v>45519</v>
      </c>
      <c r="C2095">
        <v>2024</v>
      </c>
      <c r="D2095">
        <v>8</v>
      </c>
      <c r="E2095" t="s">
        <v>814</v>
      </c>
      <c r="F2095" t="s">
        <v>691</v>
      </c>
      <c r="G2095" t="s">
        <v>28</v>
      </c>
      <c r="H2095" t="s">
        <v>36</v>
      </c>
      <c r="I2095" t="s">
        <v>56</v>
      </c>
      <c r="J2095">
        <v>28</v>
      </c>
      <c r="K2095">
        <v>1485.84</v>
      </c>
      <c r="L2095">
        <v>41603.5</v>
      </c>
      <c r="M2095">
        <v>20739.009999999998</v>
      </c>
      <c r="N2095">
        <v>5328.45</v>
      </c>
      <c r="O2095">
        <v>2691.4</v>
      </c>
      <c r="P2095">
        <v>914.75</v>
      </c>
      <c r="Q2095">
        <v>663.65</v>
      </c>
      <c r="R2095">
        <v>1113.49</v>
      </c>
      <c r="S2095">
        <v>883.21</v>
      </c>
      <c r="T2095">
        <v>32333.95</v>
      </c>
      <c r="U2095">
        <v>20864.490000000002</v>
      </c>
      <c r="V2095">
        <v>9269.5499999999993</v>
      </c>
      <c r="W2095">
        <v>8445.7900000000009</v>
      </c>
      <c r="X2095">
        <v>43515.64</v>
      </c>
      <c r="Y2095">
        <v>30408.42</v>
      </c>
    </row>
    <row r="2096" spans="1:25" x14ac:dyDescent="0.25">
      <c r="A2096" t="s">
        <v>2152</v>
      </c>
      <c r="B2096" s="1">
        <v>45519</v>
      </c>
      <c r="C2096">
        <v>2024</v>
      </c>
      <c r="D2096">
        <v>8</v>
      </c>
      <c r="E2096" t="s">
        <v>814</v>
      </c>
      <c r="F2096" t="s">
        <v>691</v>
      </c>
      <c r="G2096" t="s">
        <v>44</v>
      </c>
      <c r="H2096" t="s">
        <v>29</v>
      </c>
      <c r="I2096" t="s">
        <v>45</v>
      </c>
      <c r="J2096">
        <v>39</v>
      </c>
      <c r="K2096">
        <v>1154.69</v>
      </c>
      <c r="L2096">
        <v>45033.09</v>
      </c>
      <c r="M2096">
        <v>30480.93</v>
      </c>
      <c r="N2096">
        <v>3502.04</v>
      </c>
      <c r="O2096">
        <v>1830.53</v>
      </c>
      <c r="P2096">
        <v>1536.84</v>
      </c>
      <c r="Q2096">
        <v>299.14999999999998</v>
      </c>
      <c r="R2096">
        <v>2257.2399999999998</v>
      </c>
      <c r="S2096">
        <v>509.05</v>
      </c>
      <c r="T2096">
        <v>40415.78</v>
      </c>
      <c r="U2096">
        <v>14552.16</v>
      </c>
      <c r="V2096">
        <v>4617.3100000000004</v>
      </c>
      <c r="W2096">
        <v>4279.76</v>
      </c>
      <c r="X2096">
        <v>43671.89</v>
      </c>
      <c r="Y2096">
        <v>39896.239999999998</v>
      </c>
    </row>
    <row r="2097" spans="1:25" x14ac:dyDescent="0.25">
      <c r="A2097" t="s">
        <v>2153</v>
      </c>
      <c r="B2097" s="1">
        <v>45519</v>
      </c>
      <c r="C2097">
        <v>2024</v>
      </c>
      <c r="D2097">
        <v>8</v>
      </c>
      <c r="E2097" t="s">
        <v>814</v>
      </c>
      <c r="F2097" t="s">
        <v>691</v>
      </c>
      <c r="G2097" t="s">
        <v>28</v>
      </c>
      <c r="H2097" t="s">
        <v>32</v>
      </c>
      <c r="I2097" t="s">
        <v>56</v>
      </c>
      <c r="J2097">
        <v>33</v>
      </c>
      <c r="K2097">
        <v>1308.24</v>
      </c>
      <c r="L2097">
        <v>43172.04</v>
      </c>
      <c r="M2097">
        <v>26152.48</v>
      </c>
      <c r="N2097">
        <v>5569.24</v>
      </c>
      <c r="O2097">
        <v>1165.17</v>
      </c>
      <c r="P2097">
        <v>962.14</v>
      </c>
      <c r="Q2097">
        <v>590</v>
      </c>
      <c r="R2097">
        <v>2265.79</v>
      </c>
      <c r="S2097">
        <v>524.52</v>
      </c>
      <c r="T2097">
        <v>37229.339999999997</v>
      </c>
      <c r="U2097">
        <v>17019.560000000001</v>
      </c>
      <c r="V2097">
        <v>5942.7</v>
      </c>
      <c r="W2097">
        <v>5599.38</v>
      </c>
      <c r="X2097">
        <v>48178.91</v>
      </c>
      <c r="Y2097">
        <v>37613.050000000003</v>
      </c>
    </row>
    <row r="2098" spans="1:25" x14ac:dyDescent="0.25">
      <c r="A2098" t="s">
        <v>2154</v>
      </c>
      <c r="B2098" s="1">
        <v>45520</v>
      </c>
      <c r="C2098">
        <v>2024</v>
      </c>
      <c r="D2098">
        <v>8</v>
      </c>
      <c r="E2098" t="s">
        <v>814</v>
      </c>
      <c r="F2098" t="s">
        <v>691</v>
      </c>
      <c r="G2098" t="s">
        <v>55</v>
      </c>
      <c r="H2098" t="s">
        <v>29</v>
      </c>
      <c r="I2098" t="s">
        <v>45</v>
      </c>
      <c r="J2098">
        <v>40</v>
      </c>
      <c r="K2098">
        <v>1546.96</v>
      </c>
      <c r="L2098">
        <v>61878.35</v>
      </c>
      <c r="M2098">
        <v>36528.67</v>
      </c>
      <c r="N2098">
        <v>5561.23</v>
      </c>
      <c r="O2098">
        <v>4123.13</v>
      </c>
      <c r="P2098">
        <v>1500.95</v>
      </c>
      <c r="Q2098">
        <v>878.72</v>
      </c>
      <c r="R2098">
        <v>3540.55</v>
      </c>
      <c r="S2098">
        <v>722.91</v>
      </c>
      <c r="T2098">
        <v>52856.160000000003</v>
      </c>
      <c r="U2098">
        <v>25349.67</v>
      </c>
      <c r="V2098">
        <v>9022.19</v>
      </c>
      <c r="W2098">
        <v>8874.4599999999991</v>
      </c>
      <c r="X2098">
        <v>65578.25</v>
      </c>
      <c r="Y2098">
        <v>53583.63</v>
      </c>
    </row>
    <row r="2099" spans="1:25" x14ac:dyDescent="0.25">
      <c r="A2099" t="s">
        <v>2155</v>
      </c>
      <c r="B2099" s="1">
        <v>45520</v>
      </c>
      <c r="C2099">
        <v>2024</v>
      </c>
      <c r="D2099">
        <v>8</v>
      </c>
      <c r="E2099" t="s">
        <v>814</v>
      </c>
      <c r="F2099" t="s">
        <v>691</v>
      </c>
      <c r="G2099" t="s">
        <v>28</v>
      </c>
      <c r="H2099" t="s">
        <v>36</v>
      </c>
      <c r="I2099" t="s">
        <v>50</v>
      </c>
      <c r="J2099">
        <v>43</v>
      </c>
      <c r="K2099">
        <v>1164.31</v>
      </c>
      <c r="L2099">
        <v>50065.21</v>
      </c>
      <c r="M2099">
        <v>32020.1</v>
      </c>
      <c r="N2099">
        <v>4073.31</v>
      </c>
      <c r="O2099">
        <v>1943.32</v>
      </c>
      <c r="P2099">
        <v>1375.21</v>
      </c>
      <c r="Q2099">
        <v>851.48</v>
      </c>
      <c r="R2099">
        <v>2637.87</v>
      </c>
      <c r="S2099">
        <v>756.17</v>
      </c>
      <c r="T2099">
        <v>43657.46</v>
      </c>
      <c r="U2099">
        <v>18045.11</v>
      </c>
      <c r="V2099">
        <v>6407.75</v>
      </c>
      <c r="W2099">
        <v>5727.9</v>
      </c>
      <c r="X2099">
        <v>48142.19</v>
      </c>
      <c r="Y2099">
        <v>40683.760000000002</v>
      </c>
    </row>
    <row r="2100" spans="1:25" x14ac:dyDescent="0.25">
      <c r="A2100" t="s">
        <v>2156</v>
      </c>
      <c r="B2100" s="1">
        <v>45520</v>
      </c>
      <c r="C2100">
        <v>2024</v>
      </c>
      <c r="D2100">
        <v>8</v>
      </c>
      <c r="E2100" t="s">
        <v>814</v>
      </c>
      <c r="F2100" t="s">
        <v>691</v>
      </c>
      <c r="G2100" t="s">
        <v>28</v>
      </c>
      <c r="H2100" t="s">
        <v>32</v>
      </c>
      <c r="I2100" t="s">
        <v>37</v>
      </c>
      <c r="J2100">
        <v>52</v>
      </c>
      <c r="K2100">
        <v>1778.58</v>
      </c>
      <c r="L2100">
        <v>92485.93</v>
      </c>
      <c r="M2100">
        <v>58261.58</v>
      </c>
      <c r="N2100">
        <v>9288.82</v>
      </c>
      <c r="O2100">
        <v>4504.08</v>
      </c>
      <c r="P2100">
        <v>4106.87</v>
      </c>
      <c r="Q2100">
        <v>1528.12</v>
      </c>
      <c r="R2100">
        <v>4705.87</v>
      </c>
      <c r="S2100">
        <v>1579.61</v>
      </c>
      <c r="T2100">
        <v>83974.95</v>
      </c>
      <c r="U2100">
        <v>34224.36</v>
      </c>
      <c r="V2100">
        <v>8510.98</v>
      </c>
      <c r="W2100">
        <v>8451.09</v>
      </c>
      <c r="X2100">
        <v>89312.34</v>
      </c>
      <c r="Y2100">
        <v>84224.41</v>
      </c>
    </row>
    <row r="2101" spans="1:25" x14ac:dyDescent="0.25">
      <c r="A2101" t="s">
        <v>2157</v>
      </c>
      <c r="B2101" s="1">
        <v>45520</v>
      </c>
      <c r="C2101">
        <v>2024</v>
      </c>
      <c r="D2101">
        <v>8</v>
      </c>
      <c r="E2101" t="s">
        <v>814</v>
      </c>
      <c r="F2101" t="s">
        <v>691</v>
      </c>
      <c r="G2101" t="s">
        <v>55</v>
      </c>
      <c r="H2101" t="s">
        <v>29</v>
      </c>
      <c r="I2101" t="s">
        <v>33</v>
      </c>
      <c r="J2101">
        <v>120</v>
      </c>
      <c r="K2101">
        <v>861.49</v>
      </c>
      <c r="L2101">
        <v>103378.77</v>
      </c>
      <c r="M2101">
        <v>55336.46</v>
      </c>
      <c r="N2101">
        <v>10088.81</v>
      </c>
      <c r="O2101">
        <v>5456.38</v>
      </c>
      <c r="P2101">
        <v>4581.3500000000004</v>
      </c>
      <c r="Q2101">
        <v>1341.16</v>
      </c>
      <c r="R2101">
        <v>5003.63</v>
      </c>
      <c r="S2101">
        <v>1776.72</v>
      </c>
      <c r="T2101">
        <v>83584.509999999995</v>
      </c>
      <c r="U2101">
        <v>48042.32</v>
      </c>
      <c r="V2101">
        <v>19794.27</v>
      </c>
      <c r="W2101">
        <v>18550.46</v>
      </c>
      <c r="X2101">
        <v>113237.84</v>
      </c>
      <c r="Y2101">
        <v>88635.15</v>
      </c>
    </row>
    <row r="2102" spans="1:25" x14ac:dyDescent="0.25">
      <c r="A2102" t="s">
        <v>2158</v>
      </c>
      <c r="B2102" s="1">
        <v>45520</v>
      </c>
      <c r="C2102">
        <v>2024</v>
      </c>
      <c r="D2102">
        <v>8</v>
      </c>
      <c r="E2102" t="s">
        <v>814</v>
      </c>
      <c r="F2102" t="s">
        <v>691</v>
      </c>
      <c r="G2102" t="s">
        <v>28</v>
      </c>
      <c r="H2102" t="s">
        <v>32</v>
      </c>
      <c r="I2102" t="s">
        <v>45</v>
      </c>
      <c r="J2102">
        <v>41</v>
      </c>
      <c r="K2102">
        <v>1581.54</v>
      </c>
      <c r="L2102">
        <v>64842.95</v>
      </c>
      <c r="M2102">
        <v>38227.300000000003</v>
      </c>
      <c r="N2102">
        <v>5754.38</v>
      </c>
      <c r="O2102">
        <v>4652.8599999999997</v>
      </c>
      <c r="P2102">
        <v>1347.67</v>
      </c>
      <c r="Q2102">
        <v>689.1</v>
      </c>
      <c r="R2102">
        <v>3425.82</v>
      </c>
      <c r="S2102">
        <v>1231.25</v>
      </c>
      <c r="T2102">
        <v>55328.38</v>
      </c>
      <c r="U2102">
        <v>26615.64</v>
      </c>
      <c r="V2102">
        <v>9514.57</v>
      </c>
      <c r="W2102">
        <v>8674.59</v>
      </c>
      <c r="X2102">
        <v>72540.73</v>
      </c>
      <c r="Y2102">
        <v>55677.13</v>
      </c>
    </row>
    <row r="2103" spans="1:25" x14ac:dyDescent="0.25">
      <c r="A2103" t="s">
        <v>2159</v>
      </c>
      <c r="B2103" s="1">
        <v>45521</v>
      </c>
      <c r="C2103">
        <v>2024</v>
      </c>
      <c r="D2103">
        <v>8</v>
      </c>
      <c r="E2103" t="s">
        <v>814</v>
      </c>
      <c r="F2103" t="s">
        <v>691</v>
      </c>
      <c r="G2103" t="s">
        <v>35</v>
      </c>
      <c r="H2103" t="s">
        <v>32</v>
      </c>
      <c r="I2103" t="s">
        <v>30</v>
      </c>
      <c r="J2103">
        <v>93</v>
      </c>
      <c r="K2103">
        <v>1296.77</v>
      </c>
      <c r="L2103">
        <v>120599.38</v>
      </c>
      <c r="M2103">
        <v>59007.519999999997</v>
      </c>
      <c r="N2103">
        <v>13925.59</v>
      </c>
      <c r="O2103">
        <v>3299.19</v>
      </c>
      <c r="P2103">
        <v>2320.3200000000002</v>
      </c>
      <c r="Q2103">
        <v>2056.38</v>
      </c>
      <c r="R2103">
        <v>3651.69</v>
      </c>
      <c r="S2103">
        <v>1091.93</v>
      </c>
      <c r="T2103">
        <v>85352.6</v>
      </c>
      <c r="U2103">
        <v>61591.86</v>
      </c>
      <c r="V2103">
        <v>35246.78</v>
      </c>
      <c r="W2103">
        <v>33177.82</v>
      </c>
      <c r="X2103">
        <v>130705.11</v>
      </c>
      <c r="Y2103">
        <v>85947.56</v>
      </c>
    </row>
    <row r="2104" spans="1:25" x14ac:dyDescent="0.25">
      <c r="A2104" t="s">
        <v>2160</v>
      </c>
      <c r="B2104" s="1">
        <v>45521</v>
      </c>
      <c r="C2104">
        <v>2024</v>
      </c>
      <c r="D2104">
        <v>8</v>
      </c>
      <c r="E2104" t="s">
        <v>814</v>
      </c>
      <c r="F2104" t="s">
        <v>691</v>
      </c>
      <c r="G2104" t="s">
        <v>28</v>
      </c>
      <c r="H2104" t="s">
        <v>32</v>
      </c>
      <c r="I2104" t="s">
        <v>65</v>
      </c>
      <c r="J2104">
        <v>58</v>
      </c>
      <c r="K2104">
        <v>1233.72</v>
      </c>
      <c r="L2104">
        <v>71555.64</v>
      </c>
      <c r="M2104">
        <v>43791.64</v>
      </c>
      <c r="N2104">
        <v>7618.58</v>
      </c>
      <c r="O2104">
        <v>5261.38</v>
      </c>
      <c r="P2104">
        <v>1290.03</v>
      </c>
      <c r="Q2104">
        <v>517.32000000000005</v>
      </c>
      <c r="R2104">
        <v>4298.3599999999997</v>
      </c>
      <c r="S2104">
        <v>1138.99</v>
      </c>
      <c r="T2104">
        <v>63916.29</v>
      </c>
      <c r="U2104">
        <v>27764</v>
      </c>
      <c r="V2104">
        <v>7639.35</v>
      </c>
      <c r="W2104">
        <v>7771.52</v>
      </c>
      <c r="X2104">
        <v>70804.179999999993</v>
      </c>
      <c r="Y2104">
        <v>60567.21</v>
      </c>
    </row>
    <row r="2105" spans="1:25" x14ac:dyDescent="0.25">
      <c r="A2105" t="s">
        <v>2161</v>
      </c>
      <c r="B2105" s="1">
        <v>45521</v>
      </c>
      <c r="C2105">
        <v>2024</v>
      </c>
      <c r="D2105">
        <v>8</v>
      </c>
      <c r="E2105" t="s">
        <v>814</v>
      </c>
      <c r="F2105" t="s">
        <v>691</v>
      </c>
      <c r="G2105" t="s">
        <v>55</v>
      </c>
      <c r="H2105" t="s">
        <v>32</v>
      </c>
      <c r="I2105" t="s">
        <v>33</v>
      </c>
      <c r="J2105">
        <v>64</v>
      </c>
      <c r="K2105">
        <v>1730.57</v>
      </c>
      <c r="L2105">
        <v>110756.65</v>
      </c>
      <c r="M2105">
        <v>61507.54</v>
      </c>
      <c r="N2105">
        <v>10021.24</v>
      </c>
      <c r="O2105">
        <v>6949.76</v>
      </c>
      <c r="P2105">
        <v>3148.66</v>
      </c>
      <c r="Q2105">
        <v>1530.53</v>
      </c>
      <c r="R2105">
        <v>3991.54</v>
      </c>
      <c r="S2105">
        <v>2486.61</v>
      </c>
      <c r="T2105">
        <v>89635.88</v>
      </c>
      <c r="U2105">
        <v>49249.11</v>
      </c>
      <c r="V2105">
        <v>21120.76</v>
      </c>
      <c r="W2105">
        <v>20574.91</v>
      </c>
      <c r="X2105">
        <v>106531.79</v>
      </c>
      <c r="Y2105">
        <v>98224.21</v>
      </c>
    </row>
    <row r="2106" spans="1:25" x14ac:dyDescent="0.25">
      <c r="A2106" t="s">
        <v>2162</v>
      </c>
      <c r="B2106" s="1">
        <v>45522</v>
      </c>
      <c r="C2106">
        <v>2024</v>
      </c>
      <c r="D2106">
        <v>8</v>
      </c>
      <c r="E2106" t="s">
        <v>814</v>
      </c>
      <c r="F2106" t="s">
        <v>691</v>
      </c>
      <c r="G2106" t="s">
        <v>28</v>
      </c>
      <c r="H2106" t="s">
        <v>32</v>
      </c>
      <c r="I2106" t="s">
        <v>33</v>
      </c>
      <c r="J2106">
        <v>65</v>
      </c>
      <c r="K2106">
        <v>1662.73</v>
      </c>
      <c r="L2106">
        <v>108077.69</v>
      </c>
      <c r="M2106">
        <v>72588.960000000006</v>
      </c>
      <c r="N2106">
        <v>7858.52</v>
      </c>
      <c r="O2106">
        <v>4608.09</v>
      </c>
      <c r="P2106">
        <v>2428.44</v>
      </c>
      <c r="Q2106">
        <v>1606.81</v>
      </c>
      <c r="R2106">
        <v>5686.96</v>
      </c>
      <c r="S2106">
        <v>2421.79</v>
      </c>
      <c r="T2106">
        <v>97199.57</v>
      </c>
      <c r="U2106">
        <v>35488.730000000003</v>
      </c>
      <c r="V2106">
        <v>10878.12</v>
      </c>
      <c r="W2106">
        <v>10905.65</v>
      </c>
      <c r="X2106">
        <v>107212.29</v>
      </c>
      <c r="Y2106">
        <v>101123.81</v>
      </c>
    </row>
    <row r="2107" spans="1:25" x14ac:dyDescent="0.25">
      <c r="A2107" t="s">
        <v>2163</v>
      </c>
      <c r="B2107" s="1">
        <v>45522</v>
      </c>
      <c r="C2107">
        <v>2024</v>
      </c>
      <c r="D2107">
        <v>8</v>
      </c>
      <c r="E2107" t="s">
        <v>814</v>
      </c>
      <c r="F2107" t="s">
        <v>691</v>
      </c>
      <c r="G2107" t="s">
        <v>28</v>
      </c>
      <c r="H2107" t="s">
        <v>32</v>
      </c>
      <c r="I2107" t="s">
        <v>45</v>
      </c>
      <c r="J2107">
        <v>47</v>
      </c>
      <c r="K2107">
        <v>1017.01</v>
      </c>
      <c r="L2107">
        <v>47799.34</v>
      </c>
      <c r="M2107">
        <v>31698.16</v>
      </c>
      <c r="N2107">
        <v>5134.58</v>
      </c>
      <c r="O2107">
        <v>2121.56</v>
      </c>
      <c r="P2107">
        <v>1378.05</v>
      </c>
      <c r="Q2107">
        <v>652.78</v>
      </c>
      <c r="R2107">
        <v>2252.42</v>
      </c>
      <c r="S2107">
        <v>681.98</v>
      </c>
      <c r="T2107">
        <v>43919.519999999997</v>
      </c>
      <c r="U2107">
        <v>16101.18</v>
      </c>
      <c r="V2107">
        <v>3879.82</v>
      </c>
      <c r="W2107">
        <v>3641.89</v>
      </c>
      <c r="X2107">
        <v>44775.37</v>
      </c>
      <c r="Y2107">
        <v>43528.71</v>
      </c>
    </row>
    <row r="2108" spans="1:25" x14ac:dyDescent="0.25">
      <c r="A2108" t="s">
        <v>2164</v>
      </c>
      <c r="B2108" s="1">
        <v>45522</v>
      </c>
      <c r="C2108">
        <v>2024</v>
      </c>
      <c r="D2108">
        <v>8</v>
      </c>
      <c r="E2108" t="s">
        <v>814</v>
      </c>
      <c r="F2108" t="s">
        <v>691</v>
      </c>
      <c r="G2108" t="s">
        <v>28</v>
      </c>
      <c r="H2108" t="s">
        <v>36</v>
      </c>
      <c r="I2108" t="s">
        <v>39</v>
      </c>
      <c r="J2108">
        <v>41</v>
      </c>
      <c r="K2108">
        <v>1313.32</v>
      </c>
      <c r="L2108">
        <v>53845.99</v>
      </c>
      <c r="M2108">
        <v>35222.81</v>
      </c>
      <c r="N2108">
        <v>4373.4799999999996</v>
      </c>
      <c r="O2108">
        <v>3582.28</v>
      </c>
      <c r="P2108">
        <v>947.28</v>
      </c>
      <c r="Q2108">
        <v>284.97000000000003</v>
      </c>
      <c r="R2108">
        <v>3082.96</v>
      </c>
      <c r="S2108">
        <v>538.29999999999995</v>
      </c>
      <c r="T2108">
        <v>48032.07</v>
      </c>
      <c r="U2108">
        <v>18623.169999999998</v>
      </c>
      <c r="V2108">
        <v>5813.91</v>
      </c>
      <c r="W2108">
        <v>5612.19</v>
      </c>
      <c r="X2108">
        <v>57613.26</v>
      </c>
      <c r="Y2108">
        <v>52609.35</v>
      </c>
    </row>
    <row r="2109" spans="1:25" x14ac:dyDescent="0.25">
      <c r="A2109" t="s">
        <v>2165</v>
      </c>
      <c r="B2109" s="1">
        <v>45522</v>
      </c>
      <c r="C2109">
        <v>2024</v>
      </c>
      <c r="D2109">
        <v>8</v>
      </c>
      <c r="E2109" t="s">
        <v>814</v>
      </c>
      <c r="F2109" t="s">
        <v>691</v>
      </c>
      <c r="G2109" t="s">
        <v>44</v>
      </c>
      <c r="H2109" t="s">
        <v>58</v>
      </c>
      <c r="I2109" t="s">
        <v>37</v>
      </c>
      <c r="J2109">
        <v>41</v>
      </c>
      <c r="K2109">
        <v>1538.97</v>
      </c>
      <c r="L2109">
        <v>63097.58</v>
      </c>
      <c r="M2109">
        <v>40233.279999999999</v>
      </c>
      <c r="N2109">
        <v>5205.1000000000004</v>
      </c>
      <c r="O2109">
        <v>2593.1799999999998</v>
      </c>
      <c r="P2109">
        <v>1426.96</v>
      </c>
      <c r="Q2109">
        <v>398.49</v>
      </c>
      <c r="R2109">
        <v>2156.48</v>
      </c>
      <c r="S2109">
        <v>1086.21</v>
      </c>
      <c r="T2109">
        <v>53099.71</v>
      </c>
      <c r="U2109">
        <v>22864.3</v>
      </c>
      <c r="V2109">
        <v>9997.8700000000008</v>
      </c>
      <c r="W2109">
        <v>9903.7199999999993</v>
      </c>
      <c r="X2109">
        <v>66983.27</v>
      </c>
      <c r="Y2109">
        <v>55868.46</v>
      </c>
    </row>
    <row r="2110" spans="1:25" x14ac:dyDescent="0.25">
      <c r="A2110" t="s">
        <v>2166</v>
      </c>
      <c r="B2110" s="1">
        <v>45523</v>
      </c>
      <c r="C2110">
        <v>2024</v>
      </c>
      <c r="D2110">
        <v>8</v>
      </c>
      <c r="E2110" t="s">
        <v>814</v>
      </c>
      <c r="F2110" t="s">
        <v>691</v>
      </c>
      <c r="G2110" t="s">
        <v>28</v>
      </c>
      <c r="H2110" t="s">
        <v>36</v>
      </c>
      <c r="I2110" t="s">
        <v>56</v>
      </c>
      <c r="J2110">
        <v>25</v>
      </c>
      <c r="K2110">
        <v>1306.56</v>
      </c>
      <c r="L2110">
        <v>32664.1</v>
      </c>
      <c r="M2110">
        <v>16181</v>
      </c>
      <c r="N2110">
        <v>3084.85</v>
      </c>
      <c r="O2110">
        <v>1356.67</v>
      </c>
      <c r="P2110">
        <v>1287.21</v>
      </c>
      <c r="Q2110">
        <v>269.07</v>
      </c>
      <c r="R2110">
        <v>1830.93</v>
      </c>
      <c r="S2110">
        <v>476.17</v>
      </c>
      <c r="T2110">
        <v>24485.91</v>
      </c>
      <c r="U2110">
        <v>16483.099999999999</v>
      </c>
      <c r="V2110">
        <v>8178.19</v>
      </c>
      <c r="W2110">
        <v>8310.2099999999991</v>
      </c>
      <c r="X2110">
        <v>32010.89</v>
      </c>
      <c r="Y2110">
        <v>23065.91</v>
      </c>
    </row>
    <row r="2111" spans="1:25" x14ac:dyDescent="0.25">
      <c r="A2111" t="s">
        <v>2167</v>
      </c>
      <c r="B2111" s="1">
        <v>45524</v>
      </c>
      <c r="C2111">
        <v>2024</v>
      </c>
      <c r="D2111">
        <v>8</v>
      </c>
      <c r="E2111" t="s">
        <v>814</v>
      </c>
      <c r="F2111" t="s">
        <v>691</v>
      </c>
      <c r="G2111" t="s">
        <v>28</v>
      </c>
      <c r="H2111" t="s">
        <v>53</v>
      </c>
      <c r="I2111" t="s">
        <v>56</v>
      </c>
      <c r="J2111">
        <v>22</v>
      </c>
      <c r="K2111">
        <v>1658.16</v>
      </c>
      <c r="L2111">
        <v>36479.43</v>
      </c>
      <c r="M2111">
        <v>21573.45</v>
      </c>
      <c r="N2111">
        <v>3985.64</v>
      </c>
      <c r="O2111">
        <v>2219.37</v>
      </c>
      <c r="P2111">
        <v>593.64</v>
      </c>
      <c r="Q2111">
        <v>549.09</v>
      </c>
      <c r="R2111">
        <v>2114.63</v>
      </c>
      <c r="S2111">
        <v>480.5</v>
      </c>
      <c r="T2111">
        <v>31516.33</v>
      </c>
      <c r="U2111">
        <v>14905.98</v>
      </c>
      <c r="V2111">
        <v>4963.1000000000004</v>
      </c>
      <c r="W2111">
        <v>4865.51</v>
      </c>
      <c r="X2111">
        <v>40694.31</v>
      </c>
      <c r="Y2111">
        <v>31422.560000000001</v>
      </c>
    </row>
    <row r="2112" spans="1:25" x14ac:dyDescent="0.25">
      <c r="A2112" t="s">
        <v>2168</v>
      </c>
      <c r="B2112" s="1">
        <v>45524</v>
      </c>
      <c r="C2112">
        <v>2024</v>
      </c>
      <c r="D2112">
        <v>8</v>
      </c>
      <c r="E2112" t="s">
        <v>814</v>
      </c>
      <c r="F2112" t="s">
        <v>691</v>
      </c>
      <c r="G2112" t="s">
        <v>55</v>
      </c>
      <c r="H2112" t="s">
        <v>32</v>
      </c>
      <c r="I2112" t="s">
        <v>45</v>
      </c>
      <c r="J2112">
        <v>58</v>
      </c>
      <c r="K2112">
        <v>1145.72</v>
      </c>
      <c r="L2112">
        <v>66451.89</v>
      </c>
      <c r="M2112">
        <v>41646.800000000003</v>
      </c>
      <c r="N2112">
        <v>4895.95</v>
      </c>
      <c r="O2112">
        <v>4720.24</v>
      </c>
      <c r="P2112">
        <v>2220.6999999999998</v>
      </c>
      <c r="Q2112">
        <v>496.34</v>
      </c>
      <c r="R2112">
        <v>3577.7</v>
      </c>
      <c r="S2112">
        <v>968.61</v>
      </c>
      <c r="T2112">
        <v>58526.33</v>
      </c>
      <c r="U2112">
        <v>24805.09</v>
      </c>
      <c r="V2112">
        <v>7925.56</v>
      </c>
      <c r="W2112">
        <v>7498.34</v>
      </c>
      <c r="X2112">
        <v>69578.039999999994</v>
      </c>
      <c r="Y2112">
        <v>58527.839999999997</v>
      </c>
    </row>
    <row r="2113" spans="1:25" x14ac:dyDescent="0.25">
      <c r="A2113" t="s">
        <v>2169</v>
      </c>
      <c r="B2113" s="1">
        <v>45524</v>
      </c>
      <c r="C2113">
        <v>2024</v>
      </c>
      <c r="D2113">
        <v>8</v>
      </c>
      <c r="E2113" t="s">
        <v>814</v>
      </c>
      <c r="F2113" t="s">
        <v>691</v>
      </c>
      <c r="G2113" t="s">
        <v>35</v>
      </c>
      <c r="H2113" t="s">
        <v>36</v>
      </c>
      <c r="I2113" t="s">
        <v>37</v>
      </c>
      <c r="J2113">
        <v>34</v>
      </c>
      <c r="K2113">
        <v>1493.3</v>
      </c>
      <c r="L2113">
        <v>50772.07</v>
      </c>
      <c r="M2113">
        <v>27581.91</v>
      </c>
      <c r="N2113">
        <v>4636.2700000000004</v>
      </c>
      <c r="O2113">
        <v>1970.07</v>
      </c>
      <c r="P2113">
        <v>2203.48</v>
      </c>
      <c r="Q2113">
        <v>830.41</v>
      </c>
      <c r="R2113">
        <v>2300.4899999999998</v>
      </c>
      <c r="S2113">
        <v>1072.82</v>
      </c>
      <c r="T2113">
        <v>40595.46</v>
      </c>
      <c r="U2113">
        <v>23190.16</v>
      </c>
      <c r="V2113">
        <v>10176.620000000001</v>
      </c>
      <c r="W2113">
        <v>9875.9699999999993</v>
      </c>
      <c r="X2113">
        <v>53119.39</v>
      </c>
      <c r="Y2113">
        <v>42611.02</v>
      </c>
    </row>
    <row r="2114" spans="1:25" x14ac:dyDescent="0.25">
      <c r="A2114" t="s">
        <v>2170</v>
      </c>
      <c r="B2114" s="1">
        <v>45524</v>
      </c>
      <c r="C2114">
        <v>2024</v>
      </c>
      <c r="D2114">
        <v>8</v>
      </c>
      <c r="E2114" t="s">
        <v>814</v>
      </c>
      <c r="F2114" t="s">
        <v>691</v>
      </c>
      <c r="G2114" t="s">
        <v>44</v>
      </c>
      <c r="H2114" t="s">
        <v>36</v>
      </c>
      <c r="I2114" t="s">
        <v>39</v>
      </c>
      <c r="J2114">
        <v>36</v>
      </c>
      <c r="K2114">
        <v>1088.3499999999999</v>
      </c>
      <c r="L2114">
        <v>39180.69</v>
      </c>
      <c r="M2114">
        <v>21285.69</v>
      </c>
      <c r="N2114">
        <v>4289.97</v>
      </c>
      <c r="O2114">
        <v>2814.18</v>
      </c>
      <c r="P2114">
        <v>1198.3900000000001</v>
      </c>
      <c r="Q2114">
        <v>319.25</v>
      </c>
      <c r="R2114">
        <v>2520.84</v>
      </c>
      <c r="S2114">
        <v>750.91</v>
      </c>
      <c r="T2114">
        <v>33179.22</v>
      </c>
      <c r="U2114">
        <v>17895</v>
      </c>
      <c r="V2114">
        <v>6001.47</v>
      </c>
      <c r="W2114">
        <v>5284.19</v>
      </c>
      <c r="X2114">
        <v>41359.22</v>
      </c>
      <c r="Y2114">
        <v>34640.800000000003</v>
      </c>
    </row>
    <row r="2115" spans="1:25" x14ac:dyDescent="0.25">
      <c r="A2115" t="s">
        <v>2171</v>
      </c>
      <c r="B2115" s="1">
        <v>45524</v>
      </c>
      <c r="C2115">
        <v>2024</v>
      </c>
      <c r="D2115">
        <v>8</v>
      </c>
      <c r="E2115" t="s">
        <v>814</v>
      </c>
      <c r="F2115" t="s">
        <v>691</v>
      </c>
      <c r="G2115" t="s">
        <v>28</v>
      </c>
      <c r="H2115" t="s">
        <v>29</v>
      </c>
      <c r="I2115" t="s">
        <v>39</v>
      </c>
      <c r="J2115">
        <v>43</v>
      </c>
      <c r="K2115">
        <v>827.8</v>
      </c>
      <c r="L2115">
        <v>35595.449999999997</v>
      </c>
      <c r="M2115">
        <v>22372.32</v>
      </c>
      <c r="N2115">
        <v>3248.24</v>
      </c>
      <c r="O2115">
        <v>1349.89</v>
      </c>
      <c r="P2115">
        <v>1526.5</v>
      </c>
      <c r="Q2115">
        <v>264.16000000000003</v>
      </c>
      <c r="R2115">
        <v>2095.35</v>
      </c>
      <c r="S2115">
        <v>714.85</v>
      </c>
      <c r="T2115">
        <v>31571.3</v>
      </c>
      <c r="U2115">
        <v>13223.13</v>
      </c>
      <c r="V2115">
        <v>4024.14</v>
      </c>
      <c r="W2115">
        <v>3583.67</v>
      </c>
      <c r="X2115">
        <v>35442.639999999999</v>
      </c>
      <c r="Y2115">
        <v>32121.599999999999</v>
      </c>
    </row>
    <row r="2116" spans="1:25" x14ac:dyDescent="0.25">
      <c r="A2116" t="s">
        <v>2172</v>
      </c>
      <c r="B2116" s="1">
        <v>45524</v>
      </c>
      <c r="C2116">
        <v>2024</v>
      </c>
      <c r="D2116">
        <v>8</v>
      </c>
      <c r="E2116" t="s">
        <v>814</v>
      </c>
      <c r="F2116" t="s">
        <v>691</v>
      </c>
      <c r="G2116" t="s">
        <v>28</v>
      </c>
      <c r="H2116" t="s">
        <v>32</v>
      </c>
      <c r="I2116" t="s">
        <v>65</v>
      </c>
      <c r="J2116">
        <v>70</v>
      </c>
      <c r="K2116">
        <v>1024.8399999999999</v>
      </c>
      <c r="L2116">
        <v>71738.94</v>
      </c>
      <c r="M2116">
        <v>36282.379999999997</v>
      </c>
      <c r="N2116">
        <v>8279.81</v>
      </c>
      <c r="O2116">
        <v>3114.22</v>
      </c>
      <c r="P2116">
        <v>2365.27</v>
      </c>
      <c r="Q2116">
        <v>361.76</v>
      </c>
      <c r="R2116">
        <v>2775.74</v>
      </c>
      <c r="S2116">
        <v>825.27</v>
      </c>
      <c r="T2116">
        <v>54004.44</v>
      </c>
      <c r="U2116">
        <v>35456.559999999998</v>
      </c>
      <c r="V2116">
        <v>17734.5</v>
      </c>
      <c r="W2116">
        <v>16465.34</v>
      </c>
      <c r="X2116">
        <v>70128.38</v>
      </c>
      <c r="Y2116">
        <v>58986.52</v>
      </c>
    </row>
    <row r="2117" spans="1:25" x14ac:dyDescent="0.25">
      <c r="A2117" t="s">
        <v>2173</v>
      </c>
      <c r="B2117" s="1">
        <v>45524</v>
      </c>
      <c r="C2117">
        <v>2024</v>
      </c>
      <c r="D2117">
        <v>8</v>
      </c>
      <c r="E2117" t="s">
        <v>814</v>
      </c>
      <c r="F2117" t="s">
        <v>691</v>
      </c>
      <c r="G2117" t="s">
        <v>44</v>
      </c>
      <c r="H2117" t="s">
        <v>29</v>
      </c>
      <c r="I2117" t="s">
        <v>37</v>
      </c>
      <c r="J2117">
        <v>63</v>
      </c>
      <c r="K2117">
        <v>952.42</v>
      </c>
      <c r="L2117">
        <v>60002.49</v>
      </c>
      <c r="M2117">
        <v>39060.550000000003</v>
      </c>
      <c r="N2117">
        <v>4763.3599999999997</v>
      </c>
      <c r="O2117">
        <v>2209.02</v>
      </c>
      <c r="P2117">
        <v>1097.2</v>
      </c>
      <c r="Q2117">
        <v>776.65</v>
      </c>
      <c r="R2117">
        <v>2945.32</v>
      </c>
      <c r="S2117">
        <v>670.59</v>
      </c>
      <c r="T2117">
        <v>51522.69</v>
      </c>
      <c r="U2117">
        <v>20941.939999999999</v>
      </c>
      <c r="V2117">
        <v>8479.7999999999993</v>
      </c>
      <c r="W2117">
        <v>7712.86</v>
      </c>
      <c r="X2117">
        <v>59357.64</v>
      </c>
      <c r="Y2117">
        <v>52774.03</v>
      </c>
    </row>
    <row r="2118" spans="1:25" x14ac:dyDescent="0.25">
      <c r="A2118" t="s">
        <v>2174</v>
      </c>
      <c r="B2118" s="1">
        <v>45527</v>
      </c>
      <c r="C2118">
        <v>2024</v>
      </c>
      <c r="D2118">
        <v>8</v>
      </c>
      <c r="E2118" t="s">
        <v>814</v>
      </c>
      <c r="F2118" t="s">
        <v>691</v>
      </c>
      <c r="G2118" t="s">
        <v>55</v>
      </c>
      <c r="H2118" t="s">
        <v>53</v>
      </c>
      <c r="I2118" t="s">
        <v>30</v>
      </c>
      <c r="J2118">
        <v>89</v>
      </c>
      <c r="K2118">
        <v>843.99</v>
      </c>
      <c r="L2118">
        <v>75114.740000000005</v>
      </c>
      <c r="M2118">
        <v>40610.050000000003</v>
      </c>
      <c r="N2118">
        <v>7333.7</v>
      </c>
      <c r="O2118">
        <v>3037.94</v>
      </c>
      <c r="P2118">
        <v>2564.7199999999998</v>
      </c>
      <c r="Q2118">
        <v>701.91</v>
      </c>
      <c r="R2118">
        <v>3993.93</v>
      </c>
      <c r="S2118">
        <v>1718.83</v>
      </c>
      <c r="T2118">
        <v>59961.08</v>
      </c>
      <c r="U2118">
        <v>34504.68</v>
      </c>
      <c r="V2118">
        <v>15153.66</v>
      </c>
      <c r="W2118">
        <v>14586.53</v>
      </c>
      <c r="X2118">
        <v>78427.3</v>
      </c>
      <c r="Y2118">
        <v>62365.79</v>
      </c>
    </row>
    <row r="2119" spans="1:25" x14ac:dyDescent="0.25">
      <c r="A2119" t="s">
        <v>2175</v>
      </c>
      <c r="B2119" s="1">
        <v>45527</v>
      </c>
      <c r="C2119">
        <v>2024</v>
      </c>
      <c r="D2119">
        <v>8</v>
      </c>
      <c r="E2119" t="s">
        <v>814</v>
      </c>
      <c r="F2119" t="s">
        <v>691</v>
      </c>
      <c r="G2119" t="s">
        <v>55</v>
      </c>
      <c r="H2119" t="s">
        <v>36</v>
      </c>
      <c r="I2119" t="s">
        <v>56</v>
      </c>
      <c r="J2119">
        <v>22</v>
      </c>
      <c r="K2119">
        <v>1628.78</v>
      </c>
      <c r="L2119">
        <v>35833.089999999997</v>
      </c>
      <c r="M2119">
        <v>17366.34</v>
      </c>
      <c r="N2119">
        <v>3831.48</v>
      </c>
      <c r="O2119">
        <v>1226.98</v>
      </c>
      <c r="P2119">
        <v>1550.88</v>
      </c>
      <c r="Q2119">
        <v>191.47</v>
      </c>
      <c r="R2119">
        <v>2024.03</v>
      </c>
      <c r="S2119">
        <v>309.3</v>
      </c>
      <c r="T2119">
        <v>26500.48</v>
      </c>
      <c r="U2119">
        <v>18466.75</v>
      </c>
      <c r="V2119">
        <v>9332.61</v>
      </c>
      <c r="W2119">
        <v>8678.4599999999991</v>
      </c>
      <c r="X2119">
        <v>39560.39</v>
      </c>
      <c r="Y2119">
        <v>28101.31</v>
      </c>
    </row>
    <row r="2120" spans="1:25" x14ac:dyDescent="0.25">
      <c r="A2120" t="s">
        <v>2176</v>
      </c>
      <c r="B2120" s="1">
        <v>45527</v>
      </c>
      <c r="C2120">
        <v>2024</v>
      </c>
      <c r="D2120">
        <v>8</v>
      </c>
      <c r="E2120" t="s">
        <v>814</v>
      </c>
      <c r="F2120" t="s">
        <v>691</v>
      </c>
      <c r="G2120" t="s">
        <v>44</v>
      </c>
      <c r="H2120" t="s">
        <v>29</v>
      </c>
      <c r="I2120" t="s">
        <v>37</v>
      </c>
      <c r="J2120">
        <v>50</v>
      </c>
      <c r="K2120">
        <v>1440.44</v>
      </c>
      <c r="L2120">
        <v>72022.179999999993</v>
      </c>
      <c r="M2120">
        <v>40241.65</v>
      </c>
      <c r="N2120">
        <v>5907.97</v>
      </c>
      <c r="O2120">
        <v>3173.25</v>
      </c>
      <c r="P2120">
        <v>2570.09</v>
      </c>
      <c r="Q2120">
        <v>737.34</v>
      </c>
      <c r="R2120">
        <v>2680.19</v>
      </c>
      <c r="S2120">
        <v>666.37</v>
      </c>
      <c r="T2120">
        <v>55976.85</v>
      </c>
      <c r="U2120">
        <v>31780.53</v>
      </c>
      <c r="V2120">
        <v>16045.33</v>
      </c>
      <c r="W2120">
        <v>14139.08</v>
      </c>
      <c r="X2120">
        <v>74626.12</v>
      </c>
      <c r="Y2120">
        <v>59090.77</v>
      </c>
    </row>
    <row r="2121" spans="1:25" x14ac:dyDescent="0.25">
      <c r="A2121" t="s">
        <v>2177</v>
      </c>
      <c r="B2121" s="1">
        <v>45527</v>
      </c>
      <c r="C2121">
        <v>2024</v>
      </c>
      <c r="D2121">
        <v>8</v>
      </c>
      <c r="E2121" t="s">
        <v>814</v>
      </c>
      <c r="F2121" t="s">
        <v>691</v>
      </c>
      <c r="G2121" t="s">
        <v>44</v>
      </c>
      <c r="H2121" t="s">
        <v>53</v>
      </c>
      <c r="I2121" t="s">
        <v>50</v>
      </c>
      <c r="J2121">
        <v>35</v>
      </c>
      <c r="K2121">
        <v>1435.1</v>
      </c>
      <c r="L2121">
        <v>50228.45</v>
      </c>
      <c r="M2121">
        <v>28515.23</v>
      </c>
      <c r="N2121">
        <v>5269.89</v>
      </c>
      <c r="O2121">
        <v>1490.86</v>
      </c>
      <c r="P2121">
        <v>1739.64</v>
      </c>
      <c r="Q2121">
        <v>819.51</v>
      </c>
      <c r="R2121">
        <v>2372.4299999999998</v>
      </c>
      <c r="S2121">
        <v>1085.55</v>
      </c>
      <c r="T2121">
        <v>41293.11</v>
      </c>
      <c r="U2121">
        <v>21713.22</v>
      </c>
      <c r="V2121">
        <v>8935.34</v>
      </c>
      <c r="W2121">
        <v>7921.16</v>
      </c>
      <c r="X2121">
        <v>51471.55</v>
      </c>
      <c r="Y2121">
        <v>41048.129999999997</v>
      </c>
    </row>
    <row r="2122" spans="1:25" x14ac:dyDescent="0.25">
      <c r="A2122" t="s">
        <v>2178</v>
      </c>
      <c r="B2122" s="1">
        <v>45528</v>
      </c>
      <c r="C2122">
        <v>2024</v>
      </c>
      <c r="D2122">
        <v>8</v>
      </c>
      <c r="E2122" t="s">
        <v>814</v>
      </c>
      <c r="F2122" t="s">
        <v>691</v>
      </c>
      <c r="G2122" t="s">
        <v>35</v>
      </c>
      <c r="H2122" t="s">
        <v>29</v>
      </c>
      <c r="I2122" t="s">
        <v>37</v>
      </c>
      <c r="J2122">
        <v>66</v>
      </c>
      <c r="K2122">
        <v>1181.95</v>
      </c>
      <c r="L2122">
        <v>78008.479999999996</v>
      </c>
      <c r="M2122">
        <v>43410.7</v>
      </c>
      <c r="N2122">
        <v>8489.49</v>
      </c>
      <c r="O2122">
        <v>4735.79</v>
      </c>
      <c r="P2122">
        <v>2470.5700000000002</v>
      </c>
      <c r="Q2122">
        <v>1145.6400000000001</v>
      </c>
      <c r="R2122">
        <v>4577.62</v>
      </c>
      <c r="S2122">
        <v>1822.38</v>
      </c>
      <c r="T2122">
        <v>66652.19</v>
      </c>
      <c r="U2122">
        <v>34597.769999999997</v>
      </c>
      <c r="V2122">
        <v>11356.28</v>
      </c>
      <c r="W2122">
        <v>10657.58</v>
      </c>
      <c r="X2122">
        <v>81781.570000000007</v>
      </c>
      <c r="Y2122">
        <v>66946.66</v>
      </c>
    </row>
    <row r="2123" spans="1:25" x14ac:dyDescent="0.25">
      <c r="A2123" t="s">
        <v>2179</v>
      </c>
      <c r="B2123" s="1">
        <v>45528</v>
      </c>
      <c r="C2123">
        <v>2024</v>
      </c>
      <c r="D2123">
        <v>8</v>
      </c>
      <c r="E2123" t="s">
        <v>814</v>
      </c>
      <c r="F2123" t="s">
        <v>691</v>
      </c>
      <c r="G2123" t="s">
        <v>28</v>
      </c>
      <c r="H2123" t="s">
        <v>36</v>
      </c>
      <c r="I2123" t="s">
        <v>33</v>
      </c>
      <c r="J2123">
        <v>76</v>
      </c>
      <c r="K2123">
        <v>1043.31</v>
      </c>
      <c r="L2123">
        <v>79291.8</v>
      </c>
      <c r="M2123">
        <v>41084.51</v>
      </c>
      <c r="N2123">
        <v>6360.19</v>
      </c>
      <c r="O2123">
        <v>4476.3100000000004</v>
      </c>
      <c r="P2123">
        <v>1545.3</v>
      </c>
      <c r="Q2123">
        <v>965.79</v>
      </c>
      <c r="R2123">
        <v>3490.38</v>
      </c>
      <c r="S2123">
        <v>719.48</v>
      </c>
      <c r="T2123">
        <v>58641.96</v>
      </c>
      <c r="U2123">
        <v>38207.29</v>
      </c>
      <c r="V2123">
        <v>20649.84</v>
      </c>
      <c r="W2123">
        <v>20920.13</v>
      </c>
      <c r="X2123">
        <v>75629.53</v>
      </c>
      <c r="Y2123">
        <v>56937.39</v>
      </c>
    </row>
    <row r="2124" spans="1:25" x14ac:dyDescent="0.25">
      <c r="A2124" t="s">
        <v>2180</v>
      </c>
      <c r="B2124" s="1">
        <v>45528</v>
      </c>
      <c r="C2124">
        <v>2024</v>
      </c>
      <c r="D2124">
        <v>8</v>
      </c>
      <c r="E2124" t="s">
        <v>814</v>
      </c>
      <c r="F2124" t="s">
        <v>691</v>
      </c>
      <c r="G2124" t="s">
        <v>55</v>
      </c>
      <c r="H2124" t="s">
        <v>36</v>
      </c>
      <c r="I2124" t="s">
        <v>37</v>
      </c>
      <c r="J2124">
        <v>42</v>
      </c>
      <c r="K2124">
        <v>1528.65</v>
      </c>
      <c r="L2124">
        <v>64203.21</v>
      </c>
      <c r="M2124">
        <v>36967.78</v>
      </c>
      <c r="N2124">
        <v>7095.83</v>
      </c>
      <c r="O2124">
        <v>2682.66</v>
      </c>
      <c r="P2124">
        <v>1263.3</v>
      </c>
      <c r="Q2124">
        <v>814.81</v>
      </c>
      <c r="R2124">
        <v>3324.84</v>
      </c>
      <c r="S2124">
        <v>568.34</v>
      </c>
      <c r="T2124">
        <v>52717.56</v>
      </c>
      <c r="U2124">
        <v>27235.43</v>
      </c>
      <c r="V2124">
        <v>11485.65</v>
      </c>
      <c r="W2124">
        <v>10573.17</v>
      </c>
      <c r="X2124">
        <v>63294.75</v>
      </c>
      <c r="Y2124">
        <v>52497.22</v>
      </c>
    </row>
    <row r="2125" spans="1:25" x14ac:dyDescent="0.25">
      <c r="A2125" t="s">
        <v>2181</v>
      </c>
      <c r="B2125" s="1">
        <v>45528</v>
      </c>
      <c r="C2125">
        <v>2024</v>
      </c>
      <c r="D2125">
        <v>8</v>
      </c>
      <c r="E2125" t="s">
        <v>814</v>
      </c>
      <c r="F2125" t="s">
        <v>691</v>
      </c>
      <c r="G2125" t="s">
        <v>44</v>
      </c>
      <c r="H2125" t="s">
        <v>32</v>
      </c>
      <c r="I2125" t="s">
        <v>45</v>
      </c>
      <c r="J2125">
        <v>26</v>
      </c>
      <c r="K2125">
        <v>1484.5</v>
      </c>
      <c r="L2125">
        <v>38597.120000000003</v>
      </c>
      <c r="M2125">
        <v>21824.91</v>
      </c>
      <c r="N2125">
        <v>2975.11</v>
      </c>
      <c r="O2125">
        <v>2485.39</v>
      </c>
      <c r="P2125">
        <v>1451.24</v>
      </c>
      <c r="Q2125">
        <v>540.78</v>
      </c>
      <c r="R2125">
        <v>2428.9899999999998</v>
      </c>
      <c r="S2125">
        <v>646.95000000000005</v>
      </c>
      <c r="T2125">
        <v>32353.37</v>
      </c>
      <c r="U2125">
        <v>16772.21</v>
      </c>
      <c r="V2125">
        <v>6243.75</v>
      </c>
      <c r="W2125">
        <v>5830</v>
      </c>
      <c r="X2125">
        <v>39249.19</v>
      </c>
      <c r="Y2125">
        <v>34264.97</v>
      </c>
    </row>
    <row r="2126" spans="1:25" x14ac:dyDescent="0.25">
      <c r="A2126" t="s">
        <v>2182</v>
      </c>
      <c r="B2126" s="1">
        <v>45529</v>
      </c>
      <c r="C2126">
        <v>2024</v>
      </c>
      <c r="D2126">
        <v>8</v>
      </c>
      <c r="E2126" t="s">
        <v>814</v>
      </c>
      <c r="F2126" t="s">
        <v>691</v>
      </c>
      <c r="G2126" t="s">
        <v>28</v>
      </c>
      <c r="H2126" t="s">
        <v>58</v>
      </c>
      <c r="I2126" t="s">
        <v>65</v>
      </c>
      <c r="J2126">
        <v>54</v>
      </c>
      <c r="K2126">
        <v>1229.5899999999999</v>
      </c>
      <c r="L2126">
        <v>66397.820000000007</v>
      </c>
      <c r="M2126">
        <v>39841.81</v>
      </c>
      <c r="N2126">
        <v>7266.8</v>
      </c>
      <c r="O2126">
        <v>4216.8999999999996</v>
      </c>
      <c r="P2126">
        <v>1188.8900000000001</v>
      </c>
      <c r="Q2126">
        <v>387.8</v>
      </c>
      <c r="R2126">
        <v>3669.23</v>
      </c>
      <c r="S2126">
        <v>892.38</v>
      </c>
      <c r="T2126">
        <v>57463.81</v>
      </c>
      <c r="U2126">
        <v>26556.01</v>
      </c>
      <c r="V2126">
        <v>8934.01</v>
      </c>
      <c r="W2126">
        <v>8046.13</v>
      </c>
      <c r="X2126">
        <v>71889.03</v>
      </c>
      <c r="Y2126">
        <v>58616.09</v>
      </c>
    </row>
    <row r="2127" spans="1:25" x14ac:dyDescent="0.25">
      <c r="A2127" t="s">
        <v>2183</v>
      </c>
      <c r="B2127" s="1">
        <v>45530</v>
      </c>
      <c r="C2127">
        <v>2024</v>
      </c>
      <c r="D2127">
        <v>8</v>
      </c>
      <c r="E2127" t="s">
        <v>814</v>
      </c>
      <c r="F2127" t="s">
        <v>691</v>
      </c>
      <c r="G2127" t="s">
        <v>35</v>
      </c>
      <c r="H2127" t="s">
        <v>36</v>
      </c>
      <c r="I2127" t="s">
        <v>30</v>
      </c>
      <c r="J2127">
        <v>67</v>
      </c>
      <c r="K2127">
        <v>988.91</v>
      </c>
      <c r="L2127">
        <v>66257.25</v>
      </c>
      <c r="M2127">
        <v>36326.36</v>
      </c>
      <c r="N2127">
        <v>6829.87</v>
      </c>
      <c r="O2127">
        <v>3087.01</v>
      </c>
      <c r="P2127">
        <v>1828.9</v>
      </c>
      <c r="Q2127">
        <v>811.1</v>
      </c>
      <c r="R2127">
        <v>3065.44</v>
      </c>
      <c r="S2127">
        <v>1450.33</v>
      </c>
      <c r="T2127">
        <v>53399.02</v>
      </c>
      <c r="U2127">
        <v>29930.880000000001</v>
      </c>
      <c r="V2127">
        <v>12858.22</v>
      </c>
      <c r="W2127">
        <v>12297.96</v>
      </c>
      <c r="X2127">
        <v>69363.149999999994</v>
      </c>
      <c r="Y2127">
        <v>56506.27</v>
      </c>
    </row>
    <row r="2128" spans="1:25" x14ac:dyDescent="0.25">
      <c r="A2128" t="s">
        <v>2184</v>
      </c>
      <c r="B2128" s="1">
        <v>45530</v>
      </c>
      <c r="C2128">
        <v>2024</v>
      </c>
      <c r="D2128">
        <v>8</v>
      </c>
      <c r="E2128" t="s">
        <v>814</v>
      </c>
      <c r="F2128" t="s">
        <v>691</v>
      </c>
      <c r="G2128" t="s">
        <v>55</v>
      </c>
      <c r="H2128" t="s">
        <v>36</v>
      </c>
      <c r="I2128" t="s">
        <v>39</v>
      </c>
      <c r="J2128">
        <v>32</v>
      </c>
      <c r="K2128">
        <v>1610.4</v>
      </c>
      <c r="L2128">
        <v>51532.75</v>
      </c>
      <c r="M2128">
        <v>25459.4</v>
      </c>
      <c r="N2128">
        <v>6296.87</v>
      </c>
      <c r="O2128">
        <v>3067.39</v>
      </c>
      <c r="P2128">
        <v>1886.7</v>
      </c>
      <c r="Q2128">
        <v>862.76</v>
      </c>
      <c r="R2128">
        <v>2743.72</v>
      </c>
      <c r="S2128">
        <v>693.71</v>
      </c>
      <c r="T2128">
        <v>41010.550000000003</v>
      </c>
      <c r="U2128">
        <v>26073.35</v>
      </c>
      <c r="V2128">
        <v>10522.2</v>
      </c>
      <c r="W2128">
        <v>10538.51</v>
      </c>
      <c r="X2128">
        <v>54274.38</v>
      </c>
      <c r="Y2128">
        <v>39965.74</v>
      </c>
    </row>
    <row r="2129" spans="1:25" x14ac:dyDescent="0.25">
      <c r="A2129" t="s">
        <v>2185</v>
      </c>
      <c r="B2129" s="1">
        <v>45530</v>
      </c>
      <c r="C2129">
        <v>2024</v>
      </c>
      <c r="D2129">
        <v>8</v>
      </c>
      <c r="E2129" t="s">
        <v>814</v>
      </c>
      <c r="F2129" t="s">
        <v>691</v>
      </c>
      <c r="G2129" t="s">
        <v>55</v>
      </c>
      <c r="H2129" t="s">
        <v>58</v>
      </c>
      <c r="I2129" t="s">
        <v>56</v>
      </c>
      <c r="J2129">
        <v>24</v>
      </c>
      <c r="K2129">
        <v>1283.77</v>
      </c>
      <c r="L2129">
        <v>30810.57</v>
      </c>
      <c r="M2129">
        <v>17644.57</v>
      </c>
      <c r="N2129">
        <v>2519.13</v>
      </c>
      <c r="O2129">
        <v>2016.83</v>
      </c>
      <c r="P2129">
        <v>1343.89</v>
      </c>
      <c r="Q2129">
        <v>375.78</v>
      </c>
      <c r="R2129">
        <v>1722.37</v>
      </c>
      <c r="S2129">
        <v>698.61</v>
      </c>
      <c r="T2129">
        <v>26321.17</v>
      </c>
      <c r="U2129">
        <v>13165.99</v>
      </c>
      <c r="V2129">
        <v>4489.3900000000003</v>
      </c>
      <c r="W2129">
        <v>4309.6000000000004</v>
      </c>
      <c r="X2129">
        <v>31224.31</v>
      </c>
      <c r="Y2129">
        <v>25193.21</v>
      </c>
    </row>
    <row r="2130" spans="1:25" x14ac:dyDescent="0.25">
      <c r="A2130" t="s">
        <v>2186</v>
      </c>
      <c r="B2130" s="1">
        <v>45530</v>
      </c>
      <c r="C2130">
        <v>2024</v>
      </c>
      <c r="D2130">
        <v>8</v>
      </c>
      <c r="E2130" t="s">
        <v>814</v>
      </c>
      <c r="F2130" t="s">
        <v>691</v>
      </c>
      <c r="G2130" t="s">
        <v>28</v>
      </c>
      <c r="H2130" t="s">
        <v>36</v>
      </c>
      <c r="I2130" t="s">
        <v>33</v>
      </c>
      <c r="J2130">
        <v>68</v>
      </c>
      <c r="K2130">
        <v>1296.1600000000001</v>
      </c>
      <c r="L2130">
        <v>88138.559999999998</v>
      </c>
      <c r="M2130">
        <v>59806.44</v>
      </c>
      <c r="N2130">
        <v>10963.47</v>
      </c>
      <c r="O2130">
        <v>3313.17</v>
      </c>
      <c r="P2130">
        <v>3598.56</v>
      </c>
      <c r="Q2130">
        <v>669.71</v>
      </c>
      <c r="R2130">
        <v>3455.57</v>
      </c>
      <c r="S2130">
        <v>1706.82</v>
      </c>
      <c r="T2130">
        <v>83513.740000000005</v>
      </c>
      <c r="U2130">
        <v>28332.12</v>
      </c>
      <c r="V2130">
        <v>4624.82</v>
      </c>
      <c r="W2130">
        <v>4295.08</v>
      </c>
      <c r="X2130">
        <v>91407.37</v>
      </c>
      <c r="Y2130">
        <v>83994.87</v>
      </c>
    </row>
    <row r="2131" spans="1:25" x14ac:dyDescent="0.25">
      <c r="A2131" t="s">
        <v>2187</v>
      </c>
      <c r="B2131" s="1">
        <v>45531</v>
      </c>
      <c r="C2131">
        <v>2024</v>
      </c>
      <c r="D2131">
        <v>8</v>
      </c>
      <c r="E2131" t="s">
        <v>814</v>
      </c>
      <c r="F2131" t="s">
        <v>691</v>
      </c>
      <c r="G2131" t="s">
        <v>55</v>
      </c>
      <c r="H2131" t="s">
        <v>32</v>
      </c>
      <c r="I2131" t="s">
        <v>50</v>
      </c>
      <c r="J2131">
        <v>37</v>
      </c>
      <c r="K2131">
        <v>1702.18</v>
      </c>
      <c r="L2131">
        <v>62980.77</v>
      </c>
      <c r="M2131">
        <v>35716.089999999997</v>
      </c>
      <c r="N2131">
        <v>6638.73</v>
      </c>
      <c r="O2131">
        <v>4431.63</v>
      </c>
      <c r="P2131">
        <v>2406.5</v>
      </c>
      <c r="Q2131">
        <v>1117.21</v>
      </c>
      <c r="R2131">
        <v>3312.54</v>
      </c>
      <c r="S2131">
        <v>1340.06</v>
      </c>
      <c r="T2131">
        <v>54962.76</v>
      </c>
      <c r="U2131">
        <v>27264.67</v>
      </c>
      <c r="V2131">
        <v>8018.01</v>
      </c>
      <c r="W2131">
        <v>7928.67</v>
      </c>
      <c r="X2131">
        <v>64602.83</v>
      </c>
      <c r="Y2131">
        <v>52799.74</v>
      </c>
    </row>
    <row r="2132" spans="1:25" x14ac:dyDescent="0.25">
      <c r="A2132" t="s">
        <v>2188</v>
      </c>
      <c r="B2132" s="1">
        <v>45531</v>
      </c>
      <c r="C2132">
        <v>2024</v>
      </c>
      <c r="D2132">
        <v>8</v>
      </c>
      <c r="E2132" t="s">
        <v>814</v>
      </c>
      <c r="F2132" t="s">
        <v>691</v>
      </c>
      <c r="G2132" t="s">
        <v>28</v>
      </c>
      <c r="H2132" t="s">
        <v>58</v>
      </c>
      <c r="I2132" t="s">
        <v>37</v>
      </c>
      <c r="J2132">
        <v>74</v>
      </c>
      <c r="K2132">
        <v>820.44</v>
      </c>
      <c r="L2132">
        <v>60712.6</v>
      </c>
      <c r="M2132">
        <v>33216.449999999997</v>
      </c>
      <c r="N2132">
        <v>5500.43</v>
      </c>
      <c r="O2132">
        <v>2371.6799999999998</v>
      </c>
      <c r="P2132">
        <v>2416.04</v>
      </c>
      <c r="Q2132">
        <v>407.76</v>
      </c>
      <c r="R2132">
        <v>1867.9</v>
      </c>
      <c r="S2132">
        <v>948.88</v>
      </c>
      <c r="T2132">
        <v>46729.13</v>
      </c>
      <c r="U2132">
        <v>27496.15</v>
      </c>
      <c r="V2132">
        <v>13983.47</v>
      </c>
      <c r="W2132">
        <v>12598.97</v>
      </c>
      <c r="X2132">
        <v>64421.599999999999</v>
      </c>
      <c r="Y2132">
        <v>48191.46</v>
      </c>
    </row>
    <row r="2133" spans="1:25" x14ac:dyDescent="0.25">
      <c r="A2133" t="s">
        <v>2189</v>
      </c>
      <c r="B2133" s="1">
        <v>45531</v>
      </c>
      <c r="C2133">
        <v>2024</v>
      </c>
      <c r="D2133">
        <v>8</v>
      </c>
      <c r="E2133" t="s">
        <v>814</v>
      </c>
      <c r="F2133" t="s">
        <v>691</v>
      </c>
      <c r="G2133" t="s">
        <v>55</v>
      </c>
      <c r="H2133" t="s">
        <v>53</v>
      </c>
      <c r="I2133" t="s">
        <v>37</v>
      </c>
      <c r="J2133">
        <v>38</v>
      </c>
      <c r="K2133">
        <v>1769.01</v>
      </c>
      <c r="L2133">
        <v>67222.28</v>
      </c>
      <c r="M2133">
        <v>42748.28</v>
      </c>
      <c r="N2133">
        <v>8128.65</v>
      </c>
      <c r="O2133">
        <v>2424.88</v>
      </c>
      <c r="P2133">
        <v>1664.22</v>
      </c>
      <c r="Q2133">
        <v>411.28</v>
      </c>
      <c r="R2133">
        <v>3470.94</v>
      </c>
      <c r="S2133">
        <v>1447.42</v>
      </c>
      <c r="T2133">
        <v>60295.67</v>
      </c>
      <c r="U2133">
        <v>24474.01</v>
      </c>
      <c r="V2133">
        <v>6926.61</v>
      </c>
      <c r="W2133">
        <v>6825.23</v>
      </c>
      <c r="X2133">
        <v>74800.56</v>
      </c>
      <c r="Y2133">
        <v>58293.04</v>
      </c>
    </row>
    <row r="2134" spans="1:25" x14ac:dyDescent="0.25">
      <c r="A2134" t="s">
        <v>2190</v>
      </c>
      <c r="B2134" s="1">
        <v>45531</v>
      </c>
      <c r="C2134">
        <v>2024</v>
      </c>
      <c r="D2134">
        <v>8</v>
      </c>
      <c r="E2134" t="s">
        <v>814</v>
      </c>
      <c r="F2134" t="s">
        <v>691</v>
      </c>
      <c r="G2134" t="s">
        <v>28</v>
      </c>
      <c r="H2134" t="s">
        <v>32</v>
      </c>
      <c r="I2134" t="s">
        <v>56</v>
      </c>
      <c r="J2134">
        <v>59</v>
      </c>
      <c r="K2134">
        <v>956.42</v>
      </c>
      <c r="L2134">
        <v>56428.68</v>
      </c>
      <c r="M2134">
        <v>34102.67</v>
      </c>
      <c r="N2134">
        <v>5036.57</v>
      </c>
      <c r="O2134">
        <v>2213.4299999999998</v>
      </c>
      <c r="P2134">
        <v>1775.47</v>
      </c>
      <c r="Q2134">
        <v>793.96</v>
      </c>
      <c r="R2134">
        <v>2669.25</v>
      </c>
      <c r="S2134">
        <v>603.41</v>
      </c>
      <c r="T2134">
        <v>47194.77</v>
      </c>
      <c r="U2134">
        <v>22326</v>
      </c>
      <c r="V2134">
        <v>9233.91</v>
      </c>
      <c r="W2134">
        <v>9328.64</v>
      </c>
      <c r="X2134">
        <v>59647.03</v>
      </c>
      <c r="Y2134">
        <v>51146.46</v>
      </c>
    </row>
    <row r="2135" spans="1:25" x14ac:dyDescent="0.25">
      <c r="A2135" t="s">
        <v>2191</v>
      </c>
      <c r="B2135" s="1">
        <v>45532</v>
      </c>
      <c r="C2135">
        <v>2024</v>
      </c>
      <c r="D2135">
        <v>8</v>
      </c>
      <c r="E2135" t="s">
        <v>814</v>
      </c>
      <c r="F2135" t="s">
        <v>691</v>
      </c>
      <c r="G2135" t="s">
        <v>55</v>
      </c>
      <c r="H2135" t="s">
        <v>32</v>
      </c>
      <c r="I2135" t="s">
        <v>50</v>
      </c>
      <c r="J2135">
        <v>68</v>
      </c>
      <c r="K2135">
        <v>930.58</v>
      </c>
      <c r="L2135">
        <v>63279.35</v>
      </c>
      <c r="M2135">
        <v>34307.370000000003</v>
      </c>
      <c r="N2135">
        <v>7034.29</v>
      </c>
      <c r="O2135">
        <v>2211.08</v>
      </c>
      <c r="P2135">
        <v>2431.3200000000002</v>
      </c>
      <c r="Q2135">
        <v>1012.3</v>
      </c>
      <c r="R2135">
        <v>3771.02</v>
      </c>
      <c r="S2135">
        <v>687.25</v>
      </c>
      <c r="T2135">
        <v>51454.62</v>
      </c>
      <c r="U2135">
        <v>28971.98</v>
      </c>
      <c r="V2135">
        <v>11824.73</v>
      </c>
      <c r="W2135">
        <v>11528.21</v>
      </c>
      <c r="X2135">
        <v>69914.95</v>
      </c>
      <c r="Y2135">
        <v>56177.89</v>
      </c>
    </row>
    <row r="2136" spans="1:25" x14ac:dyDescent="0.25">
      <c r="A2136" t="s">
        <v>2192</v>
      </c>
      <c r="B2136" s="1">
        <v>45533</v>
      </c>
      <c r="C2136">
        <v>2024</v>
      </c>
      <c r="D2136">
        <v>8</v>
      </c>
      <c r="E2136" t="s">
        <v>814</v>
      </c>
      <c r="F2136" t="s">
        <v>691</v>
      </c>
      <c r="G2136" t="s">
        <v>35</v>
      </c>
      <c r="H2136" t="s">
        <v>53</v>
      </c>
      <c r="I2136" t="s">
        <v>50</v>
      </c>
      <c r="J2136">
        <v>40</v>
      </c>
      <c r="K2136">
        <v>1212.73</v>
      </c>
      <c r="L2136">
        <v>48509.05</v>
      </c>
      <c r="M2136">
        <v>29012.29</v>
      </c>
      <c r="N2136">
        <v>3983.7</v>
      </c>
      <c r="O2136">
        <v>1562.19</v>
      </c>
      <c r="P2136">
        <v>1653.13</v>
      </c>
      <c r="Q2136">
        <v>799.44</v>
      </c>
      <c r="R2136">
        <v>2515.19</v>
      </c>
      <c r="S2136">
        <v>890.87</v>
      </c>
      <c r="T2136">
        <v>40416.81</v>
      </c>
      <c r="U2136">
        <v>19496.759999999998</v>
      </c>
      <c r="V2136">
        <v>8092.24</v>
      </c>
      <c r="W2136">
        <v>7888.68</v>
      </c>
      <c r="X2136">
        <v>52257.26</v>
      </c>
      <c r="Y2136">
        <v>42527.360000000001</v>
      </c>
    </row>
    <row r="2137" spans="1:25" x14ac:dyDescent="0.25">
      <c r="A2137" t="s">
        <v>2193</v>
      </c>
      <c r="B2137" s="1">
        <v>45533</v>
      </c>
      <c r="C2137">
        <v>2024</v>
      </c>
      <c r="D2137">
        <v>8</v>
      </c>
      <c r="E2137" t="s">
        <v>814</v>
      </c>
      <c r="F2137" t="s">
        <v>691</v>
      </c>
      <c r="G2137" t="s">
        <v>35</v>
      </c>
      <c r="H2137" t="s">
        <v>58</v>
      </c>
      <c r="I2137" t="s">
        <v>37</v>
      </c>
      <c r="J2137">
        <v>57</v>
      </c>
      <c r="K2137">
        <v>821.88</v>
      </c>
      <c r="L2137">
        <v>46846.95</v>
      </c>
      <c r="M2137">
        <v>30832.9</v>
      </c>
      <c r="N2137">
        <v>4701.63</v>
      </c>
      <c r="O2137">
        <v>1768.23</v>
      </c>
      <c r="P2137">
        <v>1628.45</v>
      </c>
      <c r="Q2137">
        <v>345.3</v>
      </c>
      <c r="R2137">
        <v>2810.59</v>
      </c>
      <c r="S2137">
        <v>473.56</v>
      </c>
      <c r="T2137">
        <v>42560.66</v>
      </c>
      <c r="U2137">
        <v>16014.06</v>
      </c>
      <c r="V2137">
        <v>4286.29</v>
      </c>
      <c r="W2137">
        <v>3875.75</v>
      </c>
      <c r="X2137">
        <v>52356.14</v>
      </c>
      <c r="Y2137">
        <v>45590.42</v>
      </c>
    </row>
    <row r="2138" spans="1:25" x14ac:dyDescent="0.25">
      <c r="A2138" t="s">
        <v>2194</v>
      </c>
      <c r="B2138" s="1">
        <v>45533</v>
      </c>
      <c r="C2138">
        <v>2024</v>
      </c>
      <c r="D2138">
        <v>8</v>
      </c>
      <c r="E2138" t="s">
        <v>814</v>
      </c>
      <c r="F2138" t="s">
        <v>691</v>
      </c>
      <c r="G2138" t="s">
        <v>44</v>
      </c>
      <c r="H2138" t="s">
        <v>53</v>
      </c>
      <c r="I2138" t="s">
        <v>39</v>
      </c>
      <c r="J2138">
        <v>24</v>
      </c>
      <c r="K2138">
        <v>1397.01</v>
      </c>
      <c r="L2138">
        <v>33528.18</v>
      </c>
      <c r="M2138">
        <v>16201.6</v>
      </c>
      <c r="N2138">
        <v>3887.54</v>
      </c>
      <c r="O2138">
        <v>2326.09</v>
      </c>
      <c r="P2138">
        <v>1357.31</v>
      </c>
      <c r="Q2138">
        <v>187.13</v>
      </c>
      <c r="R2138">
        <v>1825.99</v>
      </c>
      <c r="S2138">
        <v>739.65</v>
      </c>
      <c r="T2138">
        <v>26525.31</v>
      </c>
      <c r="U2138">
        <v>17326.580000000002</v>
      </c>
      <c r="V2138">
        <v>7002.87</v>
      </c>
      <c r="W2138">
        <v>7135.41</v>
      </c>
      <c r="X2138">
        <v>37348.33</v>
      </c>
      <c r="Y2138">
        <v>28756.79</v>
      </c>
    </row>
    <row r="2139" spans="1:25" x14ac:dyDescent="0.25">
      <c r="A2139" t="s">
        <v>2195</v>
      </c>
      <c r="B2139" s="1">
        <v>45534</v>
      </c>
      <c r="C2139">
        <v>2024</v>
      </c>
      <c r="D2139">
        <v>8</v>
      </c>
      <c r="E2139" t="s">
        <v>814</v>
      </c>
      <c r="F2139" t="s">
        <v>691</v>
      </c>
      <c r="G2139" t="s">
        <v>35</v>
      </c>
      <c r="H2139" t="s">
        <v>58</v>
      </c>
      <c r="I2139" t="s">
        <v>65</v>
      </c>
      <c r="J2139">
        <v>37</v>
      </c>
      <c r="K2139">
        <v>1388.16</v>
      </c>
      <c r="L2139">
        <v>51362.03</v>
      </c>
      <c r="M2139">
        <v>34369.1</v>
      </c>
      <c r="N2139">
        <v>5824.33</v>
      </c>
      <c r="O2139">
        <v>3836.85</v>
      </c>
      <c r="P2139">
        <v>1118.73</v>
      </c>
      <c r="Q2139">
        <v>874.89</v>
      </c>
      <c r="R2139">
        <v>3159.28</v>
      </c>
      <c r="S2139">
        <v>822.58</v>
      </c>
      <c r="T2139">
        <v>50005.77</v>
      </c>
      <c r="U2139">
        <v>16992.93</v>
      </c>
      <c r="V2139">
        <v>1356.26</v>
      </c>
      <c r="W2139">
        <v>1340.55</v>
      </c>
      <c r="X2139">
        <v>48033.01</v>
      </c>
      <c r="Y2139">
        <v>54969.95</v>
      </c>
    </row>
    <row r="2140" spans="1:25" x14ac:dyDescent="0.25">
      <c r="A2140" t="s">
        <v>2196</v>
      </c>
      <c r="B2140" s="1">
        <v>45534</v>
      </c>
      <c r="C2140">
        <v>2024</v>
      </c>
      <c r="D2140">
        <v>8</v>
      </c>
      <c r="E2140" t="s">
        <v>814</v>
      </c>
      <c r="F2140" t="s">
        <v>691</v>
      </c>
      <c r="G2140" t="s">
        <v>44</v>
      </c>
      <c r="H2140" t="s">
        <v>32</v>
      </c>
      <c r="I2140" t="s">
        <v>30</v>
      </c>
      <c r="J2140">
        <v>52</v>
      </c>
      <c r="K2140">
        <v>1722.01</v>
      </c>
      <c r="L2140">
        <v>89544.53</v>
      </c>
      <c r="M2140">
        <v>51339.57</v>
      </c>
      <c r="N2140">
        <v>9637.48</v>
      </c>
      <c r="O2140">
        <v>4026.77</v>
      </c>
      <c r="P2140">
        <v>1374.25</v>
      </c>
      <c r="Q2140">
        <v>577.47</v>
      </c>
      <c r="R2140">
        <v>3945.96</v>
      </c>
      <c r="S2140">
        <v>1877.12</v>
      </c>
      <c r="T2140">
        <v>72778.61</v>
      </c>
      <c r="U2140">
        <v>38204.97</v>
      </c>
      <c r="V2140">
        <v>16765.919999999998</v>
      </c>
      <c r="W2140">
        <v>16550.099999999999</v>
      </c>
      <c r="X2140">
        <v>99408.78</v>
      </c>
      <c r="Y2140">
        <v>69405.259999999995</v>
      </c>
    </row>
    <row r="2141" spans="1:25" x14ac:dyDescent="0.25">
      <c r="A2141" t="s">
        <v>2197</v>
      </c>
      <c r="B2141" s="1">
        <v>45534</v>
      </c>
      <c r="C2141">
        <v>2024</v>
      </c>
      <c r="D2141">
        <v>8</v>
      </c>
      <c r="E2141" t="s">
        <v>814</v>
      </c>
      <c r="F2141" t="s">
        <v>691</v>
      </c>
      <c r="G2141" t="s">
        <v>35</v>
      </c>
      <c r="H2141" t="s">
        <v>53</v>
      </c>
      <c r="I2141" t="s">
        <v>30</v>
      </c>
      <c r="J2141">
        <v>42</v>
      </c>
      <c r="K2141">
        <v>1286.92</v>
      </c>
      <c r="L2141">
        <v>54050.54</v>
      </c>
      <c r="M2141">
        <v>34165.69</v>
      </c>
      <c r="N2141">
        <v>4361.83</v>
      </c>
      <c r="O2141">
        <v>2289.61</v>
      </c>
      <c r="P2141">
        <v>1258.05</v>
      </c>
      <c r="Q2141">
        <v>760.42</v>
      </c>
      <c r="R2141">
        <v>2223.61</v>
      </c>
      <c r="S2141">
        <v>628.67999999999995</v>
      </c>
      <c r="T2141">
        <v>45687.9</v>
      </c>
      <c r="U2141">
        <v>19884.86</v>
      </c>
      <c r="V2141">
        <v>8362.65</v>
      </c>
      <c r="W2141">
        <v>7845.02</v>
      </c>
      <c r="X2141">
        <v>60459.839999999997</v>
      </c>
      <c r="Y2141">
        <v>44640.39</v>
      </c>
    </row>
    <row r="2142" spans="1:25" x14ac:dyDescent="0.25">
      <c r="A2142" t="s">
        <v>2198</v>
      </c>
      <c r="B2142" s="1">
        <v>45534</v>
      </c>
      <c r="C2142">
        <v>2024</v>
      </c>
      <c r="D2142">
        <v>8</v>
      </c>
      <c r="E2142" t="s">
        <v>814</v>
      </c>
      <c r="F2142" t="s">
        <v>691</v>
      </c>
      <c r="G2142" t="s">
        <v>55</v>
      </c>
      <c r="H2142" t="s">
        <v>36</v>
      </c>
      <c r="I2142" t="s">
        <v>65</v>
      </c>
      <c r="J2142">
        <v>44</v>
      </c>
      <c r="K2142">
        <v>1515.3</v>
      </c>
      <c r="L2142">
        <v>66673.320000000007</v>
      </c>
      <c r="M2142">
        <v>43136.58</v>
      </c>
      <c r="N2142">
        <v>7683.81</v>
      </c>
      <c r="O2142">
        <v>4665.3999999999996</v>
      </c>
      <c r="P2142">
        <v>1072.05</v>
      </c>
      <c r="Q2142">
        <v>609.94000000000005</v>
      </c>
      <c r="R2142">
        <v>1847.11</v>
      </c>
      <c r="S2142">
        <v>1511.33</v>
      </c>
      <c r="T2142">
        <v>60526.22</v>
      </c>
      <c r="U2142">
        <v>23536.74</v>
      </c>
      <c r="V2142">
        <v>6147.11</v>
      </c>
      <c r="W2142">
        <v>5908.4</v>
      </c>
      <c r="X2142">
        <v>68085.5</v>
      </c>
      <c r="Y2142">
        <v>61777.51</v>
      </c>
    </row>
    <row r="2143" spans="1:25" x14ac:dyDescent="0.25">
      <c r="A2143" t="s">
        <v>2199</v>
      </c>
      <c r="B2143" s="1">
        <v>45534</v>
      </c>
      <c r="C2143">
        <v>2024</v>
      </c>
      <c r="D2143">
        <v>8</v>
      </c>
      <c r="E2143" t="s">
        <v>814</v>
      </c>
      <c r="F2143" t="s">
        <v>691</v>
      </c>
      <c r="G2143" t="s">
        <v>44</v>
      </c>
      <c r="H2143" t="s">
        <v>53</v>
      </c>
      <c r="I2143" t="s">
        <v>56</v>
      </c>
      <c r="J2143">
        <v>28</v>
      </c>
      <c r="K2143">
        <v>791.99</v>
      </c>
      <c r="L2143">
        <v>22175.8</v>
      </c>
      <c r="M2143">
        <v>10681.62</v>
      </c>
      <c r="N2143">
        <v>1844.99</v>
      </c>
      <c r="O2143">
        <v>1589.96</v>
      </c>
      <c r="P2143">
        <v>359.78</v>
      </c>
      <c r="Q2143">
        <v>191.76</v>
      </c>
      <c r="R2143">
        <v>757.59</v>
      </c>
      <c r="S2143">
        <v>492.92</v>
      </c>
      <c r="T2143">
        <v>15918.62</v>
      </c>
      <c r="U2143">
        <v>11494.18</v>
      </c>
      <c r="V2143">
        <v>6257.18</v>
      </c>
      <c r="W2143">
        <v>6182.51</v>
      </c>
      <c r="X2143">
        <v>23324.82</v>
      </c>
      <c r="Y2143">
        <v>15646.55</v>
      </c>
    </row>
    <row r="2144" spans="1:25" x14ac:dyDescent="0.25">
      <c r="A2144" t="s">
        <v>2200</v>
      </c>
      <c r="B2144" s="1">
        <v>45535</v>
      </c>
      <c r="C2144">
        <v>2024</v>
      </c>
      <c r="D2144">
        <v>8</v>
      </c>
      <c r="E2144" t="s">
        <v>814</v>
      </c>
      <c r="F2144" t="s">
        <v>691</v>
      </c>
      <c r="G2144" t="s">
        <v>44</v>
      </c>
      <c r="H2144" t="s">
        <v>36</v>
      </c>
      <c r="I2144" t="s">
        <v>30</v>
      </c>
      <c r="J2144">
        <v>44</v>
      </c>
      <c r="K2144">
        <v>1556.74</v>
      </c>
      <c r="L2144">
        <v>68496.490000000005</v>
      </c>
      <c r="M2144">
        <v>46244.87</v>
      </c>
      <c r="N2144">
        <v>8501</v>
      </c>
      <c r="O2144">
        <v>2338.79</v>
      </c>
      <c r="P2144">
        <v>2739.89</v>
      </c>
      <c r="Q2144">
        <v>589.75</v>
      </c>
      <c r="R2144">
        <v>2031.89</v>
      </c>
      <c r="S2144">
        <v>599.26</v>
      </c>
      <c r="T2144">
        <v>63045.43</v>
      </c>
      <c r="U2144">
        <v>22251.63</v>
      </c>
      <c r="V2144">
        <v>5451.06</v>
      </c>
      <c r="W2144">
        <v>5298.52</v>
      </c>
      <c r="X2144">
        <v>73626.350000000006</v>
      </c>
      <c r="Y2144">
        <v>68195.87</v>
      </c>
    </row>
    <row r="2145" spans="1:25" x14ac:dyDescent="0.25">
      <c r="A2145" t="s">
        <v>2201</v>
      </c>
      <c r="B2145" s="1">
        <v>45535</v>
      </c>
      <c r="C2145">
        <v>2024</v>
      </c>
      <c r="D2145">
        <v>8</v>
      </c>
      <c r="E2145" t="s">
        <v>814</v>
      </c>
      <c r="F2145" t="s">
        <v>691</v>
      </c>
      <c r="G2145" t="s">
        <v>55</v>
      </c>
      <c r="H2145" t="s">
        <v>36</v>
      </c>
      <c r="I2145" t="s">
        <v>65</v>
      </c>
      <c r="J2145">
        <v>51</v>
      </c>
      <c r="K2145">
        <v>1420.48</v>
      </c>
      <c r="L2145">
        <v>72444.23</v>
      </c>
      <c r="M2145">
        <v>38561.980000000003</v>
      </c>
      <c r="N2145">
        <v>6300.82</v>
      </c>
      <c r="O2145">
        <v>4238.33</v>
      </c>
      <c r="P2145">
        <v>3026.04</v>
      </c>
      <c r="Q2145">
        <v>865.11</v>
      </c>
      <c r="R2145">
        <v>4706.2</v>
      </c>
      <c r="S2145">
        <v>1114.3499999999999</v>
      </c>
      <c r="T2145">
        <v>58812.84</v>
      </c>
      <c r="U2145">
        <v>33882.25</v>
      </c>
      <c r="V2145">
        <v>13631.39</v>
      </c>
      <c r="W2145">
        <v>13279.88</v>
      </c>
      <c r="X2145">
        <v>77560.39</v>
      </c>
      <c r="Y2145">
        <v>63450.06</v>
      </c>
    </row>
    <row r="2146" spans="1:25" x14ac:dyDescent="0.25">
      <c r="A2146" t="s">
        <v>2202</v>
      </c>
      <c r="B2146" s="1">
        <v>45535</v>
      </c>
      <c r="C2146">
        <v>2024</v>
      </c>
      <c r="D2146">
        <v>8</v>
      </c>
      <c r="E2146" t="s">
        <v>814</v>
      </c>
      <c r="F2146" t="s">
        <v>691</v>
      </c>
      <c r="G2146" t="s">
        <v>28</v>
      </c>
      <c r="H2146" t="s">
        <v>36</v>
      </c>
      <c r="I2146" t="s">
        <v>33</v>
      </c>
      <c r="J2146">
        <v>74</v>
      </c>
      <c r="K2146">
        <v>886.45</v>
      </c>
      <c r="L2146">
        <v>65597.47</v>
      </c>
      <c r="M2146">
        <v>37604.699999999997</v>
      </c>
      <c r="N2146">
        <v>7022.72</v>
      </c>
      <c r="O2146">
        <v>4781.4799999999996</v>
      </c>
      <c r="P2146">
        <v>1713.93</v>
      </c>
      <c r="Q2146">
        <v>1045.51</v>
      </c>
      <c r="R2146">
        <v>2309.4499999999998</v>
      </c>
      <c r="S2146">
        <v>1540.05</v>
      </c>
      <c r="T2146">
        <v>56017.85</v>
      </c>
      <c r="U2146">
        <v>27992.77</v>
      </c>
      <c r="V2146">
        <v>9579.6299999999992</v>
      </c>
      <c r="W2146">
        <v>9701.15</v>
      </c>
      <c r="X2146">
        <v>67663.17</v>
      </c>
      <c r="Y2146">
        <v>52663.67</v>
      </c>
    </row>
    <row r="2147" spans="1:25" x14ac:dyDescent="0.25">
      <c r="A2147" t="s">
        <v>2203</v>
      </c>
      <c r="B2147" s="1">
        <v>45536</v>
      </c>
      <c r="C2147">
        <v>2024</v>
      </c>
      <c r="D2147">
        <v>9</v>
      </c>
      <c r="E2147" t="s">
        <v>918</v>
      </c>
      <c r="F2147" t="s">
        <v>691</v>
      </c>
      <c r="G2147" t="s">
        <v>35</v>
      </c>
      <c r="H2147" t="s">
        <v>36</v>
      </c>
      <c r="I2147" t="s">
        <v>33</v>
      </c>
      <c r="J2147">
        <v>38</v>
      </c>
      <c r="K2147">
        <v>1772.17</v>
      </c>
      <c r="L2147">
        <v>67342.64</v>
      </c>
      <c r="M2147">
        <v>40632.35</v>
      </c>
      <c r="N2147">
        <v>5646.82</v>
      </c>
      <c r="O2147">
        <v>3112.07</v>
      </c>
      <c r="P2147">
        <v>1811.93</v>
      </c>
      <c r="Q2147">
        <v>840.53</v>
      </c>
      <c r="R2147">
        <v>1916.72</v>
      </c>
      <c r="S2147">
        <v>1117.67</v>
      </c>
      <c r="T2147">
        <v>55078.080000000002</v>
      </c>
      <c r="U2147">
        <v>26710.29</v>
      </c>
      <c r="V2147">
        <v>12264.56</v>
      </c>
      <c r="W2147">
        <v>11935.5</v>
      </c>
      <c r="X2147">
        <v>62803.09</v>
      </c>
      <c r="Y2147">
        <v>52598.05</v>
      </c>
    </row>
    <row r="2148" spans="1:25" x14ac:dyDescent="0.25">
      <c r="A2148" t="s">
        <v>2204</v>
      </c>
      <c r="B2148" s="1">
        <v>45536</v>
      </c>
      <c r="C2148">
        <v>2024</v>
      </c>
      <c r="D2148">
        <v>9</v>
      </c>
      <c r="E2148" t="s">
        <v>918</v>
      </c>
      <c r="F2148" t="s">
        <v>691</v>
      </c>
      <c r="G2148" t="s">
        <v>55</v>
      </c>
      <c r="H2148" t="s">
        <v>36</v>
      </c>
      <c r="I2148" t="s">
        <v>65</v>
      </c>
      <c r="J2148">
        <v>45</v>
      </c>
      <c r="K2148">
        <v>1626.78</v>
      </c>
      <c r="L2148">
        <v>73205.17</v>
      </c>
      <c r="M2148">
        <v>47135.54</v>
      </c>
      <c r="N2148">
        <v>7647.93</v>
      </c>
      <c r="O2148">
        <v>3803.15</v>
      </c>
      <c r="P2148">
        <v>1584.76</v>
      </c>
      <c r="Q2148">
        <v>908.8</v>
      </c>
      <c r="R2148">
        <v>4531.03</v>
      </c>
      <c r="S2148">
        <v>760.28</v>
      </c>
      <c r="T2148">
        <v>66371.509999999995</v>
      </c>
      <c r="U2148">
        <v>26069.63</v>
      </c>
      <c r="V2148">
        <v>6833.67</v>
      </c>
      <c r="W2148">
        <v>6261.21</v>
      </c>
      <c r="X2148">
        <v>70428.89</v>
      </c>
      <c r="Y2148">
        <v>65196.3</v>
      </c>
    </row>
    <row r="2149" spans="1:25" x14ac:dyDescent="0.25">
      <c r="A2149" t="s">
        <v>2205</v>
      </c>
      <c r="B2149" s="1">
        <v>45536</v>
      </c>
      <c r="C2149">
        <v>2024</v>
      </c>
      <c r="D2149">
        <v>9</v>
      </c>
      <c r="E2149" t="s">
        <v>918</v>
      </c>
      <c r="F2149" t="s">
        <v>691</v>
      </c>
      <c r="G2149" t="s">
        <v>28</v>
      </c>
      <c r="H2149" t="s">
        <v>29</v>
      </c>
      <c r="I2149" t="s">
        <v>50</v>
      </c>
      <c r="J2149">
        <v>41</v>
      </c>
      <c r="K2149">
        <v>1240.47</v>
      </c>
      <c r="L2149">
        <v>50859.08</v>
      </c>
      <c r="M2149">
        <v>27578.41</v>
      </c>
      <c r="N2149">
        <v>5522.74</v>
      </c>
      <c r="O2149">
        <v>2534.2199999999998</v>
      </c>
      <c r="P2149">
        <v>2092.71</v>
      </c>
      <c r="Q2149">
        <v>540.97</v>
      </c>
      <c r="R2149">
        <v>2133.92</v>
      </c>
      <c r="S2149">
        <v>834.64</v>
      </c>
      <c r="T2149">
        <v>41237.599999999999</v>
      </c>
      <c r="U2149">
        <v>23280.67</v>
      </c>
      <c r="V2149">
        <v>9621.48</v>
      </c>
      <c r="W2149">
        <v>9602.27</v>
      </c>
      <c r="X2149">
        <v>54567.040000000001</v>
      </c>
      <c r="Y2149">
        <v>40009.42</v>
      </c>
    </row>
    <row r="2150" spans="1:25" x14ac:dyDescent="0.25">
      <c r="A2150" t="s">
        <v>2206</v>
      </c>
      <c r="B2150" s="1">
        <v>45536</v>
      </c>
      <c r="C2150">
        <v>2024</v>
      </c>
      <c r="D2150">
        <v>9</v>
      </c>
      <c r="E2150" t="s">
        <v>918</v>
      </c>
      <c r="F2150" t="s">
        <v>691</v>
      </c>
      <c r="G2150" t="s">
        <v>35</v>
      </c>
      <c r="H2150" t="s">
        <v>53</v>
      </c>
      <c r="I2150" t="s">
        <v>39</v>
      </c>
      <c r="J2150">
        <v>19</v>
      </c>
      <c r="K2150">
        <v>1703.73</v>
      </c>
      <c r="L2150">
        <v>32370.9</v>
      </c>
      <c r="M2150">
        <v>21718.04</v>
      </c>
      <c r="N2150">
        <v>3158.56</v>
      </c>
      <c r="O2150">
        <v>1365.62</v>
      </c>
      <c r="P2150">
        <v>1366.58</v>
      </c>
      <c r="Q2150">
        <v>498.23</v>
      </c>
      <c r="R2150">
        <v>972.37</v>
      </c>
      <c r="S2150">
        <v>312.37</v>
      </c>
      <c r="T2150">
        <v>29391.77</v>
      </c>
      <c r="U2150">
        <v>10652.86</v>
      </c>
      <c r="V2150">
        <v>2979.14</v>
      </c>
      <c r="W2150">
        <v>2934.3</v>
      </c>
      <c r="X2150">
        <v>34620.49</v>
      </c>
      <c r="Y2150">
        <v>28168.99</v>
      </c>
    </row>
    <row r="2151" spans="1:25" x14ac:dyDescent="0.25">
      <c r="A2151" t="s">
        <v>2207</v>
      </c>
      <c r="B2151" s="1">
        <v>45536</v>
      </c>
      <c r="C2151">
        <v>2024</v>
      </c>
      <c r="D2151">
        <v>9</v>
      </c>
      <c r="E2151" t="s">
        <v>918</v>
      </c>
      <c r="F2151" t="s">
        <v>691</v>
      </c>
      <c r="G2151" t="s">
        <v>35</v>
      </c>
      <c r="H2151" t="s">
        <v>53</v>
      </c>
      <c r="I2151" t="s">
        <v>39</v>
      </c>
      <c r="J2151">
        <v>14</v>
      </c>
      <c r="K2151">
        <v>1816.24</v>
      </c>
      <c r="L2151">
        <v>25427.41</v>
      </c>
      <c r="M2151">
        <v>13928.17</v>
      </c>
      <c r="N2151">
        <v>2790.96</v>
      </c>
      <c r="O2151">
        <v>1858.66</v>
      </c>
      <c r="P2151">
        <v>754.41</v>
      </c>
      <c r="Q2151">
        <v>314.7</v>
      </c>
      <c r="R2151">
        <v>1172.8800000000001</v>
      </c>
      <c r="S2151">
        <v>213.07</v>
      </c>
      <c r="T2151">
        <v>21032.86</v>
      </c>
      <c r="U2151">
        <v>11499.24</v>
      </c>
      <c r="V2151">
        <v>4394.5600000000004</v>
      </c>
      <c r="W2151">
        <v>4207.53</v>
      </c>
      <c r="X2151">
        <v>27530.86</v>
      </c>
      <c r="Y2151">
        <v>21805.31</v>
      </c>
    </row>
    <row r="2152" spans="1:25" x14ac:dyDescent="0.25">
      <c r="A2152" t="s">
        <v>2208</v>
      </c>
      <c r="B2152" s="1">
        <v>45537</v>
      </c>
      <c r="C2152">
        <v>2024</v>
      </c>
      <c r="D2152">
        <v>9</v>
      </c>
      <c r="E2152" t="s">
        <v>918</v>
      </c>
      <c r="F2152" t="s">
        <v>691</v>
      </c>
      <c r="G2152" t="s">
        <v>28</v>
      </c>
      <c r="H2152" t="s">
        <v>36</v>
      </c>
      <c r="I2152" t="s">
        <v>33</v>
      </c>
      <c r="J2152">
        <v>63</v>
      </c>
      <c r="K2152">
        <v>1003.13</v>
      </c>
      <c r="L2152">
        <v>63196.89</v>
      </c>
      <c r="M2152">
        <v>34704.75</v>
      </c>
      <c r="N2152">
        <v>7100.36</v>
      </c>
      <c r="O2152">
        <v>4715.79</v>
      </c>
      <c r="P2152">
        <v>2275.0300000000002</v>
      </c>
      <c r="Q2152">
        <v>1092.31</v>
      </c>
      <c r="R2152">
        <v>2415.83</v>
      </c>
      <c r="S2152">
        <v>894.95</v>
      </c>
      <c r="T2152">
        <v>53199.02</v>
      </c>
      <c r="U2152">
        <v>28492.14</v>
      </c>
      <c r="V2152">
        <v>9997.8700000000008</v>
      </c>
      <c r="W2152">
        <v>9063.5300000000007</v>
      </c>
      <c r="X2152">
        <v>66126.02</v>
      </c>
      <c r="Y2152">
        <v>57266.2</v>
      </c>
    </row>
    <row r="2153" spans="1:25" x14ac:dyDescent="0.25">
      <c r="A2153" t="s">
        <v>2209</v>
      </c>
      <c r="B2153" s="1">
        <v>45537</v>
      </c>
      <c r="C2153">
        <v>2024</v>
      </c>
      <c r="D2153">
        <v>9</v>
      </c>
      <c r="E2153" t="s">
        <v>918</v>
      </c>
      <c r="F2153" t="s">
        <v>691</v>
      </c>
      <c r="G2153" t="s">
        <v>35</v>
      </c>
      <c r="H2153" t="s">
        <v>36</v>
      </c>
      <c r="I2153" t="s">
        <v>30</v>
      </c>
      <c r="J2153">
        <v>48</v>
      </c>
      <c r="K2153">
        <v>1527.72</v>
      </c>
      <c r="L2153">
        <v>73330.759999999995</v>
      </c>
      <c r="M2153">
        <v>37874.839999999997</v>
      </c>
      <c r="N2153">
        <v>8376.73</v>
      </c>
      <c r="O2153">
        <v>2291.4299999999998</v>
      </c>
      <c r="P2153">
        <v>1403.2</v>
      </c>
      <c r="Q2153">
        <v>1078.5</v>
      </c>
      <c r="R2153">
        <v>3493.34</v>
      </c>
      <c r="S2153">
        <v>925.5</v>
      </c>
      <c r="T2153">
        <v>55443.54</v>
      </c>
      <c r="U2153">
        <v>35455.93</v>
      </c>
      <c r="V2153">
        <v>17887.23</v>
      </c>
      <c r="W2153">
        <v>15779.95</v>
      </c>
      <c r="X2153">
        <v>81210.17</v>
      </c>
      <c r="Y2153">
        <v>57687.42</v>
      </c>
    </row>
    <row r="2154" spans="1:25" x14ac:dyDescent="0.25">
      <c r="A2154" t="s">
        <v>2210</v>
      </c>
      <c r="B2154" s="1">
        <v>45538</v>
      </c>
      <c r="C2154">
        <v>2024</v>
      </c>
      <c r="D2154">
        <v>9</v>
      </c>
      <c r="E2154" t="s">
        <v>918</v>
      </c>
      <c r="F2154" t="s">
        <v>691</v>
      </c>
      <c r="G2154" t="s">
        <v>44</v>
      </c>
      <c r="H2154" t="s">
        <v>53</v>
      </c>
      <c r="I2154" t="s">
        <v>37</v>
      </c>
      <c r="J2154">
        <v>39</v>
      </c>
      <c r="K2154">
        <v>1082.1500000000001</v>
      </c>
      <c r="L2154">
        <v>42203.93</v>
      </c>
      <c r="M2154">
        <v>24642.77</v>
      </c>
      <c r="N2154">
        <v>3886.23</v>
      </c>
      <c r="O2154">
        <v>1643.92</v>
      </c>
      <c r="P2154">
        <v>1432.81</v>
      </c>
      <c r="Q2154">
        <v>751.69</v>
      </c>
      <c r="R2154">
        <v>2685.03</v>
      </c>
      <c r="S2154">
        <v>818.82</v>
      </c>
      <c r="T2154">
        <v>35861.269999999997</v>
      </c>
      <c r="U2154">
        <v>17561.16</v>
      </c>
      <c r="V2154">
        <v>6342.66</v>
      </c>
      <c r="W2154">
        <v>5932.67</v>
      </c>
      <c r="X2154">
        <v>44712.91</v>
      </c>
      <c r="Y2154">
        <v>36651.620000000003</v>
      </c>
    </row>
    <row r="2155" spans="1:25" x14ac:dyDescent="0.25">
      <c r="A2155" t="s">
        <v>2211</v>
      </c>
      <c r="B2155" s="1">
        <v>45538</v>
      </c>
      <c r="C2155">
        <v>2024</v>
      </c>
      <c r="D2155">
        <v>9</v>
      </c>
      <c r="E2155" t="s">
        <v>918</v>
      </c>
      <c r="F2155" t="s">
        <v>691</v>
      </c>
      <c r="G2155" t="s">
        <v>44</v>
      </c>
      <c r="H2155" t="s">
        <v>32</v>
      </c>
      <c r="I2155" t="s">
        <v>33</v>
      </c>
      <c r="J2155">
        <v>65</v>
      </c>
      <c r="K2155">
        <v>1290.3</v>
      </c>
      <c r="L2155">
        <v>83869.279999999999</v>
      </c>
      <c r="M2155">
        <v>46033.75</v>
      </c>
      <c r="N2155">
        <v>8402.4500000000007</v>
      </c>
      <c r="O2155">
        <v>6148</v>
      </c>
      <c r="P2155">
        <v>1717.22</v>
      </c>
      <c r="Q2155">
        <v>1440.76</v>
      </c>
      <c r="R2155">
        <v>4113.05</v>
      </c>
      <c r="S2155">
        <v>1243.77</v>
      </c>
      <c r="T2155">
        <v>69099</v>
      </c>
      <c r="U2155">
        <v>37835.53</v>
      </c>
      <c r="V2155">
        <v>14770.28</v>
      </c>
      <c r="W2155">
        <v>13192.55</v>
      </c>
      <c r="X2155">
        <v>82574.080000000002</v>
      </c>
      <c r="Y2155">
        <v>69552.289999999994</v>
      </c>
    </row>
    <row r="2156" spans="1:25" x14ac:dyDescent="0.25">
      <c r="A2156" t="s">
        <v>2212</v>
      </c>
      <c r="B2156" s="1">
        <v>45538</v>
      </c>
      <c r="C2156">
        <v>2024</v>
      </c>
      <c r="D2156">
        <v>9</v>
      </c>
      <c r="E2156" t="s">
        <v>918</v>
      </c>
      <c r="F2156" t="s">
        <v>691</v>
      </c>
      <c r="G2156" t="s">
        <v>35</v>
      </c>
      <c r="H2156" t="s">
        <v>53</v>
      </c>
      <c r="I2156" t="s">
        <v>56</v>
      </c>
      <c r="J2156">
        <v>25</v>
      </c>
      <c r="K2156">
        <v>1383.74</v>
      </c>
      <c r="L2156">
        <v>34593.61</v>
      </c>
      <c r="M2156">
        <v>21371.49</v>
      </c>
      <c r="N2156">
        <v>3948.61</v>
      </c>
      <c r="O2156">
        <v>1789.4</v>
      </c>
      <c r="P2156">
        <v>766.59</v>
      </c>
      <c r="Q2156">
        <v>174.68</v>
      </c>
      <c r="R2156">
        <v>1026.7</v>
      </c>
      <c r="S2156">
        <v>607.79999999999995</v>
      </c>
      <c r="T2156">
        <v>29685.27</v>
      </c>
      <c r="U2156">
        <v>13222.12</v>
      </c>
      <c r="V2156">
        <v>4908.34</v>
      </c>
      <c r="W2156">
        <v>4774.79</v>
      </c>
      <c r="X2156">
        <v>31891.73</v>
      </c>
      <c r="Y2156">
        <v>31025.59</v>
      </c>
    </row>
    <row r="2157" spans="1:25" x14ac:dyDescent="0.25">
      <c r="A2157" t="s">
        <v>2213</v>
      </c>
      <c r="B2157" s="1">
        <v>45539</v>
      </c>
      <c r="C2157">
        <v>2024</v>
      </c>
      <c r="D2157">
        <v>9</v>
      </c>
      <c r="E2157" t="s">
        <v>918</v>
      </c>
      <c r="F2157" t="s">
        <v>691</v>
      </c>
      <c r="G2157" t="s">
        <v>44</v>
      </c>
      <c r="H2157" t="s">
        <v>36</v>
      </c>
      <c r="I2157" t="s">
        <v>65</v>
      </c>
      <c r="J2157">
        <v>65</v>
      </c>
      <c r="K2157">
        <v>860.67</v>
      </c>
      <c r="L2157">
        <v>55943.83</v>
      </c>
      <c r="M2157">
        <v>37505.19</v>
      </c>
      <c r="N2157">
        <v>7239.48</v>
      </c>
      <c r="O2157">
        <v>2270.94</v>
      </c>
      <c r="P2157">
        <v>1096.33</v>
      </c>
      <c r="Q2157">
        <v>755.63</v>
      </c>
      <c r="R2157">
        <v>2020.89</v>
      </c>
      <c r="S2157">
        <v>985.14</v>
      </c>
      <c r="T2157">
        <v>51873.599999999999</v>
      </c>
      <c r="U2157">
        <v>18438.64</v>
      </c>
      <c r="V2157">
        <v>4070.23</v>
      </c>
      <c r="W2157">
        <v>3697.95</v>
      </c>
      <c r="X2157">
        <v>59285</v>
      </c>
      <c r="Y2157">
        <v>49027.32</v>
      </c>
    </row>
    <row r="2158" spans="1:25" x14ac:dyDescent="0.25">
      <c r="A2158" t="s">
        <v>2214</v>
      </c>
      <c r="B2158" s="1">
        <v>45539</v>
      </c>
      <c r="C2158">
        <v>2024</v>
      </c>
      <c r="D2158">
        <v>9</v>
      </c>
      <c r="E2158" t="s">
        <v>918</v>
      </c>
      <c r="F2158" t="s">
        <v>691</v>
      </c>
      <c r="G2158" t="s">
        <v>28</v>
      </c>
      <c r="H2158" t="s">
        <v>36</v>
      </c>
      <c r="I2158" t="s">
        <v>45</v>
      </c>
      <c r="J2158">
        <v>54</v>
      </c>
      <c r="K2158">
        <v>1092.01</v>
      </c>
      <c r="L2158">
        <v>58968.54</v>
      </c>
      <c r="M2158">
        <v>29726.82</v>
      </c>
      <c r="N2158">
        <v>6994.95</v>
      </c>
      <c r="O2158">
        <v>3284.69</v>
      </c>
      <c r="P2158">
        <v>1566.81</v>
      </c>
      <c r="Q2158">
        <v>844.74</v>
      </c>
      <c r="R2158">
        <v>1502.51</v>
      </c>
      <c r="S2158">
        <v>1234.3699999999999</v>
      </c>
      <c r="T2158">
        <v>45154.9</v>
      </c>
      <c r="U2158">
        <v>29241.72</v>
      </c>
      <c r="V2158">
        <v>13813.65</v>
      </c>
      <c r="W2158">
        <v>13356.76</v>
      </c>
      <c r="X2158">
        <v>61445.96</v>
      </c>
      <c r="Y2158">
        <v>48402.17</v>
      </c>
    </row>
    <row r="2159" spans="1:25" x14ac:dyDescent="0.25">
      <c r="A2159" t="s">
        <v>2215</v>
      </c>
      <c r="B2159" s="1">
        <v>45539</v>
      </c>
      <c r="C2159">
        <v>2024</v>
      </c>
      <c r="D2159">
        <v>9</v>
      </c>
      <c r="E2159" t="s">
        <v>918</v>
      </c>
      <c r="F2159" t="s">
        <v>691</v>
      </c>
      <c r="G2159" t="s">
        <v>44</v>
      </c>
      <c r="H2159" t="s">
        <v>32</v>
      </c>
      <c r="I2159" t="s">
        <v>30</v>
      </c>
      <c r="J2159">
        <v>81</v>
      </c>
      <c r="K2159">
        <v>1013.68</v>
      </c>
      <c r="L2159">
        <v>82108.399999999994</v>
      </c>
      <c r="M2159">
        <v>51802.54</v>
      </c>
      <c r="N2159">
        <v>10106.07</v>
      </c>
      <c r="O2159">
        <v>4492.0200000000004</v>
      </c>
      <c r="P2159">
        <v>1976.25</v>
      </c>
      <c r="Q2159">
        <v>1446.79</v>
      </c>
      <c r="R2159">
        <v>5334.3</v>
      </c>
      <c r="S2159">
        <v>1313.11</v>
      </c>
      <c r="T2159">
        <v>76471.08</v>
      </c>
      <c r="U2159">
        <v>30305.85</v>
      </c>
      <c r="V2159">
        <v>5637.32</v>
      </c>
      <c r="W2159">
        <v>5122.05</v>
      </c>
      <c r="X2159">
        <v>84606.06</v>
      </c>
      <c r="Y2159">
        <v>76756.929999999993</v>
      </c>
    </row>
    <row r="2160" spans="1:25" x14ac:dyDescent="0.25">
      <c r="A2160" t="s">
        <v>2216</v>
      </c>
      <c r="B2160" s="1">
        <v>45539</v>
      </c>
      <c r="C2160">
        <v>2024</v>
      </c>
      <c r="D2160">
        <v>9</v>
      </c>
      <c r="E2160" t="s">
        <v>918</v>
      </c>
      <c r="F2160" t="s">
        <v>691</v>
      </c>
      <c r="G2160" t="s">
        <v>35</v>
      </c>
      <c r="H2160" t="s">
        <v>36</v>
      </c>
      <c r="I2160" t="s">
        <v>33</v>
      </c>
      <c r="J2160">
        <v>55</v>
      </c>
      <c r="K2160">
        <v>1169.1600000000001</v>
      </c>
      <c r="L2160">
        <v>64303.68</v>
      </c>
      <c r="M2160">
        <v>42015.33</v>
      </c>
      <c r="N2160">
        <v>4802.37</v>
      </c>
      <c r="O2160">
        <v>3241.06</v>
      </c>
      <c r="P2160">
        <v>1800.61</v>
      </c>
      <c r="Q2160">
        <v>705.76</v>
      </c>
      <c r="R2160">
        <v>3273.44</v>
      </c>
      <c r="S2160">
        <v>1552.57</v>
      </c>
      <c r="T2160">
        <v>57391.14</v>
      </c>
      <c r="U2160">
        <v>22288.35</v>
      </c>
      <c r="V2160">
        <v>6912.54</v>
      </c>
      <c r="W2160">
        <v>6758.12</v>
      </c>
      <c r="X2160">
        <v>69743.56</v>
      </c>
      <c r="Y2160">
        <v>61921.15</v>
      </c>
    </row>
    <row r="2161" spans="1:25" x14ac:dyDescent="0.25">
      <c r="A2161" t="s">
        <v>2217</v>
      </c>
      <c r="B2161" s="1">
        <v>45539</v>
      </c>
      <c r="C2161">
        <v>2024</v>
      </c>
      <c r="D2161">
        <v>9</v>
      </c>
      <c r="E2161" t="s">
        <v>918</v>
      </c>
      <c r="F2161" t="s">
        <v>691</v>
      </c>
      <c r="G2161" t="s">
        <v>55</v>
      </c>
      <c r="H2161" t="s">
        <v>29</v>
      </c>
      <c r="I2161" t="s">
        <v>30</v>
      </c>
      <c r="J2161">
        <v>120</v>
      </c>
      <c r="K2161">
        <v>1091.46</v>
      </c>
      <c r="L2161">
        <v>130974.92</v>
      </c>
      <c r="M2161">
        <v>70396.38</v>
      </c>
      <c r="N2161">
        <v>13708.77</v>
      </c>
      <c r="O2161">
        <v>5678.18</v>
      </c>
      <c r="P2161">
        <v>2814.86</v>
      </c>
      <c r="Q2161">
        <v>1163.46</v>
      </c>
      <c r="R2161">
        <v>7616.32</v>
      </c>
      <c r="S2161">
        <v>3053.95</v>
      </c>
      <c r="T2161">
        <v>104431.92</v>
      </c>
      <c r="U2161">
        <v>60578.54</v>
      </c>
      <c r="V2161">
        <v>26543</v>
      </c>
      <c r="W2161">
        <v>24360.76</v>
      </c>
      <c r="X2161">
        <v>121760.44</v>
      </c>
      <c r="Y2161">
        <v>101104.31</v>
      </c>
    </row>
    <row r="2162" spans="1:25" x14ac:dyDescent="0.25">
      <c r="A2162" t="s">
        <v>2218</v>
      </c>
      <c r="B2162" s="1">
        <v>45539</v>
      </c>
      <c r="C2162">
        <v>2024</v>
      </c>
      <c r="D2162">
        <v>9</v>
      </c>
      <c r="E2162" t="s">
        <v>918</v>
      </c>
      <c r="F2162" t="s">
        <v>691</v>
      </c>
      <c r="G2162" t="s">
        <v>35</v>
      </c>
      <c r="H2162" t="s">
        <v>58</v>
      </c>
      <c r="I2162" t="s">
        <v>50</v>
      </c>
      <c r="J2162">
        <v>24</v>
      </c>
      <c r="K2162">
        <v>1415.16</v>
      </c>
      <c r="L2162">
        <v>33963.72</v>
      </c>
      <c r="M2162">
        <v>21919.65</v>
      </c>
      <c r="N2162">
        <v>3586.61</v>
      </c>
      <c r="O2162">
        <v>2333.0100000000002</v>
      </c>
      <c r="P2162">
        <v>1445.55</v>
      </c>
      <c r="Q2162">
        <v>500.83</v>
      </c>
      <c r="R2162">
        <v>2073.12</v>
      </c>
      <c r="S2162">
        <v>702.57</v>
      </c>
      <c r="T2162">
        <v>32561.33</v>
      </c>
      <c r="U2162">
        <v>12044.08</v>
      </c>
      <c r="V2162">
        <v>1402.39</v>
      </c>
      <c r="W2162">
        <v>1329.43</v>
      </c>
      <c r="X2162">
        <v>36921</v>
      </c>
      <c r="Y2162">
        <v>33016.85</v>
      </c>
    </row>
    <row r="2163" spans="1:25" x14ac:dyDescent="0.25">
      <c r="A2163" t="s">
        <v>2219</v>
      </c>
      <c r="B2163" s="1">
        <v>45539</v>
      </c>
      <c r="C2163">
        <v>2024</v>
      </c>
      <c r="D2163">
        <v>9</v>
      </c>
      <c r="E2163" t="s">
        <v>918</v>
      </c>
      <c r="F2163" t="s">
        <v>691</v>
      </c>
      <c r="G2163" t="s">
        <v>55</v>
      </c>
      <c r="H2163" t="s">
        <v>36</v>
      </c>
      <c r="I2163" t="s">
        <v>50</v>
      </c>
      <c r="J2163">
        <v>28</v>
      </c>
      <c r="K2163">
        <v>1742.36</v>
      </c>
      <c r="L2163">
        <v>48786.22</v>
      </c>
      <c r="M2163">
        <v>23607.22</v>
      </c>
      <c r="N2163">
        <v>4965.46</v>
      </c>
      <c r="O2163">
        <v>1877.22</v>
      </c>
      <c r="P2163">
        <v>1249.04</v>
      </c>
      <c r="Q2163">
        <v>718.96</v>
      </c>
      <c r="R2163">
        <v>2824.78</v>
      </c>
      <c r="S2163">
        <v>642.98</v>
      </c>
      <c r="T2163">
        <v>35885.65</v>
      </c>
      <c r="U2163">
        <v>25179</v>
      </c>
      <c r="V2163">
        <v>12900.57</v>
      </c>
      <c r="W2163">
        <v>12466.13</v>
      </c>
      <c r="X2163">
        <v>53868.95</v>
      </c>
      <c r="Y2163">
        <v>39193.279999999999</v>
      </c>
    </row>
    <row r="2164" spans="1:25" x14ac:dyDescent="0.25">
      <c r="A2164" t="s">
        <v>2220</v>
      </c>
      <c r="B2164" s="1">
        <v>45540</v>
      </c>
      <c r="C2164">
        <v>2024</v>
      </c>
      <c r="D2164">
        <v>9</v>
      </c>
      <c r="E2164" t="s">
        <v>918</v>
      </c>
      <c r="F2164" t="s">
        <v>691</v>
      </c>
      <c r="G2164" t="s">
        <v>28</v>
      </c>
      <c r="H2164" t="s">
        <v>32</v>
      </c>
      <c r="I2164" t="s">
        <v>37</v>
      </c>
      <c r="J2164">
        <v>69</v>
      </c>
      <c r="K2164">
        <v>1441.74</v>
      </c>
      <c r="L2164">
        <v>99480.08</v>
      </c>
      <c r="M2164">
        <v>59692.15</v>
      </c>
      <c r="N2164">
        <v>9494.3700000000008</v>
      </c>
      <c r="O2164">
        <v>2613.7199999999998</v>
      </c>
      <c r="P2164">
        <v>4057.71</v>
      </c>
      <c r="Q2164">
        <v>1631.88</v>
      </c>
      <c r="R2164">
        <v>6014.69</v>
      </c>
      <c r="S2164">
        <v>2461.64</v>
      </c>
      <c r="T2164">
        <v>85966.17</v>
      </c>
      <c r="U2164">
        <v>39787.93</v>
      </c>
      <c r="V2164">
        <v>13513.9</v>
      </c>
      <c r="W2164">
        <v>12350.82</v>
      </c>
      <c r="X2164">
        <v>105069.44</v>
      </c>
      <c r="Y2164">
        <v>86668.51</v>
      </c>
    </row>
    <row r="2165" spans="1:25" x14ac:dyDescent="0.25">
      <c r="A2165" t="s">
        <v>2221</v>
      </c>
      <c r="B2165" s="1">
        <v>45540</v>
      </c>
      <c r="C2165">
        <v>2024</v>
      </c>
      <c r="D2165">
        <v>9</v>
      </c>
      <c r="E2165" t="s">
        <v>918</v>
      </c>
      <c r="F2165" t="s">
        <v>691</v>
      </c>
      <c r="G2165" t="s">
        <v>28</v>
      </c>
      <c r="H2165" t="s">
        <v>32</v>
      </c>
      <c r="I2165" t="s">
        <v>33</v>
      </c>
      <c r="J2165">
        <v>69</v>
      </c>
      <c r="K2165">
        <v>1278.93</v>
      </c>
      <c r="L2165">
        <v>88246.19</v>
      </c>
      <c r="M2165">
        <v>49013.83</v>
      </c>
      <c r="N2165">
        <v>10798.64</v>
      </c>
      <c r="O2165">
        <v>3096.53</v>
      </c>
      <c r="P2165">
        <v>2284.4</v>
      </c>
      <c r="Q2165">
        <v>677.13</v>
      </c>
      <c r="R2165">
        <v>2496.27</v>
      </c>
      <c r="S2165">
        <v>798.63</v>
      </c>
      <c r="T2165">
        <v>69165.429999999993</v>
      </c>
      <c r="U2165">
        <v>39232.36</v>
      </c>
      <c r="V2165">
        <v>19080.759999999998</v>
      </c>
      <c r="W2165">
        <v>16861.259999999998</v>
      </c>
      <c r="X2165">
        <v>84188.41</v>
      </c>
      <c r="Y2165">
        <v>68158.14</v>
      </c>
    </row>
    <row r="2166" spans="1:25" x14ac:dyDescent="0.25">
      <c r="A2166" t="s">
        <v>2222</v>
      </c>
      <c r="B2166" s="1">
        <v>45540</v>
      </c>
      <c r="C2166">
        <v>2024</v>
      </c>
      <c r="D2166">
        <v>9</v>
      </c>
      <c r="E2166" t="s">
        <v>918</v>
      </c>
      <c r="F2166" t="s">
        <v>691</v>
      </c>
      <c r="G2166" t="s">
        <v>28</v>
      </c>
      <c r="H2166" t="s">
        <v>29</v>
      </c>
      <c r="I2166" t="s">
        <v>56</v>
      </c>
      <c r="J2166">
        <v>37</v>
      </c>
      <c r="K2166">
        <v>967.32</v>
      </c>
      <c r="L2166">
        <v>35790.699999999997</v>
      </c>
      <c r="M2166">
        <v>22016.799999999999</v>
      </c>
      <c r="N2166">
        <v>2664.1</v>
      </c>
      <c r="O2166">
        <v>1271.81</v>
      </c>
      <c r="P2166">
        <v>1085.0899999999999</v>
      </c>
      <c r="Q2166">
        <v>612.28</v>
      </c>
      <c r="R2166">
        <v>1884.7</v>
      </c>
      <c r="S2166">
        <v>683.36</v>
      </c>
      <c r="T2166">
        <v>30218.13</v>
      </c>
      <c r="U2166">
        <v>13773.9</v>
      </c>
      <c r="V2166">
        <v>5572.57</v>
      </c>
      <c r="W2166">
        <v>5047.6000000000004</v>
      </c>
      <c r="X2166">
        <v>35727.46</v>
      </c>
      <c r="Y2166">
        <v>31707.96</v>
      </c>
    </row>
    <row r="2167" spans="1:25" x14ac:dyDescent="0.25">
      <c r="A2167" t="s">
        <v>2223</v>
      </c>
      <c r="B2167" s="1">
        <v>45540</v>
      </c>
      <c r="C2167">
        <v>2024</v>
      </c>
      <c r="D2167">
        <v>9</v>
      </c>
      <c r="E2167" t="s">
        <v>918</v>
      </c>
      <c r="F2167" t="s">
        <v>691</v>
      </c>
      <c r="G2167" t="s">
        <v>28</v>
      </c>
      <c r="H2167" t="s">
        <v>29</v>
      </c>
      <c r="I2167" t="s">
        <v>30</v>
      </c>
      <c r="J2167">
        <v>63</v>
      </c>
      <c r="K2167">
        <v>1272.8499999999999</v>
      </c>
      <c r="L2167">
        <v>80189.47</v>
      </c>
      <c r="M2167">
        <v>42938.61</v>
      </c>
      <c r="N2167">
        <v>8911.7999999999993</v>
      </c>
      <c r="O2167">
        <v>5693.16</v>
      </c>
      <c r="P2167">
        <v>1895.72</v>
      </c>
      <c r="Q2167">
        <v>1073.1300000000001</v>
      </c>
      <c r="R2167">
        <v>5163.96</v>
      </c>
      <c r="S2167">
        <v>1968.91</v>
      </c>
      <c r="T2167">
        <v>67645.289999999994</v>
      </c>
      <c r="U2167">
        <v>37250.86</v>
      </c>
      <c r="V2167">
        <v>12544.18</v>
      </c>
      <c r="W2167">
        <v>12610.3</v>
      </c>
      <c r="X2167">
        <v>78747.3</v>
      </c>
      <c r="Y2167">
        <v>71651.679999999993</v>
      </c>
    </row>
    <row r="2168" spans="1:25" x14ac:dyDescent="0.25">
      <c r="A2168" t="s">
        <v>2224</v>
      </c>
      <c r="B2168" s="1">
        <v>45541</v>
      </c>
      <c r="C2168">
        <v>2024</v>
      </c>
      <c r="D2168">
        <v>9</v>
      </c>
      <c r="E2168" t="s">
        <v>918</v>
      </c>
      <c r="F2168" t="s">
        <v>691</v>
      </c>
      <c r="G2168" t="s">
        <v>35</v>
      </c>
      <c r="H2168" t="s">
        <v>32</v>
      </c>
      <c r="I2168" t="s">
        <v>50</v>
      </c>
      <c r="J2168">
        <v>25</v>
      </c>
      <c r="K2168">
        <v>1571.06</v>
      </c>
      <c r="L2168">
        <v>39276.61</v>
      </c>
      <c r="M2168">
        <v>19225.490000000002</v>
      </c>
      <c r="N2168">
        <v>3968.7</v>
      </c>
      <c r="O2168">
        <v>1691.39</v>
      </c>
      <c r="P2168">
        <v>981.17</v>
      </c>
      <c r="Q2168">
        <v>384.6</v>
      </c>
      <c r="R2168">
        <v>2338.65</v>
      </c>
      <c r="S2168">
        <v>567.98</v>
      </c>
      <c r="T2168">
        <v>29157.99</v>
      </c>
      <c r="U2168">
        <v>20051.12</v>
      </c>
      <c r="V2168">
        <v>10118.620000000001</v>
      </c>
      <c r="W2168">
        <v>10130.91</v>
      </c>
      <c r="X2168">
        <v>41123.160000000003</v>
      </c>
      <c r="Y2168">
        <v>31110.59</v>
      </c>
    </row>
    <row r="2169" spans="1:25" x14ac:dyDescent="0.25">
      <c r="A2169" t="s">
        <v>2225</v>
      </c>
      <c r="B2169" s="1">
        <v>45541</v>
      </c>
      <c r="C2169">
        <v>2024</v>
      </c>
      <c r="D2169">
        <v>9</v>
      </c>
      <c r="E2169" t="s">
        <v>918</v>
      </c>
      <c r="F2169" t="s">
        <v>691</v>
      </c>
      <c r="G2169" t="s">
        <v>35</v>
      </c>
      <c r="H2169" t="s">
        <v>36</v>
      </c>
      <c r="I2169" t="s">
        <v>33</v>
      </c>
      <c r="J2169">
        <v>75</v>
      </c>
      <c r="K2169">
        <v>961.54</v>
      </c>
      <c r="L2169">
        <v>72115.63</v>
      </c>
      <c r="M2169">
        <v>38535.410000000003</v>
      </c>
      <c r="N2169">
        <v>7170.12</v>
      </c>
      <c r="O2169">
        <v>5141.78</v>
      </c>
      <c r="P2169">
        <v>2347.4</v>
      </c>
      <c r="Q2169">
        <v>468.89</v>
      </c>
      <c r="R2169">
        <v>3208.27</v>
      </c>
      <c r="S2169">
        <v>1387.91</v>
      </c>
      <c r="T2169">
        <v>58259.77</v>
      </c>
      <c r="U2169">
        <v>33580.22</v>
      </c>
      <c r="V2169">
        <v>13855.86</v>
      </c>
      <c r="W2169">
        <v>13454.84</v>
      </c>
      <c r="X2169">
        <v>71984.009999999995</v>
      </c>
      <c r="Y2169">
        <v>61243.86</v>
      </c>
    </row>
    <row r="2170" spans="1:25" x14ac:dyDescent="0.25">
      <c r="A2170" t="s">
        <v>2226</v>
      </c>
      <c r="B2170" s="1">
        <v>45541</v>
      </c>
      <c r="C2170">
        <v>2024</v>
      </c>
      <c r="D2170">
        <v>9</v>
      </c>
      <c r="E2170" t="s">
        <v>918</v>
      </c>
      <c r="F2170" t="s">
        <v>691</v>
      </c>
      <c r="G2170" t="s">
        <v>55</v>
      </c>
      <c r="H2170" t="s">
        <v>36</v>
      </c>
      <c r="I2170" t="s">
        <v>56</v>
      </c>
      <c r="J2170">
        <v>22</v>
      </c>
      <c r="K2170">
        <v>1656.59</v>
      </c>
      <c r="L2170">
        <v>36444.94</v>
      </c>
      <c r="M2170">
        <v>22110.16</v>
      </c>
      <c r="N2170">
        <v>3886.02</v>
      </c>
      <c r="O2170">
        <v>1689.65</v>
      </c>
      <c r="P2170">
        <v>701.42</v>
      </c>
      <c r="Q2170">
        <v>370.97</v>
      </c>
      <c r="R2170">
        <v>2361.75</v>
      </c>
      <c r="S2170">
        <v>538.79999999999995</v>
      </c>
      <c r="T2170">
        <v>31658.77</v>
      </c>
      <c r="U2170">
        <v>14334.78</v>
      </c>
      <c r="V2170">
        <v>4786.17</v>
      </c>
      <c r="W2170">
        <v>4353.21</v>
      </c>
      <c r="X2170">
        <v>34211.49</v>
      </c>
      <c r="Y2170">
        <v>32926.32</v>
      </c>
    </row>
    <row r="2171" spans="1:25" x14ac:dyDescent="0.25">
      <c r="A2171" t="s">
        <v>2227</v>
      </c>
      <c r="B2171" s="1">
        <v>45542</v>
      </c>
      <c r="C2171">
        <v>2024</v>
      </c>
      <c r="D2171">
        <v>9</v>
      </c>
      <c r="E2171" t="s">
        <v>918</v>
      </c>
      <c r="F2171" t="s">
        <v>691</v>
      </c>
      <c r="G2171" t="s">
        <v>55</v>
      </c>
      <c r="H2171" t="s">
        <v>32</v>
      </c>
      <c r="I2171" t="s">
        <v>39</v>
      </c>
      <c r="J2171">
        <v>45</v>
      </c>
      <c r="K2171">
        <v>1559.18</v>
      </c>
      <c r="L2171">
        <v>70163.11</v>
      </c>
      <c r="M2171">
        <v>36943.760000000002</v>
      </c>
      <c r="N2171">
        <v>6392.82</v>
      </c>
      <c r="O2171">
        <v>2387.06</v>
      </c>
      <c r="P2171">
        <v>1912.92</v>
      </c>
      <c r="Q2171">
        <v>1099.5999999999999</v>
      </c>
      <c r="R2171">
        <v>1913.23</v>
      </c>
      <c r="S2171">
        <v>662.48</v>
      </c>
      <c r="T2171">
        <v>51311.86</v>
      </c>
      <c r="U2171">
        <v>33219.35</v>
      </c>
      <c r="V2171">
        <v>18851.25</v>
      </c>
      <c r="W2171">
        <v>18834.55</v>
      </c>
      <c r="X2171">
        <v>76350.600000000006</v>
      </c>
      <c r="Y2171">
        <v>48971.73</v>
      </c>
    </row>
    <row r="2172" spans="1:25" x14ac:dyDescent="0.25">
      <c r="A2172" t="s">
        <v>2228</v>
      </c>
      <c r="B2172" s="1">
        <v>45542</v>
      </c>
      <c r="C2172">
        <v>2024</v>
      </c>
      <c r="D2172">
        <v>9</v>
      </c>
      <c r="E2172" t="s">
        <v>918</v>
      </c>
      <c r="F2172" t="s">
        <v>691</v>
      </c>
      <c r="G2172" t="s">
        <v>44</v>
      </c>
      <c r="H2172" t="s">
        <v>32</v>
      </c>
      <c r="I2172" t="s">
        <v>30</v>
      </c>
      <c r="J2172">
        <v>95</v>
      </c>
      <c r="K2172">
        <v>1081.0999999999999</v>
      </c>
      <c r="L2172">
        <v>102704.9</v>
      </c>
      <c r="M2172">
        <v>67771.570000000007</v>
      </c>
      <c r="N2172">
        <v>10117.59</v>
      </c>
      <c r="O2172">
        <v>3211.43</v>
      </c>
      <c r="P2172">
        <v>1890.79</v>
      </c>
      <c r="Q2172">
        <v>1035.29</v>
      </c>
      <c r="R2172">
        <v>6044.32</v>
      </c>
      <c r="S2172">
        <v>827.34</v>
      </c>
      <c r="T2172">
        <v>90898.33</v>
      </c>
      <c r="U2172">
        <v>34933.339999999997</v>
      </c>
      <c r="V2172">
        <v>11806.57</v>
      </c>
      <c r="W2172">
        <v>11935.22</v>
      </c>
      <c r="X2172">
        <v>108886.18</v>
      </c>
      <c r="Y2172">
        <v>92768.18</v>
      </c>
    </row>
    <row r="2173" spans="1:25" x14ac:dyDescent="0.25">
      <c r="A2173" t="s">
        <v>2229</v>
      </c>
      <c r="B2173" s="1">
        <v>45542</v>
      </c>
      <c r="C2173">
        <v>2024</v>
      </c>
      <c r="D2173">
        <v>9</v>
      </c>
      <c r="E2173" t="s">
        <v>918</v>
      </c>
      <c r="F2173" t="s">
        <v>691</v>
      </c>
      <c r="G2173" t="s">
        <v>28</v>
      </c>
      <c r="H2173" t="s">
        <v>36</v>
      </c>
      <c r="I2173" t="s">
        <v>37</v>
      </c>
      <c r="J2173">
        <v>58</v>
      </c>
      <c r="K2173">
        <v>1341.02</v>
      </c>
      <c r="L2173">
        <v>77779.100000000006</v>
      </c>
      <c r="M2173">
        <v>40363.26</v>
      </c>
      <c r="N2173">
        <v>9549.2999999999993</v>
      </c>
      <c r="O2173">
        <v>5469.84</v>
      </c>
      <c r="P2173">
        <v>1484.73</v>
      </c>
      <c r="Q2173">
        <v>969.81</v>
      </c>
      <c r="R2173">
        <v>2218.5100000000002</v>
      </c>
      <c r="S2173">
        <v>1433.07</v>
      </c>
      <c r="T2173">
        <v>61488.51</v>
      </c>
      <c r="U2173">
        <v>37415.839999999997</v>
      </c>
      <c r="V2173">
        <v>16290.58</v>
      </c>
      <c r="W2173">
        <v>14699.7</v>
      </c>
      <c r="X2173">
        <v>72432.320000000007</v>
      </c>
      <c r="Y2173">
        <v>65614.34</v>
      </c>
    </row>
    <row r="2174" spans="1:25" x14ac:dyDescent="0.25">
      <c r="A2174" t="s">
        <v>2230</v>
      </c>
      <c r="B2174" s="1">
        <v>45542</v>
      </c>
      <c r="C2174">
        <v>2024</v>
      </c>
      <c r="D2174">
        <v>9</v>
      </c>
      <c r="E2174" t="s">
        <v>918</v>
      </c>
      <c r="F2174" t="s">
        <v>691</v>
      </c>
      <c r="G2174" t="s">
        <v>35</v>
      </c>
      <c r="H2174" t="s">
        <v>29</v>
      </c>
      <c r="I2174" t="s">
        <v>37</v>
      </c>
      <c r="J2174">
        <v>50</v>
      </c>
      <c r="K2174">
        <v>1570.64</v>
      </c>
      <c r="L2174">
        <v>78531.98</v>
      </c>
      <c r="M2174">
        <v>37815.89</v>
      </c>
      <c r="N2174">
        <v>10088.17</v>
      </c>
      <c r="O2174">
        <v>3160.7</v>
      </c>
      <c r="P2174">
        <v>2667.05</v>
      </c>
      <c r="Q2174">
        <v>463.75</v>
      </c>
      <c r="R2174">
        <v>2938.08</v>
      </c>
      <c r="S2174">
        <v>1167.6199999999999</v>
      </c>
      <c r="T2174">
        <v>58301.27</v>
      </c>
      <c r="U2174">
        <v>40716.080000000002</v>
      </c>
      <c r="V2174">
        <v>20230.71</v>
      </c>
      <c r="W2174">
        <v>20253.87</v>
      </c>
      <c r="X2174">
        <v>79372.2</v>
      </c>
      <c r="Y2174">
        <v>61354.9</v>
      </c>
    </row>
    <row r="2175" spans="1:25" x14ac:dyDescent="0.25">
      <c r="A2175" t="s">
        <v>2231</v>
      </c>
      <c r="B2175" s="1">
        <v>45543</v>
      </c>
      <c r="C2175">
        <v>2024</v>
      </c>
      <c r="D2175">
        <v>9</v>
      </c>
      <c r="E2175" t="s">
        <v>918</v>
      </c>
      <c r="F2175" t="s">
        <v>691</v>
      </c>
      <c r="G2175" t="s">
        <v>28</v>
      </c>
      <c r="H2175" t="s">
        <v>32</v>
      </c>
      <c r="I2175" t="s">
        <v>56</v>
      </c>
      <c r="J2175">
        <v>61</v>
      </c>
      <c r="K2175">
        <v>851.2</v>
      </c>
      <c r="L2175">
        <v>51923.41</v>
      </c>
      <c r="M2175">
        <v>29388.77</v>
      </c>
      <c r="N2175">
        <v>4542.0600000000004</v>
      </c>
      <c r="O2175">
        <v>1647.71</v>
      </c>
      <c r="P2175">
        <v>790.92</v>
      </c>
      <c r="Q2175">
        <v>857.84</v>
      </c>
      <c r="R2175">
        <v>2156.4499999999998</v>
      </c>
      <c r="S2175">
        <v>1029.8499999999999</v>
      </c>
      <c r="T2175">
        <v>40413.61</v>
      </c>
      <c r="U2175">
        <v>22534.639999999999</v>
      </c>
      <c r="V2175">
        <v>11509.8</v>
      </c>
      <c r="W2175">
        <v>10718.34</v>
      </c>
      <c r="X2175">
        <v>53792.82</v>
      </c>
      <c r="Y2175">
        <v>43824.26</v>
      </c>
    </row>
    <row r="2176" spans="1:25" x14ac:dyDescent="0.25">
      <c r="A2176" t="s">
        <v>2232</v>
      </c>
      <c r="B2176" s="1">
        <v>45544</v>
      </c>
      <c r="C2176">
        <v>2024</v>
      </c>
      <c r="D2176">
        <v>9</v>
      </c>
      <c r="E2176" t="s">
        <v>918</v>
      </c>
      <c r="F2176" t="s">
        <v>691</v>
      </c>
      <c r="G2176" t="s">
        <v>44</v>
      </c>
      <c r="H2176" t="s">
        <v>32</v>
      </c>
      <c r="I2176" t="s">
        <v>39</v>
      </c>
      <c r="J2176">
        <v>33</v>
      </c>
      <c r="K2176">
        <v>1487.17</v>
      </c>
      <c r="L2176">
        <v>49076.71</v>
      </c>
      <c r="M2176">
        <v>24513.39</v>
      </c>
      <c r="N2176">
        <v>3984.4</v>
      </c>
      <c r="O2176">
        <v>1924.16</v>
      </c>
      <c r="P2176">
        <v>2097.25</v>
      </c>
      <c r="Q2176">
        <v>449.12</v>
      </c>
      <c r="R2176">
        <v>2226.2600000000002</v>
      </c>
      <c r="S2176">
        <v>853.72</v>
      </c>
      <c r="T2176">
        <v>36048.29</v>
      </c>
      <c r="U2176">
        <v>24563.33</v>
      </c>
      <c r="V2176">
        <v>13028.42</v>
      </c>
      <c r="W2176">
        <v>11816.88</v>
      </c>
      <c r="X2176">
        <v>45300.94</v>
      </c>
      <c r="Y2176">
        <v>39172.639999999999</v>
      </c>
    </row>
    <row r="2177" spans="1:25" x14ac:dyDescent="0.25">
      <c r="A2177" t="s">
        <v>2233</v>
      </c>
      <c r="B2177" s="1">
        <v>45544</v>
      </c>
      <c r="C2177">
        <v>2024</v>
      </c>
      <c r="D2177">
        <v>9</v>
      </c>
      <c r="E2177" t="s">
        <v>918</v>
      </c>
      <c r="F2177" t="s">
        <v>691</v>
      </c>
      <c r="G2177" t="s">
        <v>55</v>
      </c>
      <c r="H2177" t="s">
        <v>32</v>
      </c>
      <c r="I2177" t="s">
        <v>30</v>
      </c>
      <c r="J2177">
        <v>88</v>
      </c>
      <c r="K2177">
        <v>1600.85</v>
      </c>
      <c r="L2177">
        <v>140874.99</v>
      </c>
      <c r="M2177">
        <v>77048.5</v>
      </c>
      <c r="N2177">
        <v>9883.49</v>
      </c>
      <c r="O2177">
        <v>3640.91</v>
      </c>
      <c r="P2177">
        <v>3044.5</v>
      </c>
      <c r="Q2177">
        <v>1594.06</v>
      </c>
      <c r="R2177">
        <v>8178.5</v>
      </c>
      <c r="S2177">
        <v>3093.15</v>
      </c>
      <c r="T2177">
        <v>106483.1</v>
      </c>
      <c r="U2177">
        <v>63826.49</v>
      </c>
      <c r="V2177">
        <v>34391.89</v>
      </c>
      <c r="W2177">
        <v>31894.959999999999</v>
      </c>
      <c r="X2177">
        <v>143101.15</v>
      </c>
      <c r="Y2177">
        <v>107149.66</v>
      </c>
    </row>
    <row r="2178" spans="1:25" x14ac:dyDescent="0.25">
      <c r="A2178" t="s">
        <v>2234</v>
      </c>
      <c r="B2178" s="1">
        <v>45544</v>
      </c>
      <c r="C2178">
        <v>2024</v>
      </c>
      <c r="D2178">
        <v>9</v>
      </c>
      <c r="E2178" t="s">
        <v>918</v>
      </c>
      <c r="F2178" t="s">
        <v>691</v>
      </c>
      <c r="G2178" t="s">
        <v>44</v>
      </c>
      <c r="H2178" t="s">
        <v>58</v>
      </c>
      <c r="I2178" t="s">
        <v>50</v>
      </c>
      <c r="J2178">
        <v>26</v>
      </c>
      <c r="K2178">
        <v>1738.7</v>
      </c>
      <c r="L2178">
        <v>45206.14</v>
      </c>
      <c r="M2178">
        <v>23135.41</v>
      </c>
      <c r="N2178">
        <v>5508.86</v>
      </c>
      <c r="O2178">
        <v>1920.2</v>
      </c>
      <c r="P2178">
        <v>1669.49</v>
      </c>
      <c r="Q2178">
        <v>403.04</v>
      </c>
      <c r="R2178">
        <v>2517.04</v>
      </c>
      <c r="S2178">
        <v>626.24</v>
      </c>
      <c r="T2178">
        <v>35780.29</v>
      </c>
      <c r="U2178">
        <v>22070.73</v>
      </c>
      <c r="V2178">
        <v>9425.86</v>
      </c>
      <c r="W2178">
        <v>9321.24</v>
      </c>
      <c r="X2178">
        <v>42872.93</v>
      </c>
      <c r="Y2178">
        <v>36888.58</v>
      </c>
    </row>
    <row r="2179" spans="1:25" x14ac:dyDescent="0.25">
      <c r="A2179" t="s">
        <v>2235</v>
      </c>
      <c r="B2179" s="1">
        <v>45544</v>
      </c>
      <c r="C2179">
        <v>2024</v>
      </c>
      <c r="D2179">
        <v>9</v>
      </c>
      <c r="E2179" t="s">
        <v>918</v>
      </c>
      <c r="F2179" t="s">
        <v>691</v>
      </c>
      <c r="G2179" t="s">
        <v>28</v>
      </c>
      <c r="H2179" t="s">
        <v>32</v>
      </c>
      <c r="I2179" t="s">
        <v>30</v>
      </c>
      <c r="J2179">
        <v>68</v>
      </c>
      <c r="K2179">
        <v>1488.66</v>
      </c>
      <c r="L2179">
        <v>101229.13</v>
      </c>
      <c r="M2179">
        <v>53135.06</v>
      </c>
      <c r="N2179">
        <v>10778.67</v>
      </c>
      <c r="O2179">
        <v>6058.14</v>
      </c>
      <c r="P2179">
        <v>2483.88</v>
      </c>
      <c r="Q2179">
        <v>1770.25</v>
      </c>
      <c r="R2179">
        <v>5853.54</v>
      </c>
      <c r="S2179">
        <v>2248.56</v>
      </c>
      <c r="T2179">
        <v>82328.11</v>
      </c>
      <c r="U2179">
        <v>48094.06</v>
      </c>
      <c r="V2179">
        <v>18901.02</v>
      </c>
      <c r="W2179">
        <v>18987.060000000001</v>
      </c>
      <c r="X2179">
        <v>94339.9</v>
      </c>
      <c r="Y2179">
        <v>80113.600000000006</v>
      </c>
    </row>
    <row r="2180" spans="1:25" x14ac:dyDescent="0.25">
      <c r="A2180" t="s">
        <v>2236</v>
      </c>
      <c r="B2180" s="1">
        <v>45545</v>
      </c>
      <c r="C2180">
        <v>2024</v>
      </c>
      <c r="D2180">
        <v>9</v>
      </c>
      <c r="E2180" t="s">
        <v>918</v>
      </c>
      <c r="F2180" t="s">
        <v>691</v>
      </c>
      <c r="G2180" t="s">
        <v>28</v>
      </c>
      <c r="H2180" t="s">
        <v>32</v>
      </c>
      <c r="I2180" t="s">
        <v>33</v>
      </c>
      <c r="J2180">
        <v>50</v>
      </c>
      <c r="K2180">
        <v>1485.7</v>
      </c>
      <c r="L2180">
        <v>74284.800000000003</v>
      </c>
      <c r="M2180">
        <v>36406.42</v>
      </c>
      <c r="N2180">
        <v>9447.19</v>
      </c>
      <c r="O2180">
        <v>2737.2</v>
      </c>
      <c r="P2180">
        <v>1637.19</v>
      </c>
      <c r="Q2180">
        <v>792.13</v>
      </c>
      <c r="R2180">
        <v>4047.93</v>
      </c>
      <c r="S2180">
        <v>1485.41</v>
      </c>
      <c r="T2180">
        <v>56553.47</v>
      </c>
      <c r="U2180">
        <v>37878.379999999997</v>
      </c>
      <c r="V2180">
        <v>17731.330000000002</v>
      </c>
      <c r="W2180">
        <v>15702.82</v>
      </c>
      <c r="X2180">
        <v>76021.64</v>
      </c>
      <c r="Y2180">
        <v>56266.77</v>
      </c>
    </row>
    <row r="2181" spans="1:25" x14ac:dyDescent="0.25">
      <c r="A2181" t="s">
        <v>2237</v>
      </c>
      <c r="B2181" s="1">
        <v>45545</v>
      </c>
      <c r="C2181">
        <v>2024</v>
      </c>
      <c r="D2181">
        <v>9</v>
      </c>
      <c r="E2181" t="s">
        <v>918</v>
      </c>
      <c r="F2181" t="s">
        <v>691</v>
      </c>
      <c r="G2181" t="s">
        <v>44</v>
      </c>
      <c r="H2181" t="s">
        <v>36</v>
      </c>
      <c r="I2181" t="s">
        <v>30</v>
      </c>
      <c r="J2181">
        <v>44</v>
      </c>
      <c r="K2181">
        <v>1444.67</v>
      </c>
      <c r="L2181">
        <v>63565.599999999999</v>
      </c>
      <c r="M2181">
        <v>33736.86</v>
      </c>
      <c r="N2181">
        <v>5228.6099999999997</v>
      </c>
      <c r="O2181">
        <v>3303.9</v>
      </c>
      <c r="P2181">
        <v>2520.3000000000002</v>
      </c>
      <c r="Q2181">
        <v>637.98</v>
      </c>
      <c r="R2181">
        <v>1728.67</v>
      </c>
      <c r="S2181">
        <v>1198.6099999999999</v>
      </c>
      <c r="T2181">
        <v>48354.92</v>
      </c>
      <c r="U2181">
        <v>29828.75</v>
      </c>
      <c r="V2181">
        <v>15210.68</v>
      </c>
      <c r="W2181">
        <v>14069.82</v>
      </c>
      <c r="X2181">
        <v>70479.42</v>
      </c>
      <c r="Y2181">
        <v>48556.88</v>
      </c>
    </row>
    <row r="2182" spans="1:25" x14ac:dyDescent="0.25">
      <c r="A2182" t="s">
        <v>2238</v>
      </c>
      <c r="B2182" s="1">
        <v>45545</v>
      </c>
      <c r="C2182">
        <v>2024</v>
      </c>
      <c r="D2182">
        <v>9</v>
      </c>
      <c r="E2182" t="s">
        <v>918</v>
      </c>
      <c r="F2182" t="s">
        <v>691</v>
      </c>
      <c r="G2182" t="s">
        <v>55</v>
      </c>
      <c r="H2182" t="s">
        <v>32</v>
      </c>
      <c r="I2182" t="s">
        <v>45</v>
      </c>
      <c r="J2182">
        <v>45</v>
      </c>
      <c r="K2182">
        <v>1476.27</v>
      </c>
      <c r="L2182">
        <v>66432.37</v>
      </c>
      <c r="M2182">
        <v>36083.660000000003</v>
      </c>
      <c r="N2182">
        <v>6537.32</v>
      </c>
      <c r="O2182">
        <v>2957.16</v>
      </c>
      <c r="P2182">
        <v>2599.79</v>
      </c>
      <c r="Q2182">
        <v>1108.6600000000001</v>
      </c>
      <c r="R2182">
        <v>2459.31</v>
      </c>
      <c r="S2182">
        <v>1066.45</v>
      </c>
      <c r="T2182">
        <v>52812.35</v>
      </c>
      <c r="U2182">
        <v>30348.71</v>
      </c>
      <c r="V2182">
        <v>13620.02</v>
      </c>
      <c r="W2182">
        <v>12635.57</v>
      </c>
      <c r="X2182">
        <v>62513.65</v>
      </c>
      <c r="Y2182">
        <v>57882.59</v>
      </c>
    </row>
    <row r="2183" spans="1:25" x14ac:dyDescent="0.25">
      <c r="A2183" t="s">
        <v>2239</v>
      </c>
      <c r="B2183" s="1">
        <v>45546</v>
      </c>
      <c r="C2183">
        <v>2024</v>
      </c>
      <c r="D2183">
        <v>9</v>
      </c>
      <c r="E2183" t="s">
        <v>918</v>
      </c>
      <c r="F2183" t="s">
        <v>691</v>
      </c>
      <c r="G2183" t="s">
        <v>35</v>
      </c>
      <c r="H2183" t="s">
        <v>29</v>
      </c>
      <c r="I2183" t="s">
        <v>39</v>
      </c>
      <c r="J2183">
        <v>30</v>
      </c>
      <c r="K2183">
        <v>1402.46</v>
      </c>
      <c r="L2183">
        <v>42073.88</v>
      </c>
      <c r="M2183">
        <v>28298.66</v>
      </c>
      <c r="N2183">
        <v>4050.91</v>
      </c>
      <c r="O2183">
        <v>2471.4699999999998</v>
      </c>
      <c r="P2183">
        <v>1608.81</v>
      </c>
      <c r="Q2183">
        <v>623.26</v>
      </c>
      <c r="R2183">
        <v>1074.96</v>
      </c>
      <c r="S2183">
        <v>789.42</v>
      </c>
      <c r="T2183">
        <v>38917.5</v>
      </c>
      <c r="U2183">
        <v>13775.22</v>
      </c>
      <c r="V2183">
        <v>3156.38</v>
      </c>
      <c r="W2183">
        <v>3105.5</v>
      </c>
      <c r="X2183">
        <v>39480.589999999997</v>
      </c>
      <c r="Y2183">
        <v>38776.26</v>
      </c>
    </row>
    <row r="2184" spans="1:25" x14ac:dyDescent="0.25">
      <c r="A2184" t="s">
        <v>2240</v>
      </c>
      <c r="B2184" s="1">
        <v>45546</v>
      </c>
      <c r="C2184">
        <v>2024</v>
      </c>
      <c r="D2184">
        <v>9</v>
      </c>
      <c r="E2184" t="s">
        <v>918</v>
      </c>
      <c r="F2184" t="s">
        <v>691</v>
      </c>
      <c r="G2184" t="s">
        <v>44</v>
      </c>
      <c r="H2184" t="s">
        <v>36</v>
      </c>
      <c r="I2184" t="s">
        <v>37</v>
      </c>
      <c r="J2184">
        <v>47</v>
      </c>
      <c r="K2184">
        <v>1354.65</v>
      </c>
      <c r="L2184">
        <v>63668.55</v>
      </c>
      <c r="M2184">
        <v>35334.28</v>
      </c>
      <c r="N2184">
        <v>4488.7700000000004</v>
      </c>
      <c r="O2184">
        <v>3711.65</v>
      </c>
      <c r="P2184">
        <v>1852.74</v>
      </c>
      <c r="Q2184">
        <v>475.58</v>
      </c>
      <c r="R2184">
        <v>2196.84</v>
      </c>
      <c r="S2184">
        <v>1546.06</v>
      </c>
      <c r="T2184">
        <v>49605.919999999998</v>
      </c>
      <c r="U2184">
        <v>28334.26</v>
      </c>
      <c r="V2184">
        <v>14062.62</v>
      </c>
      <c r="W2184">
        <v>13621.01</v>
      </c>
      <c r="X2184">
        <v>63455.68</v>
      </c>
      <c r="Y2184">
        <v>53913.03</v>
      </c>
    </row>
    <row r="2185" spans="1:25" x14ac:dyDescent="0.25">
      <c r="A2185" t="s">
        <v>2241</v>
      </c>
      <c r="B2185" s="1">
        <v>45546</v>
      </c>
      <c r="C2185">
        <v>2024</v>
      </c>
      <c r="D2185">
        <v>9</v>
      </c>
      <c r="E2185" t="s">
        <v>918</v>
      </c>
      <c r="F2185" t="s">
        <v>691</v>
      </c>
      <c r="G2185" t="s">
        <v>44</v>
      </c>
      <c r="H2185" t="s">
        <v>36</v>
      </c>
      <c r="I2185" t="s">
        <v>37</v>
      </c>
      <c r="J2185">
        <v>46</v>
      </c>
      <c r="K2185">
        <v>1525.88</v>
      </c>
      <c r="L2185">
        <v>70190.600000000006</v>
      </c>
      <c r="M2185">
        <v>46483.519999999997</v>
      </c>
      <c r="N2185">
        <v>8990.68</v>
      </c>
      <c r="O2185">
        <v>4470.21</v>
      </c>
      <c r="P2185">
        <v>2018.84</v>
      </c>
      <c r="Q2185">
        <v>549.66</v>
      </c>
      <c r="R2185">
        <v>3112.11</v>
      </c>
      <c r="S2185">
        <v>1160.08</v>
      </c>
      <c r="T2185">
        <v>66785.100000000006</v>
      </c>
      <c r="U2185">
        <v>23707.08</v>
      </c>
      <c r="V2185">
        <v>3405.5</v>
      </c>
      <c r="W2185">
        <v>3142.89</v>
      </c>
      <c r="X2185">
        <v>69789.649999999994</v>
      </c>
      <c r="Y2185">
        <v>70612.639999999999</v>
      </c>
    </row>
    <row r="2186" spans="1:25" x14ac:dyDescent="0.25">
      <c r="A2186" t="s">
        <v>2242</v>
      </c>
      <c r="B2186" s="1">
        <v>45546</v>
      </c>
      <c r="C2186">
        <v>2024</v>
      </c>
      <c r="D2186">
        <v>9</v>
      </c>
      <c r="E2186" t="s">
        <v>918</v>
      </c>
      <c r="F2186" t="s">
        <v>691</v>
      </c>
      <c r="G2186" t="s">
        <v>28</v>
      </c>
      <c r="H2186" t="s">
        <v>32</v>
      </c>
      <c r="I2186" t="s">
        <v>39</v>
      </c>
      <c r="J2186">
        <v>61</v>
      </c>
      <c r="K2186">
        <v>886.91</v>
      </c>
      <c r="L2186">
        <v>54101.69</v>
      </c>
      <c r="M2186">
        <v>26637.71</v>
      </c>
      <c r="N2186">
        <v>4371.37</v>
      </c>
      <c r="O2186">
        <v>1588.93</v>
      </c>
      <c r="P2186">
        <v>1272.3</v>
      </c>
      <c r="Q2186">
        <v>288.5</v>
      </c>
      <c r="R2186">
        <v>2069.17</v>
      </c>
      <c r="S2186">
        <v>941.05</v>
      </c>
      <c r="T2186">
        <v>37169.03</v>
      </c>
      <c r="U2186">
        <v>27463.98</v>
      </c>
      <c r="V2186">
        <v>16932.66</v>
      </c>
      <c r="W2186">
        <v>15668.06</v>
      </c>
      <c r="X2186">
        <v>52133.69</v>
      </c>
      <c r="Y2186">
        <v>35565.599999999999</v>
      </c>
    </row>
    <row r="2187" spans="1:25" x14ac:dyDescent="0.25">
      <c r="A2187" t="s">
        <v>2243</v>
      </c>
      <c r="B2187" s="1">
        <v>45546</v>
      </c>
      <c r="C2187">
        <v>2024</v>
      </c>
      <c r="D2187">
        <v>9</v>
      </c>
      <c r="E2187" t="s">
        <v>918</v>
      </c>
      <c r="F2187" t="s">
        <v>691</v>
      </c>
      <c r="G2187" t="s">
        <v>55</v>
      </c>
      <c r="H2187" t="s">
        <v>29</v>
      </c>
      <c r="I2187" t="s">
        <v>30</v>
      </c>
      <c r="J2187">
        <v>57</v>
      </c>
      <c r="K2187">
        <v>1506.99</v>
      </c>
      <c r="L2187">
        <v>85898.48</v>
      </c>
      <c r="M2187">
        <v>57669.99</v>
      </c>
      <c r="N2187">
        <v>9819.0400000000009</v>
      </c>
      <c r="O2187">
        <v>3679.66</v>
      </c>
      <c r="P2187">
        <v>3018.91</v>
      </c>
      <c r="Q2187">
        <v>1229.3499999999999</v>
      </c>
      <c r="R2187">
        <v>5104.26</v>
      </c>
      <c r="S2187">
        <v>1139.02</v>
      </c>
      <c r="T2187">
        <v>81660.22</v>
      </c>
      <c r="U2187">
        <v>28228.5</v>
      </c>
      <c r="V2187">
        <v>4238.26</v>
      </c>
      <c r="W2187">
        <v>3853.78</v>
      </c>
      <c r="X2187">
        <v>90412.479999999996</v>
      </c>
      <c r="Y2187">
        <v>81690.64</v>
      </c>
    </row>
    <row r="2188" spans="1:25" x14ac:dyDescent="0.25">
      <c r="A2188" t="s">
        <v>2244</v>
      </c>
      <c r="B2188" s="1">
        <v>45546</v>
      </c>
      <c r="C2188">
        <v>2024</v>
      </c>
      <c r="D2188">
        <v>9</v>
      </c>
      <c r="E2188" t="s">
        <v>918</v>
      </c>
      <c r="F2188" t="s">
        <v>691</v>
      </c>
      <c r="G2188" t="s">
        <v>28</v>
      </c>
      <c r="H2188" t="s">
        <v>36</v>
      </c>
      <c r="I2188" t="s">
        <v>50</v>
      </c>
      <c r="J2188">
        <v>37</v>
      </c>
      <c r="K2188">
        <v>1664.37</v>
      </c>
      <c r="L2188">
        <v>61581.63</v>
      </c>
      <c r="M2188">
        <v>35654.46</v>
      </c>
      <c r="N2188">
        <v>6398.03</v>
      </c>
      <c r="O2188">
        <v>2758.72</v>
      </c>
      <c r="P2188">
        <v>1001.6</v>
      </c>
      <c r="Q2188">
        <v>890.95</v>
      </c>
      <c r="R2188">
        <v>3035.76</v>
      </c>
      <c r="S2188">
        <v>1443.02</v>
      </c>
      <c r="T2188">
        <v>51182.54</v>
      </c>
      <c r="U2188">
        <v>25927.16</v>
      </c>
      <c r="V2188">
        <v>10399.09</v>
      </c>
      <c r="W2188">
        <v>9645.83</v>
      </c>
      <c r="X2188">
        <v>58448.93</v>
      </c>
      <c r="Y2188">
        <v>51027.18</v>
      </c>
    </row>
    <row r="2189" spans="1:25" x14ac:dyDescent="0.25">
      <c r="A2189" t="s">
        <v>2245</v>
      </c>
      <c r="B2189" s="1">
        <v>45546</v>
      </c>
      <c r="C2189">
        <v>2024</v>
      </c>
      <c r="D2189">
        <v>9</v>
      </c>
      <c r="E2189" t="s">
        <v>918</v>
      </c>
      <c r="F2189" t="s">
        <v>691</v>
      </c>
      <c r="G2189" t="s">
        <v>28</v>
      </c>
      <c r="H2189" t="s">
        <v>29</v>
      </c>
      <c r="I2189" t="s">
        <v>56</v>
      </c>
      <c r="J2189">
        <v>25</v>
      </c>
      <c r="K2189">
        <v>1594.5</v>
      </c>
      <c r="L2189">
        <v>39862.58</v>
      </c>
      <c r="M2189">
        <v>24725.55</v>
      </c>
      <c r="N2189">
        <v>4203.3900000000003</v>
      </c>
      <c r="O2189">
        <v>2942.92</v>
      </c>
      <c r="P2189">
        <v>1311.41</v>
      </c>
      <c r="Q2189">
        <v>647.74</v>
      </c>
      <c r="R2189">
        <v>1961.34</v>
      </c>
      <c r="S2189">
        <v>490.66</v>
      </c>
      <c r="T2189">
        <v>36283.01</v>
      </c>
      <c r="U2189">
        <v>15137.03</v>
      </c>
      <c r="V2189">
        <v>3579.57</v>
      </c>
      <c r="W2189">
        <v>3299.85</v>
      </c>
      <c r="X2189">
        <v>40231.67</v>
      </c>
      <c r="Y2189">
        <v>39080.18</v>
      </c>
    </row>
    <row r="2190" spans="1:25" x14ac:dyDescent="0.25">
      <c r="A2190" t="s">
        <v>2246</v>
      </c>
      <c r="B2190" s="1">
        <v>45547</v>
      </c>
      <c r="C2190">
        <v>2024</v>
      </c>
      <c r="D2190">
        <v>9</v>
      </c>
      <c r="E2190" t="s">
        <v>918</v>
      </c>
      <c r="F2190" t="s">
        <v>691</v>
      </c>
      <c r="G2190" t="s">
        <v>28</v>
      </c>
      <c r="H2190" t="s">
        <v>36</v>
      </c>
      <c r="I2190" t="s">
        <v>65</v>
      </c>
      <c r="J2190">
        <v>61</v>
      </c>
      <c r="K2190">
        <v>900.38</v>
      </c>
      <c r="L2190">
        <v>54923.13</v>
      </c>
      <c r="M2190">
        <v>28844.69</v>
      </c>
      <c r="N2190">
        <v>5578.4</v>
      </c>
      <c r="O2190">
        <v>2551.81</v>
      </c>
      <c r="P2190">
        <v>1162.6500000000001</v>
      </c>
      <c r="Q2190">
        <v>828.67</v>
      </c>
      <c r="R2190">
        <v>2777.31</v>
      </c>
      <c r="S2190">
        <v>637.42999999999995</v>
      </c>
      <c r="T2190">
        <v>42380.95</v>
      </c>
      <c r="U2190">
        <v>26078.44</v>
      </c>
      <c r="V2190">
        <v>12542.18</v>
      </c>
      <c r="W2190">
        <v>11836.61</v>
      </c>
      <c r="X2190">
        <v>55639.51</v>
      </c>
      <c r="Y2190">
        <v>41996.35</v>
      </c>
    </row>
    <row r="2191" spans="1:25" x14ac:dyDescent="0.25">
      <c r="A2191" t="s">
        <v>2247</v>
      </c>
      <c r="B2191" s="1">
        <v>45547</v>
      </c>
      <c r="C2191">
        <v>2024</v>
      </c>
      <c r="D2191">
        <v>9</v>
      </c>
      <c r="E2191" t="s">
        <v>918</v>
      </c>
      <c r="F2191" t="s">
        <v>691</v>
      </c>
      <c r="G2191" t="s">
        <v>44</v>
      </c>
      <c r="H2191" t="s">
        <v>32</v>
      </c>
      <c r="I2191" t="s">
        <v>65</v>
      </c>
      <c r="J2191">
        <v>65</v>
      </c>
      <c r="K2191">
        <v>1062.9100000000001</v>
      </c>
      <c r="L2191">
        <v>69088.92</v>
      </c>
      <c r="M2191">
        <v>33875.800000000003</v>
      </c>
      <c r="N2191">
        <v>6979.45</v>
      </c>
      <c r="O2191">
        <v>3888.84</v>
      </c>
      <c r="P2191">
        <v>2586.0300000000002</v>
      </c>
      <c r="Q2191">
        <v>694.01</v>
      </c>
      <c r="R2191">
        <v>2589.5700000000002</v>
      </c>
      <c r="S2191">
        <v>599.16999999999996</v>
      </c>
      <c r="T2191">
        <v>51212.86</v>
      </c>
      <c r="U2191">
        <v>35213.129999999997</v>
      </c>
      <c r="V2191">
        <v>17876.060000000001</v>
      </c>
      <c r="W2191">
        <v>16179.64</v>
      </c>
      <c r="X2191">
        <v>73421.600000000006</v>
      </c>
      <c r="Y2191">
        <v>49787.199999999997</v>
      </c>
    </row>
    <row r="2192" spans="1:25" x14ac:dyDescent="0.25">
      <c r="A2192" t="s">
        <v>2248</v>
      </c>
      <c r="B2192" s="1">
        <v>45547</v>
      </c>
      <c r="C2192">
        <v>2024</v>
      </c>
      <c r="D2192">
        <v>9</v>
      </c>
      <c r="E2192" t="s">
        <v>918</v>
      </c>
      <c r="F2192" t="s">
        <v>691</v>
      </c>
      <c r="G2192" t="s">
        <v>44</v>
      </c>
      <c r="H2192" t="s">
        <v>32</v>
      </c>
      <c r="I2192" t="s">
        <v>50</v>
      </c>
      <c r="J2192">
        <v>41</v>
      </c>
      <c r="K2192">
        <v>1452.12</v>
      </c>
      <c r="L2192">
        <v>59536.76</v>
      </c>
      <c r="M2192">
        <v>38205.370000000003</v>
      </c>
      <c r="N2192">
        <v>7505.47</v>
      </c>
      <c r="O2192">
        <v>3403.21</v>
      </c>
      <c r="P2192">
        <v>1716.03</v>
      </c>
      <c r="Q2192">
        <v>783.87</v>
      </c>
      <c r="R2192">
        <v>3729.85</v>
      </c>
      <c r="S2192">
        <v>1080</v>
      </c>
      <c r="T2192">
        <v>56423.79</v>
      </c>
      <c r="U2192">
        <v>21331.39</v>
      </c>
      <c r="V2192">
        <v>3112.97</v>
      </c>
      <c r="W2192">
        <v>2846.33</v>
      </c>
      <c r="X2192">
        <v>56419.18</v>
      </c>
      <c r="Y2192">
        <v>60370.51</v>
      </c>
    </row>
    <row r="2193" spans="1:25" x14ac:dyDescent="0.25">
      <c r="A2193" t="s">
        <v>2249</v>
      </c>
      <c r="B2193" s="1">
        <v>45548</v>
      </c>
      <c r="C2193">
        <v>2024</v>
      </c>
      <c r="D2193">
        <v>9</v>
      </c>
      <c r="E2193" t="s">
        <v>918</v>
      </c>
      <c r="F2193" t="s">
        <v>691</v>
      </c>
      <c r="G2193" t="s">
        <v>55</v>
      </c>
      <c r="H2193" t="s">
        <v>53</v>
      </c>
      <c r="I2193" t="s">
        <v>56</v>
      </c>
      <c r="J2193">
        <v>18</v>
      </c>
      <c r="K2193">
        <v>1712.1</v>
      </c>
      <c r="L2193">
        <v>30817.79</v>
      </c>
      <c r="M2193">
        <v>18246.73</v>
      </c>
      <c r="N2193">
        <v>3767.12</v>
      </c>
      <c r="O2193">
        <v>1999.46</v>
      </c>
      <c r="P2193">
        <v>1133.82</v>
      </c>
      <c r="Q2193">
        <v>170.09</v>
      </c>
      <c r="R2193">
        <v>829.34</v>
      </c>
      <c r="S2193">
        <v>390.42</v>
      </c>
      <c r="T2193">
        <v>26536.98</v>
      </c>
      <c r="U2193">
        <v>12571.05</v>
      </c>
      <c r="V2193">
        <v>4280.8</v>
      </c>
      <c r="W2193">
        <v>4041.12</v>
      </c>
      <c r="X2193">
        <v>33732.339999999997</v>
      </c>
      <c r="Y2193">
        <v>24780.7</v>
      </c>
    </row>
    <row r="2194" spans="1:25" x14ac:dyDescent="0.25">
      <c r="A2194" t="s">
        <v>2250</v>
      </c>
      <c r="B2194" s="1">
        <v>45549</v>
      </c>
      <c r="C2194">
        <v>2024</v>
      </c>
      <c r="D2194">
        <v>9</v>
      </c>
      <c r="E2194" t="s">
        <v>918</v>
      </c>
      <c r="F2194" t="s">
        <v>691</v>
      </c>
      <c r="G2194" t="s">
        <v>35</v>
      </c>
      <c r="H2194" t="s">
        <v>32</v>
      </c>
      <c r="I2194" t="s">
        <v>33</v>
      </c>
      <c r="J2194">
        <v>91</v>
      </c>
      <c r="K2194">
        <v>967.67</v>
      </c>
      <c r="L2194">
        <v>88057.52</v>
      </c>
      <c r="M2194">
        <v>54094.19</v>
      </c>
      <c r="N2194">
        <v>6306.78</v>
      </c>
      <c r="O2194">
        <v>4714.49</v>
      </c>
      <c r="P2194">
        <v>1454.02</v>
      </c>
      <c r="Q2194">
        <v>1248.9100000000001</v>
      </c>
      <c r="R2194">
        <v>5329.21</v>
      </c>
      <c r="S2194">
        <v>1461.87</v>
      </c>
      <c r="T2194">
        <v>74609.460000000006</v>
      </c>
      <c r="U2194">
        <v>33963.339999999997</v>
      </c>
      <c r="V2194">
        <v>13448.06</v>
      </c>
      <c r="W2194">
        <v>13276.19</v>
      </c>
      <c r="X2194">
        <v>90897.13</v>
      </c>
      <c r="Y2194">
        <v>73084.08</v>
      </c>
    </row>
    <row r="2195" spans="1:25" x14ac:dyDescent="0.25">
      <c r="A2195" t="s">
        <v>2251</v>
      </c>
      <c r="B2195" s="1">
        <v>45549</v>
      </c>
      <c r="C2195">
        <v>2024</v>
      </c>
      <c r="D2195">
        <v>9</v>
      </c>
      <c r="E2195" t="s">
        <v>918</v>
      </c>
      <c r="F2195" t="s">
        <v>691</v>
      </c>
      <c r="G2195" t="s">
        <v>28</v>
      </c>
      <c r="H2195" t="s">
        <v>29</v>
      </c>
      <c r="I2195" t="s">
        <v>56</v>
      </c>
      <c r="J2195">
        <v>21</v>
      </c>
      <c r="K2195">
        <v>1738.43</v>
      </c>
      <c r="L2195">
        <v>36507.08</v>
      </c>
      <c r="M2195">
        <v>20203.61</v>
      </c>
      <c r="N2195">
        <v>2998.67</v>
      </c>
      <c r="O2195">
        <v>2250.79</v>
      </c>
      <c r="P2195">
        <v>1551.06</v>
      </c>
      <c r="Q2195">
        <v>465.15</v>
      </c>
      <c r="R2195">
        <v>962.52</v>
      </c>
      <c r="S2195">
        <v>543.41999999999996</v>
      </c>
      <c r="T2195">
        <v>28975.21</v>
      </c>
      <c r="U2195">
        <v>16303.48</v>
      </c>
      <c r="V2195">
        <v>7531.87</v>
      </c>
      <c r="W2195">
        <v>7303.75</v>
      </c>
      <c r="X2195">
        <v>37725.51</v>
      </c>
      <c r="Y2195">
        <v>31275.54</v>
      </c>
    </row>
    <row r="2196" spans="1:25" x14ac:dyDescent="0.25">
      <c r="A2196" t="s">
        <v>2252</v>
      </c>
      <c r="B2196" s="1">
        <v>45549</v>
      </c>
      <c r="C2196">
        <v>2024</v>
      </c>
      <c r="D2196">
        <v>9</v>
      </c>
      <c r="E2196" t="s">
        <v>918</v>
      </c>
      <c r="F2196" t="s">
        <v>691</v>
      </c>
      <c r="G2196" t="s">
        <v>55</v>
      </c>
      <c r="H2196" t="s">
        <v>32</v>
      </c>
      <c r="I2196" t="s">
        <v>45</v>
      </c>
      <c r="J2196">
        <v>39</v>
      </c>
      <c r="K2196">
        <v>1638.52</v>
      </c>
      <c r="L2196">
        <v>63902.27</v>
      </c>
      <c r="M2196">
        <v>31137.93</v>
      </c>
      <c r="N2196">
        <v>5557.19</v>
      </c>
      <c r="O2196">
        <v>2167.88</v>
      </c>
      <c r="P2196">
        <v>1091.58</v>
      </c>
      <c r="Q2196">
        <v>851.62</v>
      </c>
      <c r="R2196">
        <v>1680.97</v>
      </c>
      <c r="S2196">
        <v>1341.8</v>
      </c>
      <c r="T2196">
        <v>43828.97</v>
      </c>
      <c r="U2196">
        <v>32764.35</v>
      </c>
      <c r="V2196">
        <v>20073.310000000001</v>
      </c>
      <c r="W2196">
        <v>20086.2</v>
      </c>
      <c r="X2196">
        <v>59713.77</v>
      </c>
      <c r="Y2196">
        <v>44815.19</v>
      </c>
    </row>
    <row r="2197" spans="1:25" x14ac:dyDescent="0.25">
      <c r="A2197" t="s">
        <v>2253</v>
      </c>
      <c r="B2197" s="1">
        <v>45550</v>
      </c>
      <c r="C2197">
        <v>2024</v>
      </c>
      <c r="D2197">
        <v>9</v>
      </c>
      <c r="E2197" t="s">
        <v>918</v>
      </c>
      <c r="F2197" t="s">
        <v>691</v>
      </c>
      <c r="G2197" t="s">
        <v>44</v>
      </c>
      <c r="H2197" t="s">
        <v>36</v>
      </c>
      <c r="I2197" t="s">
        <v>39</v>
      </c>
      <c r="J2197">
        <v>27</v>
      </c>
      <c r="K2197">
        <v>1563.45</v>
      </c>
      <c r="L2197">
        <v>42213.09</v>
      </c>
      <c r="M2197">
        <v>27582.89</v>
      </c>
      <c r="N2197">
        <v>4887.2</v>
      </c>
      <c r="O2197">
        <v>1689.19</v>
      </c>
      <c r="P2197">
        <v>1279.32</v>
      </c>
      <c r="Q2197">
        <v>355.15</v>
      </c>
      <c r="R2197">
        <v>2599.5</v>
      </c>
      <c r="S2197">
        <v>624.69000000000005</v>
      </c>
      <c r="T2197">
        <v>39017.949999999997</v>
      </c>
      <c r="U2197">
        <v>14630.2</v>
      </c>
      <c r="V2197">
        <v>3195.14</v>
      </c>
      <c r="W2197">
        <v>2943.32</v>
      </c>
      <c r="X2197">
        <v>44829.37</v>
      </c>
      <c r="Y2197">
        <v>41785.14</v>
      </c>
    </row>
    <row r="2198" spans="1:25" x14ac:dyDescent="0.25">
      <c r="A2198" t="s">
        <v>2254</v>
      </c>
      <c r="B2198" s="1">
        <v>45550</v>
      </c>
      <c r="C2198">
        <v>2024</v>
      </c>
      <c r="D2198">
        <v>9</v>
      </c>
      <c r="E2198" t="s">
        <v>918</v>
      </c>
      <c r="F2198" t="s">
        <v>691</v>
      </c>
      <c r="G2198" t="s">
        <v>44</v>
      </c>
      <c r="H2198" t="s">
        <v>32</v>
      </c>
      <c r="I2198" t="s">
        <v>33</v>
      </c>
      <c r="J2198">
        <v>74</v>
      </c>
      <c r="K2198">
        <v>1165.8900000000001</v>
      </c>
      <c r="L2198">
        <v>86276.01</v>
      </c>
      <c r="M2198">
        <v>55854.89</v>
      </c>
      <c r="N2198">
        <v>9497.42</v>
      </c>
      <c r="O2198">
        <v>2857.35</v>
      </c>
      <c r="P2198">
        <v>3030.55</v>
      </c>
      <c r="Q2198">
        <v>828.54</v>
      </c>
      <c r="R2198">
        <v>5548.11</v>
      </c>
      <c r="S2198">
        <v>1824.99</v>
      </c>
      <c r="T2198">
        <v>79441.84</v>
      </c>
      <c r="U2198">
        <v>30421.119999999999</v>
      </c>
      <c r="V2198">
        <v>6834.17</v>
      </c>
      <c r="W2198">
        <v>6316.73</v>
      </c>
      <c r="X2198">
        <v>91458.65</v>
      </c>
      <c r="Y2198">
        <v>77981.25</v>
      </c>
    </row>
    <row r="2199" spans="1:25" x14ac:dyDescent="0.25">
      <c r="A2199" t="s">
        <v>2255</v>
      </c>
      <c r="B2199" s="1">
        <v>45550</v>
      </c>
      <c r="C2199">
        <v>2024</v>
      </c>
      <c r="D2199">
        <v>9</v>
      </c>
      <c r="E2199" t="s">
        <v>918</v>
      </c>
      <c r="F2199" t="s">
        <v>691</v>
      </c>
      <c r="G2199" t="s">
        <v>28</v>
      </c>
      <c r="H2199" t="s">
        <v>53</v>
      </c>
      <c r="I2199" t="s">
        <v>37</v>
      </c>
      <c r="J2199">
        <v>75</v>
      </c>
      <c r="K2199">
        <v>857.88</v>
      </c>
      <c r="L2199">
        <v>64340.82</v>
      </c>
      <c r="M2199">
        <v>36099.730000000003</v>
      </c>
      <c r="N2199">
        <v>5479.26</v>
      </c>
      <c r="O2199">
        <v>4055.62</v>
      </c>
      <c r="P2199">
        <v>2054.87</v>
      </c>
      <c r="Q2199">
        <v>945.27</v>
      </c>
      <c r="R2199">
        <v>4046.83</v>
      </c>
      <c r="S2199">
        <v>1477.98</v>
      </c>
      <c r="T2199">
        <v>54159.56</v>
      </c>
      <c r="U2199">
        <v>28241.09</v>
      </c>
      <c r="V2199">
        <v>10181.26</v>
      </c>
      <c r="W2199">
        <v>9708.3700000000008</v>
      </c>
      <c r="X2199">
        <v>65428.74</v>
      </c>
      <c r="Y2199">
        <v>54661.54</v>
      </c>
    </row>
    <row r="2200" spans="1:25" x14ac:dyDescent="0.25">
      <c r="A2200" t="s">
        <v>2256</v>
      </c>
      <c r="B2200" s="1">
        <v>45550</v>
      </c>
      <c r="C2200">
        <v>2024</v>
      </c>
      <c r="D2200">
        <v>9</v>
      </c>
      <c r="E2200" t="s">
        <v>918</v>
      </c>
      <c r="F2200" t="s">
        <v>691</v>
      </c>
      <c r="G2200" t="s">
        <v>28</v>
      </c>
      <c r="H2200" t="s">
        <v>53</v>
      </c>
      <c r="I2200" t="s">
        <v>50</v>
      </c>
      <c r="J2200">
        <v>30</v>
      </c>
      <c r="K2200">
        <v>1465.27</v>
      </c>
      <c r="L2200">
        <v>43958.25</v>
      </c>
      <c r="M2200">
        <v>25438.78</v>
      </c>
      <c r="N2200">
        <v>4379.54</v>
      </c>
      <c r="O2200">
        <v>2958.58</v>
      </c>
      <c r="P2200">
        <v>1836.89</v>
      </c>
      <c r="Q2200">
        <v>279.3</v>
      </c>
      <c r="R2200">
        <v>1706.67</v>
      </c>
      <c r="S2200">
        <v>879.01</v>
      </c>
      <c r="T2200">
        <v>37478.78</v>
      </c>
      <c r="U2200">
        <v>18519.47</v>
      </c>
      <c r="V2200">
        <v>6479.47</v>
      </c>
      <c r="W2200">
        <v>6520.04</v>
      </c>
      <c r="X2200">
        <v>43851.85</v>
      </c>
      <c r="Y2200">
        <v>37794.339999999997</v>
      </c>
    </row>
    <row r="2201" spans="1:25" x14ac:dyDescent="0.25">
      <c r="A2201" t="s">
        <v>2257</v>
      </c>
      <c r="B2201" s="1">
        <v>45550</v>
      </c>
      <c r="C2201">
        <v>2024</v>
      </c>
      <c r="D2201">
        <v>9</v>
      </c>
      <c r="E2201" t="s">
        <v>918</v>
      </c>
      <c r="F2201" t="s">
        <v>691</v>
      </c>
      <c r="G2201" t="s">
        <v>44</v>
      </c>
      <c r="H2201" t="s">
        <v>32</v>
      </c>
      <c r="I2201" t="s">
        <v>30</v>
      </c>
      <c r="J2201">
        <v>71</v>
      </c>
      <c r="K2201">
        <v>1423.87</v>
      </c>
      <c r="L2201">
        <v>101094.91</v>
      </c>
      <c r="M2201">
        <v>61201.4</v>
      </c>
      <c r="N2201">
        <v>8254.18</v>
      </c>
      <c r="O2201">
        <v>4315.29</v>
      </c>
      <c r="P2201">
        <v>3149.96</v>
      </c>
      <c r="Q2201">
        <v>1625.21</v>
      </c>
      <c r="R2201">
        <v>3537.23</v>
      </c>
      <c r="S2201">
        <v>1696.89</v>
      </c>
      <c r="T2201">
        <v>83780.17</v>
      </c>
      <c r="U2201">
        <v>39893.51</v>
      </c>
      <c r="V2201">
        <v>17314.75</v>
      </c>
      <c r="W2201">
        <v>17111.509999999998</v>
      </c>
      <c r="X2201">
        <v>112610.68</v>
      </c>
      <c r="Y2201">
        <v>90761.14</v>
      </c>
    </row>
    <row r="2202" spans="1:25" x14ac:dyDescent="0.25">
      <c r="A2202" t="s">
        <v>2258</v>
      </c>
      <c r="B2202" s="1">
        <v>45551</v>
      </c>
      <c r="C2202">
        <v>2024</v>
      </c>
      <c r="D2202">
        <v>9</v>
      </c>
      <c r="E2202" t="s">
        <v>918</v>
      </c>
      <c r="F2202" t="s">
        <v>691</v>
      </c>
      <c r="G2202" t="s">
        <v>35</v>
      </c>
      <c r="H2202" t="s">
        <v>36</v>
      </c>
      <c r="I2202" t="s">
        <v>33</v>
      </c>
      <c r="J2202">
        <v>52</v>
      </c>
      <c r="K2202">
        <v>1283.79</v>
      </c>
      <c r="L2202">
        <v>66757.070000000007</v>
      </c>
      <c r="M2202">
        <v>35483.93</v>
      </c>
      <c r="N2202">
        <v>7955.31</v>
      </c>
      <c r="O2202">
        <v>1821.17</v>
      </c>
      <c r="P2202">
        <v>1802.35</v>
      </c>
      <c r="Q2202">
        <v>666.15</v>
      </c>
      <c r="R2202">
        <v>2526.8000000000002</v>
      </c>
      <c r="S2202">
        <v>1310.5899999999999</v>
      </c>
      <c r="T2202">
        <v>51566.31</v>
      </c>
      <c r="U2202">
        <v>31273.14</v>
      </c>
      <c r="V2202">
        <v>15190.77</v>
      </c>
      <c r="W2202">
        <v>14015.26</v>
      </c>
      <c r="X2202">
        <v>67292.490000000005</v>
      </c>
      <c r="Y2202">
        <v>51718.9</v>
      </c>
    </row>
    <row r="2203" spans="1:25" x14ac:dyDescent="0.25">
      <c r="A2203" t="s">
        <v>2259</v>
      </c>
      <c r="B2203" s="1">
        <v>45551</v>
      </c>
      <c r="C2203">
        <v>2024</v>
      </c>
      <c r="D2203">
        <v>9</v>
      </c>
      <c r="E2203" t="s">
        <v>918</v>
      </c>
      <c r="F2203" t="s">
        <v>691</v>
      </c>
      <c r="G2203" t="s">
        <v>55</v>
      </c>
      <c r="H2203" t="s">
        <v>58</v>
      </c>
      <c r="I2203" t="s">
        <v>39</v>
      </c>
      <c r="J2203">
        <v>33</v>
      </c>
      <c r="K2203">
        <v>1231.32</v>
      </c>
      <c r="L2203">
        <v>40633.71</v>
      </c>
      <c r="M2203">
        <v>22533.69</v>
      </c>
      <c r="N2203">
        <v>4557.3500000000004</v>
      </c>
      <c r="O2203">
        <v>2106.83</v>
      </c>
      <c r="P2203">
        <v>956.61</v>
      </c>
      <c r="Q2203">
        <v>288.77999999999997</v>
      </c>
      <c r="R2203">
        <v>2019.26</v>
      </c>
      <c r="S2203">
        <v>866.29</v>
      </c>
      <c r="T2203">
        <v>33328.81</v>
      </c>
      <c r="U2203">
        <v>18100.02</v>
      </c>
      <c r="V2203">
        <v>7304.91</v>
      </c>
      <c r="W2203">
        <v>6813.38</v>
      </c>
      <c r="X2203">
        <v>39259.25</v>
      </c>
      <c r="Y2203">
        <v>31659.360000000001</v>
      </c>
    </row>
    <row r="2204" spans="1:25" x14ac:dyDescent="0.25">
      <c r="A2204" t="s">
        <v>2260</v>
      </c>
      <c r="B2204" s="1">
        <v>45552</v>
      </c>
      <c r="C2204">
        <v>2024</v>
      </c>
      <c r="D2204">
        <v>9</v>
      </c>
      <c r="E2204" t="s">
        <v>918</v>
      </c>
      <c r="F2204" t="s">
        <v>691</v>
      </c>
      <c r="G2204" t="s">
        <v>44</v>
      </c>
      <c r="H2204" t="s">
        <v>29</v>
      </c>
      <c r="I2204" t="s">
        <v>65</v>
      </c>
      <c r="J2204">
        <v>55</v>
      </c>
      <c r="K2204">
        <v>985</v>
      </c>
      <c r="L2204">
        <v>54174.78</v>
      </c>
      <c r="M2204">
        <v>27155.62</v>
      </c>
      <c r="N2204">
        <v>6395.32</v>
      </c>
      <c r="O2204">
        <v>1829.96</v>
      </c>
      <c r="P2204">
        <v>1158.4100000000001</v>
      </c>
      <c r="Q2204">
        <v>967.77</v>
      </c>
      <c r="R2204">
        <v>2319.33</v>
      </c>
      <c r="S2204">
        <v>1066.8599999999999</v>
      </c>
      <c r="T2204">
        <v>40893.269999999997</v>
      </c>
      <c r="U2204">
        <v>27019.16</v>
      </c>
      <c r="V2204">
        <v>13281.51</v>
      </c>
      <c r="W2204">
        <v>11754.9</v>
      </c>
      <c r="X2204">
        <v>60266.47</v>
      </c>
      <c r="Y2204">
        <v>42773.25</v>
      </c>
    </row>
    <row r="2205" spans="1:25" x14ac:dyDescent="0.25">
      <c r="A2205" t="s">
        <v>2261</v>
      </c>
      <c r="B2205" s="1">
        <v>45553</v>
      </c>
      <c r="C2205">
        <v>2024</v>
      </c>
      <c r="D2205">
        <v>9</v>
      </c>
      <c r="E2205" t="s">
        <v>918</v>
      </c>
      <c r="F2205" t="s">
        <v>691</v>
      </c>
      <c r="G2205" t="s">
        <v>28</v>
      </c>
      <c r="H2205" t="s">
        <v>36</v>
      </c>
      <c r="I2205" t="s">
        <v>33</v>
      </c>
      <c r="J2205">
        <v>87</v>
      </c>
      <c r="K2205">
        <v>959.7</v>
      </c>
      <c r="L2205">
        <v>83494.3</v>
      </c>
      <c r="M2205">
        <v>51759.29</v>
      </c>
      <c r="N2205">
        <v>8501.01</v>
      </c>
      <c r="O2205">
        <v>4729.04</v>
      </c>
      <c r="P2205">
        <v>2730.68</v>
      </c>
      <c r="Q2205">
        <v>1494.4</v>
      </c>
      <c r="R2205">
        <v>3203.27</v>
      </c>
      <c r="S2205">
        <v>2028.03</v>
      </c>
      <c r="T2205">
        <v>74445.72</v>
      </c>
      <c r="U2205">
        <v>31735.01</v>
      </c>
      <c r="V2205">
        <v>9048.59</v>
      </c>
      <c r="W2205">
        <v>8624.6200000000008</v>
      </c>
      <c r="X2205">
        <v>88139.97</v>
      </c>
      <c r="Y2205">
        <v>80369.48</v>
      </c>
    </row>
    <row r="2206" spans="1:25" x14ac:dyDescent="0.25">
      <c r="A2206" t="s">
        <v>2262</v>
      </c>
      <c r="B2206" s="1">
        <v>45553</v>
      </c>
      <c r="C2206">
        <v>2024</v>
      </c>
      <c r="D2206">
        <v>9</v>
      </c>
      <c r="E2206" t="s">
        <v>918</v>
      </c>
      <c r="F2206" t="s">
        <v>691</v>
      </c>
      <c r="G2206" t="s">
        <v>28</v>
      </c>
      <c r="H2206" t="s">
        <v>53</v>
      </c>
      <c r="I2206" t="s">
        <v>39</v>
      </c>
      <c r="J2206">
        <v>37</v>
      </c>
      <c r="K2206">
        <v>995.89</v>
      </c>
      <c r="L2206">
        <v>36847.96</v>
      </c>
      <c r="M2206">
        <v>24308.03</v>
      </c>
      <c r="N2206">
        <v>3787.13</v>
      </c>
      <c r="O2206">
        <v>1165.58</v>
      </c>
      <c r="P2206">
        <v>1000.24</v>
      </c>
      <c r="Q2206">
        <v>223.48</v>
      </c>
      <c r="R2206">
        <v>1928.43</v>
      </c>
      <c r="S2206">
        <v>338.18</v>
      </c>
      <c r="T2206">
        <v>32751.07</v>
      </c>
      <c r="U2206">
        <v>12539.93</v>
      </c>
      <c r="V2206">
        <v>4096.8900000000003</v>
      </c>
      <c r="W2206">
        <v>4014.2</v>
      </c>
      <c r="X2206">
        <v>35818.300000000003</v>
      </c>
      <c r="Y2206">
        <v>32108.13</v>
      </c>
    </row>
    <row r="2207" spans="1:25" x14ac:dyDescent="0.25">
      <c r="A2207" t="s">
        <v>2263</v>
      </c>
      <c r="B2207" s="1">
        <v>45554</v>
      </c>
      <c r="C2207">
        <v>2024</v>
      </c>
      <c r="D2207">
        <v>9</v>
      </c>
      <c r="E2207" t="s">
        <v>918</v>
      </c>
      <c r="F2207" t="s">
        <v>691</v>
      </c>
      <c r="G2207" t="s">
        <v>44</v>
      </c>
      <c r="H2207" t="s">
        <v>36</v>
      </c>
      <c r="I2207" t="s">
        <v>50</v>
      </c>
      <c r="J2207">
        <v>31</v>
      </c>
      <c r="K2207">
        <v>1201.43</v>
      </c>
      <c r="L2207">
        <v>37244.19</v>
      </c>
      <c r="M2207">
        <v>19417.669999999998</v>
      </c>
      <c r="N2207">
        <v>4649.71</v>
      </c>
      <c r="O2207">
        <v>2171.98</v>
      </c>
      <c r="P2207">
        <v>1611.83</v>
      </c>
      <c r="Q2207">
        <v>305.5</v>
      </c>
      <c r="R2207">
        <v>1300.06</v>
      </c>
      <c r="S2207">
        <v>687.43</v>
      </c>
      <c r="T2207">
        <v>30144.18</v>
      </c>
      <c r="U2207">
        <v>17826.52</v>
      </c>
      <c r="V2207">
        <v>7100.01</v>
      </c>
      <c r="W2207">
        <v>6702.34</v>
      </c>
      <c r="X2207">
        <v>38721.97</v>
      </c>
      <c r="Y2207">
        <v>30318.74</v>
      </c>
    </row>
    <row r="2208" spans="1:25" x14ac:dyDescent="0.25">
      <c r="A2208" t="s">
        <v>2264</v>
      </c>
      <c r="B2208" s="1">
        <v>45554</v>
      </c>
      <c r="C2208">
        <v>2024</v>
      </c>
      <c r="D2208">
        <v>9</v>
      </c>
      <c r="E2208" t="s">
        <v>918</v>
      </c>
      <c r="F2208" t="s">
        <v>691</v>
      </c>
      <c r="G2208" t="s">
        <v>35</v>
      </c>
      <c r="H2208" t="s">
        <v>36</v>
      </c>
      <c r="I2208" t="s">
        <v>33</v>
      </c>
      <c r="J2208">
        <v>38</v>
      </c>
      <c r="K2208">
        <v>1465.08</v>
      </c>
      <c r="L2208">
        <v>55672.88</v>
      </c>
      <c r="M2208">
        <v>30506.58</v>
      </c>
      <c r="N2208">
        <v>6777.47</v>
      </c>
      <c r="O2208">
        <v>2781.96</v>
      </c>
      <c r="P2208">
        <v>1304.0899999999999</v>
      </c>
      <c r="Q2208">
        <v>973.7</v>
      </c>
      <c r="R2208">
        <v>1540.88</v>
      </c>
      <c r="S2208">
        <v>1059.3399999999999</v>
      </c>
      <c r="T2208">
        <v>44944.01</v>
      </c>
      <c r="U2208">
        <v>25166.3</v>
      </c>
      <c r="V2208">
        <v>10728.87</v>
      </c>
      <c r="W2208">
        <v>10062.49</v>
      </c>
      <c r="X2208">
        <v>52826.720000000001</v>
      </c>
      <c r="Y2208">
        <v>47502.14</v>
      </c>
    </row>
    <row r="2209" spans="1:25" x14ac:dyDescent="0.25">
      <c r="A2209" t="s">
        <v>2265</v>
      </c>
      <c r="B2209" s="1">
        <v>45554</v>
      </c>
      <c r="C2209">
        <v>2024</v>
      </c>
      <c r="D2209">
        <v>9</v>
      </c>
      <c r="E2209" t="s">
        <v>918</v>
      </c>
      <c r="F2209" t="s">
        <v>691</v>
      </c>
      <c r="G2209" t="s">
        <v>44</v>
      </c>
      <c r="H2209" t="s">
        <v>29</v>
      </c>
      <c r="I2209" t="s">
        <v>50</v>
      </c>
      <c r="J2209">
        <v>36</v>
      </c>
      <c r="K2209">
        <v>1530.67</v>
      </c>
      <c r="L2209">
        <v>55104.160000000003</v>
      </c>
      <c r="M2209">
        <v>34092.36</v>
      </c>
      <c r="N2209">
        <v>6422.77</v>
      </c>
      <c r="O2209">
        <v>1392.65</v>
      </c>
      <c r="P2209">
        <v>853.11</v>
      </c>
      <c r="Q2209">
        <v>819.35</v>
      </c>
      <c r="R2209">
        <v>1460.03</v>
      </c>
      <c r="S2209">
        <v>784</v>
      </c>
      <c r="T2209">
        <v>45824.28</v>
      </c>
      <c r="U2209">
        <v>21011.8</v>
      </c>
      <c r="V2209">
        <v>9279.8799999999992</v>
      </c>
      <c r="W2209">
        <v>9154.27</v>
      </c>
      <c r="X2209">
        <v>58534.89</v>
      </c>
      <c r="Y2209">
        <v>45402.080000000002</v>
      </c>
    </row>
    <row r="2210" spans="1:25" x14ac:dyDescent="0.25">
      <c r="A2210" t="s">
        <v>2266</v>
      </c>
      <c r="B2210" s="1">
        <v>45554</v>
      </c>
      <c r="C2210">
        <v>2024</v>
      </c>
      <c r="D2210">
        <v>9</v>
      </c>
      <c r="E2210" t="s">
        <v>918</v>
      </c>
      <c r="F2210" t="s">
        <v>691</v>
      </c>
      <c r="G2210" t="s">
        <v>35</v>
      </c>
      <c r="H2210" t="s">
        <v>53</v>
      </c>
      <c r="I2210" t="s">
        <v>56</v>
      </c>
      <c r="J2210">
        <v>19</v>
      </c>
      <c r="K2210">
        <v>1446.71</v>
      </c>
      <c r="L2210">
        <v>27487.58</v>
      </c>
      <c r="M2210">
        <v>18155.22</v>
      </c>
      <c r="N2210">
        <v>3423.8</v>
      </c>
      <c r="O2210">
        <v>1323.15</v>
      </c>
      <c r="P2210">
        <v>1050.02</v>
      </c>
      <c r="Q2210">
        <v>480.58</v>
      </c>
      <c r="R2210">
        <v>918.9</v>
      </c>
      <c r="S2210">
        <v>446.33</v>
      </c>
      <c r="T2210">
        <v>25798</v>
      </c>
      <c r="U2210">
        <v>9332.36</v>
      </c>
      <c r="V2210">
        <v>1689.58</v>
      </c>
      <c r="W2210">
        <v>1712.54</v>
      </c>
      <c r="X2210">
        <v>30689.17</v>
      </c>
      <c r="Y2210">
        <v>24903.63</v>
      </c>
    </row>
    <row r="2211" spans="1:25" x14ac:dyDescent="0.25">
      <c r="A2211" t="s">
        <v>2267</v>
      </c>
      <c r="B2211" s="1">
        <v>45554</v>
      </c>
      <c r="C2211">
        <v>2024</v>
      </c>
      <c r="D2211">
        <v>9</v>
      </c>
      <c r="E2211" t="s">
        <v>918</v>
      </c>
      <c r="F2211" t="s">
        <v>691</v>
      </c>
      <c r="G2211" t="s">
        <v>55</v>
      </c>
      <c r="H2211" t="s">
        <v>36</v>
      </c>
      <c r="I2211" t="s">
        <v>56</v>
      </c>
      <c r="J2211">
        <v>26</v>
      </c>
      <c r="K2211">
        <v>1346</v>
      </c>
      <c r="L2211">
        <v>34995.94</v>
      </c>
      <c r="M2211">
        <v>22405.37</v>
      </c>
      <c r="N2211">
        <v>2631.25</v>
      </c>
      <c r="O2211">
        <v>1644.81</v>
      </c>
      <c r="P2211">
        <v>581.9</v>
      </c>
      <c r="Q2211">
        <v>612.65</v>
      </c>
      <c r="R2211">
        <v>1471.44</v>
      </c>
      <c r="S2211">
        <v>798.01</v>
      </c>
      <c r="T2211">
        <v>30145.43</v>
      </c>
      <c r="U2211">
        <v>12590.57</v>
      </c>
      <c r="V2211">
        <v>4850.5</v>
      </c>
      <c r="W2211">
        <v>4572.99</v>
      </c>
      <c r="X2211">
        <v>38922.78</v>
      </c>
      <c r="Y2211">
        <v>31790.42</v>
      </c>
    </row>
    <row r="2212" spans="1:25" x14ac:dyDescent="0.25">
      <c r="A2212" t="s">
        <v>2268</v>
      </c>
      <c r="B2212" s="1">
        <v>45554</v>
      </c>
      <c r="C2212">
        <v>2024</v>
      </c>
      <c r="D2212">
        <v>9</v>
      </c>
      <c r="E2212" t="s">
        <v>918</v>
      </c>
      <c r="F2212" t="s">
        <v>691</v>
      </c>
      <c r="G2212" t="s">
        <v>55</v>
      </c>
      <c r="H2212" t="s">
        <v>36</v>
      </c>
      <c r="I2212" t="s">
        <v>37</v>
      </c>
      <c r="J2212">
        <v>49</v>
      </c>
      <c r="K2212">
        <v>1441.33</v>
      </c>
      <c r="L2212">
        <v>70625.399999999994</v>
      </c>
      <c r="M2212">
        <v>47358</v>
      </c>
      <c r="N2212">
        <v>6306.8</v>
      </c>
      <c r="O2212">
        <v>3233.7</v>
      </c>
      <c r="P2212">
        <v>2695.36</v>
      </c>
      <c r="Q2212">
        <v>607.24</v>
      </c>
      <c r="R2212">
        <v>2129.4299999999998</v>
      </c>
      <c r="S2212">
        <v>1665.73</v>
      </c>
      <c r="T2212">
        <v>63996.27</v>
      </c>
      <c r="U2212">
        <v>23267.4</v>
      </c>
      <c r="V2212">
        <v>6629.13</v>
      </c>
      <c r="W2212">
        <v>6048.98</v>
      </c>
      <c r="X2212">
        <v>76297.81</v>
      </c>
      <c r="Y2212">
        <v>66793.38</v>
      </c>
    </row>
    <row r="2213" spans="1:25" x14ac:dyDescent="0.25">
      <c r="A2213" t="s">
        <v>2269</v>
      </c>
      <c r="B2213" s="1">
        <v>45554</v>
      </c>
      <c r="C2213">
        <v>2024</v>
      </c>
      <c r="D2213">
        <v>9</v>
      </c>
      <c r="E2213" t="s">
        <v>918</v>
      </c>
      <c r="F2213" t="s">
        <v>691</v>
      </c>
      <c r="G2213" t="s">
        <v>55</v>
      </c>
      <c r="H2213" t="s">
        <v>32</v>
      </c>
      <c r="I2213" t="s">
        <v>65</v>
      </c>
      <c r="J2213">
        <v>49</v>
      </c>
      <c r="K2213">
        <v>1335.47</v>
      </c>
      <c r="L2213">
        <v>65438.22</v>
      </c>
      <c r="M2213">
        <v>36797.550000000003</v>
      </c>
      <c r="N2213">
        <v>8433.18</v>
      </c>
      <c r="O2213">
        <v>2520.58</v>
      </c>
      <c r="P2213">
        <v>1729.17</v>
      </c>
      <c r="Q2213">
        <v>937.1</v>
      </c>
      <c r="R2213">
        <v>2531.86</v>
      </c>
      <c r="S2213">
        <v>1137.24</v>
      </c>
      <c r="T2213">
        <v>54086.68</v>
      </c>
      <c r="U2213">
        <v>28640.68</v>
      </c>
      <c r="V2213">
        <v>11351.54</v>
      </c>
      <c r="W2213">
        <v>10087.02</v>
      </c>
      <c r="X2213">
        <v>60847.03</v>
      </c>
      <c r="Y2213">
        <v>59260.89</v>
      </c>
    </row>
    <row r="2214" spans="1:25" x14ac:dyDescent="0.25">
      <c r="A2214" t="s">
        <v>2270</v>
      </c>
      <c r="B2214" s="1">
        <v>45555</v>
      </c>
      <c r="C2214">
        <v>2024</v>
      </c>
      <c r="D2214">
        <v>9</v>
      </c>
      <c r="E2214" t="s">
        <v>918</v>
      </c>
      <c r="F2214" t="s">
        <v>691</v>
      </c>
      <c r="G2214" t="s">
        <v>28</v>
      </c>
      <c r="H2214" t="s">
        <v>29</v>
      </c>
      <c r="I2214" t="s">
        <v>56</v>
      </c>
      <c r="J2214">
        <v>55</v>
      </c>
      <c r="K2214">
        <v>889.57</v>
      </c>
      <c r="L2214">
        <v>48926.34</v>
      </c>
      <c r="M2214">
        <v>26297.08</v>
      </c>
      <c r="N2214">
        <v>6182.71</v>
      </c>
      <c r="O2214">
        <v>3260.57</v>
      </c>
      <c r="P2214">
        <v>1496.25</v>
      </c>
      <c r="Q2214">
        <v>413.96</v>
      </c>
      <c r="R2214">
        <v>2412.4699999999998</v>
      </c>
      <c r="S2214">
        <v>613.77</v>
      </c>
      <c r="T2214">
        <v>40676.82</v>
      </c>
      <c r="U2214">
        <v>22629.26</v>
      </c>
      <c r="V2214">
        <v>8249.5300000000007</v>
      </c>
      <c r="W2214">
        <v>7777.99</v>
      </c>
      <c r="X2214">
        <v>48107.76</v>
      </c>
      <c r="Y2214">
        <v>42785.97</v>
      </c>
    </row>
    <row r="2215" spans="1:25" x14ac:dyDescent="0.25">
      <c r="A2215" t="s">
        <v>2271</v>
      </c>
      <c r="B2215" s="1">
        <v>45555</v>
      </c>
      <c r="C2215">
        <v>2024</v>
      </c>
      <c r="D2215">
        <v>9</v>
      </c>
      <c r="E2215" t="s">
        <v>918</v>
      </c>
      <c r="F2215" t="s">
        <v>691</v>
      </c>
      <c r="G2215" t="s">
        <v>44</v>
      </c>
      <c r="H2215" t="s">
        <v>58</v>
      </c>
      <c r="I2215" t="s">
        <v>30</v>
      </c>
      <c r="J2215">
        <v>45</v>
      </c>
      <c r="K2215">
        <v>1778.18</v>
      </c>
      <c r="L2215">
        <v>80018.320000000007</v>
      </c>
      <c r="M2215">
        <v>40354.410000000003</v>
      </c>
      <c r="N2215">
        <v>10063.31</v>
      </c>
      <c r="O2215">
        <v>3889.6</v>
      </c>
      <c r="P2215">
        <v>2070.4</v>
      </c>
      <c r="Q2215">
        <v>1235.68</v>
      </c>
      <c r="R2215">
        <v>2126.9899999999998</v>
      </c>
      <c r="S2215">
        <v>742.16</v>
      </c>
      <c r="T2215">
        <v>60482.55</v>
      </c>
      <c r="U2215">
        <v>39663.910000000003</v>
      </c>
      <c r="V2215">
        <v>19535.77</v>
      </c>
      <c r="W2215">
        <v>19741.13</v>
      </c>
      <c r="X2215">
        <v>84811.55</v>
      </c>
      <c r="Y2215">
        <v>58943.39</v>
      </c>
    </row>
    <row r="2216" spans="1:25" x14ac:dyDescent="0.25">
      <c r="A2216" t="s">
        <v>2272</v>
      </c>
      <c r="B2216" s="1">
        <v>45555</v>
      </c>
      <c r="C2216">
        <v>2024</v>
      </c>
      <c r="D2216">
        <v>9</v>
      </c>
      <c r="E2216" t="s">
        <v>918</v>
      </c>
      <c r="F2216" t="s">
        <v>691</v>
      </c>
      <c r="G2216" t="s">
        <v>55</v>
      </c>
      <c r="H2216" t="s">
        <v>36</v>
      </c>
      <c r="I2216" t="s">
        <v>45</v>
      </c>
      <c r="J2216">
        <v>25</v>
      </c>
      <c r="K2216">
        <v>1743.76</v>
      </c>
      <c r="L2216">
        <v>43594.12</v>
      </c>
      <c r="M2216">
        <v>29618.85</v>
      </c>
      <c r="N2216">
        <v>5069.32</v>
      </c>
      <c r="O2216">
        <v>1373.83</v>
      </c>
      <c r="P2216">
        <v>1629.89</v>
      </c>
      <c r="Q2216">
        <v>312.82</v>
      </c>
      <c r="R2216">
        <v>2640.23</v>
      </c>
      <c r="S2216">
        <v>444.14</v>
      </c>
      <c r="T2216">
        <v>41089.089999999997</v>
      </c>
      <c r="U2216">
        <v>13975.27</v>
      </c>
      <c r="V2216">
        <v>2505.0300000000002</v>
      </c>
      <c r="W2216">
        <v>2373.11</v>
      </c>
      <c r="X2216">
        <v>44684.95</v>
      </c>
      <c r="Y2216">
        <v>39728.81</v>
      </c>
    </row>
    <row r="2217" spans="1:25" x14ac:dyDescent="0.25">
      <c r="A2217" t="s">
        <v>2273</v>
      </c>
      <c r="B2217" s="1">
        <v>45555</v>
      </c>
      <c r="C2217">
        <v>2024</v>
      </c>
      <c r="D2217">
        <v>9</v>
      </c>
      <c r="E2217" t="s">
        <v>918</v>
      </c>
      <c r="F2217" t="s">
        <v>691</v>
      </c>
      <c r="G2217" t="s">
        <v>44</v>
      </c>
      <c r="H2217" t="s">
        <v>32</v>
      </c>
      <c r="I2217" t="s">
        <v>50</v>
      </c>
      <c r="J2217">
        <v>66</v>
      </c>
      <c r="K2217">
        <v>932.58</v>
      </c>
      <c r="L2217">
        <v>61550.080000000002</v>
      </c>
      <c r="M2217">
        <v>37420.47</v>
      </c>
      <c r="N2217">
        <v>7464.96</v>
      </c>
      <c r="O2217">
        <v>1793.47</v>
      </c>
      <c r="P2217">
        <v>2697</v>
      </c>
      <c r="Q2217">
        <v>592.95000000000005</v>
      </c>
      <c r="R2217">
        <v>2636.81</v>
      </c>
      <c r="S2217">
        <v>668.84</v>
      </c>
      <c r="T2217">
        <v>53274.52</v>
      </c>
      <c r="U2217">
        <v>24129.599999999999</v>
      </c>
      <c r="V2217">
        <v>8275.56</v>
      </c>
      <c r="W2217">
        <v>7974.7</v>
      </c>
      <c r="X2217">
        <v>66019.08</v>
      </c>
      <c r="Y2217">
        <v>53236.7</v>
      </c>
    </row>
    <row r="2218" spans="1:25" x14ac:dyDescent="0.25">
      <c r="A2218" t="s">
        <v>2274</v>
      </c>
      <c r="B2218" s="1">
        <v>45555</v>
      </c>
      <c r="C2218">
        <v>2024</v>
      </c>
      <c r="D2218">
        <v>9</v>
      </c>
      <c r="E2218" t="s">
        <v>918</v>
      </c>
      <c r="F2218" t="s">
        <v>691</v>
      </c>
      <c r="G2218" t="s">
        <v>35</v>
      </c>
      <c r="H2218" t="s">
        <v>58</v>
      </c>
      <c r="I2218" t="s">
        <v>30</v>
      </c>
      <c r="J2218">
        <v>80</v>
      </c>
      <c r="K2218">
        <v>854.84</v>
      </c>
      <c r="L2218">
        <v>68386.92</v>
      </c>
      <c r="M2218">
        <v>37945.879999999997</v>
      </c>
      <c r="N2218">
        <v>5471.58</v>
      </c>
      <c r="O2218">
        <v>2267.4899999999998</v>
      </c>
      <c r="P2218">
        <v>1735.21</v>
      </c>
      <c r="Q2218">
        <v>434.66</v>
      </c>
      <c r="R2218">
        <v>2610.75</v>
      </c>
      <c r="S2218">
        <v>1075.3</v>
      </c>
      <c r="T2218">
        <v>51540.87</v>
      </c>
      <c r="U2218">
        <v>30441.040000000001</v>
      </c>
      <c r="V2218">
        <v>16846.05</v>
      </c>
      <c r="W2218">
        <v>16251.09</v>
      </c>
      <c r="X2218">
        <v>72316.070000000007</v>
      </c>
      <c r="Y2218">
        <v>49526.54</v>
      </c>
    </row>
    <row r="2219" spans="1:25" x14ac:dyDescent="0.25">
      <c r="A2219" t="s">
        <v>2275</v>
      </c>
      <c r="B2219" s="1">
        <v>45555</v>
      </c>
      <c r="C2219">
        <v>2024</v>
      </c>
      <c r="D2219">
        <v>9</v>
      </c>
      <c r="E2219" t="s">
        <v>918</v>
      </c>
      <c r="F2219" t="s">
        <v>691</v>
      </c>
      <c r="G2219" t="s">
        <v>35</v>
      </c>
      <c r="H2219" t="s">
        <v>32</v>
      </c>
      <c r="I2219" t="s">
        <v>39</v>
      </c>
      <c r="J2219">
        <v>40</v>
      </c>
      <c r="K2219">
        <v>1258.49</v>
      </c>
      <c r="L2219">
        <v>50339.42</v>
      </c>
      <c r="M2219">
        <v>28016.62</v>
      </c>
      <c r="N2219">
        <v>6012.17</v>
      </c>
      <c r="O2219">
        <v>1902.03</v>
      </c>
      <c r="P2219">
        <v>896.42</v>
      </c>
      <c r="Q2219">
        <v>854.79</v>
      </c>
      <c r="R2219">
        <v>2096.62</v>
      </c>
      <c r="S2219">
        <v>458.54</v>
      </c>
      <c r="T2219">
        <v>40237.199999999997</v>
      </c>
      <c r="U2219">
        <v>22322.799999999999</v>
      </c>
      <c r="V2219">
        <v>10102.23</v>
      </c>
      <c r="W2219">
        <v>9248</v>
      </c>
      <c r="X2219">
        <v>50742.44</v>
      </c>
      <c r="Y2219">
        <v>38443.599999999999</v>
      </c>
    </row>
    <row r="2220" spans="1:25" x14ac:dyDescent="0.25">
      <c r="A2220" t="s">
        <v>2276</v>
      </c>
      <c r="B2220" s="1">
        <v>45556</v>
      </c>
      <c r="C2220">
        <v>2024</v>
      </c>
      <c r="D2220">
        <v>9</v>
      </c>
      <c r="E2220" t="s">
        <v>918</v>
      </c>
      <c r="F2220" t="s">
        <v>691</v>
      </c>
      <c r="G2220" t="s">
        <v>55</v>
      </c>
      <c r="H2220" t="s">
        <v>32</v>
      </c>
      <c r="I2220" t="s">
        <v>56</v>
      </c>
      <c r="J2220">
        <v>31</v>
      </c>
      <c r="K2220">
        <v>1545.22</v>
      </c>
      <c r="L2220">
        <v>47901.8</v>
      </c>
      <c r="M2220">
        <v>27074.85</v>
      </c>
      <c r="N2220">
        <v>4117.4799999999996</v>
      </c>
      <c r="O2220">
        <v>2498.06</v>
      </c>
      <c r="P2220">
        <v>2064.88</v>
      </c>
      <c r="Q2220">
        <v>285.22000000000003</v>
      </c>
      <c r="R2220">
        <v>2243.83</v>
      </c>
      <c r="S2220">
        <v>384.24</v>
      </c>
      <c r="T2220">
        <v>38668.559999999998</v>
      </c>
      <c r="U2220">
        <v>20826.939999999999</v>
      </c>
      <c r="V2220">
        <v>9233.24</v>
      </c>
      <c r="W2220">
        <v>8985.84</v>
      </c>
      <c r="X2220">
        <v>47562.34</v>
      </c>
      <c r="Y2220">
        <v>40450.76</v>
      </c>
    </row>
    <row r="2221" spans="1:25" x14ac:dyDescent="0.25">
      <c r="A2221" t="s">
        <v>2277</v>
      </c>
      <c r="B2221" s="1">
        <v>45556</v>
      </c>
      <c r="C2221">
        <v>2024</v>
      </c>
      <c r="D2221">
        <v>9</v>
      </c>
      <c r="E2221" t="s">
        <v>918</v>
      </c>
      <c r="F2221" t="s">
        <v>691</v>
      </c>
      <c r="G2221" t="s">
        <v>44</v>
      </c>
      <c r="H2221" t="s">
        <v>58</v>
      </c>
      <c r="I2221" t="s">
        <v>65</v>
      </c>
      <c r="J2221">
        <v>29</v>
      </c>
      <c r="K2221">
        <v>1453.02</v>
      </c>
      <c r="L2221">
        <v>42137.46</v>
      </c>
      <c r="M2221">
        <v>22932.68</v>
      </c>
      <c r="N2221">
        <v>5149.5600000000004</v>
      </c>
      <c r="O2221">
        <v>2430.6</v>
      </c>
      <c r="P2221">
        <v>1696.92</v>
      </c>
      <c r="Q2221">
        <v>338.08</v>
      </c>
      <c r="R2221">
        <v>1864.58</v>
      </c>
      <c r="S2221">
        <v>523.09</v>
      </c>
      <c r="T2221">
        <v>34935.51</v>
      </c>
      <c r="U2221">
        <v>19204.78</v>
      </c>
      <c r="V2221">
        <v>7201.96</v>
      </c>
      <c r="W2221">
        <v>7236.34</v>
      </c>
      <c r="X2221">
        <v>43885.35</v>
      </c>
      <c r="Y2221">
        <v>38035.800000000003</v>
      </c>
    </row>
    <row r="2222" spans="1:25" x14ac:dyDescent="0.25">
      <c r="A2222" t="s">
        <v>2278</v>
      </c>
      <c r="B2222" s="1">
        <v>45556</v>
      </c>
      <c r="C2222">
        <v>2024</v>
      </c>
      <c r="D2222">
        <v>9</v>
      </c>
      <c r="E2222" t="s">
        <v>918</v>
      </c>
      <c r="F2222" t="s">
        <v>691</v>
      </c>
      <c r="G2222" t="s">
        <v>35</v>
      </c>
      <c r="H2222" t="s">
        <v>32</v>
      </c>
      <c r="I2222" t="s">
        <v>56</v>
      </c>
      <c r="J2222">
        <v>26</v>
      </c>
      <c r="K2222">
        <v>1403.09</v>
      </c>
      <c r="L2222">
        <v>36480.29</v>
      </c>
      <c r="M2222">
        <v>18406.72</v>
      </c>
      <c r="N2222">
        <v>4462.3900000000003</v>
      </c>
      <c r="O2222">
        <v>2367.12</v>
      </c>
      <c r="P2222">
        <v>1614.94</v>
      </c>
      <c r="Q2222">
        <v>629.69000000000005</v>
      </c>
      <c r="R2222">
        <v>1113.17</v>
      </c>
      <c r="S2222">
        <v>827.26</v>
      </c>
      <c r="T2222">
        <v>29421.29</v>
      </c>
      <c r="U2222">
        <v>18073.57</v>
      </c>
      <c r="V2222">
        <v>7059</v>
      </c>
      <c r="W2222">
        <v>6276.32</v>
      </c>
      <c r="X2222">
        <v>36441.919999999998</v>
      </c>
      <c r="Y2222">
        <v>29758.86</v>
      </c>
    </row>
    <row r="2223" spans="1:25" x14ac:dyDescent="0.25">
      <c r="A2223" t="s">
        <v>2279</v>
      </c>
      <c r="B2223" s="1">
        <v>45556</v>
      </c>
      <c r="C2223">
        <v>2024</v>
      </c>
      <c r="D2223">
        <v>9</v>
      </c>
      <c r="E2223" t="s">
        <v>918</v>
      </c>
      <c r="F2223" t="s">
        <v>691</v>
      </c>
      <c r="G2223" t="s">
        <v>44</v>
      </c>
      <c r="H2223" t="s">
        <v>36</v>
      </c>
      <c r="I2223" t="s">
        <v>37</v>
      </c>
      <c r="J2223">
        <v>27</v>
      </c>
      <c r="K2223">
        <v>1725.38</v>
      </c>
      <c r="L2223">
        <v>46585.2</v>
      </c>
      <c r="M2223">
        <v>30135.88</v>
      </c>
      <c r="N2223">
        <v>3742.82</v>
      </c>
      <c r="O2223">
        <v>2423.4499999999998</v>
      </c>
      <c r="P2223">
        <v>1764.36</v>
      </c>
      <c r="Q2223">
        <v>369.09</v>
      </c>
      <c r="R2223">
        <v>2520.9499999999998</v>
      </c>
      <c r="S2223">
        <v>808.56</v>
      </c>
      <c r="T2223">
        <v>41765.120000000003</v>
      </c>
      <c r="U2223">
        <v>16449.32</v>
      </c>
      <c r="V2223">
        <v>4820.08</v>
      </c>
      <c r="W2223">
        <v>4405.1000000000004</v>
      </c>
      <c r="X2223">
        <v>49186.76</v>
      </c>
      <c r="Y2223">
        <v>43489.58</v>
      </c>
    </row>
    <row r="2224" spans="1:25" x14ac:dyDescent="0.25">
      <c r="A2224" t="s">
        <v>2280</v>
      </c>
      <c r="B2224" s="1">
        <v>45556</v>
      </c>
      <c r="C2224">
        <v>2024</v>
      </c>
      <c r="D2224">
        <v>9</v>
      </c>
      <c r="E2224" t="s">
        <v>918</v>
      </c>
      <c r="F2224" t="s">
        <v>691</v>
      </c>
      <c r="G2224" t="s">
        <v>44</v>
      </c>
      <c r="H2224" t="s">
        <v>53</v>
      </c>
      <c r="I2224" t="s">
        <v>45</v>
      </c>
      <c r="J2224">
        <v>16</v>
      </c>
      <c r="K2224">
        <v>1783.9</v>
      </c>
      <c r="L2224">
        <v>28542.45</v>
      </c>
      <c r="M2224">
        <v>13815.66</v>
      </c>
      <c r="N2224">
        <v>3705.24</v>
      </c>
      <c r="O2224">
        <v>1213.19</v>
      </c>
      <c r="P2224">
        <v>1108.19</v>
      </c>
      <c r="Q2224">
        <v>452.44</v>
      </c>
      <c r="R2224">
        <v>1320.01</v>
      </c>
      <c r="S2224">
        <v>532.57000000000005</v>
      </c>
      <c r="T2224">
        <v>22147.31</v>
      </c>
      <c r="U2224">
        <v>14726.79</v>
      </c>
      <c r="V2224">
        <v>6395.14</v>
      </c>
      <c r="W2224">
        <v>5816.96</v>
      </c>
      <c r="X2224">
        <v>29327.19</v>
      </c>
      <c r="Y2224">
        <v>21283.66</v>
      </c>
    </row>
    <row r="2225" spans="1:25" x14ac:dyDescent="0.25">
      <c r="A2225" t="s">
        <v>2281</v>
      </c>
      <c r="B2225" s="1">
        <v>45557</v>
      </c>
      <c r="C2225">
        <v>2024</v>
      </c>
      <c r="D2225">
        <v>9</v>
      </c>
      <c r="E2225" t="s">
        <v>918</v>
      </c>
      <c r="F2225" t="s">
        <v>691</v>
      </c>
      <c r="G2225" t="s">
        <v>55</v>
      </c>
      <c r="H2225" t="s">
        <v>32</v>
      </c>
      <c r="I2225" t="s">
        <v>50</v>
      </c>
      <c r="J2225">
        <v>52</v>
      </c>
      <c r="K2225">
        <v>1398.62</v>
      </c>
      <c r="L2225">
        <v>72728.259999999995</v>
      </c>
      <c r="M2225">
        <v>45176.56</v>
      </c>
      <c r="N2225">
        <v>5594.94</v>
      </c>
      <c r="O2225">
        <v>4879.12</v>
      </c>
      <c r="P2225">
        <v>1919.99</v>
      </c>
      <c r="Q2225">
        <v>1268.5899999999999</v>
      </c>
      <c r="R2225">
        <v>2243.98</v>
      </c>
      <c r="S2225">
        <v>1069.6500000000001</v>
      </c>
      <c r="T2225">
        <v>62152.84</v>
      </c>
      <c r="U2225">
        <v>27551.7</v>
      </c>
      <c r="V2225">
        <v>10575.42</v>
      </c>
      <c r="W2225">
        <v>10323.629999999999</v>
      </c>
      <c r="X2225">
        <v>77854.720000000001</v>
      </c>
      <c r="Y2225">
        <v>58714.73</v>
      </c>
    </row>
    <row r="2226" spans="1:25" x14ac:dyDescent="0.25">
      <c r="A2226" t="s">
        <v>2282</v>
      </c>
      <c r="B2226" s="1">
        <v>45557</v>
      </c>
      <c r="C2226">
        <v>2024</v>
      </c>
      <c r="D2226">
        <v>9</v>
      </c>
      <c r="E2226" t="s">
        <v>918</v>
      </c>
      <c r="F2226" t="s">
        <v>691</v>
      </c>
      <c r="G2226" t="s">
        <v>35</v>
      </c>
      <c r="H2226" t="s">
        <v>36</v>
      </c>
      <c r="I2226" t="s">
        <v>33</v>
      </c>
      <c r="J2226">
        <v>48</v>
      </c>
      <c r="K2226">
        <v>1364.52</v>
      </c>
      <c r="L2226">
        <v>65496.82</v>
      </c>
      <c r="M2226">
        <v>36096.550000000003</v>
      </c>
      <c r="N2226">
        <v>5669.59</v>
      </c>
      <c r="O2226">
        <v>4442.3599999999997</v>
      </c>
      <c r="P2226">
        <v>1221.97</v>
      </c>
      <c r="Q2226">
        <v>1110.99</v>
      </c>
      <c r="R2226">
        <v>4025.48</v>
      </c>
      <c r="S2226">
        <v>1446.58</v>
      </c>
      <c r="T2226">
        <v>54013.53</v>
      </c>
      <c r="U2226">
        <v>29400.27</v>
      </c>
      <c r="V2226">
        <v>11483.29</v>
      </c>
      <c r="W2226">
        <v>11288.73</v>
      </c>
      <c r="X2226">
        <v>65848.92</v>
      </c>
      <c r="Y2226">
        <v>51956.87</v>
      </c>
    </row>
    <row r="2227" spans="1:25" x14ac:dyDescent="0.25">
      <c r="A2227" t="s">
        <v>2283</v>
      </c>
      <c r="B2227" s="1">
        <v>45557</v>
      </c>
      <c r="C2227">
        <v>2024</v>
      </c>
      <c r="D2227">
        <v>9</v>
      </c>
      <c r="E2227" t="s">
        <v>918</v>
      </c>
      <c r="F2227" t="s">
        <v>691</v>
      </c>
      <c r="G2227" t="s">
        <v>28</v>
      </c>
      <c r="H2227" t="s">
        <v>53</v>
      </c>
      <c r="I2227" t="s">
        <v>37</v>
      </c>
      <c r="J2227">
        <v>78</v>
      </c>
      <c r="K2227">
        <v>885.82</v>
      </c>
      <c r="L2227">
        <v>69094.27</v>
      </c>
      <c r="M2227">
        <v>46722.3</v>
      </c>
      <c r="N2227">
        <v>5507.11</v>
      </c>
      <c r="O2227">
        <v>3347.26</v>
      </c>
      <c r="P2227">
        <v>1298.47</v>
      </c>
      <c r="Q2227">
        <v>491.68</v>
      </c>
      <c r="R2227">
        <v>2517.87</v>
      </c>
      <c r="S2227">
        <v>991.14</v>
      </c>
      <c r="T2227">
        <v>60875.83</v>
      </c>
      <c r="U2227">
        <v>22371.97</v>
      </c>
      <c r="V2227">
        <v>8218.44</v>
      </c>
      <c r="W2227">
        <v>7894.93</v>
      </c>
      <c r="X2227">
        <v>74920.649999999994</v>
      </c>
      <c r="Y2227">
        <v>63093.279999999999</v>
      </c>
    </row>
    <row r="2228" spans="1:25" x14ac:dyDescent="0.25">
      <c r="A2228" t="s">
        <v>2284</v>
      </c>
      <c r="B2228" s="1">
        <v>45558</v>
      </c>
      <c r="C2228">
        <v>2024</v>
      </c>
      <c r="D2228">
        <v>9</v>
      </c>
      <c r="E2228" t="s">
        <v>918</v>
      </c>
      <c r="F2228" t="s">
        <v>691</v>
      </c>
      <c r="G2228" t="s">
        <v>28</v>
      </c>
      <c r="H2228" t="s">
        <v>36</v>
      </c>
      <c r="I2228" t="s">
        <v>39</v>
      </c>
      <c r="J2228">
        <v>64</v>
      </c>
      <c r="K2228">
        <v>826.39</v>
      </c>
      <c r="L2228">
        <v>52889.01</v>
      </c>
      <c r="M2228">
        <v>33635.61</v>
      </c>
      <c r="N2228">
        <v>4163.66</v>
      </c>
      <c r="O2228">
        <v>3519.99</v>
      </c>
      <c r="P2228">
        <v>1428</v>
      </c>
      <c r="Q2228">
        <v>868.39</v>
      </c>
      <c r="R2228">
        <v>2657.18</v>
      </c>
      <c r="S2228">
        <v>538.09</v>
      </c>
      <c r="T2228">
        <v>46810.91</v>
      </c>
      <c r="U2228">
        <v>19253.400000000001</v>
      </c>
      <c r="V2228">
        <v>6078.1</v>
      </c>
      <c r="W2228">
        <v>5731.79</v>
      </c>
      <c r="X2228">
        <v>59220.91</v>
      </c>
      <c r="Y2228">
        <v>44727.41</v>
      </c>
    </row>
    <row r="2229" spans="1:25" x14ac:dyDescent="0.25">
      <c r="A2229" t="s">
        <v>2285</v>
      </c>
      <c r="B2229" s="1">
        <v>45558</v>
      </c>
      <c r="C2229">
        <v>2024</v>
      </c>
      <c r="D2229">
        <v>9</v>
      </c>
      <c r="E2229" t="s">
        <v>918</v>
      </c>
      <c r="F2229" t="s">
        <v>691</v>
      </c>
      <c r="G2229" t="s">
        <v>35</v>
      </c>
      <c r="H2229" t="s">
        <v>36</v>
      </c>
      <c r="I2229" t="s">
        <v>56</v>
      </c>
      <c r="J2229">
        <v>21</v>
      </c>
      <c r="K2229">
        <v>1405.21</v>
      </c>
      <c r="L2229">
        <v>29509.41</v>
      </c>
      <c r="M2229">
        <v>19417.759999999998</v>
      </c>
      <c r="N2229">
        <v>2356.23</v>
      </c>
      <c r="O2229">
        <v>1217.9100000000001</v>
      </c>
      <c r="P2229">
        <v>1033.76</v>
      </c>
      <c r="Q2229">
        <v>149.16</v>
      </c>
      <c r="R2229">
        <v>752.3</v>
      </c>
      <c r="S2229">
        <v>322.94</v>
      </c>
      <c r="T2229">
        <v>25250.06</v>
      </c>
      <c r="U2229">
        <v>10091.64</v>
      </c>
      <c r="V2229">
        <v>4259.34</v>
      </c>
      <c r="W2229">
        <v>4014.76</v>
      </c>
      <c r="X2229">
        <v>30116.880000000001</v>
      </c>
      <c r="Y2229">
        <v>26311.78</v>
      </c>
    </row>
    <row r="2230" spans="1:25" x14ac:dyDescent="0.25">
      <c r="A2230" t="s">
        <v>2286</v>
      </c>
      <c r="B2230" s="1">
        <v>45558</v>
      </c>
      <c r="C2230">
        <v>2024</v>
      </c>
      <c r="D2230">
        <v>9</v>
      </c>
      <c r="E2230" t="s">
        <v>918</v>
      </c>
      <c r="F2230" t="s">
        <v>691</v>
      </c>
      <c r="G2230" t="s">
        <v>35</v>
      </c>
      <c r="H2230" t="s">
        <v>36</v>
      </c>
      <c r="I2230" t="s">
        <v>45</v>
      </c>
      <c r="J2230">
        <v>58</v>
      </c>
      <c r="K2230">
        <v>851.66</v>
      </c>
      <c r="L2230">
        <v>49396.45</v>
      </c>
      <c r="M2230">
        <v>24206.03</v>
      </c>
      <c r="N2230">
        <v>6182.93</v>
      </c>
      <c r="O2230">
        <v>2581.69</v>
      </c>
      <c r="P2230">
        <v>1889.1</v>
      </c>
      <c r="Q2230">
        <v>830.87</v>
      </c>
      <c r="R2230">
        <v>1358.51</v>
      </c>
      <c r="S2230">
        <v>461.67</v>
      </c>
      <c r="T2230">
        <v>37510.800000000003</v>
      </c>
      <c r="U2230">
        <v>25190.42</v>
      </c>
      <c r="V2230">
        <v>11885.65</v>
      </c>
      <c r="W2230">
        <v>11291.41</v>
      </c>
      <c r="X2230">
        <v>51838.02</v>
      </c>
      <c r="Y2230">
        <v>36332.589999999997</v>
      </c>
    </row>
    <row r="2231" spans="1:25" x14ac:dyDescent="0.25">
      <c r="A2231" t="s">
        <v>2287</v>
      </c>
      <c r="B2231" s="1">
        <v>45558</v>
      </c>
      <c r="C2231">
        <v>2024</v>
      </c>
      <c r="D2231">
        <v>9</v>
      </c>
      <c r="E2231" t="s">
        <v>918</v>
      </c>
      <c r="F2231" t="s">
        <v>691</v>
      </c>
      <c r="G2231" t="s">
        <v>44</v>
      </c>
      <c r="H2231" t="s">
        <v>32</v>
      </c>
      <c r="I2231" t="s">
        <v>39</v>
      </c>
      <c r="J2231">
        <v>37</v>
      </c>
      <c r="K2231">
        <v>1405.07</v>
      </c>
      <c r="L2231">
        <v>51987.65</v>
      </c>
      <c r="M2231">
        <v>34317.97</v>
      </c>
      <c r="N2231">
        <v>5284.45</v>
      </c>
      <c r="O2231">
        <v>1387.48</v>
      </c>
      <c r="P2231">
        <v>1647.9</v>
      </c>
      <c r="Q2231">
        <v>403.16</v>
      </c>
      <c r="R2231">
        <v>2952.31</v>
      </c>
      <c r="S2231">
        <v>880.93</v>
      </c>
      <c r="T2231">
        <v>46874.19</v>
      </c>
      <c r="U2231">
        <v>17669.68</v>
      </c>
      <c r="V2231">
        <v>5113.45</v>
      </c>
      <c r="W2231">
        <v>4907.03</v>
      </c>
      <c r="X2231">
        <v>52131.56</v>
      </c>
      <c r="Y2231">
        <v>48461.41</v>
      </c>
    </row>
    <row r="2232" spans="1:25" x14ac:dyDescent="0.25">
      <c r="A2232" t="s">
        <v>2288</v>
      </c>
      <c r="B2232" s="1">
        <v>45558</v>
      </c>
      <c r="C2232">
        <v>2024</v>
      </c>
      <c r="D2232">
        <v>9</v>
      </c>
      <c r="E2232" t="s">
        <v>918</v>
      </c>
      <c r="F2232" t="s">
        <v>691</v>
      </c>
      <c r="G2232" t="s">
        <v>35</v>
      </c>
      <c r="H2232" t="s">
        <v>32</v>
      </c>
      <c r="I2232" t="s">
        <v>50</v>
      </c>
      <c r="J2232">
        <v>36</v>
      </c>
      <c r="K2232">
        <v>1084.4100000000001</v>
      </c>
      <c r="L2232">
        <v>39038.9</v>
      </c>
      <c r="M2232">
        <v>25613.09</v>
      </c>
      <c r="N2232">
        <v>4820.3500000000004</v>
      </c>
      <c r="O2232">
        <v>2285.5500000000002</v>
      </c>
      <c r="P2232">
        <v>990.19</v>
      </c>
      <c r="Q2232">
        <v>243.6</v>
      </c>
      <c r="R2232">
        <v>2301.9299999999998</v>
      </c>
      <c r="S2232">
        <v>527.5</v>
      </c>
      <c r="T2232">
        <v>36782.230000000003</v>
      </c>
      <c r="U2232">
        <v>13425.8</v>
      </c>
      <c r="V2232">
        <v>2256.67</v>
      </c>
      <c r="W2232">
        <v>2266.14</v>
      </c>
      <c r="X2232">
        <v>41190.910000000003</v>
      </c>
      <c r="Y2232">
        <v>36859.360000000001</v>
      </c>
    </row>
    <row r="2233" spans="1:25" x14ac:dyDescent="0.25">
      <c r="A2233" t="s">
        <v>2289</v>
      </c>
      <c r="B2233" s="1">
        <v>45559</v>
      </c>
      <c r="C2233">
        <v>2024</v>
      </c>
      <c r="D2233">
        <v>9</v>
      </c>
      <c r="E2233" t="s">
        <v>918</v>
      </c>
      <c r="F2233" t="s">
        <v>691</v>
      </c>
      <c r="G2233" t="s">
        <v>55</v>
      </c>
      <c r="H2233" t="s">
        <v>36</v>
      </c>
      <c r="I2233" t="s">
        <v>45</v>
      </c>
      <c r="J2233">
        <v>32</v>
      </c>
      <c r="K2233">
        <v>1753.94</v>
      </c>
      <c r="L2233">
        <v>56125.96</v>
      </c>
      <c r="M2233">
        <v>27475.24</v>
      </c>
      <c r="N2233">
        <v>6294.51</v>
      </c>
      <c r="O2233">
        <v>1731.56</v>
      </c>
      <c r="P2233">
        <v>1853.57</v>
      </c>
      <c r="Q2233">
        <v>731.49</v>
      </c>
      <c r="R2233">
        <v>1995.47</v>
      </c>
      <c r="S2233">
        <v>494.07</v>
      </c>
      <c r="T2233">
        <v>40575.910000000003</v>
      </c>
      <c r="U2233">
        <v>28650.720000000001</v>
      </c>
      <c r="V2233">
        <v>15550.05</v>
      </c>
      <c r="W2233">
        <v>14033.25</v>
      </c>
      <c r="X2233">
        <v>61127.77</v>
      </c>
      <c r="Y2233">
        <v>41624.22</v>
      </c>
    </row>
    <row r="2234" spans="1:25" x14ac:dyDescent="0.25">
      <c r="A2234" t="s">
        <v>2290</v>
      </c>
      <c r="B2234" s="1">
        <v>45559</v>
      </c>
      <c r="C2234">
        <v>2024</v>
      </c>
      <c r="D2234">
        <v>9</v>
      </c>
      <c r="E2234" t="s">
        <v>918</v>
      </c>
      <c r="F2234" t="s">
        <v>691</v>
      </c>
      <c r="G2234" t="s">
        <v>44</v>
      </c>
      <c r="H2234" t="s">
        <v>53</v>
      </c>
      <c r="I2234" t="s">
        <v>30</v>
      </c>
      <c r="J2234">
        <v>58</v>
      </c>
      <c r="K2234">
        <v>1540.11</v>
      </c>
      <c r="L2234">
        <v>89326.49</v>
      </c>
      <c r="M2234">
        <v>51051.86</v>
      </c>
      <c r="N2234">
        <v>7160.13</v>
      </c>
      <c r="O2234">
        <v>5858.02</v>
      </c>
      <c r="P2234">
        <v>3347.1</v>
      </c>
      <c r="Q2234">
        <v>724.71</v>
      </c>
      <c r="R2234">
        <v>2563.41</v>
      </c>
      <c r="S2234">
        <v>2129.4299999999998</v>
      </c>
      <c r="T2234">
        <v>72834.649999999994</v>
      </c>
      <c r="U2234">
        <v>38274.629999999997</v>
      </c>
      <c r="V2234">
        <v>16491.84</v>
      </c>
      <c r="W2234">
        <v>16357.74</v>
      </c>
      <c r="X2234">
        <v>99029.98</v>
      </c>
      <c r="Y2234">
        <v>74025.600000000006</v>
      </c>
    </row>
    <row r="2235" spans="1:25" x14ac:dyDescent="0.25">
      <c r="A2235" t="s">
        <v>2291</v>
      </c>
      <c r="B2235" s="1">
        <v>45559</v>
      </c>
      <c r="C2235">
        <v>2024</v>
      </c>
      <c r="D2235">
        <v>9</v>
      </c>
      <c r="E2235" t="s">
        <v>918</v>
      </c>
      <c r="F2235" t="s">
        <v>691</v>
      </c>
      <c r="G2235" t="s">
        <v>28</v>
      </c>
      <c r="H2235" t="s">
        <v>29</v>
      </c>
      <c r="I2235" t="s">
        <v>56</v>
      </c>
      <c r="J2235">
        <v>36</v>
      </c>
      <c r="K2235">
        <v>996.43</v>
      </c>
      <c r="L2235">
        <v>35871.35</v>
      </c>
      <c r="M2235">
        <v>17406.86</v>
      </c>
      <c r="N2235">
        <v>4112.12</v>
      </c>
      <c r="O2235">
        <v>1445.05</v>
      </c>
      <c r="P2235">
        <v>880.1</v>
      </c>
      <c r="Q2235">
        <v>601.83000000000004</v>
      </c>
      <c r="R2235">
        <v>2106.8200000000002</v>
      </c>
      <c r="S2235">
        <v>414.02</v>
      </c>
      <c r="T2235">
        <v>26966.81</v>
      </c>
      <c r="U2235">
        <v>18464.490000000002</v>
      </c>
      <c r="V2235">
        <v>8904.5400000000009</v>
      </c>
      <c r="W2235">
        <v>8034.73</v>
      </c>
      <c r="X2235">
        <v>40063.65</v>
      </c>
      <c r="Y2235">
        <v>29367.95</v>
      </c>
    </row>
    <row r="2236" spans="1:25" x14ac:dyDescent="0.25">
      <c r="A2236" t="s">
        <v>2292</v>
      </c>
      <c r="B2236" s="1">
        <v>45559</v>
      </c>
      <c r="C2236">
        <v>2024</v>
      </c>
      <c r="D2236">
        <v>9</v>
      </c>
      <c r="E2236" t="s">
        <v>918</v>
      </c>
      <c r="F2236" t="s">
        <v>691</v>
      </c>
      <c r="G2236" t="s">
        <v>35</v>
      </c>
      <c r="H2236" t="s">
        <v>36</v>
      </c>
      <c r="I2236" t="s">
        <v>37</v>
      </c>
      <c r="J2236">
        <v>73</v>
      </c>
      <c r="K2236">
        <v>916.47</v>
      </c>
      <c r="L2236">
        <v>66902.33</v>
      </c>
      <c r="M2236">
        <v>37812.199999999997</v>
      </c>
      <c r="N2236">
        <v>4879.4799999999996</v>
      </c>
      <c r="O2236">
        <v>1772.1</v>
      </c>
      <c r="P2236">
        <v>1055.93</v>
      </c>
      <c r="Q2236">
        <v>489.26</v>
      </c>
      <c r="R2236">
        <v>2247.2399999999998</v>
      </c>
      <c r="S2236">
        <v>1434.05</v>
      </c>
      <c r="T2236">
        <v>49690.26</v>
      </c>
      <c r="U2236">
        <v>29090.13</v>
      </c>
      <c r="V2236">
        <v>17212.07</v>
      </c>
      <c r="W2236">
        <v>16187.93</v>
      </c>
      <c r="X2236">
        <v>71180.55</v>
      </c>
      <c r="Y2236">
        <v>49279.38</v>
      </c>
    </row>
    <row r="2237" spans="1:25" x14ac:dyDescent="0.25">
      <c r="A2237" t="s">
        <v>2293</v>
      </c>
      <c r="B2237" s="1">
        <v>45560</v>
      </c>
      <c r="C2237">
        <v>2024</v>
      </c>
      <c r="D2237">
        <v>9</v>
      </c>
      <c r="E2237" t="s">
        <v>918</v>
      </c>
      <c r="F2237" t="s">
        <v>691</v>
      </c>
      <c r="G2237" t="s">
        <v>35</v>
      </c>
      <c r="H2237" t="s">
        <v>36</v>
      </c>
      <c r="I2237" t="s">
        <v>45</v>
      </c>
      <c r="J2237">
        <v>28</v>
      </c>
      <c r="K2237">
        <v>1735.66</v>
      </c>
      <c r="L2237">
        <v>48598.53</v>
      </c>
      <c r="M2237">
        <v>27380.01</v>
      </c>
      <c r="N2237">
        <v>5118.03</v>
      </c>
      <c r="O2237">
        <v>2421.92</v>
      </c>
      <c r="P2237">
        <v>891.49</v>
      </c>
      <c r="Q2237">
        <v>596.87</v>
      </c>
      <c r="R2237">
        <v>1590.78</v>
      </c>
      <c r="S2237">
        <v>605.71</v>
      </c>
      <c r="T2237">
        <v>38604.81</v>
      </c>
      <c r="U2237">
        <v>21218.52</v>
      </c>
      <c r="V2237">
        <v>9993.7199999999993</v>
      </c>
      <c r="W2237">
        <v>9859.7800000000007</v>
      </c>
      <c r="X2237">
        <v>47753.91</v>
      </c>
      <c r="Y2237">
        <v>36142.35</v>
      </c>
    </row>
    <row r="2238" spans="1:25" x14ac:dyDescent="0.25">
      <c r="A2238" t="s">
        <v>2294</v>
      </c>
      <c r="B2238" s="1">
        <v>45560</v>
      </c>
      <c r="C2238">
        <v>2024</v>
      </c>
      <c r="D2238">
        <v>9</v>
      </c>
      <c r="E2238" t="s">
        <v>918</v>
      </c>
      <c r="F2238" t="s">
        <v>691</v>
      </c>
      <c r="G2238" t="s">
        <v>28</v>
      </c>
      <c r="H2238" t="s">
        <v>53</v>
      </c>
      <c r="I2238" t="s">
        <v>39</v>
      </c>
      <c r="J2238">
        <v>24</v>
      </c>
      <c r="K2238">
        <v>1759.43</v>
      </c>
      <c r="L2238">
        <v>42226.28</v>
      </c>
      <c r="M2238">
        <v>27792.58</v>
      </c>
      <c r="N2238">
        <v>4251.34</v>
      </c>
      <c r="O2238">
        <v>1258.42</v>
      </c>
      <c r="P2238">
        <v>799.22</v>
      </c>
      <c r="Q2238">
        <v>228.89</v>
      </c>
      <c r="R2238">
        <v>1926.56</v>
      </c>
      <c r="S2238">
        <v>963.6</v>
      </c>
      <c r="T2238">
        <v>37220.6</v>
      </c>
      <c r="U2238">
        <v>14433.7</v>
      </c>
      <c r="V2238">
        <v>5005.68</v>
      </c>
      <c r="W2238">
        <v>4470.41</v>
      </c>
      <c r="X2238">
        <v>39087.760000000002</v>
      </c>
      <c r="Y2238">
        <v>39502.42</v>
      </c>
    </row>
    <row r="2239" spans="1:25" x14ac:dyDescent="0.25">
      <c r="A2239" t="s">
        <v>2295</v>
      </c>
      <c r="B2239" s="1">
        <v>45560</v>
      </c>
      <c r="C2239">
        <v>2024</v>
      </c>
      <c r="D2239">
        <v>9</v>
      </c>
      <c r="E2239" t="s">
        <v>918</v>
      </c>
      <c r="F2239" t="s">
        <v>691</v>
      </c>
      <c r="G2239" t="s">
        <v>28</v>
      </c>
      <c r="H2239" t="s">
        <v>36</v>
      </c>
      <c r="I2239" t="s">
        <v>37</v>
      </c>
      <c r="J2239">
        <v>37</v>
      </c>
      <c r="K2239">
        <v>1487.76</v>
      </c>
      <c r="L2239">
        <v>55047.11</v>
      </c>
      <c r="M2239">
        <v>28619.24</v>
      </c>
      <c r="N2239">
        <v>6071.39</v>
      </c>
      <c r="O2239">
        <v>1498.23</v>
      </c>
      <c r="P2239">
        <v>1148.3399999999999</v>
      </c>
      <c r="Q2239">
        <v>362.66</v>
      </c>
      <c r="R2239">
        <v>1415.25</v>
      </c>
      <c r="S2239">
        <v>881.74</v>
      </c>
      <c r="T2239">
        <v>39996.85</v>
      </c>
      <c r="U2239">
        <v>26427.87</v>
      </c>
      <c r="V2239">
        <v>15050.27</v>
      </c>
      <c r="W2239">
        <v>13966.38</v>
      </c>
      <c r="X2239">
        <v>55888.03</v>
      </c>
      <c r="Y2239">
        <v>40623.379999999997</v>
      </c>
    </row>
    <row r="2240" spans="1:25" x14ac:dyDescent="0.25">
      <c r="A2240" t="s">
        <v>2296</v>
      </c>
      <c r="B2240" s="1">
        <v>45560</v>
      </c>
      <c r="C2240">
        <v>2024</v>
      </c>
      <c r="D2240">
        <v>9</v>
      </c>
      <c r="E2240" t="s">
        <v>918</v>
      </c>
      <c r="F2240" t="s">
        <v>691</v>
      </c>
      <c r="G2240" t="s">
        <v>55</v>
      </c>
      <c r="H2240" t="s">
        <v>32</v>
      </c>
      <c r="I2240" t="s">
        <v>30</v>
      </c>
      <c r="J2240">
        <v>127</v>
      </c>
      <c r="K2240">
        <v>1029.31</v>
      </c>
      <c r="L2240">
        <v>130722.31</v>
      </c>
      <c r="M2240">
        <v>68083.48</v>
      </c>
      <c r="N2240">
        <v>15059.34</v>
      </c>
      <c r="O2240">
        <v>4573.45</v>
      </c>
      <c r="P2240">
        <v>3823.47</v>
      </c>
      <c r="Q2240">
        <v>686.15</v>
      </c>
      <c r="R2240">
        <v>6858.44</v>
      </c>
      <c r="S2240">
        <v>2107.67</v>
      </c>
      <c r="T2240">
        <v>101192</v>
      </c>
      <c r="U2240">
        <v>62638.83</v>
      </c>
      <c r="V2240">
        <v>29530.31</v>
      </c>
      <c r="W2240">
        <v>27900.86</v>
      </c>
      <c r="X2240">
        <v>131591.81</v>
      </c>
      <c r="Y2240">
        <v>98916.15</v>
      </c>
    </row>
    <row r="2241" spans="1:25" x14ac:dyDescent="0.25">
      <c r="A2241" t="s">
        <v>2297</v>
      </c>
      <c r="B2241" s="1">
        <v>45560</v>
      </c>
      <c r="C2241">
        <v>2024</v>
      </c>
      <c r="D2241">
        <v>9</v>
      </c>
      <c r="E2241" t="s">
        <v>918</v>
      </c>
      <c r="F2241" t="s">
        <v>691</v>
      </c>
      <c r="G2241" t="s">
        <v>28</v>
      </c>
      <c r="H2241" t="s">
        <v>36</v>
      </c>
      <c r="I2241" t="s">
        <v>56</v>
      </c>
      <c r="J2241">
        <v>33</v>
      </c>
      <c r="K2241">
        <v>1159.3</v>
      </c>
      <c r="L2241">
        <v>38256.980000000003</v>
      </c>
      <c r="M2241">
        <v>21299.84</v>
      </c>
      <c r="N2241">
        <v>4174.6899999999996</v>
      </c>
      <c r="O2241">
        <v>1268.3499999999999</v>
      </c>
      <c r="P2241">
        <v>1605.97</v>
      </c>
      <c r="Q2241">
        <v>610.97</v>
      </c>
      <c r="R2241">
        <v>2015.86</v>
      </c>
      <c r="S2241">
        <v>378.82</v>
      </c>
      <c r="T2241">
        <v>31354.5</v>
      </c>
      <c r="U2241">
        <v>16957.14</v>
      </c>
      <c r="V2241">
        <v>6902.48</v>
      </c>
      <c r="W2241">
        <v>6630.29</v>
      </c>
      <c r="X2241">
        <v>40095.800000000003</v>
      </c>
      <c r="Y2241">
        <v>29699.4</v>
      </c>
    </row>
    <row r="2242" spans="1:25" x14ac:dyDescent="0.25">
      <c r="A2242" t="s">
        <v>2298</v>
      </c>
      <c r="B2242" s="1">
        <v>45560</v>
      </c>
      <c r="C2242">
        <v>2024</v>
      </c>
      <c r="D2242">
        <v>9</v>
      </c>
      <c r="E2242" t="s">
        <v>918</v>
      </c>
      <c r="F2242" t="s">
        <v>691</v>
      </c>
      <c r="G2242" t="s">
        <v>55</v>
      </c>
      <c r="H2242" t="s">
        <v>53</v>
      </c>
      <c r="I2242" t="s">
        <v>50</v>
      </c>
      <c r="J2242">
        <v>30</v>
      </c>
      <c r="K2242">
        <v>1642.61</v>
      </c>
      <c r="L2242">
        <v>49278.16</v>
      </c>
      <c r="M2242">
        <v>30732.27</v>
      </c>
      <c r="N2242">
        <v>5467.13</v>
      </c>
      <c r="O2242">
        <v>3144.09</v>
      </c>
      <c r="P2242">
        <v>1326.2</v>
      </c>
      <c r="Q2242">
        <v>711.47</v>
      </c>
      <c r="R2242">
        <v>2350.77</v>
      </c>
      <c r="S2242">
        <v>620.84</v>
      </c>
      <c r="T2242">
        <v>44352.77</v>
      </c>
      <c r="U2242">
        <v>18545.89</v>
      </c>
      <c r="V2242">
        <v>4925.3900000000003</v>
      </c>
      <c r="W2242">
        <v>4913.62</v>
      </c>
      <c r="X2242">
        <v>51744.639999999999</v>
      </c>
      <c r="Y2242">
        <v>43439.74</v>
      </c>
    </row>
    <row r="2243" spans="1:25" x14ac:dyDescent="0.25">
      <c r="A2243" t="s">
        <v>2299</v>
      </c>
      <c r="B2243" s="1">
        <v>45561</v>
      </c>
      <c r="C2243">
        <v>2024</v>
      </c>
      <c r="D2243">
        <v>9</v>
      </c>
      <c r="E2243" t="s">
        <v>918</v>
      </c>
      <c r="F2243" t="s">
        <v>691</v>
      </c>
      <c r="G2243" t="s">
        <v>28</v>
      </c>
      <c r="H2243" t="s">
        <v>32</v>
      </c>
      <c r="I2243" t="s">
        <v>50</v>
      </c>
      <c r="J2243">
        <v>54</v>
      </c>
      <c r="K2243">
        <v>1315.83</v>
      </c>
      <c r="L2243">
        <v>71054.73</v>
      </c>
      <c r="M2243">
        <v>44042.55</v>
      </c>
      <c r="N2243">
        <v>5947.09</v>
      </c>
      <c r="O2243">
        <v>2554.25</v>
      </c>
      <c r="P2243">
        <v>2963.99</v>
      </c>
      <c r="Q2243">
        <v>924.15</v>
      </c>
      <c r="R2243">
        <v>2418.62</v>
      </c>
      <c r="S2243">
        <v>1257.29</v>
      </c>
      <c r="T2243">
        <v>60107.93</v>
      </c>
      <c r="U2243">
        <v>27012.18</v>
      </c>
      <c r="V2243">
        <v>10946.8</v>
      </c>
      <c r="W2243">
        <v>10410.84</v>
      </c>
      <c r="X2243">
        <v>65454.53</v>
      </c>
      <c r="Y2243">
        <v>57056.41</v>
      </c>
    </row>
    <row r="2244" spans="1:25" x14ac:dyDescent="0.25">
      <c r="A2244" t="s">
        <v>2300</v>
      </c>
      <c r="B2244" s="1">
        <v>45561</v>
      </c>
      <c r="C2244">
        <v>2024</v>
      </c>
      <c r="D2244">
        <v>9</v>
      </c>
      <c r="E2244" t="s">
        <v>918</v>
      </c>
      <c r="F2244" t="s">
        <v>691</v>
      </c>
      <c r="G2244" t="s">
        <v>44</v>
      </c>
      <c r="H2244" t="s">
        <v>36</v>
      </c>
      <c r="I2244" t="s">
        <v>39</v>
      </c>
      <c r="J2244">
        <v>23</v>
      </c>
      <c r="K2244">
        <v>1612.71</v>
      </c>
      <c r="L2244">
        <v>37092.239999999998</v>
      </c>
      <c r="M2244">
        <v>24697.42</v>
      </c>
      <c r="N2244">
        <v>4350</v>
      </c>
      <c r="O2244">
        <v>1947.38</v>
      </c>
      <c r="P2244">
        <v>1190.76</v>
      </c>
      <c r="Q2244">
        <v>436.46</v>
      </c>
      <c r="R2244">
        <v>1745.7</v>
      </c>
      <c r="S2244">
        <v>305.25</v>
      </c>
      <c r="T2244">
        <v>34672.97</v>
      </c>
      <c r="U2244">
        <v>12394.82</v>
      </c>
      <c r="V2244">
        <v>2419.27</v>
      </c>
      <c r="W2244">
        <v>2262.3200000000002</v>
      </c>
      <c r="X2244">
        <v>36115.24</v>
      </c>
      <c r="Y2244">
        <v>36456.85</v>
      </c>
    </row>
    <row r="2245" spans="1:25" x14ac:dyDescent="0.25">
      <c r="A2245" t="s">
        <v>2301</v>
      </c>
      <c r="B2245" s="1">
        <v>45561</v>
      </c>
      <c r="C2245">
        <v>2024</v>
      </c>
      <c r="D2245">
        <v>9</v>
      </c>
      <c r="E2245" t="s">
        <v>918</v>
      </c>
      <c r="F2245" t="s">
        <v>691</v>
      </c>
      <c r="G2245" t="s">
        <v>28</v>
      </c>
      <c r="H2245" t="s">
        <v>32</v>
      </c>
      <c r="I2245" t="s">
        <v>50</v>
      </c>
      <c r="J2245">
        <v>35</v>
      </c>
      <c r="K2245">
        <v>1446.93</v>
      </c>
      <c r="L2245">
        <v>50642.67</v>
      </c>
      <c r="M2245">
        <v>30471.83</v>
      </c>
      <c r="N2245">
        <v>5448.67</v>
      </c>
      <c r="O2245">
        <v>3411.55</v>
      </c>
      <c r="P2245">
        <v>2232.6999999999998</v>
      </c>
      <c r="Q2245">
        <v>714.97</v>
      </c>
      <c r="R2245">
        <v>2058.06</v>
      </c>
      <c r="S2245">
        <v>954.15</v>
      </c>
      <c r="T2245">
        <v>45291.93</v>
      </c>
      <c r="U2245">
        <v>20170.84</v>
      </c>
      <c r="V2245">
        <v>5350.73</v>
      </c>
      <c r="W2245">
        <v>5353.61</v>
      </c>
      <c r="X2245">
        <v>55274.43</v>
      </c>
      <c r="Y2245">
        <v>45439.07</v>
      </c>
    </row>
    <row r="2246" spans="1:25" x14ac:dyDescent="0.25">
      <c r="A2246" t="s">
        <v>2302</v>
      </c>
      <c r="B2246" s="1">
        <v>45562</v>
      </c>
      <c r="C2246">
        <v>2024</v>
      </c>
      <c r="D2246">
        <v>9</v>
      </c>
      <c r="E2246" t="s">
        <v>918</v>
      </c>
      <c r="F2246" t="s">
        <v>691</v>
      </c>
      <c r="G2246" t="s">
        <v>28</v>
      </c>
      <c r="H2246" t="s">
        <v>32</v>
      </c>
      <c r="I2246" t="s">
        <v>50</v>
      </c>
      <c r="J2246">
        <v>49</v>
      </c>
      <c r="K2246">
        <v>1557.88</v>
      </c>
      <c r="L2246">
        <v>76336.210000000006</v>
      </c>
      <c r="M2246">
        <v>46990.3</v>
      </c>
      <c r="N2246">
        <v>8257.07</v>
      </c>
      <c r="O2246">
        <v>2773.47</v>
      </c>
      <c r="P2246">
        <v>2475.75</v>
      </c>
      <c r="Q2246">
        <v>1206.8900000000001</v>
      </c>
      <c r="R2246">
        <v>3924.26</v>
      </c>
      <c r="S2246">
        <v>1835.14</v>
      </c>
      <c r="T2246">
        <v>67462.87</v>
      </c>
      <c r="U2246">
        <v>29345.91</v>
      </c>
      <c r="V2246">
        <v>8873.34</v>
      </c>
      <c r="W2246">
        <v>9017.73</v>
      </c>
      <c r="X2246">
        <v>73644.55</v>
      </c>
      <c r="Y2246">
        <v>66193.3</v>
      </c>
    </row>
    <row r="2247" spans="1:25" x14ac:dyDescent="0.25">
      <c r="A2247" t="s">
        <v>2303</v>
      </c>
      <c r="B2247" s="1">
        <v>45563</v>
      </c>
      <c r="C2247">
        <v>2024</v>
      </c>
      <c r="D2247">
        <v>9</v>
      </c>
      <c r="E2247" t="s">
        <v>918</v>
      </c>
      <c r="F2247" t="s">
        <v>691</v>
      </c>
      <c r="G2247" t="s">
        <v>55</v>
      </c>
      <c r="H2247" t="s">
        <v>32</v>
      </c>
      <c r="I2247" t="s">
        <v>65</v>
      </c>
      <c r="J2247">
        <v>38</v>
      </c>
      <c r="K2247">
        <v>1692.88</v>
      </c>
      <c r="L2247">
        <v>64329.43</v>
      </c>
      <c r="M2247">
        <v>39941.660000000003</v>
      </c>
      <c r="N2247">
        <v>5067.16</v>
      </c>
      <c r="O2247">
        <v>3777.28</v>
      </c>
      <c r="P2247">
        <v>1516.26</v>
      </c>
      <c r="Q2247">
        <v>420.85</v>
      </c>
      <c r="R2247">
        <v>4050.8</v>
      </c>
      <c r="S2247">
        <v>816.32</v>
      </c>
      <c r="T2247">
        <v>55590.33</v>
      </c>
      <c r="U2247">
        <v>24387.78</v>
      </c>
      <c r="V2247">
        <v>8739.1</v>
      </c>
      <c r="W2247">
        <v>8252.82</v>
      </c>
      <c r="X2247">
        <v>66734.02</v>
      </c>
      <c r="Y2247">
        <v>59246.45</v>
      </c>
    </row>
    <row r="2248" spans="1:25" x14ac:dyDescent="0.25">
      <c r="A2248" t="s">
        <v>2304</v>
      </c>
      <c r="B2248" s="1">
        <v>45563</v>
      </c>
      <c r="C2248">
        <v>2024</v>
      </c>
      <c r="D2248">
        <v>9</v>
      </c>
      <c r="E2248" t="s">
        <v>918</v>
      </c>
      <c r="F2248" t="s">
        <v>691</v>
      </c>
      <c r="G2248" t="s">
        <v>28</v>
      </c>
      <c r="H2248" t="s">
        <v>32</v>
      </c>
      <c r="I2248" t="s">
        <v>65</v>
      </c>
      <c r="J2248">
        <v>58</v>
      </c>
      <c r="K2248">
        <v>1213.19</v>
      </c>
      <c r="L2248">
        <v>70365.17</v>
      </c>
      <c r="M2248">
        <v>47748.68</v>
      </c>
      <c r="N2248">
        <v>6104.27</v>
      </c>
      <c r="O2248">
        <v>4949.63</v>
      </c>
      <c r="P2248">
        <v>2354.4499999999998</v>
      </c>
      <c r="Q2248">
        <v>633.97</v>
      </c>
      <c r="R2248">
        <v>2895.92</v>
      </c>
      <c r="S2248">
        <v>790.95</v>
      </c>
      <c r="T2248">
        <v>65477.88</v>
      </c>
      <c r="U2248">
        <v>22616.48</v>
      </c>
      <c r="V2248">
        <v>4887.29</v>
      </c>
      <c r="W2248">
        <v>4611.2299999999996</v>
      </c>
      <c r="X2248">
        <v>69881.64</v>
      </c>
      <c r="Y2248">
        <v>65546.73</v>
      </c>
    </row>
    <row r="2249" spans="1:25" x14ac:dyDescent="0.25">
      <c r="A2249" t="s">
        <v>2305</v>
      </c>
      <c r="B2249" s="1">
        <v>45563</v>
      </c>
      <c r="C2249">
        <v>2024</v>
      </c>
      <c r="D2249">
        <v>9</v>
      </c>
      <c r="E2249" t="s">
        <v>918</v>
      </c>
      <c r="F2249" t="s">
        <v>691</v>
      </c>
      <c r="G2249" t="s">
        <v>28</v>
      </c>
      <c r="H2249" t="s">
        <v>32</v>
      </c>
      <c r="I2249" t="s">
        <v>65</v>
      </c>
      <c r="J2249">
        <v>62</v>
      </c>
      <c r="K2249">
        <v>1157.8</v>
      </c>
      <c r="L2249">
        <v>71783.679999999993</v>
      </c>
      <c r="M2249">
        <v>36047.06</v>
      </c>
      <c r="N2249">
        <v>7707.04</v>
      </c>
      <c r="O2249">
        <v>5164.08</v>
      </c>
      <c r="P2249">
        <v>3088.71</v>
      </c>
      <c r="Q2249">
        <v>789.19</v>
      </c>
      <c r="R2249">
        <v>4341.21</v>
      </c>
      <c r="S2249">
        <v>1557.07</v>
      </c>
      <c r="T2249">
        <v>58694.37</v>
      </c>
      <c r="U2249">
        <v>35736.620000000003</v>
      </c>
      <c r="V2249">
        <v>13089.31</v>
      </c>
      <c r="W2249">
        <v>12126.15</v>
      </c>
      <c r="X2249">
        <v>70482.649999999994</v>
      </c>
      <c r="Y2249">
        <v>56867.47</v>
      </c>
    </row>
    <row r="2250" spans="1:25" x14ac:dyDescent="0.25">
      <c r="A2250" t="s">
        <v>2306</v>
      </c>
      <c r="B2250" s="1">
        <v>45563</v>
      </c>
      <c r="C2250">
        <v>2024</v>
      </c>
      <c r="D2250">
        <v>9</v>
      </c>
      <c r="E2250" t="s">
        <v>918</v>
      </c>
      <c r="F2250" t="s">
        <v>691</v>
      </c>
      <c r="G2250" t="s">
        <v>55</v>
      </c>
      <c r="H2250" t="s">
        <v>32</v>
      </c>
      <c r="I2250" t="s">
        <v>65</v>
      </c>
      <c r="J2250">
        <v>49</v>
      </c>
      <c r="K2250">
        <v>1690.71</v>
      </c>
      <c r="L2250">
        <v>82844.820000000007</v>
      </c>
      <c r="M2250">
        <v>43809.01</v>
      </c>
      <c r="N2250">
        <v>7309.5</v>
      </c>
      <c r="O2250">
        <v>5993.64</v>
      </c>
      <c r="P2250">
        <v>2513.29</v>
      </c>
      <c r="Q2250">
        <v>1072.9000000000001</v>
      </c>
      <c r="R2250">
        <v>3926.79</v>
      </c>
      <c r="S2250">
        <v>988.5</v>
      </c>
      <c r="T2250">
        <v>65613.62</v>
      </c>
      <c r="U2250">
        <v>39035.81</v>
      </c>
      <c r="V2250">
        <v>17231.2</v>
      </c>
      <c r="W2250">
        <v>15817.72</v>
      </c>
      <c r="X2250">
        <v>83711.12</v>
      </c>
      <c r="Y2250">
        <v>66874.95</v>
      </c>
    </row>
    <row r="2251" spans="1:25" x14ac:dyDescent="0.25">
      <c r="A2251" t="s">
        <v>2307</v>
      </c>
      <c r="B2251" s="1">
        <v>45564</v>
      </c>
      <c r="C2251">
        <v>2024</v>
      </c>
      <c r="D2251">
        <v>9</v>
      </c>
      <c r="E2251" t="s">
        <v>918</v>
      </c>
      <c r="F2251" t="s">
        <v>691</v>
      </c>
      <c r="G2251" t="s">
        <v>55</v>
      </c>
      <c r="H2251" t="s">
        <v>32</v>
      </c>
      <c r="I2251" t="s">
        <v>30</v>
      </c>
      <c r="J2251">
        <v>128</v>
      </c>
      <c r="K2251">
        <v>884.15</v>
      </c>
      <c r="L2251">
        <v>113171.53</v>
      </c>
      <c r="M2251">
        <v>57776.81</v>
      </c>
      <c r="N2251">
        <v>11509.26</v>
      </c>
      <c r="O2251">
        <v>8180.73</v>
      </c>
      <c r="P2251">
        <v>3370.27</v>
      </c>
      <c r="Q2251">
        <v>1370.28</v>
      </c>
      <c r="R2251">
        <v>6286.1</v>
      </c>
      <c r="S2251">
        <v>2109.1799999999998</v>
      </c>
      <c r="T2251">
        <v>90602.63</v>
      </c>
      <c r="U2251">
        <v>55394.720000000001</v>
      </c>
      <c r="V2251">
        <v>22568.9</v>
      </c>
      <c r="W2251">
        <v>22039.439999999999</v>
      </c>
      <c r="X2251">
        <v>125914.28</v>
      </c>
      <c r="Y2251">
        <v>84307.44</v>
      </c>
    </row>
    <row r="2252" spans="1:25" x14ac:dyDescent="0.25">
      <c r="A2252" t="s">
        <v>2308</v>
      </c>
      <c r="B2252" s="1">
        <v>45564</v>
      </c>
      <c r="C2252">
        <v>2024</v>
      </c>
      <c r="D2252">
        <v>9</v>
      </c>
      <c r="E2252" t="s">
        <v>918</v>
      </c>
      <c r="F2252" t="s">
        <v>691</v>
      </c>
      <c r="G2252" t="s">
        <v>35</v>
      </c>
      <c r="H2252" t="s">
        <v>32</v>
      </c>
      <c r="I2252" t="s">
        <v>56</v>
      </c>
      <c r="J2252">
        <v>27</v>
      </c>
      <c r="K2252">
        <v>1490.72</v>
      </c>
      <c r="L2252">
        <v>40249.35</v>
      </c>
      <c r="M2252">
        <v>20680.87</v>
      </c>
      <c r="N2252">
        <v>3099.8</v>
      </c>
      <c r="O2252">
        <v>2846.02</v>
      </c>
      <c r="P2252">
        <v>843.6</v>
      </c>
      <c r="Q2252">
        <v>683.18</v>
      </c>
      <c r="R2252">
        <v>1826.23</v>
      </c>
      <c r="S2252">
        <v>908.25</v>
      </c>
      <c r="T2252">
        <v>30887.95</v>
      </c>
      <c r="U2252">
        <v>19568.48</v>
      </c>
      <c r="V2252">
        <v>9361.4</v>
      </c>
      <c r="W2252">
        <v>9444.1200000000008</v>
      </c>
      <c r="X2252">
        <v>41613.910000000003</v>
      </c>
      <c r="Y2252">
        <v>33694.69</v>
      </c>
    </row>
    <row r="2253" spans="1:25" x14ac:dyDescent="0.25">
      <c r="A2253" t="s">
        <v>2309</v>
      </c>
      <c r="B2253" s="1">
        <v>45564</v>
      </c>
      <c r="C2253">
        <v>2024</v>
      </c>
      <c r="D2253">
        <v>9</v>
      </c>
      <c r="E2253" t="s">
        <v>918</v>
      </c>
      <c r="F2253" t="s">
        <v>691</v>
      </c>
      <c r="G2253" t="s">
        <v>28</v>
      </c>
      <c r="H2253" t="s">
        <v>32</v>
      </c>
      <c r="I2253" t="s">
        <v>30</v>
      </c>
      <c r="J2253">
        <v>98</v>
      </c>
      <c r="K2253">
        <v>1009.83</v>
      </c>
      <c r="L2253">
        <v>98963.39</v>
      </c>
      <c r="M2253">
        <v>62769.75</v>
      </c>
      <c r="N2253">
        <v>12327.43</v>
      </c>
      <c r="O2253">
        <v>4461.47</v>
      </c>
      <c r="P2253">
        <v>1823.37</v>
      </c>
      <c r="Q2253">
        <v>1420.33</v>
      </c>
      <c r="R2253">
        <v>2601.83</v>
      </c>
      <c r="S2253">
        <v>1652.6</v>
      </c>
      <c r="T2253">
        <v>87056.79</v>
      </c>
      <c r="U2253">
        <v>36193.64</v>
      </c>
      <c r="V2253">
        <v>11906.6</v>
      </c>
      <c r="W2253">
        <v>11519.5</v>
      </c>
      <c r="X2253">
        <v>99935.34</v>
      </c>
      <c r="Y2253">
        <v>91044.47</v>
      </c>
    </row>
    <row r="2254" spans="1:25" x14ac:dyDescent="0.25">
      <c r="A2254" t="s">
        <v>2310</v>
      </c>
      <c r="B2254" s="1">
        <v>45565</v>
      </c>
      <c r="C2254">
        <v>2024</v>
      </c>
      <c r="D2254">
        <v>9</v>
      </c>
      <c r="E2254" t="s">
        <v>918</v>
      </c>
      <c r="F2254" t="s">
        <v>691</v>
      </c>
      <c r="G2254" t="s">
        <v>55</v>
      </c>
      <c r="H2254" t="s">
        <v>53</v>
      </c>
      <c r="I2254" t="s">
        <v>45</v>
      </c>
      <c r="J2254">
        <v>43</v>
      </c>
      <c r="K2254">
        <v>1011.08</v>
      </c>
      <c r="L2254">
        <v>43476.54</v>
      </c>
      <c r="M2254">
        <v>29184.33</v>
      </c>
      <c r="N2254">
        <v>4405.25</v>
      </c>
      <c r="O2254">
        <v>2936.81</v>
      </c>
      <c r="P2254">
        <v>1345.63</v>
      </c>
      <c r="Q2254">
        <v>365.5</v>
      </c>
      <c r="R2254">
        <v>1395.47</v>
      </c>
      <c r="S2254">
        <v>1042.71</v>
      </c>
      <c r="T2254">
        <v>40675.71</v>
      </c>
      <c r="U2254">
        <v>14292.21</v>
      </c>
      <c r="V2254">
        <v>2800.83</v>
      </c>
      <c r="W2254">
        <v>2663.61</v>
      </c>
      <c r="X2254">
        <v>43432.800000000003</v>
      </c>
      <c r="Y2254">
        <v>44031.34</v>
      </c>
    </row>
    <row r="2255" spans="1:25" x14ac:dyDescent="0.25">
      <c r="A2255" t="s">
        <v>2311</v>
      </c>
      <c r="B2255" s="1">
        <v>45565</v>
      </c>
      <c r="C2255">
        <v>2024</v>
      </c>
      <c r="D2255">
        <v>9</v>
      </c>
      <c r="E2255" t="s">
        <v>918</v>
      </c>
      <c r="F2255" t="s">
        <v>691</v>
      </c>
      <c r="G2255" t="s">
        <v>44</v>
      </c>
      <c r="H2255" t="s">
        <v>29</v>
      </c>
      <c r="I2255" t="s">
        <v>50</v>
      </c>
      <c r="J2255">
        <v>27</v>
      </c>
      <c r="K2255">
        <v>1742.03</v>
      </c>
      <c r="L2255">
        <v>47034.75</v>
      </c>
      <c r="M2255">
        <v>27101.26</v>
      </c>
      <c r="N2255">
        <v>3991.35</v>
      </c>
      <c r="O2255">
        <v>3295.47</v>
      </c>
      <c r="P2255">
        <v>710.47</v>
      </c>
      <c r="Q2255">
        <v>650.19000000000005</v>
      </c>
      <c r="R2255">
        <v>2623.7</v>
      </c>
      <c r="S2255">
        <v>568.84</v>
      </c>
      <c r="T2255">
        <v>38941.279999999999</v>
      </c>
      <c r="U2255">
        <v>19933.490000000002</v>
      </c>
      <c r="V2255">
        <v>8093.47</v>
      </c>
      <c r="W2255">
        <v>7796.84</v>
      </c>
      <c r="X2255">
        <v>49975.88</v>
      </c>
      <c r="Y2255">
        <v>41837.1</v>
      </c>
    </row>
    <row r="2256" spans="1:25" x14ac:dyDescent="0.25">
      <c r="A2256" t="s">
        <v>2312</v>
      </c>
      <c r="B2256" s="1">
        <v>45565</v>
      </c>
      <c r="C2256">
        <v>2024</v>
      </c>
      <c r="D2256">
        <v>9</v>
      </c>
      <c r="E2256" t="s">
        <v>918</v>
      </c>
      <c r="F2256" t="s">
        <v>691</v>
      </c>
      <c r="G2256" t="s">
        <v>28</v>
      </c>
      <c r="H2256" t="s">
        <v>32</v>
      </c>
      <c r="I2256" t="s">
        <v>37</v>
      </c>
      <c r="J2256">
        <v>83</v>
      </c>
      <c r="K2256">
        <v>1267.76</v>
      </c>
      <c r="L2256">
        <v>105224.09</v>
      </c>
      <c r="M2256">
        <v>70191.72</v>
      </c>
      <c r="N2256">
        <v>12969.44</v>
      </c>
      <c r="O2256">
        <v>5792.85</v>
      </c>
      <c r="P2256">
        <v>3765.07</v>
      </c>
      <c r="Q2256">
        <v>948.49</v>
      </c>
      <c r="R2256">
        <v>4669.26</v>
      </c>
      <c r="S2256">
        <v>2317.0300000000002</v>
      </c>
      <c r="T2256">
        <v>100653.85</v>
      </c>
      <c r="U2256">
        <v>35032.379999999997</v>
      </c>
      <c r="V2256">
        <v>4570.24</v>
      </c>
      <c r="W2256">
        <v>4144.57</v>
      </c>
      <c r="X2256">
        <v>111302.16</v>
      </c>
      <c r="Y2256">
        <v>102100.56</v>
      </c>
    </row>
    <row r="2257" spans="1:25" x14ac:dyDescent="0.25">
      <c r="A2257" t="s">
        <v>2313</v>
      </c>
      <c r="B2257" s="1">
        <v>45565</v>
      </c>
      <c r="C2257">
        <v>2024</v>
      </c>
      <c r="D2257">
        <v>9</v>
      </c>
      <c r="E2257" t="s">
        <v>918</v>
      </c>
      <c r="F2257" t="s">
        <v>691</v>
      </c>
      <c r="G2257" t="s">
        <v>28</v>
      </c>
      <c r="H2257" t="s">
        <v>29</v>
      </c>
      <c r="I2257" t="s">
        <v>56</v>
      </c>
      <c r="J2257">
        <v>39</v>
      </c>
      <c r="K2257">
        <v>1239.8800000000001</v>
      </c>
      <c r="L2257">
        <v>48355.47</v>
      </c>
      <c r="M2257">
        <v>31571.84</v>
      </c>
      <c r="N2257">
        <v>6056.5</v>
      </c>
      <c r="O2257">
        <v>2074.67</v>
      </c>
      <c r="P2257">
        <v>1982.33</v>
      </c>
      <c r="Q2257">
        <v>598.61</v>
      </c>
      <c r="R2257">
        <v>2106.44</v>
      </c>
      <c r="S2257">
        <v>672.21</v>
      </c>
      <c r="T2257">
        <v>45062.59</v>
      </c>
      <c r="U2257">
        <v>16783.63</v>
      </c>
      <c r="V2257">
        <v>3292.88</v>
      </c>
      <c r="W2257">
        <v>3258.76</v>
      </c>
      <c r="X2257">
        <v>45747.98</v>
      </c>
      <c r="Y2257">
        <v>42647.85</v>
      </c>
    </row>
    <row r="2258" spans="1:25" x14ac:dyDescent="0.25">
      <c r="A2258" t="s">
        <v>2314</v>
      </c>
      <c r="B2258" s="1">
        <v>45565</v>
      </c>
      <c r="C2258">
        <v>2024</v>
      </c>
      <c r="D2258">
        <v>9</v>
      </c>
      <c r="E2258" t="s">
        <v>918</v>
      </c>
      <c r="F2258" t="s">
        <v>691</v>
      </c>
      <c r="G2258" t="s">
        <v>28</v>
      </c>
      <c r="H2258" t="s">
        <v>53</v>
      </c>
      <c r="I2258" t="s">
        <v>30</v>
      </c>
      <c r="J2258">
        <v>57</v>
      </c>
      <c r="K2258">
        <v>1755.85</v>
      </c>
      <c r="L2258">
        <v>100083.25</v>
      </c>
      <c r="M2258">
        <v>60700.65</v>
      </c>
      <c r="N2258">
        <v>9510.69</v>
      </c>
      <c r="O2258">
        <v>3654.81</v>
      </c>
      <c r="P2258">
        <v>3363.5</v>
      </c>
      <c r="Q2258">
        <v>1158.17</v>
      </c>
      <c r="R2258">
        <v>3067.67</v>
      </c>
      <c r="S2258">
        <v>1492.68</v>
      </c>
      <c r="T2258">
        <v>82948.17</v>
      </c>
      <c r="U2258">
        <v>39382.61</v>
      </c>
      <c r="V2258">
        <v>17135.080000000002</v>
      </c>
      <c r="W2258">
        <v>17361.29</v>
      </c>
      <c r="X2258">
        <v>107776.56</v>
      </c>
      <c r="Y2258">
        <v>79181.64</v>
      </c>
    </row>
    <row r="2259" spans="1:25" x14ac:dyDescent="0.25">
      <c r="A2259" t="s">
        <v>2315</v>
      </c>
      <c r="B2259" s="1">
        <v>45566</v>
      </c>
      <c r="C2259">
        <v>2024</v>
      </c>
      <c r="D2259">
        <v>10</v>
      </c>
      <c r="E2259" t="s">
        <v>1017</v>
      </c>
      <c r="F2259" t="s">
        <v>1018</v>
      </c>
      <c r="G2259" t="s">
        <v>28</v>
      </c>
      <c r="H2259" t="s">
        <v>58</v>
      </c>
      <c r="I2259" t="s">
        <v>39</v>
      </c>
      <c r="J2259">
        <v>22</v>
      </c>
      <c r="K2259">
        <v>1586.85</v>
      </c>
      <c r="L2259">
        <v>34910.67</v>
      </c>
      <c r="M2259">
        <v>17870.060000000001</v>
      </c>
      <c r="N2259">
        <v>2983.53</v>
      </c>
      <c r="O2259">
        <v>963.97</v>
      </c>
      <c r="P2259">
        <v>1497.71</v>
      </c>
      <c r="Q2259">
        <v>462.49</v>
      </c>
      <c r="R2259">
        <v>2087.73</v>
      </c>
      <c r="S2259">
        <v>295.63</v>
      </c>
      <c r="T2259">
        <v>26161.119999999999</v>
      </c>
      <c r="U2259">
        <v>17040.61</v>
      </c>
      <c r="V2259">
        <v>8749.5499999999993</v>
      </c>
      <c r="W2259">
        <v>7886.88</v>
      </c>
      <c r="X2259">
        <v>33277.85</v>
      </c>
      <c r="Y2259">
        <v>28546.35</v>
      </c>
    </row>
    <row r="2260" spans="1:25" x14ac:dyDescent="0.25">
      <c r="A2260" t="s">
        <v>2316</v>
      </c>
      <c r="B2260" s="1">
        <v>45566</v>
      </c>
      <c r="C2260">
        <v>2024</v>
      </c>
      <c r="D2260">
        <v>10</v>
      </c>
      <c r="E2260" t="s">
        <v>1017</v>
      </c>
      <c r="F2260" t="s">
        <v>1018</v>
      </c>
      <c r="G2260" t="s">
        <v>35</v>
      </c>
      <c r="H2260" t="s">
        <v>32</v>
      </c>
      <c r="I2260" t="s">
        <v>65</v>
      </c>
      <c r="J2260">
        <v>42</v>
      </c>
      <c r="K2260">
        <v>1786.14</v>
      </c>
      <c r="L2260">
        <v>75017.820000000007</v>
      </c>
      <c r="M2260">
        <v>45765.31</v>
      </c>
      <c r="N2260">
        <v>7696.2</v>
      </c>
      <c r="O2260">
        <v>2321.59</v>
      </c>
      <c r="P2260">
        <v>2676.07</v>
      </c>
      <c r="Q2260">
        <v>434.35</v>
      </c>
      <c r="R2260">
        <v>4055.03</v>
      </c>
      <c r="S2260">
        <v>810.51</v>
      </c>
      <c r="T2260">
        <v>63759.07</v>
      </c>
      <c r="U2260">
        <v>29252.5</v>
      </c>
      <c r="V2260">
        <v>11258.75</v>
      </c>
      <c r="W2260">
        <v>10778.23</v>
      </c>
      <c r="X2260">
        <v>80764.740000000005</v>
      </c>
      <c r="Y2260">
        <v>62489.68</v>
      </c>
    </row>
    <row r="2261" spans="1:25" x14ac:dyDescent="0.25">
      <c r="A2261" t="s">
        <v>2317</v>
      </c>
      <c r="B2261" s="1">
        <v>45566</v>
      </c>
      <c r="C2261">
        <v>2024</v>
      </c>
      <c r="D2261">
        <v>10</v>
      </c>
      <c r="E2261" t="s">
        <v>1017</v>
      </c>
      <c r="F2261" t="s">
        <v>1018</v>
      </c>
      <c r="G2261" t="s">
        <v>28</v>
      </c>
      <c r="H2261" t="s">
        <v>29</v>
      </c>
      <c r="I2261" t="s">
        <v>45</v>
      </c>
      <c r="J2261">
        <v>56</v>
      </c>
      <c r="K2261">
        <v>952.17</v>
      </c>
      <c r="L2261">
        <v>53321.29</v>
      </c>
      <c r="M2261">
        <v>30598.65</v>
      </c>
      <c r="N2261">
        <v>5460.02</v>
      </c>
      <c r="O2261">
        <v>1804.12</v>
      </c>
      <c r="P2261">
        <v>1868.72</v>
      </c>
      <c r="Q2261">
        <v>303.68</v>
      </c>
      <c r="R2261">
        <v>3418.04</v>
      </c>
      <c r="S2261">
        <v>1135.77</v>
      </c>
      <c r="T2261">
        <v>44589</v>
      </c>
      <c r="U2261">
        <v>22722.63</v>
      </c>
      <c r="V2261">
        <v>8732.2900000000009</v>
      </c>
      <c r="W2261">
        <v>8392.14</v>
      </c>
      <c r="X2261">
        <v>50273.8</v>
      </c>
      <c r="Y2261">
        <v>47486.44</v>
      </c>
    </row>
    <row r="2262" spans="1:25" x14ac:dyDescent="0.25">
      <c r="A2262" t="s">
        <v>2318</v>
      </c>
      <c r="B2262" s="1">
        <v>45566</v>
      </c>
      <c r="C2262">
        <v>2024</v>
      </c>
      <c r="D2262">
        <v>10</v>
      </c>
      <c r="E2262" t="s">
        <v>1017</v>
      </c>
      <c r="F2262" t="s">
        <v>1018</v>
      </c>
      <c r="G2262" t="s">
        <v>28</v>
      </c>
      <c r="H2262" t="s">
        <v>32</v>
      </c>
      <c r="I2262" t="s">
        <v>39</v>
      </c>
      <c r="J2262">
        <v>33</v>
      </c>
      <c r="K2262">
        <v>1421.83</v>
      </c>
      <c r="L2262">
        <v>46920.44</v>
      </c>
      <c r="M2262">
        <v>30940.26</v>
      </c>
      <c r="N2262">
        <v>4939.13</v>
      </c>
      <c r="O2262">
        <v>1176.74</v>
      </c>
      <c r="P2262">
        <v>768.46</v>
      </c>
      <c r="Q2262">
        <v>470.96</v>
      </c>
      <c r="R2262">
        <v>2380.46</v>
      </c>
      <c r="S2262">
        <v>1060.17</v>
      </c>
      <c r="T2262">
        <v>41736.18</v>
      </c>
      <c r="U2262">
        <v>15980.18</v>
      </c>
      <c r="V2262">
        <v>5184.26</v>
      </c>
      <c r="W2262">
        <v>4826.47</v>
      </c>
      <c r="X2262">
        <v>48778.85</v>
      </c>
      <c r="Y2262">
        <v>40205.480000000003</v>
      </c>
    </row>
    <row r="2263" spans="1:25" x14ac:dyDescent="0.25">
      <c r="A2263" t="s">
        <v>2319</v>
      </c>
      <c r="B2263" s="1">
        <v>45566</v>
      </c>
      <c r="C2263">
        <v>2024</v>
      </c>
      <c r="D2263">
        <v>10</v>
      </c>
      <c r="E2263" t="s">
        <v>1017</v>
      </c>
      <c r="F2263" t="s">
        <v>1018</v>
      </c>
      <c r="G2263" t="s">
        <v>55</v>
      </c>
      <c r="H2263" t="s">
        <v>53</v>
      </c>
      <c r="I2263" t="s">
        <v>30</v>
      </c>
      <c r="J2263">
        <v>132</v>
      </c>
      <c r="K2263">
        <v>823.25</v>
      </c>
      <c r="L2263">
        <v>108668.78</v>
      </c>
      <c r="M2263">
        <v>63769.81</v>
      </c>
      <c r="N2263">
        <v>8451.9500000000007</v>
      </c>
      <c r="O2263">
        <v>6960.61</v>
      </c>
      <c r="P2263">
        <v>1805.49</v>
      </c>
      <c r="Q2263">
        <v>1204.3699999999999</v>
      </c>
      <c r="R2263">
        <v>6975.1</v>
      </c>
      <c r="S2263">
        <v>2326.19</v>
      </c>
      <c r="T2263">
        <v>91493.53</v>
      </c>
      <c r="U2263">
        <v>44898.97</v>
      </c>
      <c r="V2263">
        <v>17175.25</v>
      </c>
      <c r="W2263">
        <v>16174.06</v>
      </c>
      <c r="X2263">
        <v>106305.54</v>
      </c>
      <c r="Y2263">
        <v>98887.73</v>
      </c>
    </row>
    <row r="2264" spans="1:25" x14ac:dyDescent="0.25">
      <c r="A2264" t="s">
        <v>2320</v>
      </c>
      <c r="B2264" s="1">
        <v>45567</v>
      </c>
      <c r="C2264">
        <v>2024</v>
      </c>
      <c r="D2264">
        <v>10</v>
      </c>
      <c r="E2264" t="s">
        <v>1017</v>
      </c>
      <c r="F2264" t="s">
        <v>1018</v>
      </c>
      <c r="G2264" t="s">
        <v>35</v>
      </c>
      <c r="H2264" t="s">
        <v>36</v>
      </c>
      <c r="I2264" t="s">
        <v>37</v>
      </c>
      <c r="J2264">
        <v>61</v>
      </c>
      <c r="K2264">
        <v>1113.75</v>
      </c>
      <c r="L2264">
        <v>67938.649999999994</v>
      </c>
      <c r="M2264">
        <v>40202.379999999997</v>
      </c>
      <c r="N2264">
        <v>5969.21</v>
      </c>
      <c r="O2264">
        <v>4236.46</v>
      </c>
      <c r="P2264">
        <v>1955.47</v>
      </c>
      <c r="Q2264">
        <v>1023.02</v>
      </c>
      <c r="R2264">
        <v>1925.89</v>
      </c>
      <c r="S2264">
        <v>839.15</v>
      </c>
      <c r="T2264">
        <v>56151.58</v>
      </c>
      <c r="U2264">
        <v>27736.27</v>
      </c>
      <c r="V2264">
        <v>11787.07</v>
      </c>
      <c r="W2264">
        <v>11303.62</v>
      </c>
      <c r="X2264">
        <v>72434.77</v>
      </c>
      <c r="Y2264">
        <v>59966.559999999998</v>
      </c>
    </row>
    <row r="2265" spans="1:25" x14ac:dyDescent="0.25">
      <c r="A2265" t="s">
        <v>2321</v>
      </c>
      <c r="B2265" s="1">
        <v>45567</v>
      </c>
      <c r="C2265">
        <v>2024</v>
      </c>
      <c r="D2265">
        <v>10</v>
      </c>
      <c r="E2265" t="s">
        <v>1017</v>
      </c>
      <c r="F2265" t="s">
        <v>1018</v>
      </c>
      <c r="G2265" t="s">
        <v>55</v>
      </c>
      <c r="H2265" t="s">
        <v>58</v>
      </c>
      <c r="I2265" t="s">
        <v>65</v>
      </c>
      <c r="J2265">
        <v>46</v>
      </c>
      <c r="K2265">
        <v>1255.4000000000001</v>
      </c>
      <c r="L2265">
        <v>57748.3</v>
      </c>
      <c r="M2265">
        <v>38935.1</v>
      </c>
      <c r="N2265">
        <v>6210.98</v>
      </c>
      <c r="O2265">
        <v>4130.5200000000004</v>
      </c>
      <c r="P2265">
        <v>1212.98</v>
      </c>
      <c r="Q2265">
        <v>620.95000000000005</v>
      </c>
      <c r="R2265">
        <v>2727.25</v>
      </c>
      <c r="S2265">
        <v>1391.42</v>
      </c>
      <c r="T2265">
        <v>55229.2</v>
      </c>
      <c r="U2265">
        <v>18813.2</v>
      </c>
      <c r="V2265">
        <v>2519.1</v>
      </c>
      <c r="W2265">
        <v>2289.92</v>
      </c>
      <c r="X2265">
        <v>62363.99</v>
      </c>
      <c r="Y2265">
        <v>57121.7</v>
      </c>
    </row>
    <row r="2266" spans="1:25" x14ac:dyDescent="0.25">
      <c r="A2266" t="s">
        <v>2322</v>
      </c>
      <c r="B2266" s="1">
        <v>45568</v>
      </c>
      <c r="C2266">
        <v>2024</v>
      </c>
      <c r="D2266">
        <v>10</v>
      </c>
      <c r="E2266" t="s">
        <v>1017</v>
      </c>
      <c r="F2266" t="s">
        <v>1018</v>
      </c>
      <c r="G2266" t="s">
        <v>28</v>
      </c>
      <c r="H2266" t="s">
        <v>32</v>
      </c>
      <c r="I2266" t="s">
        <v>65</v>
      </c>
      <c r="J2266">
        <v>73</v>
      </c>
      <c r="K2266">
        <v>1190.94</v>
      </c>
      <c r="L2266">
        <v>86938.4</v>
      </c>
      <c r="M2266">
        <v>48913.88</v>
      </c>
      <c r="N2266">
        <v>6348.72</v>
      </c>
      <c r="O2266">
        <v>2280.29</v>
      </c>
      <c r="P2266">
        <v>1345.32</v>
      </c>
      <c r="Q2266">
        <v>1225.1400000000001</v>
      </c>
      <c r="R2266">
        <v>2639.59</v>
      </c>
      <c r="S2266">
        <v>1691.73</v>
      </c>
      <c r="T2266">
        <v>64444.67</v>
      </c>
      <c r="U2266">
        <v>38024.519999999997</v>
      </c>
      <c r="V2266">
        <v>22493.74</v>
      </c>
      <c r="W2266">
        <v>22867.72</v>
      </c>
      <c r="X2266">
        <v>92456.35</v>
      </c>
      <c r="Y2266">
        <v>67274.710000000006</v>
      </c>
    </row>
    <row r="2267" spans="1:25" x14ac:dyDescent="0.25">
      <c r="A2267" t="s">
        <v>2323</v>
      </c>
      <c r="B2267" s="1">
        <v>45568</v>
      </c>
      <c r="C2267">
        <v>2024</v>
      </c>
      <c r="D2267">
        <v>10</v>
      </c>
      <c r="E2267" t="s">
        <v>1017</v>
      </c>
      <c r="F2267" t="s">
        <v>1018</v>
      </c>
      <c r="G2267" t="s">
        <v>55</v>
      </c>
      <c r="H2267" t="s">
        <v>36</v>
      </c>
      <c r="I2267" t="s">
        <v>50</v>
      </c>
      <c r="J2267">
        <v>40</v>
      </c>
      <c r="K2267">
        <v>1286.3399999999999</v>
      </c>
      <c r="L2267">
        <v>51453.42</v>
      </c>
      <c r="M2267">
        <v>34041.699999999997</v>
      </c>
      <c r="N2267">
        <v>4019.96</v>
      </c>
      <c r="O2267">
        <v>1560.81</v>
      </c>
      <c r="P2267">
        <v>2013.2</v>
      </c>
      <c r="Q2267">
        <v>439.97</v>
      </c>
      <c r="R2267">
        <v>2744.95</v>
      </c>
      <c r="S2267">
        <v>792.86</v>
      </c>
      <c r="T2267">
        <v>45613.45</v>
      </c>
      <c r="U2267">
        <v>17411.72</v>
      </c>
      <c r="V2267">
        <v>5839.97</v>
      </c>
      <c r="W2267">
        <v>5355.38</v>
      </c>
      <c r="X2267">
        <v>53850.11</v>
      </c>
      <c r="Y2267">
        <v>46620.85</v>
      </c>
    </row>
    <row r="2268" spans="1:25" x14ac:dyDescent="0.25">
      <c r="A2268" t="s">
        <v>2324</v>
      </c>
      <c r="B2268" s="1">
        <v>45569</v>
      </c>
      <c r="C2268">
        <v>2024</v>
      </c>
      <c r="D2268">
        <v>10</v>
      </c>
      <c r="E2268" t="s">
        <v>1017</v>
      </c>
      <c r="F2268" t="s">
        <v>1018</v>
      </c>
      <c r="G2268" t="s">
        <v>28</v>
      </c>
      <c r="H2268" t="s">
        <v>32</v>
      </c>
      <c r="I2268" t="s">
        <v>65</v>
      </c>
      <c r="J2268">
        <v>33</v>
      </c>
      <c r="K2268">
        <v>1779.89</v>
      </c>
      <c r="L2268">
        <v>58736.39</v>
      </c>
      <c r="M2268">
        <v>36138.35</v>
      </c>
      <c r="N2268">
        <v>7306.62</v>
      </c>
      <c r="O2268">
        <v>4097.3100000000004</v>
      </c>
      <c r="P2268">
        <v>1671.54</v>
      </c>
      <c r="Q2268">
        <v>312.06</v>
      </c>
      <c r="R2268">
        <v>3695.5</v>
      </c>
      <c r="S2268">
        <v>652.83000000000004</v>
      </c>
      <c r="T2268">
        <v>53874.2</v>
      </c>
      <c r="U2268">
        <v>22598.04</v>
      </c>
      <c r="V2268">
        <v>4862.1899999999996</v>
      </c>
      <c r="W2268">
        <v>4566.55</v>
      </c>
      <c r="X2268">
        <v>59159.71</v>
      </c>
      <c r="Y2268">
        <v>59165.59</v>
      </c>
    </row>
    <row r="2269" spans="1:25" x14ac:dyDescent="0.25">
      <c r="A2269" t="s">
        <v>2325</v>
      </c>
      <c r="B2269" s="1">
        <v>45569</v>
      </c>
      <c r="C2269">
        <v>2024</v>
      </c>
      <c r="D2269">
        <v>10</v>
      </c>
      <c r="E2269" t="s">
        <v>1017</v>
      </c>
      <c r="F2269" t="s">
        <v>1018</v>
      </c>
      <c r="G2269" t="s">
        <v>55</v>
      </c>
      <c r="H2269" t="s">
        <v>32</v>
      </c>
      <c r="I2269" t="s">
        <v>65</v>
      </c>
      <c r="J2269">
        <v>51</v>
      </c>
      <c r="K2269">
        <v>1537.91</v>
      </c>
      <c r="L2269">
        <v>78433.66</v>
      </c>
      <c r="M2269">
        <v>50828.66</v>
      </c>
      <c r="N2269">
        <v>5689.7</v>
      </c>
      <c r="O2269">
        <v>3407.04</v>
      </c>
      <c r="P2269">
        <v>2660.78</v>
      </c>
      <c r="Q2269">
        <v>849.72</v>
      </c>
      <c r="R2269">
        <v>2856.21</v>
      </c>
      <c r="S2269">
        <v>1579.48</v>
      </c>
      <c r="T2269">
        <v>67871.58</v>
      </c>
      <c r="U2269">
        <v>27604.99</v>
      </c>
      <c r="V2269">
        <v>10562.07</v>
      </c>
      <c r="W2269">
        <v>10080.379999999999</v>
      </c>
      <c r="X2269">
        <v>73676.7</v>
      </c>
      <c r="Y2269">
        <v>70274.960000000006</v>
      </c>
    </row>
    <row r="2270" spans="1:25" x14ac:dyDescent="0.25">
      <c r="A2270" t="s">
        <v>2326</v>
      </c>
      <c r="B2270" s="1">
        <v>45570</v>
      </c>
      <c r="C2270">
        <v>2024</v>
      </c>
      <c r="D2270">
        <v>10</v>
      </c>
      <c r="E2270" t="s">
        <v>1017</v>
      </c>
      <c r="F2270" t="s">
        <v>1018</v>
      </c>
      <c r="G2270" t="s">
        <v>35</v>
      </c>
      <c r="H2270" t="s">
        <v>29</v>
      </c>
      <c r="I2270" t="s">
        <v>39</v>
      </c>
      <c r="J2270">
        <v>24</v>
      </c>
      <c r="K2270">
        <v>1362.36</v>
      </c>
      <c r="L2270">
        <v>32696.59</v>
      </c>
      <c r="M2270">
        <v>17175.54</v>
      </c>
      <c r="N2270">
        <v>2995.29</v>
      </c>
      <c r="O2270">
        <v>2066.75</v>
      </c>
      <c r="P2270">
        <v>671.69</v>
      </c>
      <c r="Q2270">
        <v>226.04</v>
      </c>
      <c r="R2270">
        <v>1856.65</v>
      </c>
      <c r="S2270">
        <v>449.28</v>
      </c>
      <c r="T2270">
        <v>25441.26</v>
      </c>
      <c r="U2270">
        <v>15521.05</v>
      </c>
      <c r="V2270">
        <v>7255.33</v>
      </c>
      <c r="W2270">
        <v>7125.83</v>
      </c>
      <c r="X2270">
        <v>31442.52</v>
      </c>
      <c r="Y2270">
        <v>24304.02</v>
      </c>
    </row>
    <row r="2271" spans="1:25" x14ac:dyDescent="0.25">
      <c r="A2271" t="s">
        <v>2327</v>
      </c>
      <c r="B2271" s="1">
        <v>45570</v>
      </c>
      <c r="C2271">
        <v>2024</v>
      </c>
      <c r="D2271">
        <v>10</v>
      </c>
      <c r="E2271" t="s">
        <v>1017</v>
      </c>
      <c r="F2271" t="s">
        <v>1018</v>
      </c>
      <c r="G2271" t="s">
        <v>55</v>
      </c>
      <c r="H2271" t="s">
        <v>32</v>
      </c>
      <c r="I2271" t="s">
        <v>56</v>
      </c>
      <c r="J2271">
        <v>31</v>
      </c>
      <c r="K2271">
        <v>1606.51</v>
      </c>
      <c r="L2271">
        <v>49801.69</v>
      </c>
      <c r="M2271">
        <v>29611.88</v>
      </c>
      <c r="N2271">
        <v>5080.09</v>
      </c>
      <c r="O2271">
        <v>2511.62</v>
      </c>
      <c r="P2271">
        <v>2054.7399999999998</v>
      </c>
      <c r="Q2271">
        <v>390.14</v>
      </c>
      <c r="R2271">
        <v>1438.68</v>
      </c>
      <c r="S2271">
        <v>564.41999999999996</v>
      </c>
      <c r="T2271">
        <v>41651.57</v>
      </c>
      <c r="U2271">
        <v>20189.810000000001</v>
      </c>
      <c r="V2271">
        <v>8150.12</v>
      </c>
      <c r="W2271">
        <v>7645.05</v>
      </c>
      <c r="X2271">
        <v>54666.05</v>
      </c>
      <c r="Y2271">
        <v>39075.81</v>
      </c>
    </row>
    <row r="2272" spans="1:25" x14ac:dyDescent="0.25">
      <c r="A2272" t="s">
        <v>2328</v>
      </c>
      <c r="B2272" s="1">
        <v>45570</v>
      </c>
      <c r="C2272">
        <v>2024</v>
      </c>
      <c r="D2272">
        <v>10</v>
      </c>
      <c r="E2272" t="s">
        <v>1017</v>
      </c>
      <c r="F2272" t="s">
        <v>1018</v>
      </c>
      <c r="G2272" t="s">
        <v>55</v>
      </c>
      <c r="H2272" t="s">
        <v>32</v>
      </c>
      <c r="I2272" t="s">
        <v>56</v>
      </c>
      <c r="J2272">
        <v>27</v>
      </c>
      <c r="K2272">
        <v>1471.73</v>
      </c>
      <c r="L2272">
        <v>39736.660000000003</v>
      </c>
      <c r="M2272">
        <v>19585.98</v>
      </c>
      <c r="N2272">
        <v>3113.49</v>
      </c>
      <c r="O2272">
        <v>2354.33</v>
      </c>
      <c r="P2272">
        <v>667.14</v>
      </c>
      <c r="Q2272">
        <v>238.34</v>
      </c>
      <c r="R2272">
        <v>1475.64</v>
      </c>
      <c r="S2272">
        <v>629.99</v>
      </c>
      <c r="T2272">
        <v>28064.92</v>
      </c>
      <c r="U2272">
        <v>20150.68</v>
      </c>
      <c r="V2272">
        <v>11671.74</v>
      </c>
      <c r="W2272">
        <v>11767.32</v>
      </c>
      <c r="X2272">
        <v>43753.22</v>
      </c>
      <c r="Y2272">
        <v>26823.72</v>
      </c>
    </row>
    <row r="2273" spans="1:25" x14ac:dyDescent="0.25">
      <c r="A2273" t="s">
        <v>2329</v>
      </c>
      <c r="B2273" s="1">
        <v>45570</v>
      </c>
      <c r="C2273">
        <v>2024</v>
      </c>
      <c r="D2273">
        <v>10</v>
      </c>
      <c r="E2273" t="s">
        <v>1017</v>
      </c>
      <c r="F2273" t="s">
        <v>1018</v>
      </c>
      <c r="G2273" t="s">
        <v>28</v>
      </c>
      <c r="H2273" t="s">
        <v>36</v>
      </c>
      <c r="I2273" t="s">
        <v>56</v>
      </c>
      <c r="J2273">
        <v>19</v>
      </c>
      <c r="K2273">
        <v>1556.72</v>
      </c>
      <c r="L2273">
        <v>29577.63</v>
      </c>
      <c r="M2273">
        <v>16427.349999999999</v>
      </c>
      <c r="N2273">
        <v>2950.39</v>
      </c>
      <c r="O2273">
        <v>2163.39</v>
      </c>
      <c r="P2273">
        <v>1245.21</v>
      </c>
      <c r="Q2273">
        <v>340.77</v>
      </c>
      <c r="R2273">
        <v>1739.13</v>
      </c>
      <c r="S2273">
        <v>526.52</v>
      </c>
      <c r="T2273">
        <v>25392.77</v>
      </c>
      <c r="U2273">
        <v>13150.28</v>
      </c>
      <c r="V2273">
        <v>4184.8599999999997</v>
      </c>
      <c r="W2273">
        <v>4008.55</v>
      </c>
      <c r="X2273">
        <v>29925.57</v>
      </c>
      <c r="Y2273">
        <v>24841.599999999999</v>
      </c>
    </row>
    <row r="2274" spans="1:25" x14ac:dyDescent="0.25">
      <c r="A2274" t="s">
        <v>2330</v>
      </c>
      <c r="B2274" s="1">
        <v>45571</v>
      </c>
      <c r="C2274">
        <v>2024</v>
      </c>
      <c r="D2274">
        <v>10</v>
      </c>
      <c r="E2274" t="s">
        <v>1017</v>
      </c>
      <c r="F2274" t="s">
        <v>1018</v>
      </c>
      <c r="G2274" t="s">
        <v>28</v>
      </c>
      <c r="H2274" t="s">
        <v>36</v>
      </c>
      <c r="I2274" t="s">
        <v>56</v>
      </c>
      <c r="J2274">
        <v>28</v>
      </c>
      <c r="K2274">
        <v>1534.96</v>
      </c>
      <c r="L2274">
        <v>42978.82</v>
      </c>
      <c r="M2274">
        <v>23237.52</v>
      </c>
      <c r="N2274">
        <v>3154.72</v>
      </c>
      <c r="O2274">
        <v>2880.21</v>
      </c>
      <c r="P2274">
        <v>897.27</v>
      </c>
      <c r="Q2274">
        <v>656.64</v>
      </c>
      <c r="R2274">
        <v>1547.47</v>
      </c>
      <c r="S2274">
        <v>655.5</v>
      </c>
      <c r="T2274">
        <v>33029.339999999997</v>
      </c>
      <c r="U2274">
        <v>19741.29</v>
      </c>
      <c r="V2274">
        <v>9949.48</v>
      </c>
      <c r="W2274">
        <v>8947.44</v>
      </c>
      <c r="X2274">
        <v>48067.6</v>
      </c>
      <c r="Y2274">
        <v>33709.300000000003</v>
      </c>
    </row>
    <row r="2275" spans="1:25" x14ac:dyDescent="0.25">
      <c r="A2275" t="s">
        <v>2331</v>
      </c>
      <c r="B2275" s="1">
        <v>45571</v>
      </c>
      <c r="C2275">
        <v>2024</v>
      </c>
      <c r="D2275">
        <v>10</v>
      </c>
      <c r="E2275" t="s">
        <v>1017</v>
      </c>
      <c r="F2275" t="s">
        <v>1018</v>
      </c>
      <c r="G2275" t="s">
        <v>35</v>
      </c>
      <c r="H2275" t="s">
        <v>36</v>
      </c>
      <c r="I2275" t="s">
        <v>33</v>
      </c>
      <c r="J2275">
        <v>33</v>
      </c>
      <c r="K2275">
        <v>1774.06</v>
      </c>
      <c r="L2275">
        <v>58543.95</v>
      </c>
      <c r="M2275">
        <v>29099.02</v>
      </c>
      <c r="N2275">
        <v>5609.9</v>
      </c>
      <c r="O2275">
        <v>3557.27</v>
      </c>
      <c r="P2275">
        <v>1366.75</v>
      </c>
      <c r="Q2275">
        <v>388.35</v>
      </c>
      <c r="R2275">
        <v>1602.12</v>
      </c>
      <c r="S2275">
        <v>640.86</v>
      </c>
      <c r="T2275">
        <v>42264.28</v>
      </c>
      <c r="U2275">
        <v>29444.93</v>
      </c>
      <c r="V2275">
        <v>16279.68</v>
      </c>
      <c r="W2275">
        <v>15729.63</v>
      </c>
      <c r="X2275">
        <v>59502.45</v>
      </c>
      <c r="Y2275">
        <v>43370.53</v>
      </c>
    </row>
    <row r="2276" spans="1:25" x14ac:dyDescent="0.25">
      <c r="A2276" t="s">
        <v>2332</v>
      </c>
      <c r="B2276" s="1">
        <v>45571</v>
      </c>
      <c r="C2276">
        <v>2024</v>
      </c>
      <c r="D2276">
        <v>10</v>
      </c>
      <c r="E2276" t="s">
        <v>1017</v>
      </c>
      <c r="F2276" t="s">
        <v>1018</v>
      </c>
      <c r="G2276" t="s">
        <v>44</v>
      </c>
      <c r="H2276" t="s">
        <v>53</v>
      </c>
      <c r="I2276" t="s">
        <v>45</v>
      </c>
      <c r="J2276">
        <v>23</v>
      </c>
      <c r="K2276">
        <v>1569.46</v>
      </c>
      <c r="L2276">
        <v>36097.51</v>
      </c>
      <c r="M2276">
        <v>22634.28</v>
      </c>
      <c r="N2276">
        <v>3167.69</v>
      </c>
      <c r="O2276">
        <v>1327.17</v>
      </c>
      <c r="P2276">
        <v>1254.1099999999999</v>
      </c>
      <c r="Q2276">
        <v>491.92</v>
      </c>
      <c r="R2276">
        <v>1639.29</v>
      </c>
      <c r="S2276">
        <v>379.96</v>
      </c>
      <c r="T2276">
        <v>30894.41</v>
      </c>
      <c r="U2276">
        <v>13463.22</v>
      </c>
      <c r="V2276">
        <v>5203.09</v>
      </c>
      <c r="W2276">
        <v>5008.49</v>
      </c>
      <c r="X2276">
        <v>37628.74</v>
      </c>
      <c r="Y2276">
        <v>32610.61</v>
      </c>
    </row>
    <row r="2277" spans="1:25" x14ac:dyDescent="0.25">
      <c r="A2277" t="s">
        <v>2333</v>
      </c>
      <c r="B2277" s="1">
        <v>45572</v>
      </c>
      <c r="C2277">
        <v>2024</v>
      </c>
      <c r="D2277">
        <v>10</v>
      </c>
      <c r="E2277" t="s">
        <v>1017</v>
      </c>
      <c r="F2277" t="s">
        <v>1018</v>
      </c>
      <c r="G2277" t="s">
        <v>35</v>
      </c>
      <c r="H2277" t="s">
        <v>53</v>
      </c>
      <c r="I2277" t="s">
        <v>39</v>
      </c>
      <c r="J2277">
        <v>23</v>
      </c>
      <c r="K2277">
        <v>1528.97</v>
      </c>
      <c r="L2277">
        <v>35166.32</v>
      </c>
      <c r="M2277">
        <v>22872.37</v>
      </c>
      <c r="N2277">
        <v>4460.7</v>
      </c>
      <c r="O2277">
        <v>1952.26</v>
      </c>
      <c r="P2277">
        <v>796.86</v>
      </c>
      <c r="Q2277">
        <v>458.54</v>
      </c>
      <c r="R2277">
        <v>1848.63</v>
      </c>
      <c r="S2277">
        <v>617.87</v>
      </c>
      <c r="T2277">
        <v>33007.25</v>
      </c>
      <c r="U2277">
        <v>12293.95</v>
      </c>
      <c r="V2277">
        <v>2159.0700000000002</v>
      </c>
      <c r="W2277">
        <v>2135.11</v>
      </c>
      <c r="X2277">
        <v>33895.919999999998</v>
      </c>
      <c r="Y2277">
        <v>35112.269999999997</v>
      </c>
    </row>
    <row r="2278" spans="1:25" x14ac:dyDescent="0.25">
      <c r="A2278" t="s">
        <v>2334</v>
      </c>
      <c r="B2278" s="1">
        <v>45572</v>
      </c>
      <c r="C2278">
        <v>2024</v>
      </c>
      <c r="D2278">
        <v>10</v>
      </c>
      <c r="E2278" t="s">
        <v>1017</v>
      </c>
      <c r="F2278" t="s">
        <v>1018</v>
      </c>
      <c r="G2278" t="s">
        <v>28</v>
      </c>
      <c r="H2278" t="s">
        <v>29</v>
      </c>
      <c r="I2278" t="s">
        <v>45</v>
      </c>
      <c r="J2278">
        <v>48</v>
      </c>
      <c r="K2278">
        <v>1185.71</v>
      </c>
      <c r="L2278">
        <v>56914.17</v>
      </c>
      <c r="M2278">
        <v>33929.54</v>
      </c>
      <c r="N2278">
        <v>4351.63</v>
      </c>
      <c r="O2278">
        <v>1489.73</v>
      </c>
      <c r="P2278">
        <v>1738.08</v>
      </c>
      <c r="Q2278">
        <v>929.27</v>
      </c>
      <c r="R2278">
        <v>2880.6</v>
      </c>
      <c r="S2278">
        <v>1239.9100000000001</v>
      </c>
      <c r="T2278">
        <v>46558.75</v>
      </c>
      <c r="U2278">
        <v>22984.63</v>
      </c>
      <c r="V2278">
        <v>10355.42</v>
      </c>
      <c r="W2278">
        <v>9934.14</v>
      </c>
      <c r="X2278">
        <v>56059.92</v>
      </c>
      <c r="Y2278">
        <v>46855.9</v>
      </c>
    </row>
    <row r="2279" spans="1:25" x14ac:dyDescent="0.25">
      <c r="A2279" t="s">
        <v>2335</v>
      </c>
      <c r="B2279" s="1">
        <v>45572</v>
      </c>
      <c r="C2279">
        <v>2024</v>
      </c>
      <c r="D2279">
        <v>10</v>
      </c>
      <c r="E2279" t="s">
        <v>1017</v>
      </c>
      <c r="F2279" t="s">
        <v>1018</v>
      </c>
      <c r="G2279" t="s">
        <v>28</v>
      </c>
      <c r="H2279" t="s">
        <v>53</v>
      </c>
      <c r="I2279" t="s">
        <v>39</v>
      </c>
      <c r="J2279">
        <v>42</v>
      </c>
      <c r="K2279">
        <v>1143.05</v>
      </c>
      <c r="L2279">
        <v>48008.09</v>
      </c>
      <c r="M2279">
        <v>29217.9</v>
      </c>
      <c r="N2279">
        <v>3460.63</v>
      </c>
      <c r="O2279">
        <v>3157.54</v>
      </c>
      <c r="P2279">
        <v>2013.11</v>
      </c>
      <c r="Q2279">
        <v>479.17</v>
      </c>
      <c r="R2279">
        <v>2079.44</v>
      </c>
      <c r="S2279">
        <v>904.63</v>
      </c>
      <c r="T2279">
        <v>41312.42</v>
      </c>
      <c r="U2279">
        <v>18790.2</v>
      </c>
      <c r="V2279">
        <v>6695.68</v>
      </c>
      <c r="W2279">
        <v>6191.93</v>
      </c>
      <c r="X2279">
        <v>49765.7</v>
      </c>
      <c r="Y2279">
        <v>41268.550000000003</v>
      </c>
    </row>
    <row r="2280" spans="1:25" x14ac:dyDescent="0.25">
      <c r="A2280" t="s">
        <v>2336</v>
      </c>
      <c r="B2280" s="1">
        <v>45572</v>
      </c>
      <c r="C2280">
        <v>2024</v>
      </c>
      <c r="D2280">
        <v>10</v>
      </c>
      <c r="E2280" t="s">
        <v>1017</v>
      </c>
      <c r="F2280" t="s">
        <v>1018</v>
      </c>
      <c r="G2280" t="s">
        <v>28</v>
      </c>
      <c r="H2280" t="s">
        <v>32</v>
      </c>
      <c r="I2280" t="s">
        <v>30</v>
      </c>
      <c r="J2280">
        <v>54</v>
      </c>
      <c r="K2280">
        <v>1746.29</v>
      </c>
      <c r="L2280">
        <v>94299.63</v>
      </c>
      <c r="M2280">
        <v>58590.06</v>
      </c>
      <c r="N2280">
        <v>7315.96</v>
      </c>
      <c r="O2280">
        <v>6960.51</v>
      </c>
      <c r="P2280">
        <v>2496.64</v>
      </c>
      <c r="Q2280">
        <v>1035.3499999999999</v>
      </c>
      <c r="R2280">
        <v>5617.03</v>
      </c>
      <c r="S2280">
        <v>949.18</v>
      </c>
      <c r="T2280">
        <v>82964.73</v>
      </c>
      <c r="U2280">
        <v>35709.57</v>
      </c>
      <c r="V2280">
        <v>11334.89</v>
      </c>
      <c r="W2280">
        <v>11351.59</v>
      </c>
      <c r="X2280">
        <v>98995.69</v>
      </c>
      <c r="Y2280">
        <v>79136.53</v>
      </c>
    </row>
    <row r="2281" spans="1:25" x14ac:dyDescent="0.25">
      <c r="A2281" t="s">
        <v>2337</v>
      </c>
      <c r="B2281" s="1">
        <v>45572</v>
      </c>
      <c r="C2281">
        <v>2024</v>
      </c>
      <c r="D2281">
        <v>10</v>
      </c>
      <c r="E2281" t="s">
        <v>1017</v>
      </c>
      <c r="F2281" t="s">
        <v>1018</v>
      </c>
      <c r="G2281" t="s">
        <v>44</v>
      </c>
      <c r="H2281" t="s">
        <v>29</v>
      </c>
      <c r="I2281" t="s">
        <v>37</v>
      </c>
      <c r="J2281">
        <v>43</v>
      </c>
      <c r="K2281">
        <v>1547.11</v>
      </c>
      <c r="L2281">
        <v>66525.539999999994</v>
      </c>
      <c r="M2281">
        <v>36486.370000000003</v>
      </c>
      <c r="N2281">
        <v>6184.51</v>
      </c>
      <c r="O2281">
        <v>2248.15</v>
      </c>
      <c r="P2281">
        <v>1547.77</v>
      </c>
      <c r="Q2281">
        <v>587.01</v>
      </c>
      <c r="R2281">
        <v>1692.7</v>
      </c>
      <c r="S2281">
        <v>1132.81</v>
      </c>
      <c r="T2281">
        <v>49879.32</v>
      </c>
      <c r="U2281">
        <v>30039.17</v>
      </c>
      <c r="V2281">
        <v>16646.22</v>
      </c>
      <c r="W2281">
        <v>16882.36</v>
      </c>
      <c r="X2281">
        <v>69192.210000000006</v>
      </c>
      <c r="Y2281">
        <v>50151.85</v>
      </c>
    </row>
    <row r="2282" spans="1:25" x14ac:dyDescent="0.25">
      <c r="A2282" t="s">
        <v>2338</v>
      </c>
      <c r="B2282" s="1">
        <v>45572</v>
      </c>
      <c r="C2282">
        <v>2024</v>
      </c>
      <c r="D2282">
        <v>10</v>
      </c>
      <c r="E2282" t="s">
        <v>1017</v>
      </c>
      <c r="F2282" t="s">
        <v>1018</v>
      </c>
      <c r="G2282" t="s">
        <v>28</v>
      </c>
      <c r="H2282" t="s">
        <v>36</v>
      </c>
      <c r="I2282" t="s">
        <v>30</v>
      </c>
      <c r="J2282">
        <v>82</v>
      </c>
      <c r="K2282">
        <v>1109.31</v>
      </c>
      <c r="L2282">
        <v>90963.18</v>
      </c>
      <c r="M2282">
        <v>52082.6</v>
      </c>
      <c r="N2282">
        <v>6677.65</v>
      </c>
      <c r="O2282">
        <v>3061.36</v>
      </c>
      <c r="P2282">
        <v>1422.09</v>
      </c>
      <c r="Q2282">
        <v>1193.3800000000001</v>
      </c>
      <c r="R2282">
        <v>3778.25</v>
      </c>
      <c r="S2282">
        <v>1224.5899999999999</v>
      </c>
      <c r="T2282">
        <v>69439.92</v>
      </c>
      <c r="U2282">
        <v>38880.58</v>
      </c>
      <c r="V2282">
        <v>21523.26</v>
      </c>
      <c r="W2282">
        <v>21735.01</v>
      </c>
      <c r="X2282">
        <v>96872.15</v>
      </c>
      <c r="Y2282">
        <v>72030.850000000006</v>
      </c>
    </row>
    <row r="2283" spans="1:25" x14ac:dyDescent="0.25">
      <c r="A2283" t="s">
        <v>2339</v>
      </c>
      <c r="B2283" s="1">
        <v>45572</v>
      </c>
      <c r="C2283">
        <v>2024</v>
      </c>
      <c r="D2283">
        <v>10</v>
      </c>
      <c r="E2283" t="s">
        <v>1017</v>
      </c>
      <c r="F2283" t="s">
        <v>1018</v>
      </c>
      <c r="G2283" t="s">
        <v>28</v>
      </c>
      <c r="H2283" t="s">
        <v>32</v>
      </c>
      <c r="I2283" t="s">
        <v>30</v>
      </c>
      <c r="J2283">
        <v>179</v>
      </c>
      <c r="K2283">
        <v>805.46</v>
      </c>
      <c r="L2283">
        <v>144177.93</v>
      </c>
      <c r="M2283">
        <v>90221.27</v>
      </c>
      <c r="N2283">
        <v>14216.12</v>
      </c>
      <c r="O2283">
        <v>5265.46</v>
      </c>
      <c r="P2283">
        <v>2496.39</v>
      </c>
      <c r="Q2283">
        <v>2131.66</v>
      </c>
      <c r="R2283">
        <v>8486.77</v>
      </c>
      <c r="S2283">
        <v>1341.96</v>
      </c>
      <c r="T2283">
        <v>124159.64</v>
      </c>
      <c r="U2283">
        <v>53956.66</v>
      </c>
      <c r="V2283">
        <v>20018.29</v>
      </c>
      <c r="W2283">
        <v>18083.96</v>
      </c>
      <c r="X2283">
        <v>142079.5</v>
      </c>
      <c r="Y2283">
        <v>133666.68</v>
      </c>
    </row>
    <row r="2284" spans="1:25" x14ac:dyDescent="0.25">
      <c r="A2284" t="s">
        <v>2340</v>
      </c>
      <c r="B2284" s="1">
        <v>45573</v>
      </c>
      <c r="C2284">
        <v>2024</v>
      </c>
      <c r="D2284">
        <v>10</v>
      </c>
      <c r="E2284" t="s">
        <v>1017</v>
      </c>
      <c r="F2284" t="s">
        <v>1018</v>
      </c>
      <c r="G2284" t="s">
        <v>35</v>
      </c>
      <c r="H2284" t="s">
        <v>32</v>
      </c>
      <c r="I2284" t="s">
        <v>65</v>
      </c>
      <c r="J2284">
        <v>48</v>
      </c>
      <c r="K2284">
        <v>1138.42</v>
      </c>
      <c r="L2284">
        <v>54644.02</v>
      </c>
      <c r="M2284">
        <v>32507.23</v>
      </c>
      <c r="N2284">
        <v>4075.16</v>
      </c>
      <c r="O2284">
        <v>2266.4899999999998</v>
      </c>
      <c r="P2284">
        <v>1941.4</v>
      </c>
      <c r="Q2284">
        <v>625.02</v>
      </c>
      <c r="R2284">
        <v>1933.73</v>
      </c>
      <c r="S2284">
        <v>666.09</v>
      </c>
      <c r="T2284">
        <v>44015.12</v>
      </c>
      <c r="U2284">
        <v>22136.79</v>
      </c>
      <c r="V2284">
        <v>10628.9</v>
      </c>
      <c r="W2284">
        <v>9360.44</v>
      </c>
      <c r="X2284">
        <v>60698.35</v>
      </c>
      <c r="Y2284">
        <v>44338.62</v>
      </c>
    </row>
    <row r="2285" spans="1:25" x14ac:dyDescent="0.25">
      <c r="A2285" t="s">
        <v>2341</v>
      </c>
      <c r="B2285" s="1">
        <v>45573</v>
      </c>
      <c r="C2285">
        <v>2024</v>
      </c>
      <c r="D2285">
        <v>10</v>
      </c>
      <c r="E2285" t="s">
        <v>1017</v>
      </c>
      <c r="F2285" t="s">
        <v>1018</v>
      </c>
      <c r="G2285" t="s">
        <v>55</v>
      </c>
      <c r="H2285" t="s">
        <v>36</v>
      </c>
      <c r="I2285" t="s">
        <v>45</v>
      </c>
      <c r="J2285">
        <v>43</v>
      </c>
      <c r="K2285">
        <v>1038.43</v>
      </c>
      <c r="L2285">
        <v>44652.28</v>
      </c>
      <c r="M2285">
        <v>28500.13</v>
      </c>
      <c r="N2285">
        <v>5002.7700000000004</v>
      </c>
      <c r="O2285">
        <v>1549.62</v>
      </c>
      <c r="P2285">
        <v>1571.37</v>
      </c>
      <c r="Q2285">
        <v>272.97000000000003</v>
      </c>
      <c r="R2285">
        <v>2747.99</v>
      </c>
      <c r="S2285">
        <v>485.08</v>
      </c>
      <c r="T2285">
        <v>40129.919999999998</v>
      </c>
      <c r="U2285">
        <v>16152.15</v>
      </c>
      <c r="V2285">
        <v>4522.3599999999997</v>
      </c>
      <c r="W2285">
        <v>4442.72</v>
      </c>
      <c r="X2285">
        <v>46170.1</v>
      </c>
      <c r="Y2285">
        <v>41889.94</v>
      </c>
    </row>
    <row r="2286" spans="1:25" x14ac:dyDescent="0.25">
      <c r="A2286" t="s">
        <v>2342</v>
      </c>
      <c r="B2286" s="1">
        <v>45573</v>
      </c>
      <c r="C2286">
        <v>2024</v>
      </c>
      <c r="D2286">
        <v>10</v>
      </c>
      <c r="E2286" t="s">
        <v>1017</v>
      </c>
      <c r="F2286" t="s">
        <v>1018</v>
      </c>
      <c r="G2286" t="s">
        <v>55</v>
      </c>
      <c r="H2286" t="s">
        <v>53</v>
      </c>
      <c r="I2286" t="s">
        <v>37</v>
      </c>
      <c r="J2286">
        <v>45</v>
      </c>
      <c r="K2286">
        <v>1719.38</v>
      </c>
      <c r="L2286">
        <v>77372.09</v>
      </c>
      <c r="M2286">
        <v>45993.23</v>
      </c>
      <c r="N2286">
        <v>9572.7000000000007</v>
      </c>
      <c r="O2286">
        <v>5214.92</v>
      </c>
      <c r="P2286">
        <v>2135.29</v>
      </c>
      <c r="Q2286">
        <v>568.72</v>
      </c>
      <c r="R2286">
        <v>4251.4399999999996</v>
      </c>
      <c r="S2286">
        <v>1865.39</v>
      </c>
      <c r="T2286">
        <v>69601.679999999993</v>
      </c>
      <c r="U2286">
        <v>31378.86</v>
      </c>
      <c r="V2286">
        <v>7770.41</v>
      </c>
      <c r="W2286">
        <v>7758.29</v>
      </c>
      <c r="X2286">
        <v>72530.28</v>
      </c>
      <c r="Y2286">
        <v>66443.45</v>
      </c>
    </row>
    <row r="2287" spans="1:25" x14ac:dyDescent="0.25">
      <c r="A2287" t="s">
        <v>2343</v>
      </c>
      <c r="B2287" s="1">
        <v>45574</v>
      </c>
      <c r="C2287">
        <v>2024</v>
      </c>
      <c r="D2287">
        <v>10</v>
      </c>
      <c r="E2287" t="s">
        <v>1017</v>
      </c>
      <c r="F2287" t="s">
        <v>1018</v>
      </c>
      <c r="G2287" t="s">
        <v>28</v>
      </c>
      <c r="H2287" t="s">
        <v>32</v>
      </c>
      <c r="I2287" t="s">
        <v>30</v>
      </c>
      <c r="J2287">
        <v>52</v>
      </c>
      <c r="K2287">
        <v>1730.64</v>
      </c>
      <c r="L2287">
        <v>89993.41</v>
      </c>
      <c r="M2287">
        <v>54907.13</v>
      </c>
      <c r="N2287">
        <v>10011.27</v>
      </c>
      <c r="O2287">
        <v>3983.32</v>
      </c>
      <c r="P2287">
        <v>3442.61</v>
      </c>
      <c r="Q2287">
        <v>738.02</v>
      </c>
      <c r="R2287">
        <v>4435.07</v>
      </c>
      <c r="S2287">
        <v>1377.62</v>
      </c>
      <c r="T2287">
        <v>78895.05</v>
      </c>
      <c r="U2287">
        <v>35086.28</v>
      </c>
      <c r="V2287">
        <v>11098.36</v>
      </c>
      <c r="W2287">
        <v>11245.36</v>
      </c>
      <c r="X2287">
        <v>93752.53</v>
      </c>
      <c r="Y2287">
        <v>81696.740000000005</v>
      </c>
    </row>
    <row r="2288" spans="1:25" x14ac:dyDescent="0.25">
      <c r="A2288" t="s">
        <v>2344</v>
      </c>
      <c r="B2288" s="1">
        <v>45574</v>
      </c>
      <c r="C2288">
        <v>2024</v>
      </c>
      <c r="D2288">
        <v>10</v>
      </c>
      <c r="E2288" t="s">
        <v>1017</v>
      </c>
      <c r="F2288" t="s">
        <v>1018</v>
      </c>
      <c r="G2288" t="s">
        <v>44</v>
      </c>
      <c r="H2288" t="s">
        <v>36</v>
      </c>
      <c r="I2288" t="s">
        <v>39</v>
      </c>
      <c r="J2288">
        <v>30</v>
      </c>
      <c r="K2288">
        <v>1472.64</v>
      </c>
      <c r="L2288">
        <v>44179.21</v>
      </c>
      <c r="M2288">
        <v>26191.48</v>
      </c>
      <c r="N2288">
        <v>5623.82</v>
      </c>
      <c r="O2288">
        <v>1703.06</v>
      </c>
      <c r="P2288">
        <v>1667.06</v>
      </c>
      <c r="Q2288">
        <v>271.14</v>
      </c>
      <c r="R2288">
        <v>1647.68</v>
      </c>
      <c r="S2288">
        <v>526.82000000000005</v>
      </c>
      <c r="T2288">
        <v>37631.06</v>
      </c>
      <c r="U2288">
        <v>17987.73</v>
      </c>
      <c r="V2288">
        <v>6548.15</v>
      </c>
      <c r="W2288">
        <v>5888.67</v>
      </c>
      <c r="X2288">
        <v>41617.519999999997</v>
      </c>
      <c r="Y2288">
        <v>40639.93</v>
      </c>
    </row>
    <row r="2289" spans="1:25" x14ac:dyDescent="0.25">
      <c r="A2289" t="s">
        <v>2345</v>
      </c>
      <c r="B2289" s="1">
        <v>45574</v>
      </c>
      <c r="C2289">
        <v>2024</v>
      </c>
      <c r="D2289">
        <v>10</v>
      </c>
      <c r="E2289" t="s">
        <v>1017</v>
      </c>
      <c r="F2289" t="s">
        <v>1018</v>
      </c>
      <c r="G2289" t="s">
        <v>44</v>
      </c>
      <c r="H2289" t="s">
        <v>32</v>
      </c>
      <c r="I2289" t="s">
        <v>33</v>
      </c>
      <c r="J2289">
        <v>68</v>
      </c>
      <c r="K2289">
        <v>1506.51</v>
      </c>
      <c r="L2289">
        <v>102442.64</v>
      </c>
      <c r="M2289">
        <v>58516.01</v>
      </c>
      <c r="N2289">
        <v>9162.42</v>
      </c>
      <c r="O2289">
        <v>5743.76</v>
      </c>
      <c r="P2289">
        <v>2426.63</v>
      </c>
      <c r="Q2289">
        <v>898.57</v>
      </c>
      <c r="R2289">
        <v>6387.57</v>
      </c>
      <c r="S2289">
        <v>2207.2199999999998</v>
      </c>
      <c r="T2289">
        <v>85342.19</v>
      </c>
      <c r="U2289">
        <v>43926.63</v>
      </c>
      <c r="V2289">
        <v>17100.45</v>
      </c>
      <c r="W2289">
        <v>15572.01</v>
      </c>
      <c r="X2289">
        <v>113602.16</v>
      </c>
      <c r="Y2289">
        <v>90064.04</v>
      </c>
    </row>
    <row r="2290" spans="1:25" x14ac:dyDescent="0.25">
      <c r="A2290" t="s">
        <v>2346</v>
      </c>
      <c r="B2290" s="1">
        <v>45575</v>
      </c>
      <c r="C2290">
        <v>2024</v>
      </c>
      <c r="D2290">
        <v>10</v>
      </c>
      <c r="E2290" t="s">
        <v>1017</v>
      </c>
      <c r="F2290" t="s">
        <v>1018</v>
      </c>
      <c r="G2290" t="s">
        <v>44</v>
      </c>
      <c r="H2290" t="s">
        <v>32</v>
      </c>
      <c r="I2290" t="s">
        <v>45</v>
      </c>
      <c r="J2290">
        <v>30</v>
      </c>
      <c r="K2290">
        <v>1625.97</v>
      </c>
      <c r="L2290">
        <v>48779.040000000001</v>
      </c>
      <c r="M2290">
        <v>25496.84</v>
      </c>
      <c r="N2290">
        <v>4311.1899999999996</v>
      </c>
      <c r="O2290">
        <v>2452.44</v>
      </c>
      <c r="P2290">
        <v>2175.89</v>
      </c>
      <c r="Q2290">
        <v>520.79999999999995</v>
      </c>
      <c r="R2290">
        <v>1968.25</v>
      </c>
      <c r="S2290">
        <v>1154.55</v>
      </c>
      <c r="T2290">
        <v>38079.96</v>
      </c>
      <c r="U2290">
        <v>23282.21</v>
      </c>
      <c r="V2290">
        <v>10699.08</v>
      </c>
      <c r="W2290">
        <v>10713.21</v>
      </c>
      <c r="X2290">
        <v>50966.66</v>
      </c>
      <c r="Y2290">
        <v>35478.379999999997</v>
      </c>
    </row>
    <row r="2291" spans="1:25" x14ac:dyDescent="0.25">
      <c r="A2291" t="s">
        <v>2347</v>
      </c>
      <c r="B2291" s="1">
        <v>45575</v>
      </c>
      <c r="C2291">
        <v>2024</v>
      </c>
      <c r="D2291">
        <v>10</v>
      </c>
      <c r="E2291" t="s">
        <v>1017</v>
      </c>
      <c r="F2291" t="s">
        <v>1018</v>
      </c>
      <c r="G2291" t="s">
        <v>55</v>
      </c>
      <c r="H2291" t="s">
        <v>53</v>
      </c>
      <c r="I2291" t="s">
        <v>56</v>
      </c>
      <c r="J2291">
        <v>22</v>
      </c>
      <c r="K2291">
        <v>1553</v>
      </c>
      <c r="L2291">
        <v>34165.93</v>
      </c>
      <c r="M2291">
        <v>18792.400000000001</v>
      </c>
      <c r="N2291">
        <v>3516.2</v>
      </c>
      <c r="O2291">
        <v>1978.56</v>
      </c>
      <c r="P2291">
        <v>1400.3</v>
      </c>
      <c r="Q2291">
        <v>400.47</v>
      </c>
      <c r="R2291">
        <v>1696.76</v>
      </c>
      <c r="S2291">
        <v>579.85</v>
      </c>
      <c r="T2291">
        <v>28364.54</v>
      </c>
      <c r="U2291">
        <v>15373.53</v>
      </c>
      <c r="V2291">
        <v>5801.4</v>
      </c>
      <c r="W2291">
        <v>5199.53</v>
      </c>
      <c r="X2291">
        <v>35142.6</v>
      </c>
      <c r="Y2291">
        <v>29193.88</v>
      </c>
    </row>
    <row r="2292" spans="1:25" x14ac:dyDescent="0.25">
      <c r="A2292" t="s">
        <v>2348</v>
      </c>
      <c r="B2292" s="1">
        <v>45575</v>
      </c>
      <c r="C2292">
        <v>2024</v>
      </c>
      <c r="D2292">
        <v>10</v>
      </c>
      <c r="E2292" t="s">
        <v>1017</v>
      </c>
      <c r="F2292" t="s">
        <v>1018</v>
      </c>
      <c r="G2292" t="s">
        <v>35</v>
      </c>
      <c r="H2292" t="s">
        <v>53</v>
      </c>
      <c r="I2292" t="s">
        <v>50</v>
      </c>
      <c r="J2292">
        <v>22</v>
      </c>
      <c r="K2292">
        <v>1692.22</v>
      </c>
      <c r="L2292">
        <v>37228.85</v>
      </c>
      <c r="M2292">
        <v>24477.43</v>
      </c>
      <c r="N2292">
        <v>4451.1099999999997</v>
      </c>
      <c r="O2292">
        <v>2366.9899999999998</v>
      </c>
      <c r="P2292">
        <v>617.85</v>
      </c>
      <c r="Q2292">
        <v>427.06</v>
      </c>
      <c r="R2292">
        <v>2394.9</v>
      </c>
      <c r="S2292">
        <v>449.41</v>
      </c>
      <c r="T2292">
        <v>35184.75</v>
      </c>
      <c r="U2292">
        <v>12751.42</v>
      </c>
      <c r="V2292">
        <v>2044.09</v>
      </c>
      <c r="W2292">
        <v>1829.34</v>
      </c>
      <c r="X2292">
        <v>41601.86</v>
      </c>
      <c r="Y2292">
        <v>35955.019999999997</v>
      </c>
    </row>
    <row r="2293" spans="1:25" x14ac:dyDescent="0.25">
      <c r="A2293" t="s">
        <v>2349</v>
      </c>
      <c r="B2293" s="1">
        <v>45575</v>
      </c>
      <c r="C2293">
        <v>2024</v>
      </c>
      <c r="D2293">
        <v>10</v>
      </c>
      <c r="E2293" t="s">
        <v>1017</v>
      </c>
      <c r="F2293" t="s">
        <v>1018</v>
      </c>
      <c r="G2293" t="s">
        <v>28</v>
      </c>
      <c r="H2293" t="s">
        <v>58</v>
      </c>
      <c r="I2293" t="s">
        <v>37</v>
      </c>
      <c r="J2293">
        <v>54</v>
      </c>
      <c r="K2293">
        <v>1399.15</v>
      </c>
      <c r="L2293">
        <v>75554.149999999994</v>
      </c>
      <c r="M2293">
        <v>45576.47</v>
      </c>
      <c r="N2293">
        <v>9260.02</v>
      </c>
      <c r="O2293">
        <v>2440.77</v>
      </c>
      <c r="P2293">
        <v>3266.5</v>
      </c>
      <c r="Q2293">
        <v>1264.29</v>
      </c>
      <c r="R2293">
        <v>3982.13</v>
      </c>
      <c r="S2293">
        <v>1020.54</v>
      </c>
      <c r="T2293">
        <v>66810.720000000001</v>
      </c>
      <c r="U2293">
        <v>29977.69</v>
      </c>
      <c r="V2293">
        <v>8743.43</v>
      </c>
      <c r="W2293">
        <v>8085.56</v>
      </c>
      <c r="X2293">
        <v>69899.039999999994</v>
      </c>
      <c r="Y2293">
        <v>70781.45</v>
      </c>
    </row>
    <row r="2294" spans="1:25" x14ac:dyDescent="0.25">
      <c r="A2294" t="s">
        <v>2350</v>
      </c>
      <c r="B2294" s="1">
        <v>45575</v>
      </c>
      <c r="C2294">
        <v>2024</v>
      </c>
      <c r="D2294">
        <v>10</v>
      </c>
      <c r="E2294" t="s">
        <v>1017</v>
      </c>
      <c r="F2294" t="s">
        <v>1018</v>
      </c>
      <c r="G2294" t="s">
        <v>35</v>
      </c>
      <c r="H2294" t="s">
        <v>36</v>
      </c>
      <c r="I2294" t="s">
        <v>65</v>
      </c>
      <c r="J2294">
        <v>42</v>
      </c>
      <c r="K2294">
        <v>1334.38</v>
      </c>
      <c r="L2294">
        <v>56044.14</v>
      </c>
      <c r="M2294">
        <v>29368.14</v>
      </c>
      <c r="N2294">
        <v>6874.99</v>
      </c>
      <c r="O2294">
        <v>3806.76</v>
      </c>
      <c r="P2294">
        <v>1444.87</v>
      </c>
      <c r="Q2294">
        <v>778.21</v>
      </c>
      <c r="R2294">
        <v>1858.7</v>
      </c>
      <c r="S2294">
        <v>789.91</v>
      </c>
      <c r="T2294">
        <v>44921.58</v>
      </c>
      <c r="U2294">
        <v>26676</v>
      </c>
      <c r="V2294">
        <v>11122.56</v>
      </c>
      <c r="W2294">
        <v>10245.06</v>
      </c>
      <c r="X2294">
        <v>58906.21</v>
      </c>
      <c r="Y2294">
        <v>44224.639999999999</v>
      </c>
    </row>
    <row r="2295" spans="1:25" x14ac:dyDescent="0.25">
      <c r="A2295" t="s">
        <v>2351</v>
      </c>
      <c r="B2295" s="1">
        <v>45576</v>
      </c>
      <c r="C2295">
        <v>2024</v>
      </c>
      <c r="D2295">
        <v>10</v>
      </c>
      <c r="E2295" t="s">
        <v>1017</v>
      </c>
      <c r="F2295" t="s">
        <v>1018</v>
      </c>
      <c r="G2295" t="s">
        <v>55</v>
      </c>
      <c r="H2295" t="s">
        <v>32</v>
      </c>
      <c r="I2295" t="s">
        <v>65</v>
      </c>
      <c r="J2295">
        <v>58</v>
      </c>
      <c r="K2295">
        <v>1442.35</v>
      </c>
      <c r="L2295">
        <v>83656.33</v>
      </c>
      <c r="M2295">
        <v>44774.92</v>
      </c>
      <c r="N2295">
        <v>8135.71</v>
      </c>
      <c r="O2295">
        <v>4434.4799999999996</v>
      </c>
      <c r="P2295">
        <v>3167.28</v>
      </c>
      <c r="Q2295">
        <v>1491.49</v>
      </c>
      <c r="R2295">
        <v>2612.11</v>
      </c>
      <c r="S2295">
        <v>1325.86</v>
      </c>
      <c r="T2295">
        <v>65941.86</v>
      </c>
      <c r="U2295">
        <v>38881.410000000003</v>
      </c>
      <c r="V2295">
        <v>17714.47</v>
      </c>
      <c r="W2295">
        <v>16690.669999999998</v>
      </c>
      <c r="X2295">
        <v>93593.41</v>
      </c>
      <c r="Y2295">
        <v>66809.81</v>
      </c>
    </row>
    <row r="2296" spans="1:25" x14ac:dyDescent="0.25">
      <c r="A2296" t="s">
        <v>2352</v>
      </c>
      <c r="B2296" s="1">
        <v>45576</v>
      </c>
      <c r="C2296">
        <v>2024</v>
      </c>
      <c r="D2296">
        <v>10</v>
      </c>
      <c r="E2296" t="s">
        <v>1017</v>
      </c>
      <c r="F2296" t="s">
        <v>1018</v>
      </c>
      <c r="G2296" t="s">
        <v>35</v>
      </c>
      <c r="H2296" t="s">
        <v>32</v>
      </c>
      <c r="I2296" t="s">
        <v>33</v>
      </c>
      <c r="J2296">
        <v>88</v>
      </c>
      <c r="K2296">
        <v>916.05</v>
      </c>
      <c r="L2296">
        <v>80612.429999999993</v>
      </c>
      <c r="M2296">
        <v>49808.5</v>
      </c>
      <c r="N2296">
        <v>9747.6</v>
      </c>
      <c r="O2296">
        <v>2017.71</v>
      </c>
      <c r="P2296">
        <v>2426.63</v>
      </c>
      <c r="Q2296">
        <v>691.95</v>
      </c>
      <c r="R2296">
        <v>5138.84</v>
      </c>
      <c r="S2296">
        <v>1577.41</v>
      </c>
      <c r="T2296">
        <v>71408.63</v>
      </c>
      <c r="U2296">
        <v>30803.93</v>
      </c>
      <c r="V2296">
        <v>9203.7999999999993</v>
      </c>
      <c r="W2296">
        <v>8894.93</v>
      </c>
      <c r="X2296">
        <v>74216.77</v>
      </c>
      <c r="Y2296">
        <v>77057.31</v>
      </c>
    </row>
    <row r="2297" spans="1:25" x14ac:dyDescent="0.25">
      <c r="A2297" t="s">
        <v>2353</v>
      </c>
      <c r="B2297" s="1">
        <v>45576</v>
      </c>
      <c r="C2297">
        <v>2024</v>
      </c>
      <c r="D2297">
        <v>10</v>
      </c>
      <c r="E2297" t="s">
        <v>1017</v>
      </c>
      <c r="F2297" t="s">
        <v>1018</v>
      </c>
      <c r="G2297" t="s">
        <v>28</v>
      </c>
      <c r="H2297" t="s">
        <v>53</v>
      </c>
      <c r="I2297" t="s">
        <v>45</v>
      </c>
      <c r="J2297">
        <v>40</v>
      </c>
      <c r="K2297">
        <v>1332.02</v>
      </c>
      <c r="L2297">
        <v>53280.63</v>
      </c>
      <c r="M2297">
        <v>35372.33</v>
      </c>
      <c r="N2297">
        <v>5015.6899999999996</v>
      </c>
      <c r="O2297">
        <v>2883.5</v>
      </c>
      <c r="P2297">
        <v>1523.18</v>
      </c>
      <c r="Q2297">
        <v>587.97</v>
      </c>
      <c r="R2297">
        <v>2444.19</v>
      </c>
      <c r="S2297">
        <v>566.75</v>
      </c>
      <c r="T2297">
        <v>48393.63</v>
      </c>
      <c r="U2297">
        <v>17908.3</v>
      </c>
      <c r="V2297">
        <v>4887.01</v>
      </c>
      <c r="W2297">
        <v>4928.21</v>
      </c>
      <c r="X2297">
        <v>49212.94</v>
      </c>
      <c r="Y2297">
        <v>53109.22</v>
      </c>
    </row>
    <row r="2298" spans="1:25" x14ac:dyDescent="0.25">
      <c r="A2298" t="s">
        <v>2354</v>
      </c>
      <c r="B2298" s="1">
        <v>45576</v>
      </c>
      <c r="C2298">
        <v>2024</v>
      </c>
      <c r="D2298">
        <v>10</v>
      </c>
      <c r="E2298" t="s">
        <v>1017</v>
      </c>
      <c r="F2298" t="s">
        <v>1018</v>
      </c>
      <c r="G2298" t="s">
        <v>55</v>
      </c>
      <c r="H2298" t="s">
        <v>53</v>
      </c>
      <c r="I2298" t="s">
        <v>37</v>
      </c>
      <c r="J2298">
        <v>36</v>
      </c>
      <c r="K2298">
        <v>1661.74</v>
      </c>
      <c r="L2298">
        <v>59822.73</v>
      </c>
      <c r="M2298">
        <v>36772.26</v>
      </c>
      <c r="N2298">
        <v>7697.52</v>
      </c>
      <c r="O2298">
        <v>2568.38</v>
      </c>
      <c r="P2298">
        <v>1195.19</v>
      </c>
      <c r="Q2298">
        <v>843.83</v>
      </c>
      <c r="R2298">
        <v>1610.38</v>
      </c>
      <c r="S2298">
        <v>961.73</v>
      </c>
      <c r="T2298">
        <v>51649.31</v>
      </c>
      <c r="U2298">
        <v>23050.46</v>
      </c>
      <c r="V2298">
        <v>8173.42</v>
      </c>
      <c r="W2298">
        <v>7369.49</v>
      </c>
      <c r="X2298">
        <v>62613.04</v>
      </c>
      <c r="Y2298">
        <v>48718.2</v>
      </c>
    </row>
    <row r="2299" spans="1:25" x14ac:dyDescent="0.25">
      <c r="A2299" t="s">
        <v>2355</v>
      </c>
      <c r="B2299" s="1">
        <v>45577</v>
      </c>
      <c r="C2299">
        <v>2024</v>
      </c>
      <c r="D2299">
        <v>10</v>
      </c>
      <c r="E2299" t="s">
        <v>1017</v>
      </c>
      <c r="F2299" t="s">
        <v>1018</v>
      </c>
      <c r="G2299" t="s">
        <v>44</v>
      </c>
      <c r="H2299" t="s">
        <v>32</v>
      </c>
      <c r="I2299" t="s">
        <v>65</v>
      </c>
      <c r="J2299">
        <v>32</v>
      </c>
      <c r="K2299">
        <v>1763.71</v>
      </c>
      <c r="L2299">
        <v>56438.6</v>
      </c>
      <c r="M2299">
        <v>32337.86</v>
      </c>
      <c r="N2299">
        <v>6730.08</v>
      </c>
      <c r="O2299">
        <v>2827.75</v>
      </c>
      <c r="P2299">
        <v>2243.8200000000002</v>
      </c>
      <c r="Q2299">
        <v>781.92</v>
      </c>
      <c r="R2299">
        <v>1996.03</v>
      </c>
      <c r="S2299">
        <v>661.28</v>
      </c>
      <c r="T2299">
        <v>47578.74</v>
      </c>
      <c r="U2299">
        <v>24100.75</v>
      </c>
      <c r="V2299">
        <v>8859.86</v>
      </c>
      <c r="W2299">
        <v>8785.7199999999993</v>
      </c>
      <c r="X2299">
        <v>55980.2</v>
      </c>
      <c r="Y2299">
        <v>47622.09</v>
      </c>
    </row>
    <row r="2300" spans="1:25" x14ac:dyDescent="0.25">
      <c r="A2300" t="s">
        <v>2356</v>
      </c>
      <c r="B2300" s="1">
        <v>45577</v>
      </c>
      <c r="C2300">
        <v>2024</v>
      </c>
      <c r="D2300">
        <v>10</v>
      </c>
      <c r="E2300" t="s">
        <v>1017</v>
      </c>
      <c r="F2300" t="s">
        <v>1018</v>
      </c>
      <c r="G2300" t="s">
        <v>44</v>
      </c>
      <c r="H2300" t="s">
        <v>29</v>
      </c>
      <c r="I2300" t="s">
        <v>39</v>
      </c>
      <c r="J2300">
        <v>47</v>
      </c>
      <c r="K2300">
        <v>1068.6400000000001</v>
      </c>
      <c r="L2300">
        <v>50226.03</v>
      </c>
      <c r="M2300">
        <v>26269.56</v>
      </c>
      <c r="N2300">
        <v>4935.74</v>
      </c>
      <c r="O2300">
        <v>1260.31</v>
      </c>
      <c r="P2300">
        <v>2158.2399999999998</v>
      </c>
      <c r="Q2300">
        <v>662.59</v>
      </c>
      <c r="R2300">
        <v>2511.17</v>
      </c>
      <c r="S2300">
        <v>1038.19</v>
      </c>
      <c r="T2300">
        <v>38835.79</v>
      </c>
      <c r="U2300">
        <v>23956.47</v>
      </c>
      <c r="V2300">
        <v>11390.24</v>
      </c>
      <c r="W2300">
        <v>10087.44</v>
      </c>
      <c r="X2300">
        <v>51129.99</v>
      </c>
      <c r="Y2300">
        <v>36480.54</v>
      </c>
    </row>
    <row r="2301" spans="1:25" x14ac:dyDescent="0.25">
      <c r="A2301" t="s">
        <v>2357</v>
      </c>
      <c r="B2301" s="1">
        <v>45578</v>
      </c>
      <c r="C2301">
        <v>2024</v>
      </c>
      <c r="D2301">
        <v>10</v>
      </c>
      <c r="E2301" t="s">
        <v>1017</v>
      </c>
      <c r="F2301" t="s">
        <v>1018</v>
      </c>
      <c r="G2301" t="s">
        <v>44</v>
      </c>
      <c r="H2301" t="s">
        <v>36</v>
      </c>
      <c r="I2301" t="s">
        <v>45</v>
      </c>
      <c r="J2301">
        <v>27</v>
      </c>
      <c r="K2301">
        <v>1136.57</v>
      </c>
      <c r="L2301">
        <v>30687.3</v>
      </c>
      <c r="M2301">
        <v>17637.759999999998</v>
      </c>
      <c r="N2301">
        <v>2264.91</v>
      </c>
      <c r="O2301">
        <v>1892.74</v>
      </c>
      <c r="P2301">
        <v>696.63</v>
      </c>
      <c r="Q2301">
        <v>420.67</v>
      </c>
      <c r="R2301">
        <v>1426.76</v>
      </c>
      <c r="S2301">
        <v>729.04</v>
      </c>
      <c r="T2301">
        <v>25068.52</v>
      </c>
      <c r="U2301">
        <v>13049.55</v>
      </c>
      <c r="V2301">
        <v>5618.78</v>
      </c>
      <c r="W2301">
        <v>5482.26</v>
      </c>
      <c r="X2301">
        <v>32982.18</v>
      </c>
      <c r="Y2301">
        <v>25785.599999999999</v>
      </c>
    </row>
    <row r="2302" spans="1:25" x14ac:dyDescent="0.25">
      <c r="A2302" t="s">
        <v>2358</v>
      </c>
      <c r="B2302" s="1">
        <v>45579</v>
      </c>
      <c r="C2302">
        <v>2024</v>
      </c>
      <c r="D2302">
        <v>10</v>
      </c>
      <c r="E2302" t="s">
        <v>1017</v>
      </c>
      <c r="F2302" t="s">
        <v>1018</v>
      </c>
      <c r="G2302" t="s">
        <v>35</v>
      </c>
      <c r="H2302" t="s">
        <v>58</v>
      </c>
      <c r="I2302" t="s">
        <v>30</v>
      </c>
      <c r="J2302">
        <v>56</v>
      </c>
      <c r="K2302">
        <v>1687.96</v>
      </c>
      <c r="L2302">
        <v>94525.9</v>
      </c>
      <c r="M2302">
        <v>52120.67</v>
      </c>
      <c r="N2302">
        <v>7135.02</v>
      </c>
      <c r="O2302">
        <v>4798.07</v>
      </c>
      <c r="P2302">
        <v>2290.38</v>
      </c>
      <c r="Q2302">
        <v>570.30999999999995</v>
      </c>
      <c r="R2302">
        <v>3473.46</v>
      </c>
      <c r="S2302">
        <v>2039.94</v>
      </c>
      <c r="T2302">
        <v>72427.850000000006</v>
      </c>
      <c r="U2302">
        <v>42405.23</v>
      </c>
      <c r="V2302">
        <v>22098.05</v>
      </c>
      <c r="W2302">
        <v>20398.77</v>
      </c>
      <c r="X2302">
        <v>95171.13</v>
      </c>
      <c r="Y2302">
        <v>67728.679999999993</v>
      </c>
    </row>
    <row r="2303" spans="1:25" x14ac:dyDescent="0.25">
      <c r="A2303" t="s">
        <v>2359</v>
      </c>
      <c r="B2303" s="1">
        <v>45579</v>
      </c>
      <c r="C2303">
        <v>2024</v>
      </c>
      <c r="D2303">
        <v>10</v>
      </c>
      <c r="E2303" t="s">
        <v>1017</v>
      </c>
      <c r="F2303" t="s">
        <v>1018</v>
      </c>
      <c r="G2303" t="s">
        <v>44</v>
      </c>
      <c r="H2303" t="s">
        <v>58</v>
      </c>
      <c r="I2303" t="s">
        <v>45</v>
      </c>
      <c r="J2303">
        <v>21</v>
      </c>
      <c r="K2303">
        <v>1600.18</v>
      </c>
      <c r="L2303">
        <v>33603.72</v>
      </c>
      <c r="M2303">
        <v>20203.68</v>
      </c>
      <c r="N2303">
        <v>3248.55</v>
      </c>
      <c r="O2303">
        <v>2259.09</v>
      </c>
      <c r="P2303">
        <v>1077.06</v>
      </c>
      <c r="Q2303">
        <v>481.35</v>
      </c>
      <c r="R2303">
        <v>1466.08</v>
      </c>
      <c r="S2303">
        <v>289.06</v>
      </c>
      <c r="T2303">
        <v>29024.87</v>
      </c>
      <c r="U2303">
        <v>13400.04</v>
      </c>
      <c r="V2303">
        <v>4578.8500000000004</v>
      </c>
      <c r="W2303">
        <v>4600.3500000000004</v>
      </c>
      <c r="X2303">
        <v>34060.120000000003</v>
      </c>
      <c r="Y2303">
        <v>31244.959999999999</v>
      </c>
    </row>
    <row r="2304" spans="1:25" x14ac:dyDescent="0.25">
      <c r="A2304" t="s">
        <v>2360</v>
      </c>
      <c r="B2304" s="1">
        <v>45579</v>
      </c>
      <c r="C2304">
        <v>2024</v>
      </c>
      <c r="D2304">
        <v>10</v>
      </c>
      <c r="E2304" t="s">
        <v>1017</v>
      </c>
      <c r="F2304" t="s">
        <v>1018</v>
      </c>
      <c r="G2304" t="s">
        <v>55</v>
      </c>
      <c r="H2304" t="s">
        <v>29</v>
      </c>
      <c r="I2304" t="s">
        <v>30</v>
      </c>
      <c r="J2304">
        <v>100</v>
      </c>
      <c r="K2304">
        <v>983.26</v>
      </c>
      <c r="L2304">
        <v>98326.399999999994</v>
      </c>
      <c r="M2304">
        <v>54020.35</v>
      </c>
      <c r="N2304">
        <v>11705.8</v>
      </c>
      <c r="O2304">
        <v>6177.94</v>
      </c>
      <c r="P2304">
        <v>3353.78</v>
      </c>
      <c r="Q2304">
        <v>856.6</v>
      </c>
      <c r="R2304">
        <v>2508.62</v>
      </c>
      <c r="S2304">
        <v>1982.17</v>
      </c>
      <c r="T2304">
        <v>80605.259999999995</v>
      </c>
      <c r="U2304">
        <v>44306.05</v>
      </c>
      <c r="V2304">
        <v>17721.14</v>
      </c>
      <c r="W2304">
        <v>15650.94</v>
      </c>
      <c r="X2304">
        <v>102668.78</v>
      </c>
      <c r="Y2304">
        <v>83273.2</v>
      </c>
    </row>
    <row r="2305" spans="1:25" x14ac:dyDescent="0.25">
      <c r="A2305" t="s">
        <v>2361</v>
      </c>
      <c r="B2305" s="1">
        <v>45580</v>
      </c>
      <c r="C2305">
        <v>2024</v>
      </c>
      <c r="D2305">
        <v>10</v>
      </c>
      <c r="E2305" t="s">
        <v>1017</v>
      </c>
      <c r="F2305" t="s">
        <v>1018</v>
      </c>
      <c r="G2305" t="s">
        <v>44</v>
      </c>
      <c r="H2305" t="s">
        <v>32</v>
      </c>
      <c r="I2305" t="s">
        <v>33</v>
      </c>
      <c r="J2305">
        <v>56</v>
      </c>
      <c r="K2305">
        <v>1651.52</v>
      </c>
      <c r="L2305">
        <v>92485.4</v>
      </c>
      <c r="M2305">
        <v>54330.21</v>
      </c>
      <c r="N2305">
        <v>10696.97</v>
      </c>
      <c r="O2305">
        <v>5214.04</v>
      </c>
      <c r="P2305">
        <v>3473.78</v>
      </c>
      <c r="Q2305">
        <v>602.55999999999995</v>
      </c>
      <c r="R2305">
        <v>5347.91</v>
      </c>
      <c r="S2305">
        <v>1555.37</v>
      </c>
      <c r="T2305">
        <v>81220.84</v>
      </c>
      <c r="U2305">
        <v>38155.19</v>
      </c>
      <c r="V2305">
        <v>11264.56</v>
      </c>
      <c r="W2305">
        <v>10970.92</v>
      </c>
      <c r="X2305">
        <v>85197.98</v>
      </c>
      <c r="Y2305">
        <v>78610.5</v>
      </c>
    </row>
    <row r="2306" spans="1:25" x14ac:dyDescent="0.25">
      <c r="A2306" t="s">
        <v>2362</v>
      </c>
      <c r="B2306" s="1">
        <v>45580</v>
      </c>
      <c r="C2306">
        <v>2024</v>
      </c>
      <c r="D2306">
        <v>10</v>
      </c>
      <c r="E2306" t="s">
        <v>1017</v>
      </c>
      <c r="F2306" t="s">
        <v>1018</v>
      </c>
      <c r="G2306" t="s">
        <v>28</v>
      </c>
      <c r="H2306" t="s">
        <v>36</v>
      </c>
      <c r="I2306" t="s">
        <v>65</v>
      </c>
      <c r="J2306">
        <v>36</v>
      </c>
      <c r="K2306">
        <v>1566.69</v>
      </c>
      <c r="L2306">
        <v>56400.88</v>
      </c>
      <c r="M2306">
        <v>28915.33</v>
      </c>
      <c r="N2306">
        <v>6719.47</v>
      </c>
      <c r="O2306">
        <v>3557.92</v>
      </c>
      <c r="P2306">
        <v>1317.45</v>
      </c>
      <c r="Q2306">
        <v>441.39</v>
      </c>
      <c r="R2306">
        <v>3483.98</v>
      </c>
      <c r="S2306">
        <v>559.08000000000004</v>
      </c>
      <c r="T2306">
        <v>44994.62</v>
      </c>
      <c r="U2306">
        <v>27485.55</v>
      </c>
      <c r="V2306">
        <v>11406.26</v>
      </c>
      <c r="W2306">
        <v>11443.31</v>
      </c>
      <c r="X2306">
        <v>57094.1</v>
      </c>
      <c r="Y2306">
        <v>47291.95</v>
      </c>
    </row>
    <row r="2307" spans="1:25" x14ac:dyDescent="0.25">
      <c r="A2307" t="s">
        <v>2363</v>
      </c>
      <c r="B2307" s="1">
        <v>45580</v>
      </c>
      <c r="C2307">
        <v>2024</v>
      </c>
      <c r="D2307">
        <v>10</v>
      </c>
      <c r="E2307" t="s">
        <v>1017</v>
      </c>
      <c r="F2307" t="s">
        <v>1018</v>
      </c>
      <c r="G2307" t="s">
        <v>35</v>
      </c>
      <c r="H2307" t="s">
        <v>58</v>
      </c>
      <c r="I2307" t="s">
        <v>30</v>
      </c>
      <c r="J2307">
        <v>69</v>
      </c>
      <c r="K2307">
        <v>1058.0999999999999</v>
      </c>
      <c r="L2307">
        <v>73008.87</v>
      </c>
      <c r="M2307">
        <v>37983.81</v>
      </c>
      <c r="N2307">
        <v>7726.07</v>
      </c>
      <c r="O2307">
        <v>3123.32</v>
      </c>
      <c r="P2307">
        <v>2921.52</v>
      </c>
      <c r="Q2307">
        <v>1082.8900000000001</v>
      </c>
      <c r="R2307">
        <v>3009.33</v>
      </c>
      <c r="S2307">
        <v>780.59</v>
      </c>
      <c r="T2307">
        <v>56627.519999999997</v>
      </c>
      <c r="U2307">
        <v>35025.07</v>
      </c>
      <c r="V2307">
        <v>16381.35</v>
      </c>
      <c r="W2307">
        <v>14879.41</v>
      </c>
      <c r="X2307">
        <v>75462.850000000006</v>
      </c>
      <c r="Y2307">
        <v>55993.760000000002</v>
      </c>
    </row>
    <row r="2308" spans="1:25" x14ac:dyDescent="0.25">
      <c r="A2308" t="s">
        <v>2364</v>
      </c>
      <c r="B2308" s="1">
        <v>45580</v>
      </c>
      <c r="C2308">
        <v>2024</v>
      </c>
      <c r="D2308">
        <v>10</v>
      </c>
      <c r="E2308" t="s">
        <v>1017</v>
      </c>
      <c r="F2308" t="s">
        <v>1018</v>
      </c>
      <c r="G2308" t="s">
        <v>44</v>
      </c>
      <c r="H2308" t="s">
        <v>36</v>
      </c>
      <c r="I2308" t="s">
        <v>45</v>
      </c>
      <c r="J2308">
        <v>19</v>
      </c>
      <c r="K2308">
        <v>1659.1</v>
      </c>
      <c r="L2308">
        <v>31522.89</v>
      </c>
      <c r="M2308">
        <v>18695.05</v>
      </c>
      <c r="N2308">
        <v>3036.96</v>
      </c>
      <c r="O2308">
        <v>1284.8499999999999</v>
      </c>
      <c r="P2308">
        <v>586.46</v>
      </c>
      <c r="Q2308">
        <v>446.26</v>
      </c>
      <c r="R2308">
        <v>1129.44</v>
      </c>
      <c r="S2308">
        <v>598.16</v>
      </c>
      <c r="T2308">
        <v>25777.18</v>
      </c>
      <c r="U2308">
        <v>12827.84</v>
      </c>
      <c r="V2308">
        <v>5745.71</v>
      </c>
      <c r="W2308">
        <v>5292.87</v>
      </c>
      <c r="X2308">
        <v>33899.410000000003</v>
      </c>
      <c r="Y2308">
        <v>27677.17</v>
      </c>
    </row>
    <row r="2309" spans="1:25" x14ac:dyDescent="0.25">
      <c r="A2309" t="s">
        <v>2365</v>
      </c>
      <c r="B2309" s="1">
        <v>45581</v>
      </c>
      <c r="C2309">
        <v>2024</v>
      </c>
      <c r="D2309">
        <v>10</v>
      </c>
      <c r="E2309" t="s">
        <v>1017</v>
      </c>
      <c r="F2309" t="s">
        <v>1018</v>
      </c>
      <c r="G2309" t="s">
        <v>55</v>
      </c>
      <c r="H2309" t="s">
        <v>32</v>
      </c>
      <c r="I2309" t="s">
        <v>33</v>
      </c>
      <c r="J2309">
        <v>76</v>
      </c>
      <c r="K2309">
        <v>1504.26</v>
      </c>
      <c r="L2309">
        <v>114324.09</v>
      </c>
      <c r="M2309">
        <v>61969.440000000002</v>
      </c>
      <c r="N2309">
        <v>14006.54</v>
      </c>
      <c r="O2309">
        <v>6043.39</v>
      </c>
      <c r="P2309">
        <v>2329.7399999999998</v>
      </c>
      <c r="Q2309">
        <v>1843.36</v>
      </c>
      <c r="R2309">
        <v>4970.1400000000003</v>
      </c>
      <c r="S2309">
        <v>1611.09</v>
      </c>
      <c r="T2309">
        <v>92773.7</v>
      </c>
      <c r="U2309">
        <v>52354.66</v>
      </c>
      <c r="V2309">
        <v>21550.39</v>
      </c>
      <c r="W2309">
        <v>19105.400000000001</v>
      </c>
      <c r="X2309">
        <v>124404.4</v>
      </c>
      <c r="Y2309">
        <v>90969.279999999999</v>
      </c>
    </row>
    <row r="2310" spans="1:25" x14ac:dyDescent="0.25">
      <c r="A2310" t="s">
        <v>2366</v>
      </c>
      <c r="B2310" s="1">
        <v>45582</v>
      </c>
      <c r="C2310">
        <v>2024</v>
      </c>
      <c r="D2310">
        <v>10</v>
      </c>
      <c r="E2310" t="s">
        <v>1017</v>
      </c>
      <c r="F2310" t="s">
        <v>1018</v>
      </c>
      <c r="G2310" t="s">
        <v>35</v>
      </c>
      <c r="H2310" t="s">
        <v>32</v>
      </c>
      <c r="I2310" t="s">
        <v>50</v>
      </c>
      <c r="J2310">
        <v>22</v>
      </c>
      <c r="K2310">
        <v>1774.16</v>
      </c>
      <c r="L2310">
        <v>39031.599999999999</v>
      </c>
      <c r="M2310">
        <v>22065.37</v>
      </c>
      <c r="N2310">
        <v>3752.74</v>
      </c>
      <c r="O2310">
        <v>2087.7399999999998</v>
      </c>
      <c r="P2310">
        <v>1295.95</v>
      </c>
      <c r="Q2310">
        <v>372.04</v>
      </c>
      <c r="R2310">
        <v>1504.14</v>
      </c>
      <c r="S2310">
        <v>899.35</v>
      </c>
      <c r="T2310">
        <v>31977.32</v>
      </c>
      <c r="U2310">
        <v>16966.23</v>
      </c>
      <c r="V2310">
        <v>7054.28</v>
      </c>
      <c r="W2310">
        <v>6222.68</v>
      </c>
      <c r="X2310">
        <v>41987.91</v>
      </c>
      <c r="Y2310">
        <v>32585.96</v>
      </c>
    </row>
    <row r="2311" spans="1:25" x14ac:dyDescent="0.25">
      <c r="A2311" t="s">
        <v>2367</v>
      </c>
      <c r="B2311" s="1">
        <v>45582</v>
      </c>
      <c r="C2311">
        <v>2024</v>
      </c>
      <c r="D2311">
        <v>10</v>
      </c>
      <c r="E2311" t="s">
        <v>1017</v>
      </c>
      <c r="F2311" t="s">
        <v>1018</v>
      </c>
      <c r="G2311" t="s">
        <v>44</v>
      </c>
      <c r="H2311" t="s">
        <v>36</v>
      </c>
      <c r="I2311" t="s">
        <v>45</v>
      </c>
      <c r="J2311">
        <v>21</v>
      </c>
      <c r="K2311">
        <v>1472.54</v>
      </c>
      <c r="L2311">
        <v>30923.26</v>
      </c>
      <c r="M2311">
        <v>17771.75</v>
      </c>
      <c r="N2311">
        <v>2389.19</v>
      </c>
      <c r="O2311">
        <v>2162.84</v>
      </c>
      <c r="P2311">
        <v>1112.27</v>
      </c>
      <c r="Q2311">
        <v>172.09</v>
      </c>
      <c r="R2311">
        <v>1682.55</v>
      </c>
      <c r="S2311">
        <v>458.41</v>
      </c>
      <c r="T2311">
        <v>25749.09</v>
      </c>
      <c r="U2311">
        <v>13151.52</v>
      </c>
      <c r="V2311">
        <v>5174.17</v>
      </c>
      <c r="W2311">
        <v>4622.2299999999996</v>
      </c>
      <c r="X2311">
        <v>33334.47</v>
      </c>
      <c r="Y2311">
        <v>27441.4</v>
      </c>
    </row>
    <row r="2312" spans="1:25" x14ac:dyDescent="0.25">
      <c r="A2312" t="s">
        <v>2368</v>
      </c>
      <c r="B2312" s="1">
        <v>45583</v>
      </c>
      <c r="C2312">
        <v>2024</v>
      </c>
      <c r="D2312">
        <v>10</v>
      </c>
      <c r="E2312" t="s">
        <v>1017</v>
      </c>
      <c r="F2312" t="s">
        <v>1018</v>
      </c>
      <c r="G2312" t="s">
        <v>35</v>
      </c>
      <c r="H2312" t="s">
        <v>53</v>
      </c>
      <c r="I2312" t="s">
        <v>45</v>
      </c>
      <c r="J2312">
        <v>28</v>
      </c>
      <c r="K2312">
        <v>1304.31</v>
      </c>
      <c r="L2312">
        <v>36520.6</v>
      </c>
      <c r="M2312">
        <v>22677.85</v>
      </c>
      <c r="N2312">
        <v>2593.94</v>
      </c>
      <c r="O2312">
        <v>1494.75</v>
      </c>
      <c r="P2312">
        <v>1530.85</v>
      </c>
      <c r="Q2312">
        <v>539.16</v>
      </c>
      <c r="R2312">
        <v>1340.61</v>
      </c>
      <c r="S2312">
        <v>853.23</v>
      </c>
      <c r="T2312">
        <v>31030.400000000001</v>
      </c>
      <c r="U2312">
        <v>13842.75</v>
      </c>
      <c r="V2312">
        <v>5490.21</v>
      </c>
      <c r="W2312">
        <v>5114.42</v>
      </c>
      <c r="X2312">
        <v>34627.54</v>
      </c>
      <c r="Y2312">
        <v>31207.08</v>
      </c>
    </row>
    <row r="2313" spans="1:25" x14ac:dyDescent="0.25">
      <c r="A2313" t="s">
        <v>2369</v>
      </c>
      <c r="B2313" s="1">
        <v>45583</v>
      </c>
      <c r="C2313">
        <v>2024</v>
      </c>
      <c r="D2313">
        <v>10</v>
      </c>
      <c r="E2313" t="s">
        <v>1017</v>
      </c>
      <c r="F2313" t="s">
        <v>1018</v>
      </c>
      <c r="G2313" t="s">
        <v>28</v>
      </c>
      <c r="H2313" t="s">
        <v>32</v>
      </c>
      <c r="I2313" t="s">
        <v>39</v>
      </c>
      <c r="J2313">
        <v>73</v>
      </c>
      <c r="K2313">
        <v>872.63</v>
      </c>
      <c r="L2313">
        <v>63701.72</v>
      </c>
      <c r="M2313">
        <v>43211.18</v>
      </c>
      <c r="N2313">
        <v>4970.5200000000004</v>
      </c>
      <c r="O2313">
        <v>3125.88</v>
      </c>
      <c r="P2313">
        <v>1263.55</v>
      </c>
      <c r="Q2313">
        <v>946.21</v>
      </c>
      <c r="R2313">
        <v>2795.31</v>
      </c>
      <c r="S2313">
        <v>1399.78</v>
      </c>
      <c r="T2313">
        <v>57712.43</v>
      </c>
      <c r="U2313">
        <v>20490.54</v>
      </c>
      <c r="V2313">
        <v>5989.28</v>
      </c>
      <c r="W2313">
        <v>5785.6</v>
      </c>
      <c r="X2313">
        <v>65312.11</v>
      </c>
      <c r="Y2313">
        <v>57421.72</v>
      </c>
    </row>
    <row r="2314" spans="1:25" x14ac:dyDescent="0.25">
      <c r="A2314" t="s">
        <v>2370</v>
      </c>
      <c r="B2314" s="1">
        <v>45583</v>
      </c>
      <c r="C2314">
        <v>2024</v>
      </c>
      <c r="D2314">
        <v>10</v>
      </c>
      <c r="E2314" t="s">
        <v>1017</v>
      </c>
      <c r="F2314" t="s">
        <v>1018</v>
      </c>
      <c r="G2314" t="s">
        <v>44</v>
      </c>
      <c r="H2314" t="s">
        <v>36</v>
      </c>
      <c r="I2314" t="s">
        <v>56</v>
      </c>
      <c r="J2314">
        <v>18</v>
      </c>
      <c r="K2314">
        <v>1502.46</v>
      </c>
      <c r="L2314">
        <v>27044.27</v>
      </c>
      <c r="M2314">
        <v>14925.83</v>
      </c>
      <c r="N2314">
        <v>2000.57</v>
      </c>
      <c r="O2314">
        <v>1099.74</v>
      </c>
      <c r="P2314">
        <v>894.79</v>
      </c>
      <c r="Q2314">
        <v>207.91</v>
      </c>
      <c r="R2314">
        <v>999.76</v>
      </c>
      <c r="S2314">
        <v>311.93</v>
      </c>
      <c r="T2314">
        <v>20440.53</v>
      </c>
      <c r="U2314">
        <v>12118.44</v>
      </c>
      <c r="V2314">
        <v>6603.74</v>
      </c>
      <c r="W2314">
        <v>5955.39</v>
      </c>
      <c r="X2314">
        <v>26140.79</v>
      </c>
      <c r="Y2314">
        <v>20462.5</v>
      </c>
    </row>
    <row r="2315" spans="1:25" x14ac:dyDescent="0.25">
      <c r="A2315" t="s">
        <v>2371</v>
      </c>
      <c r="B2315" s="1">
        <v>45583</v>
      </c>
      <c r="C2315">
        <v>2024</v>
      </c>
      <c r="D2315">
        <v>10</v>
      </c>
      <c r="E2315" t="s">
        <v>1017</v>
      </c>
      <c r="F2315" t="s">
        <v>1018</v>
      </c>
      <c r="G2315" t="s">
        <v>55</v>
      </c>
      <c r="H2315" t="s">
        <v>36</v>
      </c>
      <c r="I2315" t="s">
        <v>45</v>
      </c>
      <c r="J2315">
        <v>46</v>
      </c>
      <c r="K2315">
        <v>1049</v>
      </c>
      <c r="L2315">
        <v>48254.09</v>
      </c>
      <c r="M2315">
        <v>29014.97</v>
      </c>
      <c r="N2315">
        <v>3691.21</v>
      </c>
      <c r="O2315">
        <v>2905</v>
      </c>
      <c r="P2315">
        <v>2092.6999999999998</v>
      </c>
      <c r="Q2315">
        <v>378.7</v>
      </c>
      <c r="R2315">
        <v>1629.76</v>
      </c>
      <c r="S2315">
        <v>473.53</v>
      </c>
      <c r="T2315">
        <v>40185.870000000003</v>
      </c>
      <c r="U2315">
        <v>19239.12</v>
      </c>
      <c r="V2315">
        <v>8068.23</v>
      </c>
      <c r="W2315">
        <v>7691.37</v>
      </c>
      <c r="X2315">
        <v>50687.98</v>
      </c>
      <c r="Y2315">
        <v>40333.32</v>
      </c>
    </row>
    <row r="2316" spans="1:25" x14ac:dyDescent="0.25">
      <c r="A2316" t="s">
        <v>2372</v>
      </c>
      <c r="B2316" s="1">
        <v>45584</v>
      </c>
      <c r="C2316">
        <v>2024</v>
      </c>
      <c r="D2316">
        <v>10</v>
      </c>
      <c r="E2316" t="s">
        <v>1017</v>
      </c>
      <c r="F2316" t="s">
        <v>1018</v>
      </c>
      <c r="G2316" t="s">
        <v>44</v>
      </c>
      <c r="H2316" t="s">
        <v>36</v>
      </c>
      <c r="I2316" t="s">
        <v>45</v>
      </c>
      <c r="J2316">
        <v>23</v>
      </c>
      <c r="K2316">
        <v>1384.77</v>
      </c>
      <c r="L2316">
        <v>31849.71</v>
      </c>
      <c r="M2316">
        <v>15789.62</v>
      </c>
      <c r="N2316">
        <v>4083.6</v>
      </c>
      <c r="O2316">
        <v>1194.49</v>
      </c>
      <c r="P2316">
        <v>933.91</v>
      </c>
      <c r="Q2316">
        <v>372.94</v>
      </c>
      <c r="R2316">
        <v>966.61</v>
      </c>
      <c r="S2316">
        <v>564.02</v>
      </c>
      <c r="T2316">
        <v>23905.19</v>
      </c>
      <c r="U2316">
        <v>16060.09</v>
      </c>
      <c r="V2316">
        <v>7944.52</v>
      </c>
      <c r="W2316">
        <v>7083.16</v>
      </c>
      <c r="X2316">
        <v>34697.019999999997</v>
      </c>
      <c r="Y2316">
        <v>26039.25</v>
      </c>
    </row>
    <row r="2317" spans="1:25" x14ac:dyDescent="0.25">
      <c r="A2317" t="s">
        <v>2373</v>
      </c>
      <c r="B2317" s="1">
        <v>45584</v>
      </c>
      <c r="C2317">
        <v>2024</v>
      </c>
      <c r="D2317">
        <v>10</v>
      </c>
      <c r="E2317" t="s">
        <v>1017</v>
      </c>
      <c r="F2317" t="s">
        <v>1018</v>
      </c>
      <c r="G2317" t="s">
        <v>35</v>
      </c>
      <c r="H2317" t="s">
        <v>32</v>
      </c>
      <c r="I2317" t="s">
        <v>50</v>
      </c>
      <c r="J2317">
        <v>34</v>
      </c>
      <c r="K2317">
        <v>1536.54</v>
      </c>
      <c r="L2317">
        <v>52242.23</v>
      </c>
      <c r="M2317">
        <v>27080.26</v>
      </c>
      <c r="N2317">
        <v>3662.51</v>
      </c>
      <c r="O2317">
        <v>1467.92</v>
      </c>
      <c r="P2317">
        <v>1174.6600000000001</v>
      </c>
      <c r="Q2317">
        <v>629.82000000000005</v>
      </c>
      <c r="R2317">
        <v>2968.26</v>
      </c>
      <c r="S2317">
        <v>712.04</v>
      </c>
      <c r="T2317">
        <v>37695.47</v>
      </c>
      <c r="U2317">
        <v>25161.97</v>
      </c>
      <c r="V2317">
        <v>14546.76</v>
      </c>
      <c r="W2317">
        <v>13824.99</v>
      </c>
      <c r="X2317">
        <v>54431.43</v>
      </c>
      <c r="Y2317">
        <v>39304.15</v>
      </c>
    </row>
    <row r="2318" spans="1:25" x14ac:dyDescent="0.25">
      <c r="A2318" t="s">
        <v>2374</v>
      </c>
      <c r="B2318" s="1">
        <v>45584</v>
      </c>
      <c r="C2318">
        <v>2024</v>
      </c>
      <c r="D2318">
        <v>10</v>
      </c>
      <c r="E2318" t="s">
        <v>1017</v>
      </c>
      <c r="F2318" t="s">
        <v>1018</v>
      </c>
      <c r="G2318" t="s">
        <v>28</v>
      </c>
      <c r="H2318" t="s">
        <v>29</v>
      </c>
      <c r="I2318" t="s">
        <v>30</v>
      </c>
      <c r="J2318">
        <v>78</v>
      </c>
      <c r="K2318">
        <v>1212.1400000000001</v>
      </c>
      <c r="L2318">
        <v>94546.9</v>
      </c>
      <c r="M2318">
        <v>52820.7</v>
      </c>
      <c r="N2318">
        <v>8176.13</v>
      </c>
      <c r="O2318">
        <v>3550.68</v>
      </c>
      <c r="P2318">
        <v>4024.73</v>
      </c>
      <c r="Q2318">
        <v>521.77</v>
      </c>
      <c r="R2318">
        <v>3444.28</v>
      </c>
      <c r="S2318">
        <v>1777.59</v>
      </c>
      <c r="T2318">
        <v>74315.87</v>
      </c>
      <c r="U2318">
        <v>41726.199999999997</v>
      </c>
      <c r="V2318">
        <v>20231.03</v>
      </c>
      <c r="W2318">
        <v>20601.93</v>
      </c>
      <c r="X2318">
        <v>97875.08</v>
      </c>
      <c r="Y2318">
        <v>76116.77</v>
      </c>
    </row>
    <row r="2319" spans="1:25" x14ac:dyDescent="0.25">
      <c r="A2319" t="s">
        <v>2375</v>
      </c>
      <c r="B2319" s="1">
        <v>45585</v>
      </c>
      <c r="C2319">
        <v>2024</v>
      </c>
      <c r="D2319">
        <v>10</v>
      </c>
      <c r="E2319" t="s">
        <v>1017</v>
      </c>
      <c r="F2319" t="s">
        <v>1018</v>
      </c>
      <c r="G2319" t="s">
        <v>55</v>
      </c>
      <c r="H2319" t="s">
        <v>36</v>
      </c>
      <c r="I2319" t="s">
        <v>33</v>
      </c>
      <c r="J2319">
        <v>82</v>
      </c>
      <c r="K2319">
        <v>1236.6400000000001</v>
      </c>
      <c r="L2319">
        <v>101404.6</v>
      </c>
      <c r="M2319">
        <v>62422.81</v>
      </c>
      <c r="N2319">
        <v>9446.27</v>
      </c>
      <c r="O2319">
        <v>3678.83</v>
      </c>
      <c r="P2319">
        <v>1956.94</v>
      </c>
      <c r="Q2319">
        <v>856.94</v>
      </c>
      <c r="R2319">
        <v>6590.66</v>
      </c>
      <c r="S2319">
        <v>1564.56</v>
      </c>
      <c r="T2319">
        <v>86517.01</v>
      </c>
      <c r="U2319">
        <v>38981.800000000003</v>
      </c>
      <c r="V2319">
        <v>14887.59</v>
      </c>
      <c r="W2319">
        <v>14726.85</v>
      </c>
      <c r="X2319">
        <v>105694.43</v>
      </c>
      <c r="Y2319">
        <v>95098.54</v>
      </c>
    </row>
    <row r="2320" spans="1:25" x14ac:dyDescent="0.25">
      <c r="A2320" t="s">
        <v>2376</v>
      </c>
      <c r="B2320" s="1">
        <v>45585</v>
      </c>
      <c r="C2320">
        <v>2024</v>
      </c>
      <c r="D2320">
        <v>10</v>
      </c>
      <c r="E2320" t="s">
        <v>1017</v>
      </c>
      <c r="F2320" t="s">
        <v>1018</v>
      </c>
      <c r="G2320" t="s">
        <v>28</v>
      </c>
      <c r="H2320" t="s">
        <v>29</v>
      </c>
      <c r="I2320" t="s">
        <v>56</v>
      </c>
      <c r="J2320">
        <v>32</v>
      </c>
      <c r="K2320">
        <v>1042.33</v>
      </c>
      <c r="L2320">
        <v>33354.410000000003</v>
      </c>
      <c r="M2320">
        <v>18713.47</v>
      </c>
      <c r="N2320">
        <v>2500.69</v>
      </c>
      <c r="O2320">
        <v>2433.3000000000002</v>
      </c>
      <c r="P2320">
        <v>1007.38</v>
      </c>
      <c r="Q2320">
        <v>259.83</v>
      </c>
      <c r="R2320">
        <v>1640.63</v>
      </c>
      <c r="S2320">
        <v>543.91</v>
      </c>
      <c r="T2320">
        <v>27099.21</v>
      </c>
      <c r="U2320">
        <v>14640.94</v>
      </c>
      <c r="V2320">
        <v>6255.2</v>
      </c>
      <c r="W2320">
        <v>5787.85</v>
      </c>
      <c r="X2320">
        <v>33022.269999999997</v>
      </c>
      <c r="Y2320">
        <v>28065.24</v>
      </c>
    </row>
    <row r="2321" spans="1:25" x14ac:dyDescent="0.25">
      <c r="A2321" t="s">
        <v>2377</v>
      </c>
      <c r="B2321" s="1">
        <v>45585</v>
      </c>
      <c r="C2321">
        <v>2024</v>
      </c>
      <c r="D2321">
        <v>10</v>
      </c>
      <c r="E2321" t="s">
        <v>1017</v>
      </c>
      <c r="F2321" t="s">
        <v>1018</v>
      </c>
      <c r="G2321" t="s">
        <v>55</v>
      </c>
      <c r="H2321" t="s">
        <v>36</v>
      </c>
      <c r="I2321" t="s">
        <v>56</v>
      </c>
      <c r="J2321">
        <v>40</v>
      </c>
      <c r="K2321">
        <v>1145.81</v>
      </c>
      <c r="L2321">
        <v>45832.21</v>
      </c>
      <c r="M2321">
        <v>27989.21</v>
      </c>
      <c r="N2321">
        <v>4010.71</v>
      </c>
      <c r="O2321">
        <v>3292.41</v>
      </c>
      <c r="P2321">
        <v>1862.97</v>
      </c>
      <c r="Q2321">
        <v>373.97</v>
      </c>
      <c r="R2321">
        <v>2636.29</v>
      </c>
      <c r="S2321">
        <v>432</v>
      </c>
      <c r="T2321">
        <v>40597.56</v>
      </c>
      <c r="U2321">
        <v>17843</v>
      </c>
      <c r="V2321">
        <v>5234.6499999999996</v>
      </c>
      <c r="W2321">
        <v>5093.55</v>
      </c>
      <c r="X2321">
        <v>42597.34</v>
      </c>
      <c r="Y2321">
        <v>39107.97</v>
      </c>
    </row>
    <row r="2322" spans="1:25" x14ac:dyDescent="0.25">
      <c r="A2322" t="s">
        <v>2378</v>
      </c>
      <c r="B2322" s="1">
        <v>45585</v>
      </c>
      <c r="C2322">
        <v>2024</v>
      </c>
      <c r="D2322">
        <v>10</v>
      </c>
      <c r="E2322" t="s">
        <v>1017</v>
      </c>
      <c r="F2322" t="s">
        <v>1018</v>
      </c>
      <c r="G2322" t="s">
        <v>28</v>
      </c>
      <c r="H2322" t="s">
        <v>32</v>
      </c>
      <c r="I2322" t="s">
        <v>65</v>
      </c>
      <c r="J2322">
        <v>67</v>
      </c>
      <c r="K2322">
        <v>1056.97</v>
      </c>
      <c r="L2322">
        <v>70816.88</v>
      </c>
      <c r="M2322">
        <v>46891.74</v>
      </c>
      <c r="N2322">
        <v>6165.12</v>
      </c>
      <c r="O2322">
        <v>2304.84</v>
      </c>
      <c r="P2322">
        <v>1171.79</v>
      </c>
      <c r="Q2322">
        <v>951.44</v>
      </c>
      <c r="R2322">
        <v>2605.86</v>
      </c>
      <c r="S2322">
        <v>1709.97</v>
      </c>
      <c r="T2322">
        <v>61800.76</v>
      </c>
      <c r="U2322">
        <v>23925.14</v>
      </c>
      <c r="V2322">
        <v>9016.1200000000008</v>
      </c>
      <c r="W2322">
        <v>8108.64</v>
      </c>
      <c r="X2322">
        <v>73048.34</v>
      </c>
      <c r="Y2322">
        <v>67001.14</v>
      </c>
    </row>
    <row r="2323" spans="1:25" x14ac:dyDescent="0.25">
      <c r="A2323" t="s">
        <v>2379</v>
      </c>
      <c r="B2323" s="1">
        <v>45586</v>
      </c>
      <c r="C2323">
        <v>2024</v>
      </c>
      <c r="D2323">
        <v>10</v>
      </c>
      <c r="E2323" t="s">
        <v>1017</v>
      </c>
      <c r="F2323" t="s">
        <v>1018</v>
      </c>
      <c r="G2323" t="s">
        <v>28</v>
      </c>
      <c r="H2323" t="s">
        <v>36</v>
      </c>
      <c r="I2323" t="s">
        <v>45</v>
      </c>
      <c r="J2323">
        <v>45</v>
      </c>
      <c r="K2323">
        <v>857.84</v>
      </c>
      <c r="L2323">
        <v>38602.870000000003</v>
      </c>
      <c r="M2323">
        <v>19377.95</v>
      </c>
      <c r="N2323">
        <v>3533.67</v>
      </c>
      <c r="O2323">
        <v>2294.2399999999998</v>
      </c>
      <c r="P2323">
        <v>685.3</v>
      </c>
      <c r="Q2323">
        <v>298.31</v>
      </c>
      <c r="R2323">
        <v>1918.5</v>
      </c>
      <c r="S2323">
        <v>545.41</v>
      </c>
      <c r="T2323">
        <v>28653.38</v>
      </c>
      <c r="U2323">
        <v>19224.919999999998</v>
      </c>
      <c r="V2323">
        <v>9949.49</v>
      </c>
      <c r="W2323">
        <v>9519.83</v>
      </c>
      <c r="X2323">
        <v>39388.910000000003</v>
      </c>
      <c r="Y2323">
        <v>30939.18</v>
      </c>
    </row>
    <row r="2324" spans="1:25" x14ac:dyDescent="0.25">
      <c r="A2324" t="s">
        <v>2380</v>
      </c>
      <c r="B2324" s="1">
        <v>45586</v>
      </c>
      <c r="C2324">
        <v>2024</v>
      </c>
      <c r="D2324">
        <v>10</v>
      </c>
      <c r="E2324" t="s">
        <v>1017</v>
      </c>
      <c r="F2324" t="s">
        <v>1018</v>
      </c>
      <c r="G2324" t="s">
        <v>35</v>
      </c>
      <c r="H2324" t="s">
        <v>36</v>
      </c>
      <c r="I2324" t="s">
        <v>30</v>
      </c>
      <c r="J2324">
        <v>56</v>
      </c>
      <c r="K2324">
        <v>1078.69</v>
      </c>
      <c r="L2324">
        <v>60406.89</v>
      </c>
      <c r="M2324">
        <v>40037.870000000003</v>
      </c>
      <c r="N2324">
        <v>4741.97</v>
      </c>
      <c r="O2324">
        <v>2549.91</v>
      </c>
      <c r="P2324">
        <v>1467.27</v>
      </c>
      <c r="Q2324">
        <v>1027.83</v>
      </c>
      <c r="R2324">
        <v>2575.4299999999998</v>
      </c>
      <c r="S2324">
        <v>698.35</v>
      </c>
      <c r="T2324">
        <v>53098.66</v>
      </c>
      <c r="U2324">
        <v>20369.02</v>
      </c>
      <c r="V2324">
        <v>7308.24</v>
      </c>
      <c r="W2324">
        <v>7207.49</v>
      </c>
      <c r="X2324">
        <v>58753.45</v>
      </c>
      <c r="Y2324">
        <v>52521.94</v>
      </c>
    </row>
    <row r="2325" spans="1:25" x14ac:dyDescent="0.25">
      <c r="A2325" t="s">
        <v>2381</v>
      </c>
      <c r="B2325" s="1">
        <v>45586</v>
      </c>
      <c r="C2325">
        <v>2024</v>
      </c>
      <c r="D2325">
        <v>10</v>
      </c>
      <c r="E2325" t="s">
        <v>1017</v>
      </c>
      <c r="F2325" t="s">
        <v>1018</v>
      </c>
      <c r="G2325" t="s">
        <v>28</v>
      </c>
      <c r="H2325" t="s">
        <v>36</v>
      </c>
      <c r="I2325" t="s">
        <v>30</v>
      </c>
      <c r="J2325">
        <v>91</v>
      </c>
      <c r="K2325">
        <v>1253.3499999999999</v>
      </c>
      <c r="L2325">
        <v>114055.01</v>
      </c>
      <c r="M2325">
        <v>56924.11</v>
      </c>
      <c r="N2325">
        <v>14668.85</v>
      </c>
      <c r="O2325">
        <v>5089.88</v>
      </c>
      <c r="P2325">
        <v>1804.64</v>
      </c>
      <c r="Q2325">
        <v>1246.5999999999999</v>
      </c>
      <c r="R2325">
        <v>7254.99</v>
      </c>
      <c r="S2325">
        <v>1263.27</v>
      </c>
      <c r="T2325">
        <v>88252.34</v>
      </c>
      <c r="U2325">
        <v>57130.9</v>
      </c>
      <c r="V2325">
        <v>25802.67</v>
      </c>
      <c r="W2325">
        <v>23587.66</v>
      </c>
      <c r="X2325">
        <v>125979.99</v>
      </c>
      <c r="Y2325">
        <v>92304.19</v>
      </c>
    </row>
    <row r="2326" spans="1:25" x14ac:dyDescent="0.25">
      <c r="A2326" t="s">
        <v>2382</v>
      </c>
      <c r="B2326" s="1">
        <v>45586</v>
      </c>
      <c r="C2326">
        <v>2024</v>
      </c>
      <c r="D2326">
        <v>10</v>
      </c>
      <c r="E2326" t="s">
        <v>1017</v>
      </c>
      <c r="F2326" t="s">
        <v>1018</v>
      </c>
      <c r="G2326" t="s">
        <v>35</v>
      </c>
      <c r="H2326" t="s">
        <v>36</v>
      </c>
      <c r="I2326" t="s">
        <v>39</v>
      </c>
      <c r="J2326">
        <v>27</v>
      </c>
      <c r="K2326">
        <v>1531.09</v>
      </c>
      <c r="L2326">
        <v>41339.379999999997</v>
      </c>
      <c r="M2326">
        <v>22282.83</v>
      </c>
      <c r="N2326">
        <v>4091.49</v>
      </c>
      <c r="O2326">
        <v>2553.58</v>
      </c>
      <c r="P2326">
        <v>1197.9000000000001</v>
      </c>
      <c r="Q2326">
        <v>509.62</v>
      </c>
      <c r="R2326">
        <v>2495.0700000000002</v>
      </c>
      <c r="S2326">
        <v>894.93</v>
      </c>
      <c r="T2326">
        <v>34025.43</v>
      </c>
      <c r="U2326">
        <v>19056.55</v>
      </c>
      <c r="V2326">
        <v>7313.95</v>
      </c>
      <c r="W2326">
        <v>6659.73</v>
      </c>
      <c r="X2326">
        <v>44992.639999999999</v>
      </c>
      <c r="Y2326">
        <v>34899.51</v>
      </c>
    </row>
    <row r="2327" spans="1:25" x14ac:dyDescent="0.25">
      <c r="A2327" t="s">
        <v>2383</v>
      </c>
      <c r="B2327" s="1">
        <v>45586</v>
      </c>
      <c r="C2327">
        <v>2024</v>
      </c>
      <c r="D2327">
        <v>10</v>
      </c>
      <c r="E2327" t="s">
        <v>1017</v>
      </c>
      <c r="F2327" t="s">
        <v>1018</v>
      </c>
      <c r="G2327" t="s">
        <v>44</v>
      </c>
      <c r="H2327" t="s">
        <v>53</v>
      </c>
      <c r="I2327" t="s">
        <v>37</v>
      </c>
      <c r="J2327">
        <v>75</v>
      </c>
      <c r="K2327">
        <v>920.31</v>
      </c>
      <c r="L2327">
        <v>69023.33</v>
      </c>
      <c r="M2327">
        <v>38667.800000000003</v>
      </c>
      <c r="N2327">
        <v>8744.41</v>
      </c>
      <c r="O2327">
        <v>3963.39</v>
      </c>
      <c r="P2327">
        <v>1639.46</v>
      </c>
      <c r="Q2327">
        <v>538.21</v>
      </c>
      <c r="R2327">
        <v>4087.4</v>
      </c>
      <c r="S2327">
        <v>1107.97</v>
      </c>
      <c r="T2327">
        <v>58748.63</v>
      </c>
      <c r="U2327">
        <v>30355.53</v>
      </c>
      <c r="V2327">
        <v>10274.69</v>
      </c>
      <c r="W2327">
        <v>10162.15</v>
      </c>
      <c r="X2327">
        <v>74035.34</v>
      </c>
      <c r="Y2327">
        <v>59313.06</v>
      </c>
    </row>
    <row r="2328" spans="1:25" x14ac:dyDescent="0.25">
      <c r="A2328" t="s">
        <v>2384</v>
      </c>
      <c r="B2328" s="1">
        <v>45587</v>
      </c>
      <c r="C2328">
        <v>2024</v>
      </c>
      <c r="D2328">
        <v>10</v>
      </c>
      <c r="E2328" t="s">
        <v>1017</v>
      </c>
      <c r="F2328" t="s">
        <v>1018</v>
      </c>
      <c r="G2328" t="s">
        <v>55</v>
      </c>
      <c r="H2328" t="s">
        <v>36</v>
      </c>
      <c r="I2328" t="s">
        <v>45</v>
      </c>
      <c r="J2328">
        <v>32</v>
      </c>
      <c r="K2328">
        <v>1694.38</v>
      </c>
      <c r="L2328">
        <v>54220.24</v>
      </c>
      <c r="M2328">
        <v>34332.17</v>
      </c>
      <c r="N2328">
        <v>6133.05</v>
      </c>
      <c r="O2328">
        <v>1701.79</v>
      </c>
      <c r="P2328">
        <v>861.13</v>
      </c>
      <c r="Q2328">
        <v>517.51</v>
      </c>
      <c r="R2328">
        <v>1738.38</v>
      </c>
      <c r="S2328">
        <v>965.95</v>
      </c>
      <c r="T2328">
        <v>46249.99</v>
      </c>
      <c r="U2328">
        <v>19888.080000000002</v>
      </c>
      <c r="V2328">
        <v>7970.26</v>
      </c>
      <c r="W2328">
        <v>7331.39</v>
      </c>
      <c r="X2328">
        <v>51540.99</v>
      </c>
      <c r="Y2328">
        <v>43652.04</v>
      </c>
    </row>
    <row r="2329" spans="1:25" x14ac:dyDescent="0.25">
      <c r="A2329" t="s">
        <v>2385</v>
      </c>
      <c r="B2329" s="1">
        <v>45587</v>
      </c>
      <c r="C2329">
        <v>2024</v>
      </c>
      <c r="D2329">
        <v>10</v>
      </c>
      <c r="E2329" t="s">
        <v>1017</v>
      </c>
      <c r="F2329" t="s">
        <v>1018</v>
      </c>
      <c r="G2329" t="s">
        <v>55</v>
      </c>
      <c r="H2329" t="s">
        <v>58</v>
      </c>
      <c r="I2329" t="s">
        <v>56</v>
      </c>
      <c r="J2329">
        <v>37</v>
      </c>
      <c r="K2329">
        <v>945.76</v>
      </c>
      <c r="L2329">
        <v>34993.269999999997</v>
      </c>
      <c r="M2329">
        <v>19150.16</v>
      </c>
      <c r="N2329">
        <v>2620.61</v>
      </c>
      <c r="O2329">
        <v>2272.87</v>
      </c>
      <c r="P2329">
        <v>1037.1099999999999</v>
      </c>
      <c r="Q2329">
        <v>311.17</v>
      </c>
      <c r="R2329">
        <v>899.41</v>
      </c>
      <c r="S2329">
        <v>813.58</v>
      </c>
      <c r="T2329">
        <v>27104.91</v>
      </c>
      <c r="U2329">
        <v>15843.1</v>
      </c>
      <c r="V2329">
        <v>7888.36</v>
      </c>
      <c r="W2329">
        <v>7808.12</v>
      </c>
      <c r="X2329">
        <v>38149.050000000003</v>
      </c>
      <c r="Y2329">
        <v>25875.22</v>
      </c>
    </row>
    <row r="2330" spans="1:25" x14ac:dyDescent="0.25">
      <c r="A2330" t="s">
        <v>2386</v>
      </c>
      <c r="B2330" s="1">
        <v>45587</v>
      </c>
      <c r="C2330">
        <v>2024</v>
      </c>
      <c r="D2330">
        <v>10</v>
      </c>
      <c r="E2330" t="s">
        <v>1017</v>
      </c>
      <c r="F2330" t="s">
        <v>1018</v>
      </c>
      <c r="G2330" t="s">
        <v>28</v>
      </c>
      <c r="H2330" t="s">
        <v>32</v>
      </c>
      <c r="I2330" t="s">
        <v>30</v>
      </c>
      <c r="J2330">
        <v>67</v>
      </c>
      <c r="K2330">
        <v>1441.88</v>
      </c>
      <c r="L2330">
        <v>96606.04</v>
      </c>
      <c r="M2330">
        <v>61942.64</v>
      </c>
      <c r="N2330">
        <v>9345.25</v>
      </c>
      <c r="O2330">
        <v>2712.56</v>
      </c>
      <c r="P2330">
        <v>1915.24</v>
      </c>
      <c r="Q2330">
        <v>1250.6300000000001</v>
      </c>
      <c r="R2330">
        <v>2866.55</v>
      </c>
      <c r="S2330">
        <v>2365.96</v>
      </c>
      <c r="T2330">
        <v>82398.83</v>
      </c>
      <c r="U2330">
        <v>34663.4</v>
      </c>
      <c r="V2330">
        <v>14207.21</v>
      </c>
      <c r="W2330">
        <v>13378.81</v>
      </c>
      <c r="X2330">
        <v>95588.4</v>
      </c>
      <c r="Y2330">
        <v>86248.36</v>
      </c>
    </row>
    <row r="2331" spans="1:25" x14ac:dyDescent="0.25">
      <c r="A2331" t="s">
        <v>2387</v>
      </c>
      <c r="B2331" s="1">
        <v>45587</v>
      </c>
      <c r="C2331">
        <v>2024</v>
      </c>
      <c r="D2331">
        <v>10</v>
      </c>
      <c r="E2331" t="s">
        <v>1017</v>
      </c>
      <c r="F2331" t="s">
        <v>1018</v>
      </c>
      <c r="G2331" t="s">
        <v>44</v>
      </c>
      <c r="H2331" t="s">
        <v>36</v>
      </c>
      <c r="I2331" t="s">
        <v>37</v>
      </c>
      <c r="J2331">
        <v>29</v>
      </c>
      <c r="K2331">
        <v>1655.12</v>
      </c>
      <c r="L2331">
        <v>47998.58</v>
      </c>
      <c r="M2331">
        <v>32554.54</v>
      </c>
      <c r="N2331">
        <v>3926.79</v>
      </c>
      <c r="O2331">
        <v>2935.29</v>
      </c>
      <c r="P2331">
        <v>729.45</v>
      </c>
      <c r="Q2331">
        <v>663.26</v>
      </c>
      <c r="R2331">
        <v>1884.77</v>
      </c>
      <c r="S2331">
        <v>476.93</v>
      </c>
      <c r="T2331">
        <v>43171.01</v>
      </c>
      <c r="U2331">
        <v>15444.04</v>
      </c>
      <c r="V2331">
        <v>4827.5600000000004</v>
      </c>
      <c r="W2331">
        <v>4776.28</v>
      </c>
      <c r="X2331">
        <v>51235.57</v>
      </c>
      <c r="Y2331">
        <v>43896.51</v>
      </c>
    </row>
    <row r="2332" spans="1:25" x14ac:dyDescent="0.25">
      <c r="A2332" t="s">
        <v>2388</v>
      </c>
      <c r="B2332" s="1">
        <v>45587</v>
      </c>
      <c r="C2332">
        <v>2024</v>
      </c>
      <c r="D2332">
        <v>10</v>
      </c>
      <c r="E2332" t="s">
        <v>1017</v>
      </c>
      <c r="F2332" t="s">
        <v>1018</v>
      </c>
      <c r="G2332" t="s">
        <v>44</v>
      </c>
      <c r="H2332" t="s">
        <v>36</v>
      </c>
      <c r="I2332" t="s">
        <v>50</v>
      </c>
      <c r="J2332">
        <v>43</v>
      </c>
      <c r="K2332">
        <v>1250.1600000000001</v>
      </c>
      <c r="L2332">
        <v>53756.93</v>
      </c>
      <c r="M2332">
        <v>34460.69</v>
      </c>
      <c r="N2332">
        <v>5827.48</v>
      </c>
      <c r="O2332">
        <v>2887.48</v>
      </c>
      <c r="P2332">
        <v>2207.66</v>
      </c>
      <c r="Q2332">
        <v>339.12</v>
      </c>
      <c r="R2332">
        <v>1539.13</v>
      </c>
      <c r="S2332">
        <v>721.71</v>
      </c>
      <c r="T2332">
        <v>47983.27</v>
      </c>
      <c r="U2332">
        <v>19296.240000000002</v>
      </c>
      <c r="V2332">
        <v>5773.66</v>
      </c>
      <c r="W2332">
        <v>5622.74</v>
      </c>
      <c r="X2332">
        <v>51839.45</v>
      </c>
      <c r="Y2332">
        <v>51960.53</v>
      </c>
    </row>
    <row r="2333" spans="1:25" x14ac:dyDescent="0.25">
      <c r="A2333" t="s">
        <v>2389</v>
      </c>
      <c r="B2333" s="1">
        <v>45587</v>
      </c>
      <c r="C2333">
        <v>2024</v>
      </c>
      <c r="D2333">
        <v>10</v>
      </c>
      <c r="E2333" t="s">
        <v>1017</v>
      </c>
      <c r="F2333" t="s">
        <v>1018</v>
      </c>
      <c r="G2333" t="s">
        <v>55</v>
      </c>
      <c r="H2333" t="s">
        <v>32</v>
      </c>
      <c r="I2333" t="s">
        <v>50</v>
      </c>
      <c r="J2333">
        <v>72</v>
      </c>
      <c r="K2333">
        <v>813.14</v>
      </c>
      <c r="L2333">
        <v>58546</v>
      </c>
      <c r="M2333">
        <v>31936.85</v>
      </c>
      <c r="N2333">
        <v>7183.79</v>
      </c>
      <c r="O2333">
        <v>2115.9499999999998</v>
      </c>
      <c r="P2333">
        <v>1968.38</v>
      </c>
      <c r="Q2333">
        <v>878.24</v>
      </c>
      <c r="R2333">
        <v>3491.4</v>
      </c>
      <c r="S2333">
        <v>814.08</v>
      </c>
      <c r="T2333">
        <v>48388.7</v>
      </c>
      <c r="U2333">
        <v>26609.15</v>
      </c>
      <c r="V2333">
        <v>10157.31</v>
      </c>
      <c r="W2333">
        <v>10272.1</v>
      </c>
      <c r="X2333">
        <v>56806.39</v>
      </c>
      <c r="Y2333">
        <v>53012.82</v>
      </c>
    </row>
    <row r="2334" spans="1:25" x14ac:dyDescent="0.25">
      <c r="A2334" t="s">
        <v>2390</v>
      </c>
      <c r="B2334" s="1">
        <v>45587</v>
      </c>
      <c r="C2334">
        <v>2024</v>
      </c>
      <c r="D2334">
        <v>10</v>
      </c>
      <c r="E2334" t="s">
        <v>1017</v>
      </c>
      <c r="F2334" t="s">
        <v>1018</v>
      </c>
      <c r="G2334" t="s">
        <v>28</v>
      </c>
      <c r="H2334" t="s">
        <v>32</v>
      </c>
      <c r="I2334" t="s">
        <v>50</v>
      </c>
      <c r="J2334">
        <v>52</v>
      </c>
      <c r="K2334">
        <v>1389.41</v>
      </c>
      <c r="L2334">
        <v>72249.52</v>
      </c>
      <c r="M2334">
        <v>38990.07</v>
      </c>
      <c r="N2334">
        <v>6075.1</v>
      </c>
      <c r="O2334">
        <v>3225.64</v>
      </c>
      <c r="P2334">
        <v>2279.6799999999998</v>
      </c>
      <c r="Q2334">
        <v>787.56</v>
      </c>
      <c r="R2334">
        <v>3618.57</v>
      </c>
      <c r="S2334">
        <v>1154.22</v>
      </c>
      <c r="T2334">
        <v>56130.85</v>
      </c>
      <c r="U2334">
        <v>33259.449999999997</v>
      </c>
      <c r="V2334">
        <v>16118.67</v>
      </c>
      <c r="W2334">
        <v>15164.5</v>
      </c>
      <c r="X2334">
        <v>71799.69</v>
      </c>
      <c r="Y2334">
        <v>56232.46</v>
      </c>
    </row>
    <row r="2335" spans="1:25" x14ac:dyDescent="0.25">
      <c r="A2335" t="s">
        <v>2391</v>
      </c>
      <c r="B2335" s="1">
        <v>45587</v>
      </c>
      <c r="C2335">
        <v>2024</v>
      </c>
      <c r="D2335">
        <v>10</v>
      </c>
      <c r="E2335" t="s">
        <v>1017</v>
      </c>
      <c r="F2335" t="s">
        <v>1018</v>
      </c>
      <c r="G2335" t="s">
        <v>35</v>
      </c>
      <c r="H2335" t="s">
        <v>53</v>
      </c>
      <c r="I2335" t="s">
        <v>33</v>
      </c>
      <c r="J2335">
        <v>44</v>
      </c>
      <c r="K2335">
        <v>1067.03</v>
      </c>
      <c r="L2335">
        <v>46949.279999999999</v>
      </c>
      <c r="M2335">
        <v>24763.86</v>
      </c>
      <c r="N2335">
        <v>3659.96</v>
      </c>
      <c r="O2335">
        <v>2567.5300000000002</v>
      </c>
      <c r="P2335">
        <v>2093.36</v>
      </c>
      <c r="Q2335">
        <v>682.94</v>
      </c>
      <c r="R2335">
        <v>2551.84</v>
      </c>
      <c r="S2335">
        <v>663.18</v>
      </c>
      <c r="T2335">
        <v>36982.67</v>
      </c>
      <c r="U2335">
        <v>22185.42</v>
      </c>
      <c r="V2335">
        <v>9966.61</v>
      </c>
      <c r="W2335">
        <v>9650.6</v>
      </c>
      <c r="X2335">
        <v>50274.49</v>
      </c>
      <c r="Y2335">
        <v>37216.07</v>
      </c>
    </row>
    <row r="2336" spans="1:25" x14ac:dyDescent="0.25">
      <c r="A2336" t="s">
        <v>2392</v>
      </c>
      <c r="B2336" s="1">
        <v>45587</v>
      </c>
      <c r="C2336">
        <v>2024</v>
      </c>
      <c r="D2336">
        <v>10</v>
      </c>
      <c r="E2336" t="s">
        <v>1017</v>
      </c>
      <c r="F2336" t="s">
        <v>1018</v>
      </c>
      <c r="G2336" t="s">
        <v>44</v>
      </c>
      <c r="H2336" t="s">
        <v>32</v>
      </c>
      <c r="I2336" t="s">
        <v>56</v>
      </c>
      <c r="J2336">
        <v>28</v>
      </c>
      <c r="K2336">
        <v>1037.44</v>
      </c>
      <c r="L2336">
        <v>29048.32</v>
      </c>
      <c r="M2336">
        <v>18568.18</v>
      </c>
      <c r="N2336">
        <v>2577.0500000000002</v>
      </c>
      <c r="O2336">
        <v>1797.47</v>
      </c>
      <c r="P2336">
        <v>794.14</v>
      </c>
      <c r="Q2336">
        <v>226.98</v>
      </c>
      <c r="R2336">
        <v>1876.27</v>
      </c>
      <c r="S2336">
        <v>608.95000000000005</v>
      </c>
      <c r="T2336">
        <v>26449.05</v>
      </c>
      <c r="U2336">
        <v>10480.129999999999</v>
      </c>
      <c r="V2336">
        <v>2599.27</v>
      </c>
      <c r="W2336">
        <v>2445.3200000000002</v>
      </c>
      <c r="X2336">
        <v>32518.73</v>
      </c>
      <c r="Y2336">
        <v>24711.040000000001</v>
      </c>
    </row>
    <row r="2337" spans="1:25" x14ac:dyDescent="0.25">
      <c r="A2337" t="s">
        <v>2393</v>
      </c>
      <c r="B2337" s="1">
        <v>45588</v>
      </c>
      <c r="C2337">
        <v>2024</v>
      </c>
      <c r="D2337">
        <v>10</v>
      </c>
      <c r="E2337" t="s">
        <v>1017</v>
      </c>
      <c r="F2337" t="s">
        <v>1018</v>
      </c>
      <c r="G2337" t="s">
        <v>55</v>
      </c>
      <c r="H2337" t="s">
        <v>36</v>
      </c>
      <c r="I2337" t="s">
        <v>45</v>
      </c>
      <c r="J2337">
        <v>29</v>
      </c>
      <c r="K2337">
        <v>1575.41</v>
      </c>
      <c r="L2337">
        <v>45686.94</v>
      </c>
      <c r="M2337">
        <v>30004.67</v>
      </c>
      <c r="N2337">
        <v>3792.93</v>
      </c>
      <c r="O2337">
        <v>3141.34</v>
      </c>
      <c r="P2337">
        <v>802.01</v>
      </c>
      <c r="Q2337">
        <v>615.79</v>
      </c>
      <c r="R2337">
        <v>1531.53</v>
      </c>
      <c r="S2337">
        <v>1136.57</v>
      </c>
      <c r="T2337">
        <v>41024.85</v>
      </c>
      <c r="U2337">
        <v>15682.27</v>
      </c>
      <c r="V2337">
        <v>4662.1000000000004</v>
      </c>
      <c r="W2337">
        <v>4319.37</v>
      </c>
      <c r="X2337">
        <v>42056.77</v>
      </c>
      <c r="Y2337">
        <v>43347.57</v>
      </c>
    </row>
    <row r="2338" spans="1:25" x14ac:dyDescent="0.25">
      <c r="A2338" t="s">
        <v>2394</v>
      </c>
      <c r="B2338" s="1">
        <v>45588</v>
      </c>
      <c r="C2338">
        <v>2024</v>
      </c>
      <c r="D2338">
        <v>10</v>
      </c>
      <c r="E2338" t="s">
        <v>1017</v>
      </c>
      <c r="F2338" t="s">
        <v>1018</v>
      </c>
      <c r="G2338" t="s">
        <v>28</v>
      </c>
      <c r="H2338" t="s">
        <v>32</v>
      </c>
      <c r="I2338" t="s">
        <v>65</v>
      </c>
      <c r="J2338">
        <v>49</v>
      </c>
      <c r="K2338">
        <v>1664.27</v>
      </c>
      <c r="L2338">
        <v>81549.06</v>
      </c>
      <c r="M2338">
        <v>41348.04</v>
      </c>
      <c r="N2338">
        <v>9633.09</v>
      </c>
      <c r="O2338">
        <v>4333.4399999999996</v>
      </c>
      <c r="P2338">
        <v>2804.78</v>
      </c>
      <c r="Q2338">
        <v>1011.25</v>
      </c>
      <c r="R2338">
        <v>3497.78</v>
      </c>
      <c r="S2338">
        <v>1639.42</v>
      </c>
      <c r="T2338">
        <v>64267.8</v>
      </c>
      <c r="U2338">
        <v>40201.01</v>
      </c>
      <c r="V2338">
        <v>17281.259999999998</v>
      </c>
      <c r="W2338">
        <v>16614.63</v>
      </c>
      <c r="X2338">
        <v>80553.5</v>
      </c>
      <c r="Y2338">
        <v>69274.259999999995</v>
      </c>
    </row>
    <row r="2339" spans="1:25" x14ac:dyDescent="0.25">
      <c r="A2339" t="s">
        <v>2395</v>
      </c>
      <c r="B2339" s="1">
        <v>45588</v>
      </c>
      <c r="C2339">
        <v>2024</v>
      </c>
      <c r="D2339">
        <v>10</v>
      </c>
      <c r="E2339" t="s">
        <v>1017</v>
      </c>
      <c r="F2339" t="s">
        <v>1018</v>
      </c>
      <c r="G2339" t="s">
        <v>35</v>
      </c>
      <c r="H2339" t="s">
        <v>32</v>
      </c>
      <c r="I2339" t="s">
        <v>33</v>
      </c>
      <c r="J2339">
        <v>83</v>
      </c>
      <c r="K2339">
        <v>1135.3800000000001</v>
      </c>
      <c r="L2339">
        <v>94236.82</v>
      </c>
      <c r="M2339">
        <v>46107.59</v>
      </c>
      <c r="N2339">
        <v>8236.24</v>
      </c>
      <c r="O2339">
        <v>6660.63</v>
      </c>
      <c r="P2339">
        <v>2149.63</v>
      </c>
      <c r="Q2339">
        <v>1679.04</v>
      </c>
      <c r="R2339">
        <v>5324.36</v>
      </c>
      <c r="S2339">
        <v>1267.57</v>
      </c>
      <c r="T2339">
        <v>71425.06</v>
      </c>
      <c r="U2339">
        <v>48129.23</v>
      </c>
      <c r="V2339">
        <v>22811.759999999998</v>
      </c>
      <c r="W2339">
        <v>22546.62</v>
      </c>
      <c r="X2339">
        <v>92385.94</v>
      </c>
      <c r="Y2339">
        <v>73845.78</v>
      </c>
    </row>
    <row r="2340" spans="1:25" x14ac:dyDescent="0.25">
      <c r="A2340" t="s">
        <v>2396</v>
      </c>
      <c r="B2340" s="1">
        <v>45588</v>
      </c>
      <c r="C2340">
        <v>2024</v>
      </c>
      <c r="D2340">
        <v>10</v>
      </c>
      <c r="E2340" t="s">
        <v>1017</v>
      </c>
      <c r="F2340" t="s">
        <v>1018</v>
      </c>
      <c r="G2340" t="s">
        <v>35</v>
      </c>
      <c r="H2340" t="s">
        <v>32</v>
      </c>
      <c r="I2340" t="s">
        <v>65</v>
      </c>
      <c r="J2340">
        <v>40</v>
      </c>
      <c r="K2340">
        <v>1350.53</v>
      </c>
      <c r="L2340">
        <v>54021.35</v>
      </c>
      <c r="M2340">
        <v>29775.919999999998</v>
      </c>
      <c r="N2340">
        <v>4368.8</v>
      </c>
      <c r="O2340">
        <v>3584.11</v>
      </c>
      <c r="P2340">
        <v>1883.04</v>
      </c>
      <c r="Q2340">
        <v>924.16</v>
      </c>
      <c r="R2340">
        <v>3043.11</v>
      </c>
      <c r="S2340">
        <v>1150.83</v>
      </c>
      <c r="T2340">
        <v>44729.98</v>
      </c>
      <c r="U2340">
        <v>24245.43</v>
      </c>
      <c r="V2340">
        <v>9291.3799999999992</v>
      </c>
      <c r="W2340">
        <v>8604.2999999999993</v>
      </c>
      <c r="X2340">
        <v>59909.01</v>
      </c>
      <c r="Y2340">
        <v>45857.42</v>
      </c>
    </row>
    <row r="2341" spans="1:25" x14ac:dyDescent="0.25">
      <c r="A2341" t="s">
        <v>2397</v>
      </c>
      <c r="B2341" s="1">
        <v>45588</v>
      </c>
      <c r="C2341">
        <v>2024</v>
      </c>
      <c r="D2341">
        <v>10</v>
      </c>
      <c r="E2341" t="s">
        <v>1017</v>
      </c>
      <c r="F2341" t="s">
        <v>1018</v>
      </c>
      <c r="G2341" t="s">
        <v>28</v>
      </c>
      <c r="H2341" t="s">
        <v>32</v>
      </c>
      <c r="I2341" t="s">
        <v>39</v>
      </c>
      <c r="J2341">
        <v>33</v>
      </c>
      <c r="K2341">
        <v>1212.28</v>
      </c>
      <c r="L2341">
        <v>40005.31</v>
      </c>
      <c r="M2341">
        <v>20538.62</v>
      </c>
      <c r="N2341">
        <v>4590.01</v>
      </c>
      <c r="O2341">
        <v>2880.06</v>
      </c>
      <c r="P2341">
        <v>1078.94</v>
      </c>
      <c r="Q2341">
        <v>538.88</v>
      </c>
      <c r="R2341">
        <v>2244.4699999999998</v>
      </c>
      <c r="S2341">
        <v>535.08000000000004</v>
      </c>
      <c r="T2341">
        <v>32406.05</v>
      </c>
      <c r="U2341">
        <v>19466.689999999999</v>
      </c>
      <c r="V2341">
        <v>7599.25</v>
      </c>
      <c r="W2341">
        <v>7447.73</v>
      </c>
      <c r="X2341">
        <v>41977.22</v>
      </c>
      <c r="Y2341">
        <v>31013.7</v>
      </c>
    </row>
    <row r="2342" spans="1:25" x14ac:dyDescent="0.25">
      <c r="A2342" t="s">
        <v>2398</v>
      </c>
      <c r="B2342" s="1">
        <v>45588</v>
      </c>
      <c r="C2342">
        <v>2024</v>
      </c>
      <c r="D2342">
        <v>10</v>
      </c>
      <c r="E2342" t="s">
        <v>1017</v>
      </c>
      <c r="F2342" t="s">
        <v>1018</v>
      </c>
      <c r="G2342" t="s">
        <v>35</v>
      </c>
      <c r="H2342" t="s">
        <v>36</v>
      </c>
      <c r="I2342" t="s">
        <v>39</v>
      </c>
      <c r="J2342">
        <v>45</v>
      </c>
      <c r="K2342">
        <v>859.89</v>
      </c>
      <c r="L2342">
        <v>38694.9</v>
      </c>
      <c r="M2342">
        <v>19780.55</v>
      </c>
      <c r="N2342">
        <v>4332.3900000000003</v>
      </c>
      <c r="O2342">
        <v>1714.31</v>
      </c>
      <c r="P2342">
        <v>1120.75</v>
      </c>
      <c r="Q2342">
        <v>214.35</v>
      </c>
      <c r="R2342">
        <v>2355.17</v>
      </c>
      <c r="S2342">
        <v>575.63</v>
      </c>
      <c r="T2342">
        <v>30093.16</v>
      </c>
      <c r="U2342">
        <v>18914.34</v>
      </c>
      <c r="V2342">
        <v>8601.74</v>
      </c>
      <c r="W2342">
        <v>8402.64</v>
      </c>
      <c r="X2342">
        <v>36380.080000000002</v>
      </c>
      <c r="Y2342">
        <v>30928.11</v>
      </c>
    </row>
    <row r="2343" spans="1:25" x14ac:dyDescent="0.25">
      <c r="A2343" t="s">
        <v>2399</v>
      </c>
      <c r="B2343" s="1">
        <v>45588</v>
      </c>
      <c r="C2343">
        <v>2024</v>
      </c>
      <c r="D2343">
        <v>10</v>
      </c>
      <c r="E2343" t="s">
        <v>1017</v>
      </c>
      <c r="F2343" t="s">
        <v>1018</v>
      </c>
      <c r="G2343" t="s">
        <v>55</v>
      </c>
      <c r="H2343" t="s">
        <v>53</v>
      </c>
      <c r="I2343" t="s">
        <v>65</v>
      </c>
      <c r="J2343">
        <v>39</v>
      </c>
      <c r="K2343">
        <v>1447.22</v>
      </c>
      <c r="L2343">
        <v>56441.47</v>
      </c>
      <c r="M2343">
        <v>37984.480000000003</v>
      </c>
      <c r="N2343">
        <v>4665.1000000000004</v>
      </c>
      <c r="O2343">
        <v>4082.46</v>
      </c>
      <c r="P2343">
        <v>2441.16</v>
      </c>
      <c r="Q2343">
        <v>959.22</v>
      </c>
      <c r="R2343">
        <v>3617.86</v>
      </c>
      <c r="S2343">
        <v>631.36</v>
      </c>
      <c r="T2343">
        <v>54381.64</v>
      </c>
      <c r="U2343">
        <v>18456.98</v>
      </c>
      <c r="V2343">
        <v>2059.8200000000002</v>
      </c>
      <c r="W2343">
        <v>1904.4</v>
      </c>
      <c r="X2343">
        <v>62106.99</v>
      </c>
      <c r="Y2343">
        <v>53029.77</v>
      </c>
    </row>
    <row r="2344" spans="1:25" x14ac:dyDescent="0.25">
      <c r="A2344" t="s">
        <v>2400</v>
      </c>
      <c r="B2344" s="1">
        <v>45588</v>
      </c>
      <c r="C2344">
        <v>2024</v>
      </c>
      <c r="D2344">
        <v>10</v>
      </c>
      <c r="E2344" t="s">
        <v>1017</v>
      </c>
      <c r="F2344" t="s">
        <v>1018</v>
      </c>
      <c r="G2344" t="s">
        <v>55</v>
      </c>
      <c r="H2344" t="s">
        <v>32</v>
      </c>
      <c r="I2344" t="s">
        <v>39</v>
      </c>
      <c r="J2344">
        <v>68</v>
      </c>
      <c r="K2344">
        <v>1024.06</v>
      </c>
      <c r="L2344">
        <v>69636.36</v>
      </c>
      <c r="M2344">
        <v>37742.550000000003</v>
      </c>
      <c r="N2344">
        <v>8009.94</v>
      </c>
      <c r="O2344">
        <v>3959.72</v>
      </c>
      <c r="P2344">
        <v>1081.77</v>
      </c>
      <c r="Q2344">
        <v>1192.17</v>
      </c>
      <c r="R2344">
        <v>3048.87</v>
      </c>
      <c r="S2344">
        <v>834.99</v>
      </c>
      <c r="T2344">
        <v>55870.01</v>
      </c>
      <c r="U2344">
        <v>31893.81</v>
      </c>
      <c r="V2344">
        <v>13766.36</v>
      </c>
      <c r="W2344">
        <v>12249.18</v>
      </c>
      <c r="X2344">
        <v>67975.75</v>
      </c>
      <c r="Y2344">
        <v>57196.76</v>
      </c>
    </row>
    <row r="2345" spans="1:25" x14ac:dyDescent="0.25">
      <c r="A2345" t="s">
        <v>2401</v>
      </c>
      <c r="B2345" s="1">
        <v>45588</v>
      </c>
      <c r="C2345">
        <v>2024</v>
      </c>
      <c r="D2345">
        <v>10</v>
      </c>
      <c r="E2345" t="s">
        <v>1017</v>
      </c>
      <c r="F2345" t="s">
        <v>1018</v>
      </c>
      <c r="G2345" t="s">
        <v>55</v>
      </c>
      <c r="H2345" t="s">
        <v>32</v>
      </c>
      <c r="I2345" t="s">
        <v>39</v>
      </c>
      <c r="J2345">
        <v>37</v>
      </c>
      <c r="K2345">
        <v>1673.66</v>
      </c>
      <c r="L2345">
        <v>61925.36</v>
      </c>
      <c r="M2345">
        <v>41477.97</v>
      </c>
      <c r="N2345">
        <v>6431.72</v>
      </c>
      <c r="O2345">
        <v>2143.83</v>
      </c>
      <c r="P2345">
        <v>1440.05</v>
      </c>
      <c r="Q2345">
        <v>607.66</v>
      </c>
      <c r="R2345">
        <v>1796.8</v>
      </c>
      <c r="S2345">
        <v>1422.55</v>
      </c>
      <c r="T2345">
        <v>55320.59</v>
      </c>
      <c r="U2345">
        <v>20447.39</v>
      </c>
      <c r="V2345">
        <v>6604.77</v>
      </c>
      <c r="W2345">
        <v>6591.53</v>
      </c>
      <c r="X2345">
        <v>67934.11</v>
      </c>
      <c r="Y2345">
        <v>59504.14</v>
      </c>
    </row>
    <row r="2346" spans="1:25" x14ac:dyDescent="0.25">
      <c r="A2346" t="s">
        <v>2402</v>
      </c>
      <c r="B2346" s="1">
        <v>45588</v>
      </c>
      <c r="C2346">
        <v>2024</v>
      </c>
      <c r="D2346">
        <v>10</v>
      </c>
      <c r="E2346" t="s">
        <v>1017</v>
      </c>
      <c r="F2346" t="s">
        <v>1018</v>
      </c>
      <c r="G2346" t="s">
        <v>55</v>
      </c>
      <c r="H2346" t="s">
        <v>36</v>
      </c>
      <c r="I2346" t="s">
        <v>56</v>
      </c>
      <c r="J2346">
        <v>19</v>
      </c>
      <c r="K2346">
        <v>1731.06</v>
      </c>
      <c r="L2346">
        <v>32890.17</v>
      </c>
      <c r="M2346">
        <v>18273.34</v>
      </c>
      <c r="N2346">
        <v>2749.26</v>
      </c>
      <c r="O2346">
        <v>1555.72</v>
      </c>
      <c r="P2346">
        <v>532.75</v>
      </c>
      <c r="Q2346">
        <v>532.83000000000004</v>
      </c>
      <c r="R2346">
        <v>903.47</v>
      </c>
      <c r="S2346">
        <v>693.54</v>
      </c>
      <c r="T2346">
        <v>25240.91</v>
      </c>
      <c r="U2346">
        <v>14616.82</v>
      </c>
      <c r="V2346">
        <v>7649.26</v>
      </c>
      <c r="W2346">
        <v>7261.48</v>
      </c>
      <c r="X2346">
        <v>30938.3</v>
      </c>
      <c r="Y2346">
        <v>24642.43</v>
      </c>
    </row>
    <row r="2347" spans="1:25" x14ac:dyDescent="0.25">
      <c r="A2347" t="s">
        <v>2403</v>
      </c>
      <c r="B2347" s="1">
        <v>45589</v>
      </c>
      <c r="C2347">
        <v>2024</v>
      </c>
      <c r="D2347">
        <v>10</v>
      </c>
      <c r="E2347" t="s">
        <v>1017</v>
      </c>
      <c r="F2347" t="s">
        <v>1018</v>
      </c>
      <c r="G2347" t="s">
        <v>28</v>
      </c>
      <c r="H2347" t="s">
        <v>32</v>
      </c>
      <c r="I2347" t="s">
        <v>30</v>
      </c>
      <c r="J2347">
        <v>75</v>
      </c>
      <c r="K2347">
        <v>1645.57</v>
      </c>
      <c r="L2347">
        <v>123418.08</v>
      </c>
      <c r="M2347">
        <v>77052.259999999995</v>
      </c>
      <c r="N2347">
        <v>15217.52</v>
      </c>
      <c r="O2347">
        <v>5191.83</v>
      </c>
      <c r="P2347">
        <v>2358.98</v>
      </c>
      <c r="Q2347">
        <v>820.93</v>
      </c>
      <c r="R2347">
        <v>3339.99</v>
      </c>
      <c r="S2347">
        <v>1436.92</v>
      </c>
      <c r="T2347">
        <v>105418.44</v>
      </c>
      <c r="U2347">
        <v>46365.82</v>
      </c>
      <c r="V2347">
        <v>17999.650000000001</v>
      </c>
      <c r="W2347">
        <v>17212.099999999999</v>
      </c>
      <c r="X2347">
        <v>128309.49</v>
      </c>
      <c r="Y2347">
        <v>98228.86</v>
      </c>
    </row>
    <row r="2348" spans="1:25" x14ac:dyDescent="0.25">
      <c r="A2348" t="s">
        <v>2404</v>
      </c>
      <c r="B2348" s="1">
        <v>45589</v>
      </c>
      <c r="C2348">
        <v>2024</v>
      </c>
      <c r="D2348">
        <v>10</v>
      </c>
      <c r="E2348" t="s">
        <v>1017</v>
      </c>
      <c r="F2348" t="s">
        <v>1018</v>
      </c>
      <c r="G2348" t="s">
        <v>55</v>
      </c>
      <c r="H2348" t="s">
        <v>32</v>
      </c>
      <c r="I2348" t="s">
        <v>39</v>
      </c>
      <c r="J2348">
        <v>52</v>
      </c>
      <c r="K2348">
        <v>1214.9000000000001</v>
      </c>
      <c r="L2348">
        <v>63175.05</v>
      </c>
      <c r="M2348">
        <v>37453.33</v>
      </c>
      <c r="N2348">
        <v>7107.36</v>
      </c>
      <c r="O2348">
        <v>4589.16</v>
      </c>
      <c r="P2348">
        <v>2725.32</v>
      </c>
      <c r="Q2348">
        <v>440.19</v>
      </c>
      <c r="R2348">
        <v>1722.13</v>
      </c>
      <c r="S2348">
        <v>1080.3</v>
      </c>
      <c r="T2348">
        <v>55117.79</v>
      </c>
      <c r="U2348">
        <v>25721.72</v>
      </c>
      <c r="V2348">
        <v>8057.27</v>
      </c>
      <c r="W2348">
        <v>7991.22</v>
      </c>
      <c r="X2348">
        <v>66822.490000000005</v>
      </c>
      <c r="Y2348">
        <v>58603.51</v>
      </c>
    </row>
    <row r="2349" spans="1:25" x14ac:dyDescent="0.25">
      <c r="A2349" t="s">
        <v>2405</v>
      </c>
      <c r="B2349" s="1">
        <v>45589</v>
      </c>
      <c r="C2349">
        <v>2024</v>
      </c>
      <c r="D2349">
        <v>10</v>
      </c>
      <c r="E2349" t="s">
        <v>1017</v>
      </c>
      <c r="F2349" t="s">
        <v>1018</v>
      </c>
      <c r="G2349" t="s">
        <v>55</v>
      </c>
      <c r="H2349" t="s">
        <v>29</v>
      </c>
      <c r="I2349" t="s">
        <v>50</v>
      </c>
      <c r="J2349">
        <v>67</v>
      </c>
      <c r="K2349">
        <v>1033.32</v>
      </c>
      <c r="L2349">
        <v>69232.460000000006</v>
      </c>
      <c r="M2349">
        <v>37844.15</v>
      </c>
      <c r="N2349">
        <v>5025.8999999999996</v>
      </c>
      <c r="O2349">
        <v>4642.7700000000004</v>
      </c>
      <c r="P2349">
        <v>2762.24</v>
      </c>
      <c r="Q2349">
        <v>1071.55</v>
      </c>
      <c r="R2349">
        <v>2011.67</v>
      </c>
      <c r="S2349">
        <v>989.38</v>
      </c>
      <c r="T2349">
        <v>54347.67</v>
      </c>
      <c r="U2349">
        <v>31388.3</v>
      </c>
      <c r="V2349">
        <v>14884.79</v>
      </c>
      <c r="W2349">
        <v>13576.9</v>
      </c>
      <c r="X2349">
        <v>72260.92</v>
      </c>
      <c r="Y2349">
        <v>53440.21</v>
      </c>
    </row>
    <row r="2350" spans="1:25" x14ac:dyDescent="0.25">
      <c r="A2350" t="s">
        <v>2406</v>
      </c>
      <c r="B2350" s="1">
        <v>45590</v>
      </c>
      <c r="C2350">
        <v>2024</v>
      </c>
      <c r="D2350">
        <v>10</v>
      </c>
      <c r="E2350" t="s">
        <v>1017</v>
      </c>
      <c r="F2350" t="s">
        <v>1018</v>
      </c>
      <c r="G2350" t="s">
        <v>55</v>
      </c>
      <c r="H2350" t="s">
        <v>58</v>
      </c>
      <c r="I2350" t="s">
        <v>50</v>
      </c>
      <c r="J2350">
        <v>36</v>
      </c>
      <c r="K2350">
        <v>1588.22</v>
      </c>
      <c r="L2350">
        <v>57175.76</v>
      </c>
      <c r="M2350">
        <v>34288.07</v>
      </c>
      <c r="N2350">
        <v>5980.12</v>
      </c>
      <c r="O2350">
        <v>3681.8</v>
      </c>
      <c r="P2350">
        <v>2560.58</v>
      </c>
      <c r="Q2350">
        <v>297.69</v>
      </c>
      <c r="R2350">
        <v>3554.39</v>
      </c>
      <c r="S2350">
        <v>1341.9</v>
      </c>
      <c r="T2350">
        <v>51704.54</v>
      </c>
      <c r="U2350">
        <v>22887.7</v>
      </c>
      <c r="V2350">
        <v>5471.22</v>
      </c>
      <c r="W2350">
        <v>5574.7</v>
      </c>
      <c r="X2350">
        <v>55654.05</v>
      </c>
      <c r="Y2350">
        <v>50092.59</v>
      </c>
    </row>
    <row r="2351" spans="1:25" x14ac:dyDescent="0.25">
      <c r="A2351" t="s">
        <v>2407</v>
      </c>
      <c r="B2351" s="1">
        <v>45590</v>
      </c>
      <c r="C2351">
        <v>2024</v>
      </c>
      <c r="D2351">
        <v>10</v>
      </c>
      <c r="E2351" t="s">
        <v>1017</v>
      </c>
      <c r="F2351" t="s">
        <v>1018</v>
      </c>
      <c r="G2351" t="s">
        <v>28</v>
      </c>
      <c r="H2351" t="s">
        <v>32</v>
      </c>
      <c r="I2351" t="s">
        <v>37</v>
      </c>
      <c r="J2351">
        <v>87</v>
      </c>
      <c r="K2351">
        <v>836.89</v>
      </c>
      <c r="L2351">
        <v>72809.58</v>
      </c>
      <c r="M2351">
        <v>39064.550000000003</v>
      </c>
      <c r="N2351">
        <v>7805.07</v>
      </c>
      <c r="O2351">
        <v>5081.59</v>
      </c>
      <c r="P2351">
        <v>1896.6</v>
      </c>
      <c r="Q2351">
        <v>763.4</v>
      </c>
      <c r="R2351">
        <v>3240.98</v>
      </c>
      <c r="S2351">
        <v>616.46</v>
      </c>
      <c r="T2351">
        <v>58468.639999999999</v>
      </c>
      <c r="U2351">
        <v>33745.03</v>
      </c>
      <c r="V2351">
        <v>14340.94</v>
      </c>
      <c r="W2351">
        <v>12824.61</v>
      </c>
      <c r="X2351">
        <v>78374.429999999993</v>
      </c>
      <c r="Y2351">
        <v>60123.25</v>
      </c>
    </row>
    <row r="2352" spans="1:25" x14ac:dyDescent="0.25">
      <c r="A2352" t="s">
        <v>2408</v>
      </c>
      <c r="B2352" s="1">
        <v>45590</v>
      </c>
      <c r="C2352">
        <v>2024</v>
      </c>
      <c r="D2352">
        <v>10</v>
      </c>
      <c r="E2352" t="s">
        <v>1017</v>
      </c>
      <c r="F2352" t="s">
        <v>1018</v>
      </c>
      <c r="G2352" t="s">
        <v>28</v>
      </c>
      <c r="H2352" t="s">
        <v>36</v>
      </c>
      <c r="I2352" t="s">
        <v>30</v>
      </c>
      <c r="J2352">
        <v>42</v>
      </c>
      <c r="K2352">
        <v>1776.12</v>
      </c>
      <c r="L2352">
        <v>74597.2</v>
      </c>
      <c r="M2352">
        <v>39246.71</v>
      </c>
      <c r="N2352">
        <v>9398.7000000000007</v>
      </c>
      <c r="O2352">
        <v>4617.76</v>
      </c>
      <c r="P2352">
        <v>2296.1</v>
      </c>
      <c r="Q2352">
        <v>640.04</v>
      </c>
      <c r="R2352">
        <v>3056</v>
      </c>
      <c r="S2352">
        <v>1285.46</v>
      </c>
      <c r="T2352">
        <v>60540.76</v>
      </c>
      <c r="U2352">
        <v>35350.49</v>
      </c>
      <c r="V2352">
        <v>14056.44</v>
      </c>
      <c r="W2352">
        <v>13795.87</v>
      </c>
      <c r="X2352">
        <v>72132.73</v>
      </c>
      <c r="Y2352">
        <v>64442.53</v>
      </c>
    </row>
    <row r="2353" spans="1:25" x14ac:dyDescent="0.25">
      <c r="A2353" t="s">
        <v>2409</v>
      </c>
      <c r="B2353" s="1">
        <v>45590</v>
      </c>
      <c r="C2353">
        <v>2024</v>
      </c>
      <c r="D2353">
        <v>10</v>
      </c>
      <c r="E2353" t="s">
        <v>1017</v>
      </c>
      <c r="F2353" t="s">
        <v>1018</v>
      </c>
      <c r="G2353" t="s">
        <v>55</v>
      </c>
      <c r="H2353" t="s">
        <v>32</v>
      </c>
      <c r="I2353" t="s">
        <v>39</v>
      </c>
      <c r="J2353">
        <v>44</v>
      </c>
      <c r="K2353">
        <v>1339.36</v>
      </c>
      <c r="L2353">
        <v>58931.75</v>
      </c>
      <c r="M2353">
        <v>30921.14</v>
      </c>
      <c r="N2353">
        <v>7619.69</v>
      </c>
      <c r="O2353">
        <v>2372.08</v>
      </c>
      <c r="P2353">
        <v>966.65</v>
      </c>
      <c r="Q2353">
        <v>831.07</v>
      </c>
      <c r="R2353">
        <v>2961.92</v>
      </c>
      <c r="S2353">
        <v>1410.56</v>
      </c>
      <c r="T2353">
        <v>47083.12</v>
      </c>
      <c r="U2353">
        <v>28010.61</v>
      </c>
      <c r="V2353">
        <v>11848.64</v>
      </c>
      <c r="W2353">
        <v>11785.55</v>
      </c>
      <c r="X2353">
        <v>63738.39</v>
      </c>
      <c r="Y2353">
        <v>49365.7</v>
      </c>
    </row>
    <row r="2354" spans="1:25" x14ac:dyDescent="0.25">
      <c r="A2354" t="s">
        <v>2410</v>
      </c>
      <c r="B2354" s="1">
        <v>45590</v>
      </c>
      <c r="C2354">
        <v>2024</v>
      </c>
      <c r="D2354">
        <v>10</v>
      </c>
      <c r="E2354" t="s">
        <v>1017</v>
      </c>
      <c r="F2354" t="s">
        <v>1018</v>
      </c>
      <c r="G2354" t="s">
        <v>55</v>
      </c>
      <c r="H2354" t="s">
        <v>36</v>
      </c>
      <c r="I2354" t="s">
        <v>65</v>
      </c>
      <c r="J2354">
        <v>45</v>
      </c>
      <c r="K2354">
        <v>1135.43</v>
      </c>
      <c r="L2354">
        <v>51094.559999999998</v>
      </c>
      <c r="M2354">
        <v>31099.22</v>
      </c>
      <c r="N2354">
        <v>5943.68</v>
      </c>
      <c r="O2354">
        <v>2330.5700000000002</v>
      </c>
      <c r="P2354">
        <v>1849.29</v>
      </c>
      <c r="Q2354">
        <v>911.4</v>
      </c>
      <c r="R2354">
        <v>2463.6</v>
      </c>
      <c r="S2354">
        <v>800.63</v>
      </c>
      <c r="T2354">
        <v>45398.38</v>
      </c>
      <c r="U2354">
        <v>19995.349999999999</v>
      </c>
      <c r="V2354">
        <v>5696.18</v>
      </c>
      <c r="W2354">
        <v>5726.9</v>
      </c>
      <c r="X2354">
        <v>50309.73</v>
      </c>
      <c r="Y2354">
        <v>48418.51</v>
      </c>
    </row>
    <row r="2355" spans="1:25" x14ac:dyDescent="0.25">
      <c r="A2355" t="s">
        <v>2411</v>
      </c>
      <c r="B2355" s="1">
        <v>45590</v>
      </c>
      <c r="C2355">
        <v>2024</v>
      </c>
      <c r="D2355">
        <v>10</v>
      </c>
      <c r="E2355" t="s">
        <v>1017</v>
      </c>
      <c r="F2355" t="s">
        <v>1018</v>
      </c>
      <c r="G2355" t="s">
        <v>35</v>
      </c>
      <c r="H2355" t="s">
        <v>32</v>
      </c>
      <c r="I2355" t="s">
        <v>56</v>
      </c>
      <c r="J2355">
        <v>27</v>
      </c>
      <c r="K2355">
        <v>1333.84</v>
      </c>
      <c r="L2355">
        <v>36013.57</v>
      </c>
      <c r="M2355">
        <v>18127.46</v>
      </c>
      <c r="N2355">
        <v>4542.8</v>
      </c>
      <c r="O2355">
        <v>945.65</v>
      </c>
      <c r="P2355">
        <v>772.2</v>
      </c>
      <c r="Q2355">
        <v>205.57</v>
      </c>
      <c r="R2355">
        <v>1140.73</v>
      </c>
      <c r="S2355">
        <v>784.66</v>
      </c>
      <c r="T2355">
        <v>26519.07</v>
      </c>
      <c r="U2355">
        <v>17886.11</v>
      </c>
      <c r="V2355">
        <v>9494.5</v>
      </c>
      <c r="W2355">
        <v>9373</v>
      </c>
      <c r="X2355">
        <v>36990.879999999997</v>
      </c>
      <c r="Y2355">
        <v>28313.46</v>
      </c>
    </row>
    <row r="2356" spans="1:25" x14ac:dyDescent="0.25">
      <c r="A2356" t="s">
        <v>2412</v>
      </c>
      <c r="B2356" s="1">
        <v>45591</v>
      </c>
      <c r="C2356">
        <v>2024</v>
      </c>
      <c r="D2356">
        <v>10</v>
      </c>
      <c r="E2356" t="s">
        <v>1017</v>
      </c>
      <c r="F2356" t="s">
        <v>1018</v>
      </c>
      <c r="G2356" t="s">
        <v>28</v>
      </c>
      <c r="H2356" t="s">
        <v>32</v>
      </c>
      <c r="I2356" t="s">
        <v>39</v>
      </c>
      <c r="J2356">
        <v>38</v>
      </c>
      <c r="K2356">
        <v>1648.57</v>
      </c>
      <c r="L2356">
        <v>62645.58</v>
      </c>
      <c r="M2356">
        <v>35381.51</v>
      </c>
      <c r="N2356">
        <v>5204.78</v>
      </c>
      <c r="O2356">
        <v>4444.51</v>
      </c>
      <c r="P2356">
        <v>2283.27</v>
      </c>
      <c r="Q2356">
        <v>637.82000000000005</v>
      </c>
      <c r="R2356">
        <v>1770.29</v>
      </c>
      <c r="S2356">
        <v>631.46</v>
      </c>
      <c r="T2356">
        <v>50353.63</v>
      </c>
      <c r="U2356">
        <v>27264.07</v>
      </c>
      <c r="V2356">
        <v>12291.95</v>
      </c>
      <c r="W2356">
        <v>11632.95</v>
      </c>
      <c r="X2356">
        <v>66931.09</v>
      </c>
      <c r="Y2356">
        <v>48150.77</v>
      </c>
    </row>
    <row r="2357" spans="1:25" x14ac:dyDescent="0.25">
      <c r="A2357" t="s">
        <v>2413</v>
      </c>
      <c r="B2357" s="1">
        <v>45591</v>
      </c>
      <c r="C2357">
        <v>2024</v>
      </c>
      <c r="D2357">
        <v>10</v>
      </c>
      <c r="E2357" t="s">
        <v>1017</v>
      </c>
      <c r="F2357" t="s">
        <v>1018</v>
      </c>
      <c r="G2357" t="s">
        <v>35</v>
      </c>
      <c r="H2357" t="s">
        <v>58</v>
      </c>
      <c r="I2357" t="s">
        <v>45</v>
      </c>
      <c r="J2357">
        <v>22</v>
      </c>
      <c r="K2357">
        <v>1388.03</v>
      </c>
      <c r="L2357">
        <v>30536.62</v>
      </c>
      <c r="M2357">
        <v>19935.75</v>
      </c>
      <c r="N2357">
        <v>3345.32</v>
      </c>
      <c r="O2357">
        <v>1182.8</v>
      </c>
      <c r="P2357">
        <v>631.30999999999995</v>
      </c>
      <c r="Q2357">
        <v>202.53</v>
      </c>
      <c r="R2357">
        <v>1507.83</v>
      </c>
      <c r="S2357">
        <v>310.02</v>
      </c>
      <c r="T2357">
        <v>27115.57</v>
      </c>
      <c r="U2357">
        <v>10600.87</v>
      </c>
      <c r="V2357">
        <v>3421.05</v>
      </c>
      <c r="W2357">
        <v>3335.89</v>
      </c>
      <c r="X2357">
        <v>33230.730000000003</v>
      </c>
      <c r="Y2357">
        <v>26427.48</v>
      </c>
    </row>
    <row r="2358" spans="1:25" x14ac:dyDescent="0.25">
      <c r="A2358" t="s">
        <v>2414</v>
      </c>
      <c r="B2358" s="1">
        <v>45591</v>
      </c>
      <c r="C2358">
        <v>2024</v>
      </c>
      <c r="D2358">
        <v>10</v>
      </c>
      <c r="E2358" t="s">
        <v>1017</v>
      </c>
      <c r="F2358" t="s">
        <v>1018</v>
      </c>
      <c r="G2358" t="s">
        <v>44</v>
      </c>
      <c r="H2358" t="s">
        <v>29</v>
      </c>
      <c r="I2358" t="s">
        <v>56</v>
      </c>
      <c r="J2358">
        <v>20</v>
      </c>
      <c r="K2358">
        <v>1563.37</v>
      </c>
      <c r="L2358">
        <v>31267.33</v>
      </c>
      <c r="M2358">
        <v>18218.89</v>
      </c>
      <c r="N2358">
        <v>3592.56</v>
      </c>
      <c r="O2358">
        <v>1996.48</v>
      </c>
      <c r="P2358">
        <v>778.21</v>
      </c>
      <c r="Q2358">
        <v>275.04000000000002</v>
      </c>
      <c r="R2358">
        <v>1691.69</v>
      </c>
      <c r="S2358">
        <v>747.28</v>
      </c>
      <c r="T2358">
        <v>27300.15</v>
      </c>
      <c r="U2358">
        <v>13048.44</v>
      </c>
      <c r="V2358">
        <v>3967.18</v>
      </c>
      <c r="W2358">
        <v>3541.24</v>
      </c>
      <c r="X2358">
        <v>31259.119999999999</v>
      </c>
      <c r="Y2358">
        <v>26194.91</v>
      </c>
    </row>
    <row r="2359" spans="1:25" x14ac:dyDescent="0.25">
      <c r="A2359" t="s">
        <v>2415</v>
      </c>
      <c r="B2359" s="1">
        <v>45592</v>
      </c>
      <c r="C2359">
        <v>2024</v>
      </c>
      <c r="D2359">
        <v>10</v>
      </c>
      <c r="E2359" t="s">
        <v>1017</v>
      </c>
      <c r="F2359" t="s">
        <v>1018</v>
      </c>
      <c r="G2359" t="s">
        <v>44</v>
      </c>
      <c r="H2359" t="s">
        <v>58</v>
      </c>
      <c r="I2359" t="s">
        <v>39</v>
      </c>
      <c r="J2359">
        <v>31</v>
      </c>
      <c r="K2359">
        <v>978.85</v>
      </c>
      <c r="L2359">
        <v>30344.49</v>
      </c>
      <c r="M2359">
        <v>17828.47</v>
      </c>
      <c r="N2359">
        <v>3078.92</v>
      </c>
      <c r="O2359">
        <v>836.6</v>
      </c>
      <c r="P2359">
        <v>883.51</v>
      </c>
      <c r="Q2359">
        <v>540.75</v>
      </c>
      <c r="R2359">
        <v>1158.27</v>
      </c>
      <c r="S2359">
        <v>461.05</v>
      </c>
      <c r="T2359">
        <v>24787.56</v>
      </c>
      <c r="U2359">
        <v>12516.02</v>
      </c>
      <c r="V2359">
        <v>5556.93</v>
      </c>
      <c r="W2359">
        <v>5607.75</v>
      </c>
      <c r="X2359">
        <v>30090.86</v>
      </c>
      <c r="Y2359">
        <v>26408.05</v>
      </c>
    </row>
    <row r="2360" spans="1:25" x14ac:dyDescent="0.25">
      <c r="A2360" t="s">
        <v>2416</v>
      </c>
      <c r="B2360" s="1">
        <v>45592</v>
      </c>
      <c r="C2360">
        <v>2024</v>
      </c>
      <c r="D2360">
        <v>10</v>
      </c>
      <c r="E2360" t="s">
        <v>1017</v>
      </c>
      <c r="F2360" t="s">
        <v>1018</v>
      </c>
      <c r="G2360" t="s">
        <v>55</v>
      </c>
      <c r="H2360" t="s">
        <v>58</v>
      </c>
      <c r="I2360" t="s">
        <v>50</v>
      </c>
      <c r="J2360">
        <v>38</v>
      </c>
      <c r="K2360">
        <v>1614.51</v>
      </c>
      <c r="L2360">
        <v>61351.22</v>
      </c>
      <c r="M2360">
        <v>32822.480000000003</v>
      </c>
      <c r="N2360">
        <v>6671.46</v>
      </c>
      <c r="O2360">
        <v>1586.13</v>
      </c>
      <c r="P2360">
        <v>2484.38</v>
      </c>
      <c r="Q2360">
        <v>391.03</v>
      </c>
      <c r="R2360">
        <v>3424.2</v>
      </c>
      <c r="S2360">
        <v>969.87</v>
      </c>
      <c r="T2360">
        <v>48349.56</v>
      </c>
      <c r="U2360">
        <v>28528.74</v>
      </c>
      <c r="V2360">
        <v>13001.66</v>
      </c>
      <c r="W2360">
        <v>11779.34</v>
      </c>
      <c r="X2360">
        <v>64865.760000000002</v>
      </c>
      <c r="Y2360">
        <v>47278.51</v>
      </c>
    </row>
    <row r="2361" spans="1:25" x14ac:dyDescent="0.25">
      <c r="A2361" t="s">
        <v>2417</v>
      </c>
      <c r="B2361" s="1">
        <v>45592</v>
      </c>
      <c r="C2361">
        <v>2024</v>
      </c>
      <c r="D2361">
        <v>10</v>
      </c>
      <c r="E2361" t="s">
        <v>1017</v>
      </c>
      <c r="F2361" t="s">
        <v>1018</v>
      </c>
      <c r="G2361" t="s">
        <v>35</v>
      </c>
      <c r="H2361" t="s">
        <v>58</v>
      </c>
      <c r="I2361" t="s">
        <v>56</v>
      </c>
      <c r="J2361">
        <v>14</v>
      </c>
      <c r="K2361">
        <v>1650.9</v>
      </c>
      <c r="L2361">
        <v>23112.639999999999</v>
      </c>
      <c r="M2361">
        <v>12322.86</v>
      </c>
      <c r="N2361">
        <v>2514.39</v>
      </c>
      <c r="O2361">
        <v>845.99</v>
      </c>
      <c r="P2361">
        <v>785.92</v>
      </c>
      <c r="Q2361">
        <v>399.54</v>
      </c>
      <c r="R2361">
        <v>585.4</v>
      </c>
      <c r="S2361">
        <v>410.57</v>
      </c>
      <c r="T2361">
        <v>17864.669999999998</v>
      </c>
      <c r="U2361">
        <v>10789.78</v>
      </c>
      <c r="V2361">
        <v>5247.97</v>
      </c>
      <c r="W2361">
        <v>4928.71</v>
      </c>
      <c r="X2361">
        <v>25198.28</v>
      </c>
      <c r="Y2361">
        <v>16892.07</v>
      </c>
    </row>
    <row r="2362" spans="1:25" x14ac:dyDescent="0.25">
      <c r="A2362" t="s">
        <v>2418</v>
      </c>
      <c r="B2362" s="1">
        <v>45592</v>
      </c>
      <c r="C2362">
        <v>2024</v>
      </c>
      <c r="D2362">
        <v>10</v>
      </c>
      <c r="E2362" t="s">
        <v>1017</v>
      </c>
      <c r="F2362" t="s">
        <v>1018</v>
      </c>
      <c r="G2362" t="s">
        <v>44</v>
      </c>
      <c r="H2362" t="s">
        <v>36</v>
      </c>
      <c r="I2362" t="s">
        <v>33</v>
      </c>
      <c r="J2362">
        <v>62</v>
      </c>
      <c r="K2362">
        <v>1251.8800000000001</v>
      </c>
      <c r="L2362">
        <v>77616.56</v>
      </c>
      <c r="M2362">
        <v>50165.75</v>
      </c>
      <c r="N2362">
        <v>8691.4500000000007</v>
      </c>
      <c r="O2362">
        <v>1960.16</v>
      </c>
      <c r="P2362">
        <v>2168.83</v>
      </c>
      <c r="Q2362">
        <v>1154.96</v>
      </c>
      <c r="R2362">
        <v>4382.71</v>
      </c>
      <c r="S2362">
        <v>842.54</v>
      </c>
      <c r="T2362">
        <v>69366.399999999994</v>
      </c>
      <c r="U2362">
        <v>27450.81</v>
      </c>
      <c r="V2362">
        <v>8250.16</v>
      </c>
      <c r="W2362">
        <v>8044.96</v>
      </c>
      <c r="X2362">
        <v>77403.41</v>
      </c>
      <c r="Y2362">
        <v>70591.490000000005</v>
      </c>
    </row>
    <row r="2363" spans="1:25" x14ac:dyDescent="0.25">
      <c r="A2363" t="s">
        <v>2419</v>
      </c>
      <c r="B2363" s="1">
        <v>45593</v>
      </c>
      <c r="C2363">
        <v>2024</v>
      </c>
      <c r="D2363">
        <v>10</v>
      </c>
      <c r="E2363" t="s">
        <v>1017</v>
      </c>
      <c r="F2363" t="s">
        <v>1018</v>
      </c>
      <c r="G2363" t="s">
        <v>28</v>
      </c>
      <c r="H2363" t="s">
        <v>58</v>
      </c>
      <c r="I2363" t="s">
        <v>65</v>
      </c>
      <c r="J2363">
        <v>27</v>
      </c>
      <c r="K2363">
        <v>1794.39</v>
      </c>
      <c r="L2363">
        <v>48448.56</v>
      </c>
      <c r="M2363">
        <v>26021.8</v>
      </c>
      <c r="N2363">
        <v>4568.5</v>
      </c>
      <c r="O2363">
        <v>2055.09</v>
      </c>
      <c r="P2363">
        <v>1514.69</v>
      </c>
      <c r="Q2363">
        <v>495.01</v>
      </c>
      <c r="R2363">
        <v>2321.9299999999998</v>
      </c>
      <c r="S2363">
        <v>963.52</v>
      </c>
      <c r="T2363">
        <v>37940.54</v>
      </c>
      <c r="U2363">
        <v>22426.76</v>
      </c>
      <c r="V2363">
        <v>10508.02</v>
      </c>
      <c r="W2363">
        <v>9547.4599999999991</v>
      </c>
      <c r="X2363">
        <v>48998.35</v>
      </c>
      <c r="Y2363">
        <v>40855.85</v>
      </c>
    </row>
    <row r="2364" spans="1:25" x14ac:dyDescent="0.25">
      <c r="A2364" t="s">
        <v>2420</v>
      </c>
      <c r="B2364" s="1">
        <v>45593</v>
      </c>
      <c r="C2364">
        <v>2024</v>
      </c>
      <c r="D2364">
        <v>10</v>
      </c>
      <c r="E2364" t="s">
        <v>1017</v>
      </c>
      <c r="F2364" t="s">
        <v>1018</v>
      </c>
      <c r="G2364" t="s">
        <v>28</v>
      </c>
      <c r="H2364" t="s">
        <v>29</v>
      </c>
      <c r="I2364" t="s">
        <v>33</v>
      </c>
      <c r="J2364">
        <v>101</v>
      </c>
      <c r="K2364">
        <v>1025.46</v>
      </c>
      <c r="L2364">
        <v>103571.81</v>
      </c>
      <c r="M2364">
        <v>66815.509999999995</v>
      </c>
      <c r="N2364">
        <v>12455.73</v>
      </c>
      <c r="O2364">
        <v>3912.22</v>
      </c>
      <c r="P2364">
        <v>3212.56</v>
      </c>
      <c r="Q2364">
        <v>662.28</v>
      </c>
      <c r="R2364">
        <v>4571.75</v>
      </c>
      <c r="S2364">
        <v>1827.89</v>
      </c>
      <c r="T2364">
        <v>93457.94</v>
      </c>
      <c r="U2364">
        <v>36756.300000000003</v>
      </c>
      <c r="V2364">
        <v>10113.870000000001</v>
      </c>
      <c r="W2364">
        <v>9333.4599999999991</v>
      </c>
      <c r="X2364">
        <v>115563.4</v>
      </c>
      <c r="Y2364">
        <v>93916.92</v>
      </c>
    </row>
    <row r="2365" spans="1:25" x14ac:dyDescent="0.25">
      <c r="A2365" t="s">
        <v>2421</v>
      </c>
      <c r="B2365" s="1">
        <v>45593</v>
      </c>
      <c r="C2365">
        <v>2024</v>
      </c>
      <c r="D2365">
        <v>10</v>
      </c>
      <c r="E2365" t="s">
        <v>1017</v>
      </c>
      <c r="F2365" t="s">
        <v>1018</v>
      </c>
      <c r="G2365" t="s">
        <v>55</v>
      </c>
      <c r="H2365" t="s">
        <v>29</v>
      </c>
      <c r="I2365" t="s">
        <v>39</v>
      </c>
      <c r="J2365">
        <v>21</v>
      </c>
      <c r="K2365">
        <v>1718.33</v>
      </c>
      <c r="L2365">
        <v>36084.839999999997</v>
      </c>
      <c r="M2365">
        <v>17856.419999999998</v>
      </c>
      <c r="N2365">
        <v>3083.56</v>
      </c>
      <c r="O2365">
        <v>2280.7800000000002</v>
      </c>
      <c r="P2365">
        <v>1051.4000000000001</v>
      </c>
      <c r="Q2365">
        <v>577.95000000000005</v>
      </c>
      <c r="R2365">
        <v>1900.62</v>
      </c>
      <c r="S2365">
        <v>757.59</v>
      </c>
      <c r="T2365">
        <v>27508.32</v>
      </c>
      <c r="U2365">
        <v>18228.419999999998</v>
      </c>
      <c r="V2365">
        <v>8576.52</v>
      </c>
      <c r="W2365">
        <v>8142.38</v>
      </c>
      <c r="X2365">
        <v>33717.47</v>
      </c>
      <c r="Y2365">
        <v>26135.43</v>
      </c>
    </row>
    <row r="2366" spans="1:25" x14ac:dyDescent="0.25">
      <c r="A2366" t="s">
        <v>2422</v>
      </c>
      <c r="B2366" s="1">
        <v>45594</v>
      </c>
      <c r="C2366">
        <v>2024</v>
      </c>
      <c r="D2366">
        <v>10</v>
      </c>
      <c r="E2366" t="s">
        <v>1017</v>
      </c>
      <c r="F2366" t="s">
        <v>1018</v>
      </c>
      <c r="G2366" t="s">
        <v>44</v>
      </c>
      <c r="H2366" t="s">
        <v>32</v>
      </c>
      <c r="I2366" t="s">
        <v>50</v>
      </c>
      <c r="J2366">
        <v>34</v>
      </c>
      <c r="K2366">
        <v>1642.22</v>
      </c>
      <c r="L2366">
        <v>55835.57</v>
      </c>
      <c r="M2366">
        <v>36035.410000000003</v>
      </c>
      <c r="N2366">
        <v>6272.31</v>
      </c>
      <c r="O2366">
        <v>2446.1799999999998</v>
      </c>
      <c r="P2366">
        <v>1817.25</v>
      </c>
      <c r="Q2366">
        <v>764.67</v>
      </c>
      <c r="R2366">
        <v>2104.6999999999998</v>
      </c>
      <c r="S2366">
        <v>984.77</v>
      </c>
      <c r="T2366">
        <v>50425.29</v>
      </c>
      <c r="U2366">
        <v>19800.16</v>
      </c>
      <c r="V2366">
        <v>5410.28</v>
      </c>
      <c r="W2366">
        <v>5419.03</v>
      </c>
      <c r="X2366">
        <v>53829.51</v>
      </c>
      <c r="Y2366">
        <v>54523.97</v>
      </c>
    </row>
    <row r="2367" spans="1:25" x14ac:dyDescent="0.25">
      <c r="A2367" t="s">
        <v>2423</v>
      </c>
      <c r="B2367" s="1">
        <v>45594</v>
      </c>
      <c r="C2367">
        <v>2024</v>
      </c>
      <c r="D2367">
        <v>10</v>
      </c>
      <c r="E2367" t="s">
        <v>1017</v>
      </c>
      <c r="F2367" t="s">
        <v>1018</v>
      </c>
      <c r="G2367" t="s">
        <v>35</v>
      </c>
      <c r="H2367" t="s">
        <v>36</v>
      </c>
      <c r="I2367" t="s">
        <v>33</v>
      </c>
      <c r="J2367">
        <v>46</v>
      </c>
      <c r="K2367">
        <v>1361.53</v>
      </c>
      <c r="L2367">
        <v>62630.58</v>
      </c>
      <c r="M2367">
        <v>39679.21</v>
      </c>
      <c r="N2367">
        <v>7751.79</v>
      </c>
      <c r="O2367">
        <v>3285.53</v>
      </c>
      <c r="P2367">
        <v>1815.05</v>
      </c>
      <c r="Q2367">
        <v>620.54999999999995</v>
      </c>
      <c r="R2367">
        <v>2019.69</v>
      </c>
      <c r="S2367">
        <v>604.70000000000005</v>
      </c>
      <c r="T2367">
        <v>55776.52</v>
      </c>
      <c r="U2367">
        <v>22951.37</v>
      </c>
      <c r="V2367">
        <v>6854.06</v>
      </c>
      <c r="W2367">
        <v>6167.55</v>
      </c>
      <c r="X2367">
        <v>63259.19</v>
      </c>
      <c r="Y2367">
        <v>56608.94</v>
      </c>
    </row>
    <row r="2368" spans="1:25" x14ac:dyDescent="0.25">
      <c r="A2368" t="s">
        <v>2424</v>
      </c>
      <c r="B2368" s="1">
        <v>45594</v>
      </c>
      <c r="C2368">
        <v>2024</v>
      </c>
      <c r="D2368">
        <v>10</v>
      </c>
      <c r="E2368" t="s">
        <v>1017</v>
      </c>
      <c r="F2368" t="s">
        <v>1018</v>
      </c>
      <c r="G2368" t="s">
        <v>44</v>
      </c>
      <c r="H2368" t="s">
        <v>32</v>
      </c>
      <c r="I2368" t="s">
        <v>50</v>
      </c>
      <c r="J2368">
        <v>26</v>
      </c>
      <c r="K2368">
        <v>1637.05</v>
      </c>
      <c r="L2368">
        <v>42563.26</v>
      </c>
      <c r="M2368">
        <v>20566.54</v>
      </c>
      <c r="N2368">
        <v>4227.62</v>
      </c>
      <c r="O2368">
        <v>1518.99</v>
      </c>
      <c r="P2368">
        <v>1004.02</v>
      </c>
      <c r="Q2368">
        <v>517.41</v>
      </c>
      <c r="R2368">
        <v>1319.83</v>
      </c>
      <c r="S2368">
        <v>346.42</v>
      </c>
      <c r="T2368">
        <v>29500.82</v>
      </c>
      <c r="U2368">
        <v>21996.71</v>
      </c>
      <c r="V2368">
        <v>13062.43</v>
      </c>
      <c r="W2368">
        <v>11521.44</v>
      </c>
      <c r="X2368">
        <v>42771.21</v>
      </c>
      <c r="Y2368">
        <v>28775.66</v>
      </c>
    </row>
    <row r="2369" spans="1:25" x14ac:dyDescent="0.25">
      <c r="A2369" t="s">
        <v>2425</v>
      </c>
      <c r="B2369" s="1">
        <v>45594</v>
      </c>
      <c r="C2369">
        <v>2024</v>
      </c>
      <c r="D2369">
        <v>10</v>
      </c>
      <c r="E2369" t="s">
        <v>1017</v>
      </c>
      <c r="F2369" t="s">
        <v>1018</v>
      </c>
      <c r="G2369" t="s">
        <v>28</v>
      </c>
      <c r="H2369" t="s">
        <v>36</v>
      </c>
      <c r="I2369" t="s">
        <v>56</v>
      </c>
      <c r="J2369">
        <v>22</v>
      </c>
      <c r="K2369">
        <v>1627.37</v>
      </c>
      <c r="L2369">
        <v>35802.21</v>
      </c>
      <c r="M2369">
        <v>18950.060000000001</v>
      </c>
      <c r="N2369">
        <v>3731.04</v>
      </c>
      <c r="O2369">
        <v>1181.57</v>
      </c>
      <c r="P2369">
        <v>1055.02</v>
      </c>
      <c r="Q2369">
        <v>592.03</v>
      </c>
      <c r="R2369">
        <v>1055.6300000000001</v>
      </c>
      <c r="S2369">
        <v>355.4</v>
      </c>
      <c r="T2369">
        <v>26920.74</v>
      </c>
      <c r="U2369">
        <v>16852.150000000001</v>
      </c>
      <c r="V2369">
        <v>8881.4699999999993</v>
      </c>
      <c r="W2369">
        <v>8400.7999999999993</v>
      </c>
      <c r="X2369">
        <v>38305.26</v>
      </c>
      <c r="Y2369">
        <v>27206.15</v>
      </c>
    </row>
    <row r="2370" spans="1:25" x14ac:dyDescent="0.25">
      <c r="A2370" t="s">
        <v>2426</v>
      </c>
      <c r="B2370" s="1">
        <v>45595</v>
      </c>
      <c r="C2370">
        <v>2024</v>
      </c>
      <c r="D2370">
        <v>10</v>
      </c>
      <c r="E2370" t="s">
        <v>1017</v>
      </c>
      <c r="F2370" t="s">
        <v>1018</v>
      </c>
      <c r="G2370" t="s">
        <v>55</v>
      </c>
      <c r="H2370" t="s">
        <v>58</v>
      </c>
      <c r="I2370" t="s">
        <v>45</v>
      </c>
      <c r="J2370">
        <v>32</v>
      </c>
      <c r="K2370">
        <v>1615.67</v>
      </c>
      <c r="L2370">
        <v>51701.45</v>
      </c>
      <c r="M2370">
        <v>28978.12</v>
      </c>
      <c r="N2370">
        <v>6424.75</v>
      </c>
      <c r="O2370">
        <v>2097.11</v>
      </c>
      <c r="P2370">
        <v>1478.68</v>
      </c>
      <c r="Q2370">
        <v>602.34</v>
      </c>
      <c r="R2370">
        <v>1613</v>
      </c>
      <c r="S2370">
        <v>1009.01</v>
      </c>
      <c r="T2370">
        <v>42203</v>
      </c>
      <c r="U2370">
        <v>22723.34</v>
      </c>
      <c r="V2370">
        <v>9498.4500000000007</v>
      </c>
      <c r="W2370">
        <v>9491.26</v>
      </c>
      <c r="X2370">
        <v>55838.48</v>
      </c>
      <c r="Y2370">
        <v>43796.59</v>
      </c>
    </row>
    <row r="2371" spans="1:25" x14ac:dyDescent="0.25">
      <c r="A2371" t="s">
        <v>2427</v>
      </c>
      <c r="B2371" s="1">
        <v>45595</v>
      </c>
      <c r="C2371">
        <v>2024</v>
      </c>
      <c r="D2371">
        <v>10</v>
      </c>
      <c r="E2371" t="s">
        <v>1017</v>
      </c>
      <c r="F2371" t="s">
        <v>1018</v>
      </c>
      <c r="G2371" t="s">
        <v>28</v>
      </c>
      <c r="H2371" t="s">
        <v>32</v>
      </c>
      <c r="I2371" t="s">
        <v>65</v>
      </c>
      <c r="J2371">
        <v>64</v>
      </c>
      <c r="K2371">
        <v>1443.65</v>
      </c>
      <c r="L2371">
        <v>92393.79</v>
      </c>
      <c r="M2371">
        <v>51551.07</v>
      </c>
      <c r="N2371">
        <v>10054.59</v>
      </c>
      <c r="O2371">
        <v>6784.88</v>
      </c>
      <c r="P2371">
        <v>3783.48</v>
      </c>
      <c r="Q2371">
        <v>1215.81</v>
      </c>
      <c r="R2371">
        <v>3061.53</v>
      </c>
      <c r="S2371">
        <v>2025.01</v>
      </c>
      <c r="T2371">
        <v>78476.37</v>
      </c>
      <c r="U2371">
        <v>40842.720000000001</v>
      </c>
      <c r="V2371">
        <v>13917.42</v>
      </c>
      <c r="W2371">
        <v>13101.71</v>
      </c>
      <c r="X2371">
        <v>86770.43</v>
      </c>
      <c r="Y2371">
        <v>81234.850000000006</v>
      </c>
    </row>
    <row r="2372" spans="1:25" x14ac:dyDescent="0.25">
      <c r="A2372" t="s">
        <v>2428</v>
      </c>
      <c r="B2372" s="1">
        <v>45596</v>
      </c>
      <c r="C2372">
        <v>2024</v>
      </c>
      <c r="D2372">
        <v>10</v>
      </c>
      <c r="E2372" t="s">
        <v>1017</v>
      </c>
      <c r="F2372" t="s">
        <v>1018</v>
      </c>
      <c r="G2372" t="s">
        <v>55</v>
      </c>
      <c r="H2372" t="s">
        <v>36</v>
      </c>
      <c r="I2372" t="s">
        <v>65</v>
      </c>
      <c r="J2372">
        <v>40</v>
      </c>
      <c r="K2372">
        <v>1405.19</v>
      </c>
      <c r="L2372">
        <v>56207.43</v>
      </c>
      <c r="M2372">
        <v>35263.51</v>
      </c>
      <c r="N2372">
        <v>5821.7</v>
      </c>
      <c r="O2372">
        <v>2511.8000000000002</v>
      </c>
      <c r="P2372">
        <v>1692.22</v>
      </c>
      <c r="Q2372">
        <v>372.42</v>
      </c>
      <c r="R2372">
        <v>1767.82</v>
      </c>
      <c r="S2372">
        <v>559</v>
      </c>
      <c r="T2372">
        <v>47988.480000000003</v>
      </c>
      <c r="U2372">
        <v>20943.919999999998</v>
      </c>
      <c r="V2372">
        <v>8218.9599999999991</v>
      </c>
      <c r="W2372">
        <v>8194.2999999999993</v>
      </c>
      <c r="X2372">
        <v>53902.75</v>
      </c>
      <c r="Y2372">
        <v>49890.85</v>
      </c>
    </row>
    <row r="2373" spans="1:25" x14ac:dyDescent="0.25">
      <c r="A2373" t="s">
        <v>2429</v>
      </c>
      <c r="B2373" s="1">
        <v>45596</v>
      </c>
      <c r="C2373">
        <v>2024</v>
      </c>
      <c r="D2373">
        <v>10</v>
      </c>
      <c r="E2373" t="s">
        <v>1017</v>
      </c>
      <c r="F2373" t="s">
        <v>1018</v>
      </c>
      <c r="G2373" t="s">
        <v>28</v>
      </c>
      <c r="H2373" t="s">
        <v>32</v>
      </c>
      <c r="I2373" t="s">
        <v>37</v>
      </c>
      <c r="J2373">
        <v>53</v>
      </c>
      <c r="K2373">
        <v>1352.93</v>
      </c>
      <c r="L2373">
        <v>71705.460000000006</v>
      </c>
      <c r="M2373">
        <v>38128.89</v>
      </c>
      <c r="N2373">
        <v>6295.63</v>
      </c>
      <c r="O2373">
        <v>2519.41</v>
      </c>
      <c r="P2373">
        <v>2106.0300000000002</v>
      </c>
      <c r="Q2373">
        <v>441.53</v>
      </c>
      <c r="R2373">
        <v>4218.1499999999996</v>
      </c>
      <c r="S2373">
        <v>1232.9000000000001</v>
      </c>
      <c r="T2373">
        <v>54942.54</v>
      </c>
      <c r="U2373">
        <v>33576.58</v>
      </c>
      <c r="V2373">
        <v>16762.919999999998</v>
      </c>
      <c r="W2373">
        <v>14876.7</v>
      </c>
      <c r="X2373">
        <v>75798.490000000005</v>
      </c>
      <c r="Y2373">
        <v>55000.52</v>
      </c>
    </row>
    <row r="2374" spans="1:25" x14ac:dyDescent="0.25">
      <c r="A2374" t="s">
        <v>2430</v>
      </c>
      <c r="B2374" s="1">
        <v>45596</v>
      </c>
      <c r="C2374">
        <v>2024</v>
      </c>
      <c r="D2374">
        <v>10</v>
      </c>
      <c r="E2374" t="s">
        <v>1017</v>
      </c>
      <c r="F2374" t="s">
        <v>1018</v>
      </c>
      <c r="G2374" t="s">
        <v>35</v>
      </c>
      <c r="H2374" t="s">
        <v>32</v>
      </c>
      <c r="I2374" t="s">
        <v>37</v>
      </c>
      <c r="J2374">
        <v>31</v>
      </c>
      <c r="K2374">
        <v>1780.7</v>
      </c>
      <c r="L2374">
        <v>55201.77</v>
      </c>
      <c r="M2374">
        <v>28665.97</v>
      </c>
      <c r="N2374">
        <v>6639.62</v>
      </c>
      <c r="O2374">
        <v>2544.9299999999998</v>
      </c>
      <c r="P2374">
        <v>2461.06</v>
      </c>
      <c r="Q2374">
        <v>891.75</v>
      </c>
      <c r="R2374">
        <v>3550.61</v>
      </c>
      <c r="S2374">
        <v>775.1</v>
      </c>
      <c r="T2374">
        <v>45529.03</v>
      </c>
      <c r="U2374">
        <v>26535.8</v>
      </c>
      <c r="V2374">
        <v>9672.74</v>
      </c>
      <c r="W2374">
        <v>9608.93</v>
      </c>
      <c r="X2374">
        <v>51298.05</v>
      </c>
      <c r="Y2374">
        <v>46453.57</v>
      </c>
    </row>
    <row r="2375" spans="1:25" x14ac:dyDescent="0.25">
      <c r="A2375" t="s">
        <v>2431</v>
      </c>
      <c r="B2375" s="1">
        <v>45596</v>
      </c>
      <c r="C2375">
        <v>2024</v>
      </c>
      <c r="D2375">
        <v>10</v>
      </c>
      <c r="E2375" t="s">
        <v>1017</v>
      </c>
      <c r="F2375" t="s">
        <v>1018</v>
      </c>
      <c r="G2375" t="s">
        <v>28</v>
      </c>
      <c r="H2375" t="s">
        <v>36</v>
      </c>
      <c r="I2375" t="s">
        <v>37</v>
      </c>
      <c r="J2375">
        <v>96</v>
      </c>
      <c r="K2375">
        <v>846.2</v>
      </c>
      <c r="L2375">
        <v>81234.899999999994</v>
      </c>
      <c r="M2375">
        <v>47548.39</v>
      </c>
      <c r="N2375">
        <v>9303.56</v>
      </c>
      <c r="O2375">
        <v>2318.54</v>
      </c>
      <c r="P2375">
        <v>2643.95</v>
      </c>
      <c r="Q2375">
        <v>1381.71</v>
      </c>
      <c r="R2375">
        <v>4664.1000000000004</v>
      </c>
      <c r="S2375">
        <v>1531.29</v>
      </c>
      <c r="T2375">
        <v>69391.539999999994</v>
      </c>
      <c r="U2375">
        <v>33686.519999999997</v>
      </c>
      <c r="V2375">
        <v>11843.37</v>
      </c>
      <c r="W2375">
        <v>11231.51</v>
      </c>
      <c r="X2375">
        <v>83240.69</v>
      </c>
      <c r="Y2375">
        <v>67218.73</v>
      </c>
    </row>
    <row r="2376" spans="1:25" x14ac:dyDescent="0.25">
      <c r="A2376" t="s">
        <v>2432</v>
      </c>
      <c r="B2376" s="1">
        <v>45597</v>
      </c>
      <c r="C2376">
        <v>2024</v>
      </c>
      <c r="D2376">
        <v>11</v>
      </c>
      <c r="E2376" t="s">
        <v>1117</v>
      </c>
      <c r="F2376" t="s">
        <v>1018</v>
      </c>
      <c r="G2376" t="s">
        <v>28</v>
      </c>
      <c r="H2376" t="s">
        <v>32</v>
      </c>
      <c r="I2376" t="s">
        <v>33</v>
      </c>
      <c r="J2376">
        <v>78</v>
      </c>
      <c r="K2376">
        <v>1099.29</v>
      </c>
      <c r="L2376">
        <v>85744.58</v>
      </c>
      <c r="M2376">
        <v>55447.5</v>
      </c>
      <c r="N2376">
        <v>8798.44</v>
      </c>
      <c r="O2376">
        <v>3371.51</v>
      </c>
      <c r="P2376">
        <v>2664.26</v>
      </c>
      <c r="Q2376">
        <v>555.38</v>
      </c>
      <c r="R2376">
        <v>3362.93</v>
      </c>
      <c r="S2376">
        <v>1701.66</v>
      </c>
      <c r="T2376">
        <v>75901.69</v>
      </c>
      <c r="U2376">
        <v>30297.07</v>
      </c>
      <c r="V2376">
        <v>9842.8799999999992</v>
      </c>
      <c r="W2376">
        <v>9608.2900000000009</v>
      </c>
      <c r="X2376">
        <v>90744.6</v>
      </c>
      <c r="Y2376">
        <v>82526.39</v>
      </c>
    </row>
    <row r="2377" spans="1:25" x14ac:dyDescent="0.25">
      <c r="A2377" t="s">
        <v>2433</v>
      </c>
      <c r="B2377" s="1">
        <v>45598</v>
      </c>
      <c r="C2377">
        <v>2024</v>
      </c>
      <c r="D2377">
        <v>11</v>
      </c>
      <c r="E2377" t="s">
        <v>1117</v>
      </c>
      <c r="F2377" t="s">
        <v>1018</v>
      </c>
      <c r="G2377" t="s">
        <v>35</v>
      </c>
      <c r="H2377" t="s">
        <v>32</v>
      </c>
      <c r="I2377" t="s">
        <v>56</v>
      </c>
      <c r="J2377">
        <v>21</v>
      </c>
      <c r="K2377">
        <v>1769.55</v>
      </c>
      <c r="L2377">
        <v>37160.449999999997</v>
      </c>
      <c r="M2377">
        <v>18942.419999999998</v>
      </c>
      <c r="N2377">
        <v>3750.76</v>
      </c>
      <c r="O2377">
        <v>1605.94</v>
      </c>
      <c r="P2377">
        <v>835.41</v>
      </c>
      <c r="Q2377">
        <v>556.04999999999995</v>
      </c>
      <c r="R2377">
        <v>2076.08</v>
      </c>
      <c r="S2377">
        <v>363.78</v>
      </c>
      <c r="T2377">
        <v>28130.44</v>
      </c>
      <c r="U2377">
        <v>18218.03</v>
      </c>
      <c r="V2377">
        <v>9030.02</v>
      </c>
      <c r="W2377">
        <v>8791.39</v>
      </c>
      <c r="X2377">
        <v>35012.22</v>
      </c>
      <c r="Y2377">
        <v>28079.97</v>
      </c>
    </row>
    <row r="2378" spans="1:25" x14ac:dyDescent="0.25">
      <c r="A2378" t="s">
        <v>2434</v>
      </c>
      <c r="B2378" s="1">
        <v>45598</v>
      </c>
      <c r="C2378">
        <v>2024</v>
      </c>
      <c r="D2378">
        <v>11</v>
      </c>
      <c r="E2378" t="s">
        <v>1117</v>
      </c>
      <c r="F2378" t="s">
        <v>1018</v>
      </c>
      <c r="G2378" t="s">
        <v>44</v>
      </c>
      <c r="H2378" t="s">
        <v>53</v>
      </c>
      <c r="I2378" t="s">
        <v>56</v>
      </c>
      <c r="J2378">
        <v>26</v>
      </c>
      <c r="K2378">
        <v>947.18</v>
      </c>
      <c r="L2378">
        <v>24626.68</v>
      </c>
      <c r="M2378">
        <v>15091.76</v>
      </c>
      <c r="N2378">
        <v>2966.31</v>
      </c>
      <c r="O2378">
        <v>1168.21</v>
      </c>
      <c r="P2378">
        <v>513.41</v>
      </c>
      <c r="Q2378">
        <v>228.18</v>
      </c>
      <c r="R2378">
        <v>755.1</v>
      </c>
      <c r="S2378">
        <v>324.70999999999998</v>
      </c>
      <c r="T2378">
        <v>21047.68</v>
      </c>
      <c r="U2378">
        <v>9534.91</v>
      </c>
      <c r="V2378">
        <v>3579</v>
      </c>
      <c r="W2378">
        <v>3621.26</v>
      </c>
      <c r="X2378">
        <v>23805.23</v>
      </c>
      <c r="Y2378">
        <v>20752.37</v>
      </c>
    </row>
    <row r="2379" spans="1:25" x14ac:dyDescent="0.25">
      <c r="A2379" t="s">
        <v>2435</v>
      </c>
      <c r="B2379" s="1">
        <v>45598</v>
      </c>
      <c r="C2379">
        <v>2024</v>
      </c>
      <c r="D2379">
        <v>11</v>
      </c>
      <c r="E2379" t="s">
        <v>1117</v>
      </c>
      <c r="F2379" t="s">
        <v>1018</v>
      </c>
      <c r="G2379" t="s">
        <v>28</v>
      </c>
      <c r="H2379" t="s">
        <v>36</v>
      </c>
      <c r="I2379" t="s">
        <v>65</v>
      </c>
      <c r="J2379">
        <v>38</v>
      </c>
      <c r="K2379">
        <v>1314.05</v>
      </c>
      <c r="L2379">
        <v>49933.97</v>
      </c>
      <c r="M2379">
        <v>29541.42</v>
      </c>
      <c r="N2379">
        <v>5014.3100000000004</v>
      </c>
      <c r="O2379">
        <v>2356.29</v>
      </c>
      <c r="P2379">
        <v>1741.61</v>
      </c>
      <c r="Q2379">
        <v>437.89</v>
      </c>
      <c r="R2379">
        <v>1743.69</v>
      </c>
      <c r="S2379">
        <v>833.6</v>
      </c>
      <c r="T2379">
        <v>41668.81</v>
      </c>
      <c r="U2379">
        <v>20392.55</v>
      </c>
      <c r="V2379">
        <v>8265.16</v>
      </c>
      <c r="W2379">
        <v>7980.59</v>
      </c>
      <c r="X2379">
        <v>50771.91</v>
      </c>
      <c r="Y2379">
        <v>43973.8</v>
      </c>
    </row>
    <row r="2380" spans="1:25" x14ac:dyDescent="0.25">
      <c r="A2380" t="s">
        <v>2436</v>
      </c>
      <c r="B2380" s="1">
        <v>45598</v>
      </c>
      <c r="C2380">
        <v>2024</v>
      </c>
      <c r="D2380">
        <v>11</v>
      </c>
      <c r="E2380" t="s">
        <v>1117</v>
      </c>
      <c r="F2380" t="s">
        <v>1018</v>
      </c>
      <c r="G2380" t="s">
        <v>28</v>
      </c>
      <c r="H2380" t="s">
        <v>29</v>
      </c>
      <c r="I2380" t="s">
        <v>56</v>
      </c>
      <c r="J2380">
        <v>20</v>
      </c>
      <c r="K2380">
        <v>1512.48</v>
      </c>
      <c r="L2380">
        <v>30249.61</v>
      </c>
      <c r="M2380">
        <v>18410.97</v>
      </c>
      <c r="N2380">
        <v>3498.12</v>
      </c>
      <c r="O2380">
        <v>1511.68</v>
      </c>
      <c r="P2380">
        <v>645.88</v>
      </c>
      <c r="Q2380">
        <v>303.02</v>
      </c>
      <c r="R2380">
        <v>1940.34</v>
      </c>
      <c r="S2380">
        <v>415.33</v>
      </c>
      <c r="T2380">
        <v>26725.33</v>
      </c>
      <c r="U2380">
        <v>11838.65</v>
      </c>
      <c r="V2380">
        <v>3524.29</v>
      </c>
      <c r="W2380">
        <v>3231</v>
      </c>
      <c r="X2380">
        <v>33203.339999999997</v>
      </c>
      <c r="Y2380">
        <v>25367.46</v>
      </c>
    </row>
    <row r="2381" spans="1:25" x14ac:dyDescent="0.25">
      <c r="A2381" t="s">
        <v>2437</v>
      </c>
      <c r="B2381" s="1">
        <v>45598</v>
      </c>
      <c r="C2381">
        <v>2024</v>
      </c>
      <c r="D2381">
        <v>11</v>
      </c>
      <c r="E2381" t="s">
        <v>1117</v>
      </c>
      <c r="F2381" t="s">
        <v>1018</v>
      </c>
      <c r="G2381" t="s">
        <v>44</v>
      </c>
      <c r="H2381" t="s">
        <v>36</v>
      </c>
      <c r="I2381" t="s">
        <v>56</v>
      </c>
      <c r="J2381">
        <v>27</v>
      </c>
      <c r="K2381">
        <v>1159.97</v>
      </c>
      <c r="L2381">
        <v>31319.07</v>
      </c>
      <c r="M2381">
        <v>20087.509999999998</v>
      </c>
      <c r="N2381">
        <v>2197.52</v>
      </c>
      <c r="O2381">
        <v>1547.38</v>
      </c>
      <c r="P2381">
        <v>1189.04</v>
      </c>
      <c r="Q2381">
        <v>527.70000000000005</v>
      </c>
      <c r="R2381">
        <v>839.97</v>
      </c>
      <c r="S2381">
        <v>674.4</v>
      </c>
      <c r="T2381">
        <v>27063.52</v>
      </c>
      <c r="U2381">
        <v>11231.56</v>
      </c>
      <c r="V2381">
        <v>4255.55</v>
      </c>
      <c r="W2381">
        <v>3935.41</v>
      </c>
      <c r="X2381">
        <v>29666.99</v>
      </c>
      <c r="Y2381">
        <v>28508.86</v>
      </c>
    </row>
    <row r="2382" spans="1:25" x14ac:dyDescent="0.25">
      <c r="A2382" t="s">
        <v>2438</v>
      </c>
      <c r="B2382" s="1">
        <v>45598</v>
      </c>
      <c r="C2382">
        <v>2024</v>
      </c>
      <c r="D2382">
        <v>11</v>
      </c>
      <c r="E2382" t="s">
        <v>1117</v>
      </c>
      <c r="F2382" t="s">
        <v>1018</v>
      </c>
      <c r="G2382" t="s">
        <v>44</v>
      </c>
      <c r="H2382" t="s">
        <v>29</v>
      </c>
      <c r="I2382" t="s">
        <v>65</v>
      </c>
      <c r="J2382">
        <v>53</v>
      </c>
      <c r="K2382">
        <v>1308.6400000000001</v>
      </c>
      <c r="L2382">
        <v>69357.899999999994</v>
      </c>
      <c r="M2382">
        <v>42668.59</v>
      </c>
      <c r="N2382">
        <v>8887.3700000000008</v>
      </c>
      <c r="O2382">
        <v>2171.96</v>
      </c>
      <c r="P2382">
        <v>1360.32</v>
      </c>
      <c r="Q2382">
        <v>614.4</v>
      </c>
      <c r="R2382">
        <v>2773.54</v>
      </c>
      <c r="S2382">
        <v>1642.97</v>
      </c>
      <c r="T2382">
        <v>60119.15</v>
      </c>
      <c r="U2382">
        <v>26689.32</v>
      </c>
      <c r="V2382">
        <v>9238.75</v>
      </c>
      <c r="W2382">
        <v>8468.26</v>
      </c>
      <c r="X2382">
        <v>72042.880000000005</v>
      </c>
      <c r="Y2382">
        <v>66117.45</v>
      </c>
    </row>
    <row r="2383" spans="1:25" x14ac:dyDescent="0.25">
      <c r="A2383" t="s">
        <v>2439</v>
      </c>
      <c r="B2383" s="1">
        <v>45598</v>
      </c>
      <c r="C2383">
        <v>2024</v>
      </c>
      <c r="D2383">
        <v>11</v>
      </c>
      <c r="E2383" t="s">
        <v>1117</v>
      </c>
      <c r="F2383" t="s">
        <v>1018</v>
      </c>
      <c r="G2383" t="s">
        <v>28</v>
      </c>
      <c r="H2383" t="s">
        <v>58</v>
      </c>
      <c r="I2383" t="s">
        <v>45</v>
      </c>
      <c r="J2383">
        <v>23</v>
      </c>
      <c r="K2383">
        <v>1753.25</v>
      </c>
      <c r="L2383">
        <v>40324.74</v>
      </c>
      <c r="M2383">
        <v>23734.2</v>
      </c>
      <c r="N2383">
        <v>4145.3900000000003</v>
      </c>
      <c r="O2383">
        <v>2879.08</v>
      </c>
      <c r="P2383">
        <v>1608.19</v>
      </c>
      <c r="Q2383">
        <v>668.11</v>
      </c>
      <c r="R2383">
        <v>2427.8200000000002</v>
      </c>
      <c r="S2383">
        <v>936.75</v>
      </c>
      <c r="T2383">
        <v>36399.53</v>
      </c>
      <c r="U2383">
        <v>16590.55</v>
      </c>
      <c r="V2383">
        <v>3925.21</v>
      </c>
      <c r="W2383">
        <v>3919.93</v>
      </c>
      <c r="X2383">
        <v>40231.269999999997</v>
      </c>
      <c r="Y2383">
        <v>36705.42</v>
      </c>
    </row>
    <row r="2384" spans="1:25" x14ac:dyDescent="0.25">
      <c r="A2384" t="s">
        <v>2440</v>
      </c>
      <c r="B2384" s="1">
        <v>45598</v>
      </c>
      <c r="C2384">
        <v>2024</v>
      </c>
      <c r="D2384">
        <v>11</v>
      </c>
      <c r="E2384" t="s">
        <v>1117</v>
      </c>
      <c r="F2384" t="s">
        <v>1018</v>
      </c>
      <c r="G2384" t="s">
        <v>35</v>
      </c>
      <c r="H2384" t="s">
        <v>58</v>
      </c>
      <c r="I2384" t="s">
        <v>65</v>
      </c>
      <c r="J2384">
        <v>38</v>
      </c>
      <c r="K2384">
        <v>1018.67</v>
      </c>
      <c r="L2384">
        <v>38709.56</v>
      </c>
      <c r="M2384">
        <v>19072.240000000002</v>
      </c>
      <c r="N2384">
        <v>3196.35</v>
      </c>
      <c r="O2384">
        <v>2120.5500000000002</v>
      </c>
      <c r="P2384">
        <v>860.55</v>
      </c>
      <c r="Q2384">
        <v>369.69</v>
      </c>
      <c r="R2384">
        <v>2314.64</v>
      </c>
      <c r="S2384">
        <v>769.99</v>
      </c>
      <c r="T2384">
        <v>28704.01</v>
      </c>
      <c r="U2384">
        <v>19637.32</v>
      </c>
      <c r="V2384">
        <v>10005.549999999999</v>
      </c>
      <c r="W2384">
        <v>9772.36</v>
      </c>
      <c r="X2384">
        <v>41121.64</v>
      </c>
      <c r="Y2384">
        <v>27812.91</v>
      </c>
    </row>
    <row r="2385" spans="1:25" x14ac:dyDescent="0.25">
      <c r="A2385" t="s">
        <v>2441</v>
      </c>
      <c r="B2385" s="1">
        <v>45599</v>
      </c>
      <c r="C2385">
        <v>2024</v>
      </c>
      <c r="D2385">
        <v>11</v>
      </c>
      <c r="E2385" t="s">
        <v>1117</v>
      </c>
      <c r="F2385" t="s">
        <v>1018</v>
      </c>
      <c r="G2385" t="s">
        <v>55</v>
      </c>
      <c r="H2385" t="s">
        <v>53</v>
      </c>
      <c r="I2385" t="s">
        <v>56</v>
      </c>
      <c r="J2385">
        <v>35</v>
      </c>
      <c r="K2385">
        <v>1043.46</v>
      </c>
      <c r="L2385">
        <v>36521.07</v>
      </c>
      <c r="M2385">
        <v>21868.13</v>
      </c>
      <c r="N2385">
        <v>3183.18</v>
      </c>
      <c r="O2385">
        <v>2288.7199999999998</v>
      </c>
      <c r="P2385">
        <v>1351.06</v>
      </c>
      <c r="Q2385">
        <v>361.01</v>
      </c>
      <c r="R2385">
        <v>1277.8</v>
      </c>
      <c r="S2385">
        <v>632.47</v>
      </c>
      <c r="T2385">
        <v>30962.37</v>
      </c>
      <c r="U2385">
        <v>14652.94</v>
      </c>
      <c r="V2385">
        <v>5558.7</v>
      </c>
      <c r="W2385">
        <v>5175.74</v>
      </c>
      <c r="X2385">
        <v>36758.21</v>
      </c>
      <c r="Y2385">
        <v>32180.57</v>
      </c>
    </row>
    <row r="2386" spans="1:25" x14ac:dyDescent="0.25">
      <c r="A2386" t="s">
        <v>2442</v>
      </c>
      <c r="B2386" s="1">
        <v>45599</v>
      </c>
      <c r="C2386">
        <v>2024</v>
      </c>
      <c r="D2386">
        <v>11</v>
      </c>
      <c r="E2386" t="s">
        <v>1117</v>
      </c>
      <c r="F2386" t="s">
        <v>1018</v>
      </c>
      <c r="G2386" t="s">
        <v>55</v>
      </c>
      <c r="H2386" t="s">
        <v>32</v>
      </c>
      <c r="I2386" t="s">
        <v>33</v>
      </c>
      <c r="J2386">
        <v>63</v>
      </c>
      <c r="K2386">
        <v>1539.55</v>
      </c>
      <c r="L2386">
        <v>96991.77</v>
      </c>
      <c r="M2386">
        <v>58731.09</v>
      </c>
      <c r="N2386">
        <v>9324.6200000000008</v>
      </c>
      <c r="O2386">
        <v>4394.51</v>
      </c>
      <c r="P2386">
        <v>3124.59</v>
      </c>
      <c r="Q2386">
        <v>888.05</v>
      </c>
      <c r="R2386">
        <v>3516.06</v>
      </c>
      <c r="S2386">
        <v>1779.81</v>
      </c>
      <c r="T2386">
        <v>81758.740000000005</v>
      </c>
      <c r="U2386">
        <v>38260.68</v>
      </c>
      <c r="V2386">
        <v>15233.04</v>
      </c>
      <c r="W2386">
        <v>13885.67</v>
      </c>
      <c r="X2386">
        <v>89473.99</v>
      </c>
      <c r="Y2386">
        <v>80303.95</v>
      </c>
    </row>
    <row r="2387" spans="1:25" x14ac:dyDescent="0.25">
      <c r="A2387" t="s">
        <v>2443</v>
      </c>
      <c r="B2387" s="1">
        <v>45599</v>
      </c>
      <c r="C2387">
        <v>2024</v>
      </c>
      <c r="D2387">
        <v>11</v>
      </c>
      <c r="E2387" t="s">
        <v>1117</v>
      </c>
      <c r="F2387" t="s">
        <v>1018</v>
      </c>
      <c r="G2387" t="s">
        <v>28</v>
      </c>
      <c r="H2387" t="s">
        <v>32</v>
      </c>
      <c r="I2387" t="s">
        <v>33</v>
      </c>
      <c r="J2387">
        <v>75</v>
      </c>
      <c r="K2387">
        <v>1383.97</v>
      </c>
      <c r="L2387">
        <v>103797.45</v>
      </c>
      <c r="M2387">
        <v>61749.32</v>
      </c>
      <c r="N2387">
        <v>12397.91</v>
      </c>
      <c r="O2387">
        <v>6396.85</v>
      </c>
      <c r="P2387">
        <v>2155.8200000000002</v>
      </c>
      <c r="Q2387">
        <v>1629.26</v>
      </c>
      <c r="R2387">
        <v>2732.82</v>
      </c>
      <c r="S2387">
        <v>2209.5</v>
      </c>
      <c r="T2387">
        <v>89271.48</v>
      </c>
      <c r="U2387">
        <v>42048.14</v>
      </c>
      <c r="V2387">
        <v>14525.98</v>
      </c>
      <c r="W2387">
        <v>13348.47</v>
      </c>
      <c r="X2387">
        <v>114666.15</v>
      </c>
      <c r="Y2387">
        <v>95683.36</v>
      </c>
    </row>
    <row r="2388" spans="1:25" x14ac:dyDescent="0.25">
      <c r="A2388" t="s">
        <v>2444</v>
      </c>
      <c r="B2388" s="1">
        <v>45600</v>
      </c>
      <c r="C2388">
        <v>2024</v>
      </c>
      <c r="D2388">
        <v>11</v>
      </c>
      <c r="E2388" t="s">
        <v>1117</v>
      </c>
      <c r="F2388" t="s">
        <v>1018</v>
      </c>
      <c r="G2388" t="s">
        <v>55</v>
      </c>
      <c r="H2388" t="s">
        <v>29</v>
      </c>
      <c r="I2388" t="s">
        <v>45</v>
      </c>
      <c r="J2388">
        <v>22</v>
      </c>
      <c r="K2388">
        <v>1727.68</v>
      </c>
      <c r="L2388">
        <v>38009.040000000001</v>
      </c>
      <c r="M2388">
        <v>24673.24</v>
      </c>
      <c r="N2388">
        <v>4187.91</v>
      </c>
      <c r="O2388">
        <v>1435.51</v>
      </c>
      <c r="P2388">
        <v>821.31</v>
      </c>
      <c r="Q2388">
        <v>260.95</v>
      </c>
      <c r="R2388">
        <v>2226.7399999999998</v>
      </c>
      <c r="S2388">
        <v>577.63</v>
      </c>
      <c r="T2388">
        <v>34183.29</v>
      </c>
      <c r="U2388">
        <v>13335.8</v>
      </c>
      <c r="V2388">
        <v>3825.75</v>
      </c>
      <c r="W2388">
        <v>3431.83</v>
      </c>
      <c r="X2388">
        <v>37707.730000000003</v>
      </c>
      <c r="Y2388">
        <v>37121.31</v>
      </c>
    </row>
    <row r="2389" spans="1:25" x14ac:dyDescent="0.25">
      <c r="A2389" t="s">
        <v>2445</v>
      </c>
      <c r="B2389" s="1">
        <v>45600</v>
      </c>
      <c r="C2389">
        <v>2024</v>
      </c>
      <c r="D2389">
        <v>11</v>
      </c>
      <c r="E2389" t="s">
        <v>1117</v>
      </c>
      <c r="F2389" t="s">
        <v>1018</v>
      </c>
      <c r="G2389" t="s">
        <v>55</v>
      </c>
      <c r="H2389" t="s">
        <v>29</v>
      </c>
      <c r="I2389" t="s">
        <v>39</v>
      </c>
      <c r="J2389">
        <v>30</v>
      </c>
      <c r="K2389">
        <v>1496.71</v>
      </c>
      <c r="L2389">
        <v>44901.29</v>
      </c>
      <c r="M2389">
        <v>27356.32</v>
      </c>
      <c r="N2389">
        <v>3794.91</v>
      </c>
      <c r="O2389">
        <v>3358.37</v>
      </c>
      <c r="P2389">
        <v>1757.82</v>
      </c>
      <c r="Q2389">
        <v>683.95</v>
      </c>
      <c r="R2389">
        <v>1873.03</v>
      </c>
      <c r="S2389">
        <v>686.54</v>
      </c>
      <c r="T2389">
        <v>39510.94</v>
      </c>
      <c r="U2389">
        <v>17544.98</v>
      </c>
      <c r="V2389">
        <v>5390.36</v>
      </c>
      <c r="W2389">
        <v>4891.21</v>
      </c>
      <c r="X2389">
        <v>45188.77</v>
      </c>
      <c r="Y2389">
        <v>37377.47</v>
      </c>
    </row>
    <row r="2390" spans="1:25" x14ac:dyDescent="0.25">
      <c r="A2390" t="s">
        <v>2446</v>
      </c>
      <c r="B2390" s="1">
        <v>45600</v>
      </c>
      <c r="C2390">
        <v>2024</v>
      </c>
      <c r="D2390">
        <v>11</v>
      </c>
      <c r="E2390" t="s">
        <v>1117</v>
      </c>
      <c r="F2390" t="s">
        <v>1018</v>
      </c>
      <c r="G2390" t="s">
        <v>44</v>
      </c>
      <c r="H2390" t="s">
        <v>53</v>
      </c>
      <c r="I2390" t="s">
        <v>45</v>
      </c>
      <c r="J2390">
        <v>28</v>
      </c>
      <c r="K2390">
        <v>1608.11</v>
      </c>
      <c r="L2390">
        <v>45027.09</v>
      </c>
      <c r="M2390">
        <v>29255.64</v>
      </c>
      <c r="N2390">
        <v>5559.66</v>
      </c>
      <c r="O2390">
        <v>2885.93</v>
      </c>
      <c r="P2390">
        <v>838.39</v>
      </c>
      <c r="Q2390">
        <v>640.13</v>
      </c>
      <c r="R2390">
        <v>2222.85</v>
      </c>
      <c r="S2390">
        <v>741.03</v>
      </c>
      <c r="T2390">
        <v>42143.63</v>
      </c>
      <c r="U2390">
        <v>15771.45</v>
      </c>
      <c r="V2390">
        <v>2883.46</v>
      </c>
      <c r="W2390">
        <v>2651.22</v>
      </c>
      <c r="X2390">
        <v>44702.16</v>
      </c>
      <c r="Y2390">
        <v>44730.14</v>
      </c>
    </row>
    <row r="2391" spans="1:25" x14ac:dyDescent="0.25">
      <c r="A2391" t="s">
        <v>2447</v>
      </c>
      <c r="B2391" s="1">
        <v>45600</v>
      </c>
      <c r="C2391">
        <v>2024</v>
      </c>
      <c r="D2391">
        <v>11</v>
      </c>
      <c r="E2391" t="s">
        <v>1117</v>
      </c>
      <c r="F2391" t="s">
        <v>1018</v>
      </c>
      <c r="G2391" t="s">
        <v>55</v>
      </c>
      <c r="H2391" t="s">
        <v>36</v>
      </c>
      <c r="I2391" t="s">
        <v>30</v>
      </c>
      <c r="J2391">
        <v>74</v>
      </c>
      <c r="K2391">
        <v>1426.54</v>
      </c>
      <c r="L2391">
        <v>105563.93</v>
      </c>
      <c r="M2391">
        <v>70335.22</v>
      </c>
      <c r="N2391">
        <v>9030.99</v>
      </c>
      <c r="O2391">
        <v>5485.39</v>
      </c>
      <c r="P2391">
        <v>4231.01</v>
      </c>
      <c r="Q2391">
        <v>960.08</v>
      </c>
      <c r="R2391">
        <v>4352.9799999999996</v>
      </c>
      <c r="S2391">
        <v>1751.51</v>
      </c>
      <c r="T2391">
        <v>96147.18</v>
      </c>
      <c r="U2391">
        <v>35228.71</v>
      </c>
      <c r="V2391">
        <v>9416.74</v>
      </c>
      <c r="W2391">
        <v>8598.51</v>
      </c>
      <c r="X2391">
        <v>112183.47</v>
      </c>
      <c r="Y2391">
        <v>104252.71</v>
      </c>
    </row>
    <row r="2392" spans="1:25" x14ac:dyDescent="0.25">
      <c r="A2392" t="s">
        <v>2448</v>
      </c>
      <c r="B2392" s="1">
        <v>45601</v>
      </c>
      <c r="C2392">
        <v>2024</v>
      </c>
      <c r="D2392">
        <v>11</v>
      </c>
      <c r="E2392" t="s">
        <v>1117</v>
      </c>
      <c r="F2392" t="s">
        <v>1018</v>
      </c>
      <c r="G2392" t="s">
        <v>35</v>
      </c>
      <c r="H2392" t="s">
        <v>36</v>
      </c>
      <c r="I2392" t="s">
        <v>56</v>
      </c>
      <c r="J2392">
        <v>30</v>
      </c>
      <c r="K2392">
        <v>983.63</v>
      </c>
      <c r="L2392">
        <v>29508.77</v>
      </c>
      <c r="M2392">
        <v>16179</v>
      </c>
      <c r="N2392">
        <v>3309.93</v>
      </c>
      <c r="O2392">
        <v>2063.3200000000002</v>
      </c>
      <c r="P2392">
        <v>689.45</v>
      </c>
      <c r="Q2392">
        <v>169.36</v>
      </c>
      <c r="R2392">
        <v>1071.69</v>
      </c>
      <c r="S2392">
        <v>375.9</v>
      </c>
      <c r="T2392">
        <v>23858.65</v>
      </c>
      <c r="U2392">
        <v>13329.76</v>
      </c>
      <c r="V2392">
        <v>5650.12</v>
      </c>
      <c r="W2392">
        <v>5092.8100000000004</v>
      </c>
      <c r="X2392">
        <v>30502.99</v>
      </c>
      <c r="Y2392">
        <v>22320.81</v>
      </c>
    </row>
    <row r="2393" spans="1:25" x14ac:dyDescent="0.25">
      <c r="A2393" t="s">
        <v>2449</v>
      </c>
      <c r="B2393" s="1">
        <v>45601</v>
      </c>
      <c r="C2393">
        <v>2024</v>
      </c>
      <c r="D2393">
        <v>11</v>
      </c>
      <c r="E2393" t="s">
        <v>1117</v>
      </c>
      <c r="F2393" t="s">
        <v>1018</v>
      </c>
      <c r="G2393" t="s">
        <v>55</v>
      </c>
      <c r="H2393" t="s">
        <v>32</v>
      </c>
      <c r="I2393" t="s">
        <v>37</v>
      </c>
      <c r="J2393">
        <v>49</v>
      </c>
      <c r="K2393">
        <v>1651.72</v>
      </c>
      <c r="L2393">
        <v>80934.289999999994</v>
      </c>
      <c r="M2393">
        <v>49885.93</v>
      </c>
      <c r="N2393">
        <v>7553.18</v>
      </c>
      <c r="O2393">
        <v>5566.08</v>
      </c>
      <c r="P2393">
        <v>2837.84</v>
      </c>
      <c r="Q2393">
        <v>1065.8699999999999</v>
      </c>
      <c r="R2393">
        <v>3107.05</v>
      </c>
      <c r="S2393">
        <v>738.23</v>
      </c>
      <c r="T2393">
        <v>70754.17</v>
      </c>
      <c r="U2393">
        <v>31048.36</v>
      </c>
      <c r="V2393">
        <v>10180.120000000001</v>
      </c>
      <c r="W2393">
        <v>10310.02</v>
      </c>
      <c r="X2393">
        <v>87966.8</v>
      </c>
      <c r="Y2393">
        <v>76116.59</v>
      </c>
    </row>
    <row r="2394" spans="1:25" x14ac:dyDescent="0.25">
      <c r="A2394" t="s">
        <v>2450</v>
      </c>
      <c r="B2394" s="1">
        <v>45602</v>
      </c>
      <c r="C2394">
        <v>2024</v>
      </c>
      <c r="D2394">
        <v>11</v>
      </c>
      <c r="E2394" t="s">
        <v>1117</v>
      </c>
      <c r="F2394" t="s">
        <v>1018</v>
      </c>
      <c r="G2394" t="s">
        <v>28</v>
      </c>
      <c r="H2394" t="s">
        <v>32</v>
      </c>
      <c r="I2394" t="s">
        <v>39</v>
      </c>
      <c r="J2394">
        <v>46</v>
      </c>
      <c r="K2394">
        <v>1166.01</v>
      </c>
      <c r="L2394">
        <v>53636.43</v>
      </c>
      <c r="M2394">
        <v>29771.54</v>
      </c>
      <c r="N2394">
        <v>6561.72</v>
      </c>
      <c r="O2394">
        <v>1524.13</v>
      </c>
      <c r="P2394">
        <v>1981.57</v>
      </c>
      <c r="Q2394">
        <v>675.31</v>
      </c>
      <c r="R2394">
        <v>2216.04</v>
      </c>
      <c r="S2394">
        <v>1052.3900000000001</v>
      </c>
      <c r="T2394">
        <v>43782.7</v>
      </c>
      <c r="U2394">
        <v>23864.9</v>
      </c>
      <c r="V2394">
        <v>9853.73</v>
      </c>
      <c r="W2394">
        <v>9499.64</v>
      </c>
      <c r="X2394">
        <v>56432.74</v>
      </c>
      <c r="Y2394">
        <v>43219.3</v>
      </c>
    </row>
    <row r="2395" spans="1:25" x14ac:dyDescent="0.25">
      <c r="A2395" t="s">
        <v>2451</v>
      </c>
      <c r="B2395" s="1">
        <v>45602</v>
      </c>
      <c r="C2395">
        <v>2024</v>
      </c>
      <c r="D2395">
        <v>11</v>
      </c>
      <c r="E2395" t="s">
        <v>1117</v>
      </c>
      <c r="F2395" t="s">
        <v>1018</v>
      </c>
      <c r="G2395" t="s">
        <v>55</v>
      </c>
      <c r="H2395" t="s">
        <v>36</v>
      </c>
      <c r="I2395" t="s">
        <v>65</v>
      </c>
      <c r="J2395">
        <v>42</v>
      </c>
      <c r="K2395">
        <v>1230.1400000000001</v>
      </c>
      <c r="L2395">
        <v>51665.9</v>
      </c>
      <c r="M2395">
        <v>27230.11</v>
      </c>
      <c r="N2395">
        <v>6173.72</v>
      </c>
      <c r="O2395">
        <v>3098.21</v>
      </c>
      <c r="P2395">
        <v>2222.6999999999998</v>
      </c>
      <c r="Q2395">
        <v>927.28</v>
      </c>
      <c r="R2395">
        <v>2288.35</v>
      </c>
      <c r="S2395">
        <v>667.43</v>
      </c>
      <c r="T2395">
        <v>42607.79</v>
      </c>
      <c r="U2395">
        <v>24435.8</v>
      </c>
      <c r="V2395">
        <v>9058.11</v>
      </c>
      <c r="W2395">
        <v>8826.48</v>
      </c>
      <c r="X2395">
        <v>51388.45</v>
      </c>
      <c r="Y2395">
        <v>42597.66</v>
      </c>
    </row>
    <row r="2396" spans="1:25" x14ac:dyDescent="0.25">
      <c r="A2396" t="s">
        <v>2452</v>
      </c>
      <c r="B2396" s="1">
        <v>45602</v>
      </c>
      <c r="C2396">
        <v>2024</v>
      </c>
      <c r="D2396">
        <v>11</v>
      </c>
      <c r="E2396" t="s">
        <v>1117</v>
      </c>
      <c r="F2396" t="s">
        <v>1018</v>
      </c>
      <c r="G2396" t="s">
        <v>55</v>
      </c>
      <c r="H2396" t="s">
        <v>32</v>
      </c>
      <c r="I2396" t="s">
        <v>37</v>
      </c>
      <c r="J2396">
        <v>74</v>
      </c>
      <c r="K2396">
        <v>1123.98</v>
      </c>
      <c r="L2396">
        <v>83174.22</v>
      </c>
      <c r="M2396">
        <v>45543.55</v>
      </c>
      <c r="N2396">
        <v>10523.33</v>
      </c>
      <c r="O2396">
        <v>3251.3</v>
      </c>
      <c r="P2396">
        <v>1680.63</v>
      </c>
      <c r="Q2396">
        <v>922.55</v>
      </c>
      <c r="R2396">
        <v>2769.41</v>
      </c>
      <c r="S2396">
        <v>2031.93</v>
      </c>
      <c r="T2396">
        <v>66722.7</v>
      </c>
      <c r="U2396">
        <v>37630.67</v>
      </c>
      <c r="V2396">
        <v>16451.52</v>
      </c>
      <c r="W2396">
        <v>15397.01</v>
      </c>
      <c r="X2396">
        <v>91467.66</v>
      </c>
      <c r="Y2396">
        <v>68889.33</v>
      </c>
    </row>
    <row r="2397" spans="1:25" x14ac:dyDescent="0.25">
      <c r="A2397" t="s">
        <v>2453</v>
      </c>
      <c r="B2397" s="1">
        <v>45602</v>
      </c>
      <c r="C2397">
        <v>2024</v>
      </c>
      <c r="D2397">
        <v>11</v>
      </c>
      <c r="E2397" t="s">
        <v>1117</v>
      </c>
      <c r="F2397" t="s">
        <v>1018</v>
      </c>
      <c r="G2397" t="s">
        <v>44</v>
      </c>
      <c r="H2397" t="s">
        <v>29</v>
      </c>
      <c r="I2397" t="s">
        <v>50</v>
      </c>
      <c r="J2397">
        <v>35</v>
      </c>
      <c r="K2397">
        <v>1121.57</v>
      </c>
      <c r="L2397">
        <v>39254.959999999999</v>
      </c>
      <c r="M2397">
        <v>21949.68</v>
      </c>
      <c r="N2397">
        <v>3436.56</v>
      </c>
      <c r="O2397">
        <v>1464.12</v>
      </c>
      <c r="P2397">
        <v>796.68</v>
      </c>
      <c r="Q2397">
        <v>639.19000000000005</v>
      </c>
      <c r="R2397">
        <v>2188.2600000000002</v>
      </c>
      <c r="S2397">
        <v>896.52</v>
      </c>
      <c r="T2397">
        <v>31371.01</v>
      </c>
      <c r="U2397">
        <v>17305.28</v>
      </c>
      <c r="V2397">
        <v>7883.95</v>
      </c>
      <c r="W2397">
        <v>7642.03</v>
      </c>
      <c r="X2397">
        <v>43682.5</v>
      </c>
      <c r="Y2397">
        <v>31862.71</v>
      </c>
    </row>
    <row r="2398" spans="1:25" x14ac:dyDescent="0.25">
      <c r="A2398" t="s">
        <v>2454</v>
      </c>
      <c r="B2398" s="1">
        <v>45603</v>
      </c>
      <c r="C2398">
        <v>2024</v>
      </c>
      <c r="D2398">
        <v>11</v>
      </c>
      <c r="E2398" t="s">
        <v>1117</v>
      </c>
      <c r="F2398" t="s">
        <v>1018</v>
      </c>
      <c r="G2398" t="s">
        <v>44</v>
      </c>
      <c r="H2398" t="s">
        <v>53</v>
      </c>
      <c r="I2398" t="s">
        <v>33</v>
      </c>
      <c r="J2398">
        <v>50</v>
      </c>
      <c r="K2398">
        <v>1264.18</v>
      </c>
      <c r="L2398">
        <v>63209.16</v>
      </c>
      <c r="M2398">
        <v>42140.79</v>
      </c>
      <c r="N2398">
        <v>7218.32</v>
      </c>
      <c r="O2398">
        <v>3908.59</v>
      </c>
      <c r="P2398">
        <v>2377.61</v>
      </c>
      <c r="Q2398">
        <v>377.1</v>
      </c>
      <c r="R2398">
        <v>2550.4299999999998</v>
      </c>
      <c r="S2398">
        <v>1173.76</v>
      </c>
      <c r="T2398">
        <v>59746.6</v>
      </c>
      <c r="U2398">
        <v>21068.37</v>
      </c>
      <c r="V2398">
        <v>3462.56</v>
      </c>
      <c r="W2398">
        <v>3141.33</v>
      </c>
      <c r="X2398">
        <v>68474.98</v>
      </c>
      <c r="Y2398">
        <v>60751.31</v>
      </c>
    </row>
    <row r="2399" spans="1:25" x14ac:dyDescent="0.25">
      <c r="A2399" t="s">
        <v>2455</v>
      </c>
      <c r="B2399" s="1">
        <v>45604</v>
      </c>
      <c r="C2399">
        <v>2024</v>
      </c>
      <c r="D2399">
        <v>11</v>
      </c>
      <c r="E2399" t="s">
        <v>1117</v>
      </c>
      <c r="F2399" t="s">
        <v>1018</v>
      </c>
      <c r="G2399" t="s">
        <v>35</v>
      </c>
      <c r="H2399" t="s">
        <v>29</v>
      </c>
      <c r="I2399" t="s">
        <v>45</v>
      </c>
      <c r="J2399">
        <v>24</v>
      </c>
      <c r="K2399">
        <v>1347.52</v>
      </c>
      <c r="L2399">
        <v>32340.42</v>
      </c>
      <c r="M2399">
        <v>16109.89</v>
      </c>
      <c r="N2399">
        <v>3273.94</v>
      </c>
      <c r="O2399">
        <v>959.84</v>
      </c>
      <c r="P2399">
        <v>1351.16</v>
      </c>
      <c r="Q2399">
        <v>351.39</v>
      </c>
      <c r="R2399">
        <v>1915.64</v>
      </c>
      <c r="S2399">
        <v>692.08</v>
      </c>
      <c r="T2399">
        <v>24653.95</v>
      </c>
      <c r="U2399">
        <v>16230.53</v>
      </c>
      <c r="V2399">
        <v>7686.47</v>
      </c>
      <c r="W2399">
        <v>7054.83</v>
      </c>
      <c r="X2399">
        <v>34066.81</v>
      </c>
      <c r="Y2399">
        <v>26406.15</v>
      </c>
    </row>
    <row r="2400" spans="1:25" x14ac:dyDescent="0.25">
      <c r="A2400" t="s">
        <v>2456</v>
      </c>
      <c r="B2400" s="1">
        <v>45604</v>
      </c>
      <c r="C2400">
        <v>2024</v>
      </c>
      <c r="D2400">
        <v>11</v>
      </c>
      <c r="E2400" t="s">
        <v>1117</v>
      </c>
      <c r="F2400" t="s">
        <v>1018</v>
      </c>
      <c r="G2400" t="s">
        <v>35</v>
      </c>
      <c r="H2400" t="s">
        <v>32</v>
      </c>
      <c r="I2400" t="s">
        <v>37</v>
      </c>
      <c r="J2400">
        <v>92</v>
      </c>
      <c r="K2400">
        <v>940.82</v>
      </c>
      <c r="L2400">
        <v>86555.76</v>
      </c>
      <c r="M2400">
        <v>45781.18</v>
      </c>
      <c r="N2400">
        <v>10048.42</v>
      </c>
      <c r="O2400">
        <v>2593</v>
      </c>
      <c r="P2400">
        <v>1575.04</v>
      </c>
      <c r="Q2400">
        <v>1273.24</v>
      </c>
      <c r="R2400">
        <v>4104.26</v>
      </c>
      <c r="S2400">
        <v>1301.49</v>
      </c>
      <c r="T2400">
        <v>66676.61</v>
      </c>
      <c r="U2400">
        <v>40774.58</v>
      </c>
      <c r="V2400">
        <v>19879.150000000001</v>
      </c>
      <c r="W2400">
        <v>19475.57</v>
      </c>
      <c r="X2400">
        <v>94076.160000000003</v>
      </c>
      <c r="Y2400">
        <v>70268.34</v>
      </c>
    </row>
    <row r="2401" spans="1:25" x14ac:dyDescent="0.25">
      <c r="A2401" t="s">
        <v>2457</v>
      </c>
      <c r="B2401" s="1">
        <v>45605</v>
      </c>
      <c r="C2401">
        <v>2024</v>
      </c>
      <c r="D2401">
        <v>11</v>
      </c>
      <c r="E2401" t="s">
        <v>1117</v>
      </c>
      <c r="F2401" t="s">
        <v>1018</v>
      </c>
      <c r="G2401" t="s">
        <v>28</v>
      </c>
      <c r="H2401" t="s">
        <v>32</v>
      </c>
      <c r="I2401" t="s">
        <v>39</v>
      </c>
      <c r="J2401">
        <v>41</v>
      </c>
      <c r="K2401">
        <v>1544.25</v>
      </c>
      <c r="L2401">
        <v>63314.11</v>
      </c>
      <c r="M2401">
        <v>32289.45</v>
      </c>
      <c r="N2401">
        <v>7337.13</v>
      </c>
      <c r="O2401">
        <v>3189.6</v>
      </c>
      <c r="P2401">
        <v>1027.58</v>
      </c>
      <c r="Q2401">
        <v>773.63</v>
      </c>
      <c r="R2401">
        <v>1658.29</v>
      </c>
      <c r="S2401">
        <v>793.42</v>
      </c>
      <c r="T2401">
        <v>47069.1</v>
      </c>
      <c r="U2401">
        <v>31024.66</v>
      </c>
      <c r="V2401">
        <v>16245.01</v>
      </c>
      <c r="W2401">
        <v>15617.48</v>
      </c>
      <c r="X2401">
        <v>64739.9</v>
      </c>
      <c r="Y2401">
        <v>47651.65</v>
      </c>
    </row>
    <row r="2402" spans="1:25" x14ac:dyDescent="0.25">
      <c r="A2402" t="s">
        <v>2458</v>
      </c>
      <c r="B2402" s="1">
        <v>45605</v>
      </c>
      <c r="C2402">
        <v>2024</v>
      </c>
      <c r="D2402">
        <v>11</v>
      </c>
      <c r="E2402" t="s">
        <v>1117</v>
      </c>
      <c r="F2402" t="s">
        <v>1018</v>
      </c>
      <c r="G2402" t="s">
        <v>55</v>
      </c>
      <c r="H2402" t="s">
        <v>58</v>
      </c>
      <c r="I2402" t="s">
        <v>39</v>
      </c>
      <c r="J2402">
        <v>26</v>
      </c>
      <c r="K2402">
        <v>1606.99</v>
      </c>
      <c r="L2402">
        <v>41781.74</v>
      </c>
      <c r="M2402">
        <v>22805.96</v>
      </c>
      <c r="N2402">
        <v>5131.2</v>
      </c>
      <c r="O2402">
        <v>2764.14</v>
      </c>
      <c r="P2402">
        <v>1249.3</v>
      </c>
      <c r="Q2402">
        <v>665.29</v>
      </c>
      <c r="R2402">
        <v>2108.38</v>
      </c>
      <c r="S2402">
        <v>773.65</v>
      </c>
      <c r="T2402">
        <v>35497.919999999998</v>
      </c>
      <c r="U2402">
        <v>18975.78</v>
      </c>
      <c r="V2402">
        <v>6283.82</v>
      </c>
      <c r="W2402">
        <v>5690.02</v>
      </c>
      <c r="X2402">
        <v>39900.44</v>
      </c>
      <c r="Y2402">
        <v>34959.57</v>
      </c>
    </row>
    <row r="2403" spans="1:25" x14ac:dyDescent="0.25">
      <c r="A2403" t="s">
        <v>2459</v>
      </c>
      <c r="B2403" s="1">
        <v>45605</v>
      </c>
      <c r="C2403">
        <v>2024</v>
      </c>
      <c r="D2403">
        <v>11</v>
      </c>
      <c r="E2403" t="s">
        <v>1117</v>
      </c>
      <c r="F2403" t="s">
        <v>1018</v>
      </c>
      <c r="G2403" t="s">
        <v>44</v>
      </c>
      <c r="H2403" t="s">
        <v>32</v>
      </c>
      <c r="I2403" t="s">
        <v>65</v>
      </c>
      <c r="J2403">
        <v>46</v>
      </c>
      <c r="K2403">
        <v>1218.9100000000001</v>
      </c>
      <c r="L2403">
        <v>56069.94</v>
      </c>
      <c r="M2403">
        <v>36051.58</v>
      </c>
      <c r="N2403">
        <v>6742</v>
      </c>
      <c r="O2403">
        <v>3767.9</v>
      </c>
      <c r="P2403">
        <v>1428.71</v>
      </c>
      <c r="Q2403">
        <v>672.29</v>
      </c>
      <c r="R2403">
        <v>2387.85</v>
      </c>
      <c r="S2403">
        <v>636.13</v>
      </c>
      <c r="T2403">
        <v>51686.45</v>
      </c>
      <c r="U2403">
        <v>20018.36</v>
      </c>
      <c r="V2403">
        <v>4383.49</v>
      </c>
      <c r="W2403">
        <v>4013.83</v>
      </c>
      <c r="X2403">
        <v>61621.31</v>
      </c>
      <c r="Y2403">
        <v>51404.52</v>
      </c>
    </row>
    <row r="2404" spans="1:25" x14ac:dyDescent="0.25">
      <c r="A2404" t="s">
        <v>2460</v>
      </c>
      <c r="B2404" s="1">
        <v>45606</v>
      </c>
      <c r="C2404">
        <v>2024</v>
      </c>
      <c r="D2404">
        <v>11</v>
      </c>
      <c r="E2404" t="s">
        <v>1117</v>
      </c>
      <c r="F2404" t="s">
        <v>1018</v>
      </c>
      <c r="G2404" t="s">
        <v>55</v>
      </c>
      <c r="H2404" t="s">
        <v>36</v>
      </c>
      <c r="I2404" t="s">
        <v>39</v>
      </c>
      <c r="J2404">
        <v>47</v>
      </c>
      <c r="K2404">
        <v>1190.68</v>
      </c>
      <c r="L2404">
        <v>55962.080000000002</v>
      </c>
      <c r="M2404">
        <v>28067.7</v>
      </c>
      <c r="N2404">
        <v>7250.5</v>
      </c>
      <c r="O2404">
        <v>1753.65</v>
      </c>
      <c r="P2404">
        <v>1294.5999999999999</v>
      </c>
      <c r="Q2404">
        <v>612.13</v>
      </c>
      <c r="R2404">
        <v>2391.1799999999998</v>
      </c>
      <c r="S2404">
        <v>930.77</v>
      </c>
      <c r="T2404">
        <v>42300.54</v>
      </c>
      <c r="U2404">
        <v>27894.39</v>
      </c>
      <c r="V2404">
        <v>13661.55</v>
      </c>
      <c r="W2404">
        <v>13542.55</v>
      </c>
      <c r="X2404">
        <v>52140.08</v>
      </c>
      <c r="Y2404">
        <v>41161.64</v>
      </c>
    </row>
    <row r="2405" spans="1:25" x14ac:dyDescent="0.25">
      <c r="A2405" t="s">
        <v>2461</v>
      </c>
      <c r="B2405" s="1">
        <v>45606</v>
      </c>
      <c r="C2405">
        <v>2024</v>
      </c>
      <c r="D2405">
        <v>11</v>
      </c>
      <c r="E2405" t="s">
        <v>1117</v>
      </c>
      <c r="F2405" t="s">
        <v>1018</v>
      </c>
      <c r="G2405" t="s">
        <v>28</v>
      </c>
      <c r="H2405" t="s">
        <v>53</v>
      </c>
      <c r="I2405" t="s">
        <v>65</v>
      </c>
      <c r="J2405">
        <v>48</v>
      </c>
      <c r="K2405">
        <v>1061.04</v>
      </c>
      <c r="L2405">
        <v>50930.11</v>
      </c>
      <c r="M2405">
        <v>24849.32</v>
      </c>
      <c r="N2405">
        <v>5737.77</v>
      </c>
      <c r="O2405">
        <v>3730.29</v>
      </c>
      <c r="P2405">
        <v>1045.75</v>
      </c>
      <c r="Q2405">
        <v>389.39</v>
      </c>
      <c r="R2405">
        <v>3234.54</v>
      </c>
      <c r="S2405">
        <v>632.36</v>
      </c>
      <c r="T2405">
        <v>39619.410000000003</v>
      </c>
      <c r="U2405">
        <v>26080.79</v>
      </c>
      <c r="V2405">
        <v>11310.7</v>
      </c>
      <c r="W2405">
        <v>11138.99</v>
      </c>
      <c r="X2405">
        <v>52628.71</v>
      </c>
      <c r="Y2405">
        <v>42706.51</v>
      </c>
    </row>
    <row r="2406" spans="1:25" x14ac:dyDescent="0.25">
      <c r="A2406" t="s">
        <v>2462</v>
      </c>
      <c r="B2406" s="1">
        <v>45606</v>
      </c>
      <c r="C2406">
        <v>2024</v>
      </c>
      <c r="D2406">
        <v>11</v>
      </c>
      <c r="E2406" t="s">
        <v>1117</v>
      </c>
      <c r="F2406" t="s">
        <v>1018</v>
      </c>
      <c r="G2406" t="s">
        <v>35</v>
      </c>
      <c r="H2406" t="s">
        <v>32</v>
      </c>
      <c r="I2406" t="s">
        <v>45</v>
      </c>
      <c r="J2406">
        <v>60</v>
      </c>
      <c r="K2406">
        <v>968.9</v>
      </c>
      <c r="L2406">
        <v>58133.73</v>
      </c>
      <c r="M2406">
        <v>31513.53</v>
      </c>
      <c r="N2406">
        <v>7093.25</v>
      </c>
      <c r="O2406">
        <v>3195.38</v>
      </c>
      <c r="P2406">
        <v>1854.3</v>
      </c>
      <c r="Q2406">
        <v>593.44000000000005</v>
      </c>
      <c r="R2406">
        <v>1958.39</v>
      </c>
      <c r="S2406">
        <v>1345.01</v>
      </c>
      <c r="T2406">
        <v>47553.29</v>
      </c>
      <c r="U2406">
        <v>26620.2</v>
      </c>
      <c r="V2406">
        <v>10580.44</v>
      </c>
      <c r="W2406">
        <v>9313.68</v>
      </c>
      <c r="X2406">
        <v>58298.63</v>
      </c>
      <c r="Y2406">
        <v>46276.35</v>
      </c>
    </row>
    <row r="2407" spans="1:25" x14ac:dyDescent="0.25">
      <c r="A2407" t="s">
        <v>2463</v>
      </c>
      <c r="B2407" s="1">
        <v>45607</v>
      </c>
      <c r="C2407">
        <v>2024</v>
      </c>
      <c r="D2407">
        <v>11</v>
      </c>
      <c r="E2407" t="s">
        <v>1117</v>
      </c>
      <c r="F2407" t="s">
        <v>1018</v>
      </c>
      <c r="G2407" t="s">
        <v>35</v>
      </c>
      <c r="H2407" t="s">
        <v>58</v>
      </c>
      <c r="I2407" t="s">
        <v>50</v>
      </c>
      <c r="J2407">
        <v>26</v>
      </c>
      <c r="K2407">
        <v>1557.45</v>
      </c>
      <c r="L2407">
        <v>40493.81</v>
      </c>
      <c r="M2407">
        <v>26406.2</v>
      </c>
      <c r="N2407">
        <v>3399.02</v>
      </c>
      <c r="O2407">
        <v>2324.69</v>
      </c>
      <c r="P2407">
        <v>1502.53</v>
      </c>
      <c r="Q2407">
        <v>547.79</v>
      </c>
      <c r="R2407">
        <v>2065.44</v>
      </c>
      <c r="S2407">
        <v>585.55999999999995</v>
      </c>
      <c r="T2407">
        <v>36831.22</v>
      </c>
      <c r="U2407">
        <v>14087.62</v>
      </c>
      <c r="V2407">
        <v>3662.59</v>
      </c>
      <c r="W2407">
        <v>3488.11</v>
      </c>
      <c r="X2407">
        <v>38817.480000000003</v>
      </c>
      <c r="Y2407">
        <v>34721.89</v>
      </c>
    </row>
    <row r="2408" spans="1:25" x14ac:dyDescent="0.25">
      <c r="A2408" t="s">
        <v>2464</v>
      </c>
      <c r="B2408" s="1">
        <v>45607</v>
      </c>
      <c r="C2408">
        <v>2024</v>
      </c>
      <c r="D2408">
        <v>11</v>
      </c>
      <c r="E2408" t="s">
        <v>1117</v>
      </c>
      <c r="F2408" t="s">
        <v>1018</v>
      </c>
      <c r="G2408" t="s">
        <v>55</v>
      </c>
      <c r="H2408" t="s">
        <v>32</v>
      </c>
      <c r="I2408" t="s">
        <v>50</v>
      </c>
      <c r="J2408">
        <v>68</v>
      </c>
      <c r="K2408">
        <v>1010.81</v>
      </c>
      <c r="L2408">
        <v>68735.399999999994</v>
      </c>
      <c r="M2408">
        <v>45618.81</v>
      </c>
      <c r="N2408">
        <v>8148.64</v>
      </c>
      <c r="O2408">
        <v>4142.62</v>
      </c>
      <c r="P2408">
        <v>1277.07</v>
      </c>
      <c r="Q2408">
        <v>923.24</v>
      </c>
      <c r="R2408">
        <v>4440.92</v>
      </c>
      <c r="S2408">
        <v>1345.28</v>
      </c>
      <c r="T2408">
        <v>65896.58</v>
      </c>
      <c r="U2408">
        <v>23116.6</v>
      </c>
      <c r="V2408">
        <v>2838.82</v>
      </c>
      <c r="W2408">
        <v>2693.19</v>
      </c>
      <c r="X2408">
        <v>64429.22</v>
      </c>
      <c r="Y2408">
        <v>67471.62</v>
      </c>
    </row>
    <row r="2409" spans="1:25" x14ac:dyDescent="0.25">
      <c r="A2409" t="s">
        <v>2465</v>
      </c>
      <c r="B2409" s="1">
        <v>45607</v>
      </c>
      <c r="C2409">
        <v>2024</v>
      </c>
      <c r="D2409">
        <v>11</v>
      </c>
      <c r="E2409" t="s">
        <v>1117</v>
      </c>
      <c r="F2409" t="s">
        <v>1018</v>
      </c>
      <c r="G2409" t="s">
        <v>28</v>
      </c>
      <c r="H2409" t="s">
        <v>29</v>
      </c>
      <c r="I2409" t="s">
        <v>30</v>
      </c>
      <c r="J2409">
        <v>63</v>
      </c>
      <c r="K2409">
        <v>1352.47</v>
      </c>
      <c r="L2409">
        <v>85205.49</v>
      </c>
      <c r="M2409">
        <v>41439.410000000003</v>
      </c>
      <c r="N2409">
        <v>6513.42</v>
      </c>
      <c r="O2409">
        <v>2610.5100000000002</v>
      </c>
      <c r="P2409">
        <v>3245.79</v>
      </c>
      <c r="Q2409">
        <v>1060.1400000000001</v>
      </c>
      <c r="R2409">
        <v>2422.36</v>
      </c>
      <c r="S2409">
        <v>1146.1300000000001</v>
      </c>
      <c r="T2409">
        <v>58437.77</v>
      </c>
      <c r="U2409">
        <v>43766.080000000002</v>
      </c>
      <c r="V2409">
        <v>26767.72</v>
      </c>
      <c r="W2409">
        <v>25418.95</v>
      </c>
      <c r="X2409">
        <v>88721.95</v>
      </c>
      <c r="Y2409">
        <v>55745.52</v>
      </c>
    </row>
    <row r="2410" spans="1:25" x14ac:dyDescent="0.25">
      <c r="A2410" t="s">
        <v>2466</v>
      </c>
      <c r="B2410" s="1">
        <v>45608</v>
      </c>
      <c r="C2410">
        <v>2024</v>
      </c>
      <c r="D2410">
        <v>11</v>
      </c>
      <c r="E2410" t="s">
        <v>1117</v>
      </c>
      <c r="F2410" t="s">
        <v>1018</v>
      </c>
      <c r="G2410" t="s">
        <v>28</v>
      </c>
      <c r="H2410" t="s">
        <v>32</v>
      </c>
      <c r="I2410" t="s">
        <v>65</v>
      </c>
      <c r="J2410">
        <v>71</v>
      </c>
      <c r="K2410">
        <v>1176.07</v>
      </c>
      <c r="L2410">
        <v>83500.73</v>
      </c>
      <c r="M2410">
        <v>51991.55</v>
      </c>
      <c r="N2410">
        <v>8150.6</v>
      </c>
      <c r="O2410">
        <v>4765.34</v>
      </c>
      <c r="P2410">
        <v>2699.63</v>
      </c>
      <c r="Q2410">
        <v>868.44</v>
      </c>
      <c r="R2410">
        <v>4989.38</v>
      </c>
      <c r="S2410">
        <v>1127.04</v>
      </c>
      <c r="T2410">
        <v>74591.98</v>
      </c>
      <c r="U2410">
        <v>31509.18</v>
      </c>
      <c r="V2410">
        <v>8908.74</v>
      </c>
      <c r="W2410">
        <v>8797.24</v>
      </c>
      <c r="X2410">
        <v>85452.05</v>
      </c>
      <c r="Y2410">
        <v>74458.06</v>
      </c>
    </row>
    <row r="2411" spans="1:25" x14ac:dyDescent="0.25">
      <c r="A2411" t="s">
        <v>2467</v>
      </c>
      <c r="B2411" s="1">
        <v>45608</v>
      </c>
      <c r="C2411">
        <v>2024</v>
      </c>
      <c r="D2411">
        <v>11</v>
      </c>
      <c r="E2411" t="s">
        <v>1117</v>
      </c>
      <c r="F2411" t="s">
        <v>1018</v>
      </c>
      <c r="G2411" t="s">
        <v>28</v>
      </c>
      <c r="H2411" t="s">
        <v>29</v>
      </c>
      <c r="I2411" t="s">
        <v>30</v>
      </c>
      <c r="J2411">
        <v>52</v>
      </c>
      <c r="K2411">
        <v>1647.31</v>
      </c>
      <c r="L2411">
        <v>85660.31</v>
      </c>
      <c r="M2411">
        <v>51958.62</v>
      </c>
      <c r="N2411">
        <v>6518.93</v>
      </c>
      <c r="O2411">
        <v>2894.6</v>
      </c>
      <c r="P2411">
        <v>2291.13</v>
      </c>
      <c r="Q2411">
        <v>671</v>
      </c>
      <c r="R2411">
        <v>5320.77</v>
      </c>
      <c r="S2411">
        <v>1387.93</v>
      </c>
      <c r="T2411">
        <v>71042.98</v>
      </c>
      <c r="U2411">
        <v>33701.69</v>
      </c>
      <c r="V2411">
        <v>14617.33</v>
      </c>
      <c r="W2411">
        <v>12924.68</v>
      </c>
      <c r="X2411">
        <v>82326.39</v>
      </c>
      <c r="Y2411">
        <v>75816.17</v>
      </c>
    </row>
    <row r="2412" spans="1:25" x14ac:dyDescent="0.25">
      <c r="A2412" t="s">
        <v>2468</v>
      </c>
      <c r="B2412" s="1">
        <v>45608</v>
      </c>
      <c r="C2412">
        <v>2024</v>
      </c>
      <c r="D2412">
        <v>11</v>
      </c>
      <c r="E2412" t="s">
        <v>1117</v>
      </c>
      <c r="F2412" t="s">
        <v>1018</v>
      </c>
      <c r="G2412" t="s">
        <v>28</v>
      </c>
      <c r="H2412" t="s">
        <v>32</v>
      </c>
      <c r="I2412" t="s">
        <v>65</v>
      </c>
      <c r="J2412">
        <v>65</v>
      </c>
      <c r="K2412">
        <v>899.65</v>
      </c>
      <c r="L2412">
        <v>58477.45</v>
      </c>
      <c r="M2412">
        <v>37815.9</v>
      </c>
      <c r="N2412">
        <v>6985.75</v>
      </c>
      <c r="O2412">
        <v>3117.18</v>
      </c>
      <c r="P2412">
        <v>2291.46</v>
      </c>
      <c r="Q2412">
        <v>902.78</v>
      </c>
      <c r="R2412">
        <v>2099.0700000000002</v>
      </c>
      <c r="S2412">
        <v>1358.82</v>
      </c>
      <c r="T2412">
        <v>54570.98</v>
      </c>
      <c r="U2412">
        <v>20661.55</v>
      </c>
      <c r="V2412">
        <v>3906.47</v>
      </c>
      <c r="W2412">
        <v>3828.36</v>
      </c>
      <c r="X2412">
        <v>56866.400000000001</v>
      </c>
      <c r="Y2412">
        <v>58052.09</v>
      </c>
    </row>
    <row r="2413" spans="1:25" x14ac:dyDescent="0.25">
      <c r="A2413" t="s">
        <v>2469</v>
      </c>
      <c r="B2413" s="1">
        <v>45608</v>
      </c>
      <c r="C2413">
        <v>2024</v>
      </c>
      <c r="D2413">
        <v>11</v>
      </c>
      <c r="E2413" t="s">
        <v>1117</v>
      </c>
      <c r="F2413" t="s">
        <v>1018</v>
      </c>
      <c r="G2413" t="s">
        <v>28</v>
      </c>
      <c r="H2413" t="s">
        <v>32</v>
      </c>
      <c r="I2413" t="s">
        <v>56</v>
      </c>
      <c r="J2413">
        <v>22</v>
      </c>
      <c r="K2413">
        <v>1640.1</v>
      </c>
      <c r="L2413">
        <v>36082.129999999997</v>
      </c>
      <c r="M2413">
        <v>19421.2</v>
      </c>
      <c r="N2413">
        <v>2535.6799999999998</v>
      </c>
      <c r="O2413">
        <v>1061.56</v>
      </c>
      <c r="P2413">
        <v>1233.23</v>
      </c>
      <c r="Q2413">
        <v>395.91</v>
      </c>
      <c r="R2413">
        <v>1626.3</v>
      </c>
      <c r="S2413">
        <v>572.12</v>
      </c>
      <c r="T2413">
        <v>26846.01</v>
      </c>
      <c r="U2413">
        <v>16660.93</v>
      </c>
      <c r="V2413">
        <v>9236.1200000000008</v>
      </c>
      <c r="W2413">
        <v>8327.39</v>
      </c>
      <c r="X2413">
        <v>36622.03</v>
      </c>
      <c r="Y2413">
        <v>25358.06</v>
      </c>
    </row>
    <row r="2414" spans="1:25" x14ac:dyDescent="0.25">
      <c r="A2414" t="s">
        <v>2470</v>
      </c>
      <c r="B2414" s="1">
        <v>45609</v>
      </c>
      <c r="C2414">
        <v>2024</v>
      </c>
      <c r="D2414">
        <v>11</v>
      </c>
      <c r="E2414" t="s">
        <v>1117</v>
      </c>
      <c r="F2414" t="s">
        <v>1018</v>
      </c>
      <c r="G2414" t="s">
        <v>44</v>
      </c>
      <c r="H2414" t="s">
        <v>58</v>
      </c>
      <c r="I2414" t="s">
        <v>30</v>
      </c>
      <c r="J2414">
        <v>58</v>
      </c>
      <c r="K2414">
        <v>1256.72</v>
      </c>
      <c r="L2414">
        <v>72889.820000000007</v>
      </c>
      <c r="M2414">
        <v>47526.29</v>
      </c>
      <c r="N2414">
        <v>6387.08</v>
      </c>
      <c r="O2414">
        <v>4040.18</v>
      </c>
      <c r="P2414">
        <v>2548.0700000000002</v>
      </c>
      <c r="Q2414">
        <v>1235.4100000000001</v>
      </c>
      <c r="R2414">
        <v>4503.68</v>
      </c>
      <c r="S2414">
        <v>782.69</v>
      </c>
      <c r="T2414">
        <v>67023.41</v>
      </c>
      <c r="U2414">
        <v>25363.52</v>
      </c>
      <c r="V2414">
        <v>5866.41</v>
      </c>
      <c r="W2414">
        <v>5619.62</v>
      </c>
      <c r="X2414">
        <v>75403.25</v>
      </c>
      <c r="Y2414">
        <v>69267.44</v>
      </c>
    </row>
    <row r="2415" spans="1:25" x14ac:dyDescent="0.25">
      <c r="A2415" t="s">
        <v>2471</v>
      </c>
      <c r="B2415" s="1">
        <v>45609</v>
      </c>
      <c r="C2415">
        <v>2024</v>
      </c>
      <c r="D2415">
        <v>11</v>
      </c>
      <c r="E2415" t="s">
        <v>1117</v>
      </c>
      <c r="F2415" t="s">
        <v>1018</v>
      </c>
      <c r="G2415" t="s">
        <v>28</v>
      </c>
      <c r="H2415" t="s">
        <v>29</v>
      </c>
      <c r="I2415" t="s">
        <v>45</v>
      </c>
      <c r="J2415">
        <v>37</v>
      </c>
      <c r="K2415">
        <v>1263.3599999999999</v>
      </c>
      <c r="L2415">
        <v>46744.39</v>
      </c>
      <c r="M2415">
        <v>27003.02</v>
      </c>
      <c r="N2415">
        <v>5301.13</v>
      </c>
      <c r="O2415">
        <v>2968.61</v>
      </c>
      <c r="P2415">
        <v>1490.4</v>
      </c>
      <c r="Q2415">
        <v>474.7</v>
      </c>
      <c r="R2415">
        <v>2703.57</v>
      </c>
      <c r="S2415">
        <v>540.86</v>
      </c>
      <c r="T2415">
        <v>40482.28</v>
      </c>
      <c r="U2415">
        <v>19741.38</v>
      </c>
      <c r="V2415">
        <v>6262.11</v>
      </c>
      <c r="W2415">
        <v>6290.87</v>
      </c>
      <c r="X2415">
        <v>43362.98</v>
      </c>
      <c r="Y2415">
        <v>39713.94</v>
      </c>
    </row>
    <row r="2416" spans="1:25" x14ac:dyDescent="0.25">
      <c r="A2416" t="s">
        <v>2472</v>
      </c>
      <c r="B2416" s="1">
        <v>45609</v>
      </c>
      <c r="C2416">
        <v>2024</v>
      </c>
      <c r="D2416">
        <v>11</v>
      </c>
      <c r="E2416" t="s">
        <v>1117</v>
      </c>
      <c r="F2416" t="s">
        <v>1018</v>
      </c>
      <c r="G2416" t="s">
        <v>44</v>
      </c>
      <c r="H2416" t="s">
        <v>32</v>
      </c>
      <c r="I2416" t="s">
        <v>37</v>
      </c>
      <c r="J2416">
        <v>49</v>
      </c>
      <c r="K2416">
        <v>1139.3900000000001</v>
      </c>
      <c r="L2416">
        <v>55829.9</v>
      </c>
      <c r="M2416">
        <v>28434.16</v>
      </c>
      <c r="N2416">
        <v>5735.66</v>
      </c>
      <c r="O2416">
        <v>2297.0500000000002</v>
      </c>
      <c r="P2416">
        <v>1740.54</v>
      </c>
      <c r="Q2416">
        <v>604.85</v>
      </c>
      <c r="R2416">
        <v>1417.47</v>
      </c>
      <c r="S2416">
        <v>573.39</v>
      </c>
      <c r="T2416">
        <v>40803.11</v>
      </c>
      <c r="U2416">
        <v>27395.75</v>
      </c>
      <c r="V2416">
        <v>15026.79</v>
      </c>
      <c r="W2416">
        <v>14950.85</v>
      </c>
      <c r="X2416">
        <v>58441.9</v>
      </c>
      <c r="Y2416">
        <v>41763.31</v>
      </c>
    </row>
    <row r="2417" spans="1:25" x14ac:dyDescent="0.25">
      <c r="A2417" t="s">
        <v>2473</v>
      </c>
      <c r="B2417" s="1">
        <v>45610</v>
      </c>
      <c r="C2417">
        <v>2024</v>
      </c>
      <c r="D2417">
        <v>11</v>
      </c>
      <c r="E2417" t="s">
        <v>1117</v>
      </c>
      <c r="F2417" t="s">
        <v>1018</v>
      </c>
      <c r="G2417" t="s">
        <v>55</v>
      </c>
      <c r="H2417" t="s">
        <v>32</v>
      </c>
      <c r="I2417" t="s">
        <v>45</v>
      </c>
      <c r="J2417">
        <v>65</v>
      </c>
      <c r="K2417">
        <v>874.86</v>
      </c>
      <c r="L2417">
        <v>56866.18</v>
      </c>
      <c r="M2417">
        <v>29423.37</v>
      </c>
      <c r="N2417">
        <v>4336.8500000000004</v>
      </c>
      <c r="O2417">
        <v>3906.35</v>
      </c>
      <c r="P2417">
        <v>1349.05</v>
      </c>
      <c r="Q2417">
        <v>820.52</v>
      </c>
      <c r="R2417">
        <v>1731.69</v>
      </c>
      <c r="S2417">
        <v>689.13</v>
      </c>
      <c r="T2417">
        <v>42256.97</v>
      </c>
      <c r="U2417">
        <v>27442.799999999999</v>
      </c>
      <c r="V2417">
        <v>14609.21</v>
      </c>
      <c r="W2417">
        <v>14039.13</v>
      </c>
      <c r="X2417">
        <v>63004.65</v>
      </c>
      <c r="Y2417">
        <v>43687.8</v>
      </c>
    </row>
    <row r="2418" spans="1:25" x14ac:dyDescent="0.25">
      <c r="A2418" t="s">
        <v>2474</v>
      </c>
      <c r="B2418" s="1">
        <v>45610</v>
      </c>
      <c r="C2418">
        <v>2024</v>
      </c>
      <c r="D2418">
        <v>11</v>
      </c>
      <c r="E2418" t="s">
        <v>1117</v>
      </c>
      <c r="F2418" t="s">
        <v>1018</v>
      </c>
      <c r="G2418" t="s">
        <v>35</v>
      </c>
      <c r="H2418" t="s">
        <v>32</v>
      </c>
      <c r="I2418" t="s">
        <v>33</v>
      </c>
      <c r="J2418">
        <v>83</v>
      </c>
      <c r="K2418">
        <v>1009.4</v>
      </c>
      <c r="L2418">
        <v>83780.490000000005</v>
      </c>
      <c r="M2418">
        <v>56528.03</v>
      </c>
      <c r="N2418">
        <v>7344.15</v>
      </c>
      <c r="O2418">
        <v>5781.43</v>
      </c>
      <c r="P2418">
        <v>1668.48</v>
      </c>
      <c r="Q2418">
        <v>470.71</v>
      </c>
      <c r="R2418">
        <v>4116.53</v>
      </c>
      <c r="S2418">
        <v>1887.79</v>
      </c>
      <c r="T2418">
        <v>77797.119999999995</v>
      </c>
      <c r="U2418">
        <v>27252.46</v>
      </c>
      <c r="V2418">
        <v>5983.38</v>
      </c>
      <c r="W2418">
        <v>5569.92</v>
      </c>
      <c r="X2418">
        <v>92082.36</v>
      </c>
      <c r="Y2418">
        <v>76224.66</v>
      </c>
    </row>
    <row r="2419" spans="1:25" x14ac:dyDescent="0.25">
      <c r="A2419" t="s">
        <v>2475</v>
      </c>
      <c r="B2419" s="1">
        <v>45611</v>
      </c>
      <c r="C2419">
        <v>2024</v>
      </c>
      <c r="D2419">
        <v>11</v>
      </c>
      <c r="E2419" t="s">
        <v>1117</v>
      </c>
      <c r="F2419" t="s">
        <v>1018</v>
      </c>
      <c r="G2419" t="s">
        <v>28</v>
      </c>
      <c r="H2419" t="s">
        <v>58</v>
      </c>
      <c r="I2419" t="s">
        <v>30</v>
      </c>
      <c r="J2419">
        <v>57</v>
      </c>
      <c r="K2419">
        <v>1699.04</v>
      </c>
      <c r="L2419">
        <v>96845.09</v>
      </c>
      <c r="M2419">
        <v>60168.09</v>
      </c>
      <c r="N2419">
        <v>7668.16</v>
      </c>
      <c r="O2419">
        <v>7190.82</v>
      </c>
      <c r="P2419">
        <v>3555.39</v>
      </c>
      <c r="Q2419">
        <v>922.87</v>
      </c>
      <c r="R2419">
        <v>5209.79</v>
      </c>
      <c r="S2419">
        <v>1095.07</v>
      </c>
      <c r="T2419">
        <v>85810.19</v>
      </c>
      <c r="U2419">
        <v>36677.01</v>
      </c>
      <c r="V2419">
        <v>11034.9</v>
      </c>
      <c r="W2419">
        <v>9982.92</v>
      </c>
      <c r="X2419">
        <v>105152.83</v>
      </c>
      <c r="Y2419">
        <v>92231.05</v>
      </c>
    </row>
    <row r="2420" spans="1:25" x14ac:dyDescent="0.25">
      <c r="A2420" t="s">
        <v>2476</v>
      </c>
      <c r="B2420" s="1">
        <v>45611</v>
      </c>
      <c r="C2420">
        <v>2024</v>
      </c>
      <c r="D2420">
        <v>11</v>
      </c>
      <c r="E2420" t="s">
        <v>1117</v>
      </c>
      <c r="F2420" t="s">
        <v>1018</v>
      </c>
      <c r="G2420" t="s">
        <v>44</v>
      </c>
      <c r="H2420" t="s">
        <v>53</v>
      </c>
      <c r="I2420" t="s">
        <v>65</v>
      </c>
      <c r="J2420">
        <v>26</v>
      </c>
      <c r="K2420">
        <v>1798.56</v>
      </c>
      <c r="L2420">
        <v>46762.49</v>
      </c>
      <c r="M2420">
        <v>30850.19</v>
      </c>
      <c r="N2420">
        <v>5539.3</v>
      </c>
      <c r="O2420">
        <v>1935.29</v>
      </c>
      <c r="P2420">
        <v>934.25</v>
      </c>
      <c r="Q2420">
        <v>432.56</v>
      </c>
      <c r="R2420">
        <v>2801.33</v>
      </c>
      <c r="S2420">
        <v>803.34</v>
      </c>
      <c r="T2420">
        <v>43296.25</v>
      </c>
      <c r="U2420">
        <v>15912.3</v>
      </c>
      <c r="V2420">
        <v>3466.24</v>
      </c>
      <c r="W2420">
        <v>3522.48</v>
      </c>
      <c r="X2420">
        <v>52372.41</v>
      </c>
      <c r="Y2420">
        <v>47421.3</v>
      </c>
    </row>
    <row r="2421" spans="1:25" x14ac:dyDescent="0.25">
      <c r="A2421" t="s">
        <v>2477</v>
      </c>
      <c r="B2421" s="1">
        <v>45611</v>
      </c>
      <c r="C2421">
        <v>2024</v>
      </c>
      <c r="D2421">
        <v>11</v>
      </c>
      <c r="E2421" t="s">
        <v>1117</v>
      </c>
      <c r="F2421" t="s">
        <v>1018</v>
      </c>
      <c r="G2421" t="s">
        <v>44</v>
      </c>
      <c r="H2421" t="s">
        <v>32</v>
      </c>
      <c r="I2421" t="s">
        <v>65</v>
      </c>
      <c r="J2421">
        <v>64</v>
      </c>
      <c r="K2421">
        <v>1303.92</v>
      </c>
      <c r="L2421">
        <v>83450.789999999994</v>
      </c>
      <c r="M2421">
        <v>43801.31</v>
      </c>
      <c r="N2421">
        <v>7547.55</v>
      </c>
      <c r="O2421">
        <v>3443.68</v>
      </c>
      <c r="P2421">
        <v>2530.0300000000002</v>
      </c>
      <c r="Q2421">
        <v>457.98</v>
      </c>
      <c r="R2421">
        <v>3231.19</v>
      </c>
      <c r="S2421">
        <v>1672.05</v>
      </c>
      <c r="T2421">
        <v>62683.79</v>
      </c>
      <c r="U2421">
        <v>39649.47</v>
      </c>
      <c r="V2421">
        <v>20766.990000000002</v>
      </c>
      <c r="W2421">
        <v>20140.919999999998</v>
      </c>
      <c r="X2421">
        <v>80344.710000000006</v>
      </c>
      <c r="Y2421">
        <v>59322.89</v>
      </c>
    </row>
    <row r="2422" spans="1:25" x14ac:dyDescent="0.25">
      <c r="A2422" t="s">
        <v>2478</v>
      </c>
      <c r="B2422" s="1">
        <v>45611</v>
      </c>
      <c r="C2422">
        <v>2024</v>
      </c>
      <c r="D2422">
        <v>11</v>
      </c>
      <c r="E2422" t="s">
        <v>1117</v>
      </c>
      <c r="F2422" t="s">
        <v>1018</v>
      </c>
      <c r="G2422" t="s">
        <v>55</v>
      </c>
      <c r="H2422" t="s">
        <v>29</v>
      </c>
      <c r="I2422" t="s">
        <v>37</v>
      </c>
      <c r="J2422">
        <v>50</v>
      </c>
      <c r="K2422">
        <v>1518.49</v>
      </c>
      <c r="L2422">
        <v>75924.639999999999</v>
      </c>
      <c r="M2422">
        <v>42667.22</v>
      </c>
      <c r="N2422">
        <v>8502.6200000000008</v>
      </c>
      <c r="O2422">
        <v>3478.41</v>
      </c>
      <c r="P2422">
        <v>1384.49</v>
      </c>
      <c r="Q2422">
        <v>1211.07</v>
      </c>
      <c r="R2422">
        <v>2481.19</v>
      </c>
      <c r="S2422">
        <v>1410.22</v>
      </c>
      <c r="T2422">
        <v>61135.23</v>
      </c>
      <c r="U2422">
        <v>33257.42</v>
      </c>
      <c r="V2422">
        <v>14789.42</v>
      </c>
      <c r="W2422">
        <v>13846.27</v>
      </c>
      <c r="X2422">
        <v>75464.41</v>
      </c>
      <c r="Y2422">
        <v>66055.66</v>
      </c>
    </row>
    <row r="2423" spans="1:25" x14ac:dyDescent="0.25">
      <c r="A2423" t="s">
        <v>2479</v>
      </c>
      <c r="B2423" s="1">
        <v>45611</v>
      </c>
      <c r="C2423">
        <v>2024</v>
      </c>
      <c r="D2423">
        <v>11</v>
      </c>
      <c r="E2423" t="s">
        <v>1117</v>
      </c>
      <c r="F2423" t="s">
        <v>1018</v>
      </c>
      <c r="G2423" t="s">
        <v>55</v>
      </c>
      <c r="H2423" t="s">
        <v>36</v>
      </c>
      <c r="I2423" t="s">
        <v>33</v>
      </c>
      <c r="J2423">
        <v>51</v>
      </c>
      <c r="K2423">
        <v>1689.08</v>
      </c>
      <c r="L2423">
        <v>86143.25</v>
      </c>
      <c r="M2423">
        <v>52743.34</v>
      </c>
      <c r="N2423">
        <v>8939.2900000000009</v>
      </c>
      <c r="O2423">
        <v>2191.94</v>
      </c>
      <c r="P2423">
        <v>1747.32</v>
      </c>
      <c r="Q2423">
        <v>1111.19</v>
      </c>
      <c r="R2423">
        <v>4067.96</v>
      </c>
      <c r="S2423">
        <v>1379.5</v>
      </c>
      <c r="T2423">
        <v>72180.52</v>
      </c>
      <c r="U2423">
        <v>33399.910000000003</v>
      </c>
      <c r="V2423">
        <v>13962.73</v>
      </c>
      <c r="W2423">
        <v>13461.45</v>
      </c>
      <c r="X2423">
        <v>89195.44</v>
      </c>
      <c r="Y2423">
        <v>70170.820000000007</v>
      </c>
    </row>
    <row r="2424" spans="1:25" x14ac:dyDescent="0.25">
      <c r="A2424" t="s">
        <v>2480</v>
      </c>
      <c r="B2424" s="1">
        <v>45611</v>
      </c>
      <c r="C2424">
        <v>2024</v>
      </c>
      <c r="D2424">
        <v>11</v>
      </c>
      <c r="E2424" t="s">
        <v>1117</v>
      </c>
      <c r="F2424" t="s">
        <v>1018</v>
      </c>
      <c r="G2424" t="s">
        <v>55</v>
      </c>
      <c r="H2424" t="s">
        <v>32</v>
      </c>
      <c r="I2424" t="s">
        <v>37</v>
      </c>
      <c r="J2424">
        <v>68</v>
      </c>
      <c r="K2424">
        <v>1108.52</v>
      </c>
      <c r="L2424">
        <v>75379.28</v>
      </c>
      <c r="M2424">
        <v>40668.949999999997</v>
      </c>
      <c r="N2424">
        <v>7115.99</v>
      </c>
      <c r="O2424">
        <v>4071.87</v>
      </c>
      <c r="P2424">
        <v>2354.71</v>
      </c>
      <c r="Q2424">
        <v>847.58</v>
      </c>
      <c r="R2424">
        <v>2051.37</v>
      </c>
      <c r="S2424">
        <v>656.84</v>
      </c>
      <c r="T2424">
        <v>57767.31</v>
      </c>
      <c r="U2424">
        <v>34710.33</v>
      </c>
      <c r="V2424">
        <v>17611.97</v>
      </c>
      <c r="W2424">
        <v>16851.490000000002</v>
      </c>
      <c r="X2424">
        <v>82435.14</v>
      </c>
      <c r="Y2424">
        <v>62249.71</v>
      </c>
    </row>
    <row r="2425" spans="1:25" x14ac:dyDescent="0.25">
      <c r="A2425" t="s">
        <v>2481</v>
      </c>
      <c r="B2425" s="1">
        <v>45611</v>
      </c>
      <c r="C2425">
        <v>2024</v>
      </c>
      <c r="D2425">
        <v>11</v>
      </c>
      <c r="E2425" t="s">
        <v>1117</v>
      </c>
      <c r="F2425" t="s">
        <v>1018</v>
      </c>
      <c r="G2425" t="s">
        <v>28</v>
      </c>
      <c r="H2425" t="s">
        <v>32</v>
      </c>
      <c r="I2425" t="s">
        <v>50</v>
      </c>
      <c r="J2425">
        <v>77</v>
      </c>
      <c r="K2425">
        <v>880.46</v>
      </c>
      <c r="L2425">
        <v>67795.570000000007</v>
      </c>
      <c r="M2425">
        <v>40636</v>
      </c>
      <c r="N2425">
        <v>8452.4</v>
      </c>
      <c r="O2425">
        <v>2141.84</v>
      </c>
      <c r="P2425">
        <v>2917.31</v>
      </c>
      <c r="Q2425">
        <v>1048.5</v>
      </c>
      <c r="R2425">
        <v>2542.88</v>
      </c>
      <c r="S2425">
        <v>1526.16</v>
      </c>
      <c r="T2425">
        <v>59265.09</v>
      </c>
      <c r="U2425">
        <v>27159.57</v>
      </c>
      <c r="V2425">
        <v>8530.49</v>
      </c>
      <c r="W2425">
        <v>7861.61</v>
      </c>
      <c r="X2425">
        <v>73000.289999999994</v>
      </c>
      <c r="Y2425">
        <v>58619.92</v>
      </c>
    </row>
    <row r="2426" spans="1:25" x14ac:dyDescent="0.25">
      <c r="A2426" t="s">
        <v>2482</v>
      </c>
      <c r="B2426" s="1">
        <v>45612</v>
      </c>
      <c r="C2426">
        <v>2024</v>
      </c>
      <c r="D2426">
        <v>11</v>
      </c>
      <c r="E2426" t="s">
        <v>1117</v>
      </c>
      <c r="F2426" t="s">
        <v>1018</v>
      </c>
      <c r="G2426" t="s">
        <v>35</v>
      </c>
      <c r="H2426" t="s">
        <v>53</v>
      </c>
      <c r="I2426" t="s">
        <v>45</v>
      </c>
      <c r="J2426">
        <v>39</v>
      </c>
      <c r="K2426">
        <v>1043.01</v>
      </c>
      <c r="L2426">
        <v>40677.449999999997</v>
      </c>
      <c r="M2426">
        <v>21385.87</v>
      </c>
      <c r="N2426">
        <v>3091.94</v>
      </c>
      <c r="O2426">
        <v>1065.8599999999999</v>
      </c>
      <c r="P2426">
        <v>891.21</v>
      </c>
      <c r="Q2426">
        <v>367.8</v>
      </c>
      <c r="R2426">
        <v>2150.33</v>
      </c>
      <c r="S2426">
        <v>380.06</v>
      </c>
      <c r="T2426">
        <v>29333.07</v>
      </c>
      <c r="U2426">
        <v>19291.580000000002</v>
      </c>
      <c r="V2426">
        <v>11344.38</v>
      </c>
      <c r="W2426">
        <v>10660.59</v>
      </c>
      <c r="X2426">
        <v>42300.639999999999</v>
      </c>
      <c r="Y2426">
        <v>28782.080000000002</v>
      </c>
    </row>
    <row r="2427" spans="1:25" x14ac:dyDescent="0.25">
      <c r="A2427" t="s">
        <v>2483</v>
      </c>
      <c r="B2427" s="1">
        <v>45612</v>
      </c>
      <c r="C2427">
        <v>2024</v>
      </c>
      <c r="D2427">
        <v>11</v>
      </c>
      <c r="E2427" t="s">
        <v>1117</v>
      </c>
      <c r="F2427" t="s">
        <v>1018</v>
      </c>
      <c r="G2427" t="s">
        <v>55</v>
      </c>
      <c r="H2427" t="s">
        <v>32</v>
      </c>
      <c r="I2427" t="s">
        <v>56</v>
      </c>
      <c r="J2427">
        <v>25</v>
      </c>
      <c r="K2427">
        <v>1395.39</v>
      </c>
      <c r="L2427">
        <v>34884.71</v>
      </c>
      <c r="M2427">
        <v>23033.8</v>
      </c>
      <c r="N2427">
        <v>3808.95</v>
      </c>
      <c r="O2427">
        <v>2581.36</v>
      </c>
      <c r="P2427">
        <v>1029.4000000000001</v>
      </c>
      <c r="Q2427">
        <v>523.71</v>
      </c>
      <c r="R2427">
        <v>2052.2199999999998</v>
      </c>
      <c r="S2427">
        <v>734.13</v>
      </c>
      <c r="T2427">
        <v>33763.58</v>
      </c>
      <c r="U2427">
        <v>11850.91</v>
      </c>
      <c r="V2427">
        <v>1121.1300000000001</v>
      </c>
      <c r="W2427">
        <v>1112.04</v>
      </c>
      <c r="X2427">
        <v>33379.64</v>
      </c>
      <c r="Y2427">
        <v>36507.57</v>
      </c>
    </row>
    <row r="2428" spans="1:25" x14ac:dyDescent="0.25">
      <c r="A2428" t="s">
        <v>2484</v>
      </c>
      <c r="B2428" s="1">
        <v>45612</v>
      </c>
      <c r="C2428">
        <v>2024</v>
      </c>
      <c r="D2428">
        <v>11</v>
      </c>
      <c r="E2428" t="s">
        <v>1117</v>
      </c>
      <c r="F2428" t="s">
        <v>1018</v>
      </c>
      <c r="G2428" t="s">
        <v>55</v>
      </c>
      <c r="H2428" t="s">
        <v>36</v>
      </c>
      <c r="I2428" t="s">
        <v>50</v>
      </c>
      <c r="J2428">
        <v>26</v>
      </c>
      <c r="K2428">
        <v>1724.36</v>
      </c>
      <c r="L2428">
        <v>44833.440000000002</v>
      </c>
      <c r="M2428">
        <v>22980.75</v>
      </c>
      <c r="N2428">
        <v>3958.63</v>
      </c>
      <c r="O2428">
        <v>2320.73</v>
      </c>
      <c r="P2428">
        <v>1932.59</v>
      </c>
      <c r="Q2428">
        <v>457.22</v>
      </c>
      <c r="R2428">
        <v>2034.45</v>
      </c>
      <c r="S2428">
        <v>1062.27</v>
      </c>
      <c r="T2428">
        <v>34746.629999999997</v>
      </c>
      <c r="U2428">
        <v>21852.69</v>
      </c>
      <c r="V2428">
        <v>10086.799999999999</v>
      </c>
      <c r="W2428">
        <v>10053.620000000001</v>
      </c>
      <c r="X2428">
        <v>41988.83</v>
      </c>
      <c r="Y2428">
        <v>36042.78</v>
      </c>
    </row>
    <row r="2429" spans="1:25" x14ac:dyDescent="0.25">
      <c r="A2429" t="s">
        <v>2485</v>
      </c>
      <c r="B2429" s="1">
        <v>45612</v>
      </c>
      <c r="C2429">
        <v>2024</v>
      </c>
      <c r="D2429">
        <v>11</v>
      </c>
      <c r="E2429" t="s">
        <v>1117</v>
      </c>
      <c r="F2429" t="s">
        <v>1018</v>
      </c>
      <c r="G2429" t="s">
        <v>44</v>
      </c>
      <c r="H2429" t="s">
        <v>36</v>
      </c>
      <c r="I2429" t="s">
        <v>50</v>
      </c>
      <c r="J2429">
        <v>20</v>
      </c>
      <c r="K2429">
        <v>1810.28</v>
      </c>
      <c r="L2429">
        <v>36205.599999999999</v>
      </c>
      <c r="M2429">
        <v>19475.990000000002</v>
      </c>
      <c r="N2429">
        <v>4391.24</v>
      </c>
      <c r="O2429">
        <v>1862.22</v>
      </c>
      <c r="P2429">
        <v>1111.26</v>
      </c>
      <c r="Q2429">
        <v>420.78</v>
      </c>
      <c r="R2429">
        <v>1409.96</v>
      </c>
      <c r="S2429">
        <v>801.92</v>
      </c>
      <c r="T2429">
        <v>29473.37</v>
      </c>
      <c r="U2429">
        <v>16729.61</v>
      </c>
      <c r="V2429">
        <v>6732.23</v>
      </c>
      <c r="W2429">
        <v>6137.91</v>
      </c>
      <c r="X2429">
        <v>37833.18</v>
      </c>
      <c r="Y2429">
        <v>32331.16</v>
      </c>
    </row>
    <row r="2430" spans="1:25" x14ac:dyDescent="0.25">
      <c r="A2430" t="s">
        <v>2486</v>
      </c>
      <c r="B2430" s="1">
        <v>45613</v>
      </c>
      <c r="C2430">
        <v>2024</v>
      </c>
      <c r="D2430">
        <v>11</v>
      </c>
      <c r="E2430" t="s">
        <v>1117</v>
      </c>
      <c r="F2430" t="s">
        <v>1018</v>
      </c>
      <c r="G2430" t="s">
        <v>35</v>
      </c>
      <c r="H2430" t="s">
        <v>32</v>
      </c>
      <c r="I2430" t="s">
        <v>37</v>
      </c>
      <c r="J2430">
        <v>33</v>
      </c>
      <c r="K2430">
        <v>1661.68</v>
      </c>
      <c r="L2430">
        <v>54835.28</v>
      </c>
      <c r="M2430">
        <v>34919.31</v>
      </c>
      <c r="N2430">
        <v>5803.9</v>
      </c>
      <c r="O2430">
        <v>3366.65</v>
      </c>
      <c r="P2430">
        <v>1311.05</v>
      </c>
      <c r="Q2430">
        <v>444.85</v>
      </c>
      <c r="R2430">
        <v>3337.33</v>
      </c>
      <c r="S2430">
        <v>564.52</v>
      </c>
      <c r="T2430">
        <v>49747.61</v>
      </c>
      <c r="U2430">
        <v>19915.96</v>
      </c>
      <c r="V2430">
        <v>5087.66</v>
      </c>
      <c r="W2430">
        <v>5132.1099999999997</v>
      </c>
      <c r="X2430">
        <v>56460.12</v>
      </c>
      <c r="Y2430">
        <v>54016.76</v>
      </c>
    </row>
    <row r="2431" spans="1:25" x14ac:dyDescent="0.25">
      <c r="A2431" t="s">
        <v>2487</v>
      </c>
      <c r="B2431" s="1">
        <v>45613</v>
      </c>
      <c r="C2431">
        <v>2024</v>
      </c>
      <c r="D2431">
        <v>11</v>
      </c>
      <c r="E2431" t="s">
        <v>1117</v>
      </c>
      <c r="F2431" t="s">
        <v>1018</v>
      </c>
      <c r="G2431" t="s">
        <v>28</v>
      </c>
      <c r="H2431" t="s">
        <v>53</v>
      </c>
      <c r="I2431" t="s">
        <v>37</v>
      </c>
      <c r="J2431">
        <v>56</v>
      </c>
      <c r="K2431">
        <v>962.95</v>
      </c>
      <c r="L2431">
        <v>53925</v>
      </c>
      <c r="M2431">
        <v>29692.54</v>
      </c>
      <c r="N2431">
        <v>4610.1400000000003</v>
      </c>
      <c r="O2431">
        <v>1484.97</v>
      </c>
      <c r="P2431">
        <v>1535.92</v>
      </c>
      <c r="Q2431">
        <v>639.66</v>
      </c>
      <c r="R2431">
        <v>1400.38</v>
      </c>
      <c r="S2431">
        <v>586.80999999999995</v>
      </c>
      <c r="T2431">
        <v>39950.410000000003</v>
      </c>
      <c r="U2431">
        <v>24232.46</v>
      </c>
      <c r="V2431">
        <v>13974.59</v>
      </c>
      <c r="W2431">
        <v>12440.37</v>
      </c>
      <c r="X2431">
        <v>51767.06</v>
      </c>
      <c r="Y2431">
        <v>43217.04</v>
      </c>
    </row>
    <row r="2432" spans="1:25" x14ac:dyDescent="0.25">
      <c r="A2432" t="s">
        <v>2488</v>
      </c>
      <c r="B2432" s="1">
        <v>45613</v>
      </c>
      <c r="C2432">
        <v>2024</v>
      </c>
      <c r="D2432">
        <v>11</v>
      </c>
      <c r="E2432" t="s">
        <v>1117</v>
      </c>
      <c r="F2432" t="s">
        <v>1018</v>
      </c>
      <c r="G2432" t="s">
        <v>44</v>
      </c>
      <c r="H2432" t="s">
        <v>53</v>
      </c>
      <c r="I2432" t="s">
        <v>65</v>
      </c>
      <c r="J2432">
        <v>26</v>
      </c>
      <c r="K2432">
        <v>1725.94</v>
      </c>
      <c r="L2432">
        <v>44874.35</v>
      </c>
      <c r="M2432">
        <v>28488.02</v>
      </c>
      <c r="N2432">
        <v>4601.95</v>
      </c>
      <c r="O2432">
        <v>1514.31</v>
      </c>
      <c r="P2432">
        <v>1655.46</v>
      </c>
      <c r="Q2432">
        <v>289.02999999999997</v>
      </c>
      <c r="R2432">
        <v>1566.24</v>
      </c>
      <c r="S2432">
        <v>988.34</v>
      </c>
      <c r="T2432">
        <v>39103.339999999997</v>
      </c>
      <c r="U2432">
        <v>16386.330000000002</v>
      </c>
      <c r="V2432">
        <v>5771.01</v>
      </c>
      <c r="W2432">
        <v>5250.94</v>
      </c>
      <c r="X2432">
        <v>46105.61</v>
      </c>
      <c r="Y2432">
        <v>41598.699999999997</v>
      </c>
    </row>
    <row r="2433" spans="1:25" x14ac:dyDescent="0.25">
      <c r="A2433" t="s">
        <v>2489</v>
      </c>
      <c r="B2433" s="1">
        <v>45613</v>
      </c>
      <c r="C2433">
        <v>2024</v>
      </c>
      <c r="D2433">
        <v>11</v>
      </c>
      <c r="E2433" t="s">
        <v>1117</v>
      </c>
      <c r="F2433" t="s">
        <v>1018</v>
      </c>
      <c r="G2433" t="s">
        <v>28</v>
      </c>
      <c r="H2433" t="s">
        <v>36</v>
      </c>
      <c r="I2433" t="s">
        <v>45</v>
      </c>
      <c r="J2433">
        <v>40</v>
      </c>
      <c r="K2433">
        <v>1470.6</v>
      </c>
      <c r="L2433">
        <v>58824.19</v>
      </c>
      <c r="M2433">
        <v>32564.16</v>
      </c>
      <c r="N2433">
        <v>6052</v>
      </c>
      <c r="O2433">
        <v>3398.4</v>
      </c>
      <c r="P2433">
        <v>1881.46</v>
      </c>
      <c r="Q2433">
        <v>897.69</v>
      </c>
      <c r="R2433">
        <v>1954.62</v>
      </c>
      <c r="S2433">
        <v>958.74</v>
      </c>
      <c r="T2433">
        <v>47707.08</v>
      </c>
      <c r="U2433">
        <v>26260.03</v>
      </c>
      <c r="V2433">
        <v>11117.11</v>
      </c>
      <c r="W2433">
        <v>10417.35</v>
      </c>
      <c r="X2433">
        <v>63186.73</v>
      </c>
      <c r="Y2433">
        <v>48578.87</v>
      </c>
    </row>
    <row r="2434" spans="1:25" x14ac:dyDescent="0.25">
      <c r="A2434" t="s">
        <v>2490</v>
      </c>
      <c r="B2434" s="1">
        <v>45614</v>
      </c>
      <c r="C2434">
        <v>2024</v>
      </c>
      <c r="D2434">
        <v>11</v>
      </c>
      <c r="E2434" t="s">
        <v>1117</v>
      </c>
      <c r="F2434" t="s">
        <v>1018</v>
      </c>
      <c r="G2434" t="s">
        <v>35</v>
      </c>
      <c r="H2434" t="s">
        <v>53</v>
      </c>
      <c r="I2434" t="s">
        <v>45</v>
      </c>
      <c r="J2434">
        <v>25</v>
      </c>
      <c r="K2434">
        <v>1136.3399999999999</v>
      </c>
      <c r="L2434">
        <v>28408.57</v>
      </c>
      <c r="M2434">
        <v>16429.91</v>
      </c>
      <c r="N2434">
        <v>3201.03</v>
      </c>
      <c r="O2434">
        <v>1229.31</v>
      </c>
      <c r="P2434">
        <v>1092.5999999999999</v>
      </c>
      <c r="Q2434">
        <v>275.99</v>
      </c>
      <c r="R2434">
        <v>1796.63</v>
      </c>
      <c r="S2434">
        <v>448.05</v>
      </c>
      <c r="T2434">
        <v>24473.51</v>
      </c>
      <c r="U2434">
        <v>11978.66</v>
      </c>
      <c r="V2434">
        <v>3935.06</v>
      </c>
      <c r="W2434">
        <v>3756.33</v>
      </c>
      <c r="X2434">
        <v>30640.37</v>
      </c>
      <c r="Y2434">
        <v>24157.77</v>
      </c>
    </row>
    <row r="2435" spans="1:25" x14ac:dyDescent="0.25">
      <c r="A2435" t="s">
        <v>2491</v>
      </c>
      <c r="B2435" s="1">
        <v>45614</v>
      </c>
      <c r="C2435">
        <v>2024</v>
      </c>
      <c r="D2435">
        <v>11</v>
      </c>
      <c r="E2435" t="s">
        <v>1117</v>
      </c>
      <c r="F2435" t="s">
        <v>1018</v>
      </c>
      <c r="G2435" t="s">
        <v>55</v>
      </c>
      <c r="H2435" t="s">
        <v>58</v>
      </c>
      <c r="I2435" t="s">
        <v>33</v>
      </c>
      <c r="J2435">
        <v>37</v>
      </c>
      <c r="K2435">
        <v>1713.31</v>
      </c>
      <c r="L2435">
        <v>63392.53</v>
      </c>
      <c r="M2435">
        <v>40444.089999999997</v>
      </c>
      <c r="N2435">
        <v>8060.42</v>
      </c>
      <c r="O2435">
        <v>2750.53</v>
      </c>
      <c r="P2435">
        <v>1446.52</v>
      </c>
      <c r="Q2435">
        <v>867.95</v>
      </c>
      <c r="R2435">
        <v>2916.18</v>
      </c>
      <c r="S2435">
        <v>1286.78</v>
      </c>
      <c r="T2435">
        <v>57772.47</v>
      </c>
      <c r="U2435">
        <v>22948.44</v>
      </c>
      <c r="V2435">
        <v>5620.06</v>
      </c>
      <c r="W2435">
        <v>5695.7</v>
      </c>
      <c r="X2435">
        <v>61971.42</v>
      </c>
      <c r="Y2435">
        <v>59395.87</v>
      </c>
    </row>
    <row r="2436" spans="1:25" x14ac:dyDescent="0.25">
      <c r="A2436" t="s">
        <v>2492</v>
      </c>
      <c r="B2436" s="1">
        <v>45614</v>
      </c>
      <c r="C2436">
        <v>2024</v>
      </c>
      <c r="D2436">
        <v>11</v>
      </c>
      <c r="E2436" t="s">
        <v>1117</v>
      </c>
      <c r="F2436" t="s">
        <v>1018</v>
      </c>
      <c r="G2436" t="s">
        <v>28</v>
      </c>
      <c r="H2436" t="s">
        <v>53</v>
      </c>
      <c r="I2436" t="s">
        <v>65</v>
      </c>
      <c r="J2436">
        <v>60</v>
      </c>
      <c r="K2436">
        <v>986.4</v>
      </c>
      <c r="L2436">
        <v>59183.839999999997</v>
      </c>
      <c r="M2436">
        <v>34806.06</v>
      </c>
      <c r="N2436">
        <v>6666.19</v>
      </c>
      <c r="O2436">
        <v>3176.23</v>
      </c>
      <c r="P2436">
        <v>2141.79</v>
      </c>
      <c r="Q2436">
        <v>576.66</v>
      </c>
      <c r="R2436">
        <v>2149.85</v>
      </c>
      <c r="S2436">
        <v>815.37</v>
      </c>
      <c r="T2436">
        <v>50332.15</v>
      </c>
      <c r="U2436">
        <v>24377.78</v>
      </c>
      <c r="V2436">
        <v>8851.69</v>
      </c>
      <c r="W2436">
        <v>8702.94</v>
      </c>
      <c r="X2436">
        <v>58200.3</v>
      </c>
      <c r="Y2436">
        <v>50777.51</v>
      </c>
    </row>
    <row r="2437" spans="1:25" x14ac:dyDescent="0.25">
      <c r="A2437" t="s">
        <v>2493</v>
      </c>
      <c r="B2437" s="1">
        <v>45614</v>
      </c>
      <c r="C2437">
        <v>2024</v>
      </c>
      <c r="D2437">
        <v>11</v>
      </c>
      <c r="E2437" t="s">
        <v>1117</v>
      </c>
      <c r="F2437" t="s">
        <v>1018</v>
      </c>
      <c r="G2437" t="s">
        <v>35</v>
      </c>
      <c r="H2437" t="s">
        <v>32</v>
      </c>
      <c r="I2437" t="s">
        <v>37</v>
      </c>
      <c r="J2437">
        <v>43</v>
      </c>
      <c r="K2437">
        <v>1509.92</v>
      </c>
      <c r="L2437">
        <v>64926.5</v>
      </c>
      <c r="M2437">
        <v>36849.919999999998</v>
      </c>
      <c r="N2437">
        <v>7375.89</v>
      </c>
      <c r="O2437">
        <v>4115.1000000000004</v>
      </c>
      <c r="P2437">
        <v>1198.94</v>
      </c>
      <c r="Q2437">
        <v>845.14</v>
      </c>
      <c r="R2437">
        <v>3464.26</v>
      </c>
      <c r="S2437">
        <v>593.07000000000005</v>
      </c>
      <c r="T2437">
        <v>54442.32</v>
      </c>
      <c r="U2437">
        <v>28076.58</v>
      </c>
      <c r="V2437">
        <v>10484.18</v>
      </c>
      <c r="W2437">
        <v>10144.83</v>
      </c>
      <c r="X2437">
        <v>66064.320000000007</v>
      </c>
      <c r="Y2437">
        <v>58684.45</v>
      </c>
    </row>
    <row r="2438" spans="1:25" x14ac:dyDescent="0.25">
      <c r="A2438" t="s">
        <v>2494</v>
      </c>
      <c r="B2438" s="1">
        <v>45614</v>
      </c>
      <c r="C2438">
        <v>2024</v>
      </c>
      <c r="D2438">
        <v>11</v>
      </c>
      <c r="E2438" t="s">
        <v>1117</v>
      </c>
      <c r="F2438" t="s">
        <v>1018</v>
      </c>
      <c r="G2438" t="s">
        <v>55</v>
      </c>
      <c r="H2438" t="s">
        <v>58</v>
      </c>
      <c r="I2438" t="s">
        <v>39</v>
      </c>
      <c r="J2438">
        <v>28</v>
      </c>
      <c r="K2438">
        <v>1418.3</v>
      </c>
      <c r="L2438">
        <v>39712.269999999997</v>
      </c>
      <c r="M2438">
        <v>23585.68</v>
      </c>
      <c r="N2438">
        <v>4802.9399999999996</v>
      </c>
      <c r="O2438">
        <v>1126.75</v>
      </c>
      <c r="P2438">
        <v>696.26</v>
      </c>
      <c r="Q2438">
        <v>434.28</v>
      </c>
      <c r="R2438">
        <v>2090.16</v>
      </c>
      <c r="S2438">
        <v>831.43</v>
      </c>
      <c r="T2438">
        <v>33567.49</v>
      </c>
      <c r="U2438">
        <v>16126.59</v>
      </c>
      <c r="V2438">
        <v>6144.78</v>
      </c>
      <c r="W2438">
        <v>5529.76</v>
      </c>
      <c r="X2438">
        <v>44023.35</v>
      </c>
      <c r="Y2438">
        <v>36883.129999999997</v>
      </c>
    </row>
    <row r="2439" spans="1:25" x14ac:dyDescent="0.25">
      <c r="A2439" t="s">
        <v>2495</v>
      </c>
      <c r="B2439" s="1">
        <v>45614</v>
      </c>
      <c r="C2439">
        <v>2024</v>
      </c>
      <c r="D2439">
        <v>11</v>
      </c>
      <c r="E2439" t="s">
        <v>1117</v>
      </c>
      <c r="F2439" t="s">
        <v>1018</v>
      </c>
      <c r="G2439" t="s">
        <v>35</v>
      </c>
      <c r="H2439" t="s">
        <v>36</v>
      </c>
      <c r="I2439" t="s">
        <v>65</v>
      </c>
      <c r="J2439">
        <v>39</v>
      </c>
      <c r="K2439">
        <v>1453.14</v>
      </c>
      <c r="L2439">
        <v>56672.65</v>
      </c>
      <c r="M2439">
        <v>31940.57</v>
      </c>
      <c r="N2439">
        <v>6586.77</v>
      </c>
      <c r="O2439">
        <v>1482.8</v>
      </c>
      <c r="P2439">
        <v>903.31</v>
      </c>
      <c r="Q2439">
        <v>406.26</v>
      </c>
      <c r="R2439">
        <v>3040.57</v>
      </c>
      <c r="S2439">
        <v>1235.1199999999999</v>
      </c>
      <c r="T2439">
        <v>45595.4</v>
      </c>
      <c r="U2439">
        <v>24732.080000000002</v>
      </c>
      <c r="V2439">
        <v>11077.25</v>
      </c>
      <c r="W2439">
        <v>10830.37</v>
      </c>
      <c r="X2439">
        <v>53947.85</v>
      </c>
      <c r="Y2439">
        <v>45839.16</v>
      </c>
    </row>
    <row r="2440" spans="1:25" x14ac:dyDescent="0.25">
      <c r="A2440" t="s">
        <v>2496</v>
      </c>
      <c r="B2440" s="1">
        <v>45615</v>
      </c>
      <c r="C2440">
        <v>2024</v>
      </c>
      <c r="D2440">
        <v>11</v>
      </c>
      <c r="E2440" t="s">
        <v>1117</v>
      </c>
      <c r="F2440" t="s">
        <v>1018</v>
      </c>
      <c r="G2440" t="s">
        <v>55</v>
      </c>
      <c r="H2440" t="s">
        <v>32</v>
      </c>
      <c r="I2440" t="s">
        <v>65</v>
      </c>
      <c r="J2440">
        <v>58</v>
      </c>
      <c r="K2440">
        <v>1711.78</v>
      </c>
      <c r="L2440">
        <v>99283.3</v>
      </c>
      <c r="M2440">
        <v>51823.4</v>
      </c>
      <c r="N2440">
        <v>11786.94</v>
      </c>
      <c r="O2440">
        <v>3036.34</v>
      </c>
      <c r="P2440">
        <v>2996.31</v>
      </c>
      <c r="Q2440">
        <v>1478.64</v>
      </c>
      <c r="R2440">
        <v>6058.15</v>
      </c>
      <c r="S2440">
        <v>2251.7800000000002</v>
      </c>
      <c r="T2440">
        <v>79431.56</v>
      </c>
      <c r="U2440">
        <v>47459.9</v>
      </c>
      <c r="V2440">
        <v>19851.740000000002</v>
      </c>
      <c r="W2440">
        <v>19010.04</v>
      </c>
      <c r="X2440">
        <v>103801.7</v>
      </c>
      <c r="Y2440">
        <v>78458.31</v>
      </c>
    </row>
    <row r="2441" spans="1:25" x14ac:dyDescent="0.25">
      <c r="A2441" t="s">
        <v>2497</v>
      </c>
      <c r="B2441" s="1">
        <v>45615</v>
      </c>
      <c r="C2441">
        <v>2024</v>
      </c>
      <c r="D2441">
        <v>11</v>
      </c>
      <c r="E2441" t="s">
        <v>1117</v>
      </c>
      <c r="F2441" t="s">
        <v>1018</v>
      </c>
      <c r="G2441" t="s">
        <v>28</v>
      </c>
      <c r="H2441" t="s">
        <v>36</v>
      </c>
      <c r="I2441" t="s">
        <v>56</v>
      </c>
      <c r="J2441">
        <v>36</v>
      </c>
      <c r="K2441">
        <v>1011.25</v>
      </c>
      <c r="L2441">
        <v>36405.11</v>
      </c>
      <c r="M2441">
        <v>18661.12</v>
      </c>
      <c r="N2441">
        <v>4203.25</v>
      </c>
      <c r="O2441">
        <v>1762.38</v>
      </c>
      <c r="P2441">
        <v>639.17999999999995</v>
      </c>
      <c r="Q2441">
        <v>187.6</v>
      </c>
      <c r="R2441">
        <v>1908.63</v>
      </c>
      <c r="S2441">
        <v>371.08</v>
      </c>
      <c r="T2441">
        <v>27733.24</v>
      </c>
      <c r="U2441">
        <v>17744</v>
      </c>
      <c r="V2441">
        <v>8671.8799999999992</v>
      </c>
      <c r="W2441">
        <v>8099.87</v>
      </c>
      <c r="X2441">
        <v>38939.9</v>
      </c>
      <c r="Y2441">
        <v>29964.02</v>
      </c>
    </row>
    <row r="2442" spans="1:25" x14ac:dyDescent="0.25">
      <c r="A2442" t="s">
        <v>2498</v>
      </c>
      <c r="B2442" s="1">
        <v>45615</v>
      </c>
      <c r="C2442">
        <v>2024</v>
      </c>
      <c r="D2442">
        <v>11</v>
      </c>
      <c r="E2442" t="s">
        <v>1117</v>
      </c>
      <c r="F2442" t="s">
        <v>1018</v>
      </c>
      <c r="G2442" t="s">
        <v>28</v>
      </c>
      <c r="H2442" t="s">
        <v>53</v>
      </c>
      <c r="I2442" t="s">
        <v>50</v>
      </c>
      <c r="J2442">
        <v>34</v>
      </c>
      <c r="K2442">
        <v>1474.69</v>
      </c>
      <c r="L2442">
        <v>50139.59</v>
      </c>
      <c r="M2442">
        <v>30975.37</v>
      </c>
      <c r="N2442">
        <v>6449.96</v>
      </c>
      <c r="O2442">
        <v>1988.11</v>
      </c>
      <c r="P2442">
        <v>1511.07</v>
      </c>
      <c r="Q2442">
        <v>780.53</v>
      </c>
      <c r="R2442">
        <v>3186.33</v>
      </c>
      <c r="S2442">
        <v>529.1</v>
      </c>
      <c r="T2442">
        <v>45420.47</v>
      </c>
      <c r="U2442">
        <v>19164.22</v>
      </c>
      <c r="V2442">
        <v>4719.12</v>
      </c>
      <c r="W2442">
        <v>4304.8500000000004</v>
      </c>
      <c r="X2442">
        <v>48595.68</v>
      </c>
      <c r="Y2442">
        <v>49437.48</v>
      </c>
    </row>
    <row r="2443" spans="1:25" x14ac:dyDescent="0.25">
      <c r="A2443" t="s">
        <v>2499</v>
      </c>
      <c r="B2443" s="1">
        <v>45616</v>
      </c>
      <c r="C2443">
        <v>2024</v>
      </c>
      <c r="D2443">
        <v>11</v>
      </c>
      <c r="E2443" t="s">
        <v>1117</v>
      </c>
      <c r="F2443" t="s">
        <v>1018</v>
      </c>
      <c r="G2443" t="s">
        <v>55</v>
      </c>
      <c r="H2443" t="s">
        <v>58</v>
      </c>
      <c r="I2443" t="s">
        <v>65</v>
      </c>
      <c r="J2443">
        <v>66</v>
      </c>
      <c r="K2443">
        <v>1085.69</v>
      </c>
      <c r="L2443">
        <v>71655.47</v>
      </c>
      <c r="M2443">
        <v>44411.1</v>
      </c>
      <c r="N2443">
        <v>8505.89</v>
      </c>
      <c r="O2443">
        <v>3891.51</v>
      </c>
      <c r="P2443">
        <v>2925.52</v>
      </c>
      <c r="Q2443">
        <v>833.95</v>
      </c>
      <c r="R2443">
        <v>3324.11</v>
      </c>
      <c r="S2443">
        <v>1071.6500000000001</v>
      </c>
      <c r="T2443">
        <v>64963.73</v>
      </c>
      <c r="U2443">
        <v>27244.38</v>
      </c>
      <c r="V2443">
        <v>6691.74</v>
      </c>
      <c r="W2443">
        <v>6121.14</v>
      </c>
      <c r="X2443">
        <v>69061.98</v>
      </c>
      <c r="Y2443">
        <v>68847.39</v>
      </c>
    </row>
    <row r="2444" spans="1:25" x14ac:dyDescent="0.25">
      <c r="A2444" t="s">
        <v>2500</v>
      </c>
      <c r="B2444" s="1">
        <v>45616</v>
      </c>
      <c r="C2444">
        <v>2024</v>
      </c>
      <c r="D2444">
        <v>11</v>
      </c>
      <c r="E2444" t="s">
        <v>1117</v>
      </c>
      <c r="F2444" t="s">
        <v>1018</v>
      </c>
      <c r="G2444" t="s">
        <v>35</v>
      </c>
      <c r="H2444" t="s">
        <v>32</v>
      </c>
      <c r="I2444" t="s">
        <v>45</v>
      </c>
      <c r="J2444">
        <v>48</v>
      </c>
      <c r="K2444">
        <v>968.52</v>
      </c>
      <c r="L2444">
        <v>46489.08</v>
      </c>
      <c r="M2444">
        <v>27396.54</v>
      </c>
      <c r="N2444">
        <v>4216.74</v>
      </c>
      <c r="O2444">
        <v>1892.19</v>
      </c>
      <c r="P2444">
        <v>1612.68</v>
      </c>
      <c r="Q2444">
        <v>595.48</v>
      </c>
      <c r="R2444">
        <v>2260.0300000000002</v>
      </c>
      <c r="S2444">
        <v>781.59</v>
      </c>
      <c r="T2444">
        <v>38755.24</v>
      </c>
      <c r="U2444">
        <v>19092.54</v>
      </c>
      <c r="V2444">
        <v>7733.84</v>
      </c>
      <c r="W2444">
        <v>7474.67</v>
      </c>
      <c r="X2444">
        <v>46341.5</v>
      </c>
      <c r="Y2444">
        <v>39472.31</v>
      </c>
    </row>
    <row r="2445" spans="1:25" x14ac:dyDescent="0.25">
      <c r="A2445" t="s">
        <v>2501</v>
      </c>
      <c r="B2445" s="1">
        <v>45616</v>
      </c>
      <c r="C2445">
        <v>2024</v>
      </c>
      <c r="D2445">
        <v>11</v>
      </c>
      <c r="E2445" t="s">
        <v>1117</v>
      </c>
      <c r="F2445" t="s">
        <v>1018</v>
      </c>
      <c r="G2445" t="s">
        <v>44</v>
      </c>
      <c r="H2445" t="s">
        <v>29</v>
      </c>
      <c r="I2445" t="s">
        <v>30</v>
      </c>
      <c r="J2445">
        <v>88</v>
      </c>
      <c r="K2445">
        <v>841.92</v>
      </c>
      <c r="L2445">
        <v>74088.960000000006</v>
      </c>
      <c r="M2445">
        <v>50076.46</v>
      </c>
      <c r="N2445">
        <v>5375.39</v>
      </c>
      <c r="O2445">
        <v>2398.1799999999998</v>
      </c>
      <c r="P2445">
        <v>1961.9</v>
      </c>
      <c r="Q2445">
        <v>880.71</v>
      </c>
      <c r="R2445">
        <v>2420.0300000000002</v>
      </c>
      <c r="S2445">
        <v>1612.11</v>
      </c>
      <c r="T2445">
        <v>64724.77</v>
      </c>
      <c r="U2445">
        <v>24012.5</v>
      </c>
      <c r="V2445">
        <v>9364.19</v>
      </c>
      <c r="W2445">
        <v>8900.9699999999993</v>
      </c>
      <c r="X2445">
        <v>76114.179999999993</v>
      </c>
      <c r="Y2445">
        <v>67127.55</v>
      </c>
    </row>
    <row r="2446" spans="1:25" x14ac:dyDescent="0.25">
      <c r="A2446" t="s">
        <v>2502</v>
      </c>
      <c r="B2446" s="1">
        <v>45616</v>
      </c>
      <c r="C2446">
        <v>2024</v>
      </c>
      <c r="D2446">
        <v>11</v>
      </c>
      <c r="E2446" t="s">
        <v>1117</v>
      </c>
      <c r="F2446" t="s">
        <v>1018</v>
      </c>
      <c r="G2446" t="s">
        <v>28</v>
      </c>
      <c r="H2446" t="s">
        <v>36</v>
      </c>
      <c r="I2446" t="s">
        <v>56</v>
      </c>
      <c r="J2446">
        <v>19</v>
      </c>
      <c r="K2446">
        <v>1450.96</v>
      </c>
      <c r="L2446">
        <v>27568.16</v>
      </c>
      <c r="M2446">
        <v>15730.58</v>
      </c>
      <c r="N2446">
        <v>2638.26</v>
      </c>
      <c r="O2446">
        <v>1268.33</v>
      </c>
      <c r="P2446">
        <v>767.27</v>
      </c>
      <c r="Q2446">
        <v>327.43</v>
      </c>
      <c r="R2446">
        <v>1396.05</v>
      </c>
      <c r="S2446">
        <v>470.97</v>
      </c>
      <c r="T2446">
        <v>22598.9</v>
      </c>
      <c r="U2446">
        <v>11837.58</v>
      </c>
      <c r="V2446">
        <v>4969.26</v>
      </c>
      <c r="W2446">
        <v>5036.6899999999996</v>
      </c>
      <c r="X2446">
        <v>27858.93</v>
      </c>
      <c r="Y2446">
        <v>21420.799999999999</v>
      </c>
    </row>
    <row r="2447" spans="1:25" x14ac:dyDescent="0.25">
      <c r="A2447" t="s">
        <v>2503</v>
      </c>
      <c r="B2447" s="1">
        <v>45616</v>
      </c>
      <c r="C2447">
        <v>2024</v>
      </c>
      <c r="D2447">
        <v>11</v>
      </c>
      <c r="E2447" t="s">
        <v>1117</v>
      </c>
      <c r="F2447" t="s">
        <v>1018</v>
      </c>
      <c r="G2447" t="s">
        <v>55</v>
      </c>
      <c r="H2447" t="s">
        <v>32</v>
      </c>
      <c r="I2447" t="s">
        <v>39</v>
      </c>
      <c r="J2447">
        <v>53</v>
      </c>
      <c r="K2447">
        <v>856.53</v>
      </c>
      <c r="L2447">
        <v>45395.88</v>
      </c>
      <c r="M2447">
        <v>30080.99</v>
      </c>
      <c r="N2447">
        <v>4725.7299999999996</v>
      </c>
      <c r="O2447">
        <v>3014.55</v>
      </c>
      <c r="P2447">
        <v>1745.41</v>
      </c>
      <c r="Q2447">
        <v>631.03</v>
      </c>
      <c r="R2447">
        <v>1810.43</v>
      </c>
      <c r="S2447">
        <v>814.45</v>
      </c>
      <c r="T2447">
        <v>42822.59</v>
      </c>
      <c r="U2447">
        <v>15314.89</v>
      </c>
      <c r="V2447">
        <v>2573.29</v>
      </c>
      <c r="W2447">
        <v>2427.98</v>
      </c>
      <c r="X2447">
        <v>50093.26</v>
      </c>
      <c r="Y2447">
        <v>43850.11</v>
      </c>
    </row>
    <row r="2448" spans="1:25" x14ac:dyDescent="0.25">
      <c r="A2448" t="s">
        <v>2504</v>
      </c>
      <c r="B2448" s="1">
        <v>45616</v>
      </c>
      <c r="C2448">
        <v>2024</v>
      </c>
      <c r="D2448">
        <v>11</v>
      </c>
      <c r="E2448" t="s">
        <v>1117</v>
      </c>
      <c r="F2448" t="s">
        <v>1018</v>
      </c>
      <c r="G2448" t="s">
        <v>28</v>
      </c>
      <c r="H2448" t="s">
        <v>36</v>
      </c>
      <c r="I2448" t="s">
        <v>39</v>
      </c>
      <c r="J2448">
        <v>40</v>
      </c>
      <c r="K2448">
        <v>1108.4100000000001</v>
      </c>
      <c r="L2448">
        <v>44336.24</v>
      </c>
      <c r="M2448">
        <v>22321.43</v>
      </c>
      <c r="N2448">
        <v>4663.18</v>
      </c>
      <c r="O2448">
        <v>2547.54</v>
      </c>
      <c r="P2448">
        <v>1956.68</v>
      </c>
      <c r="Q2448">
        <v>586.29</v>
      </c>
      <c r="R2448">
        <v>2344.6999999999998</v>
      </c>
      <c r="S2448">
        <v>473.5</v>
      </c>
      <c r="T2448">
        <v>34893.31</v>
      </c>
      <c r="U2448">
        <v>22014.81</v>
      </c>
      <c r="V2448">
        <v>9442.93</v>
      </c>
      <c r="W2448">
        <v>9162.26</v>
      </c>
      <c r="X2448">
        <v>44049.48</v>
      </c>
      <c r="Y2448">
        <v>36149.89</v>
      </c>
    </row>
    <row r="2449" spans="1:25" x14ac:dyDescent="0.25">
      <c r="A2449" t="s">
        <v>2505</v>
      </c>
      <c r="B2449" s="1">
        <v>45616</v>
      </c>
      <c r="C2449">
        <v>2024</v>
      </c>
      <c r="D2449">
        <v>11</v>
      </c>
      <c r="E2449" t="s">
        <v>1117</v>
      </c>
      <c r="F2449" t="s">
        <v>1018</v>
      </c>
      <c r="G2449" t="s">
        <v>44</v>
      </c>
      <c r="H2449" t="s">
        <v>32</v>
      </c>
      <c r="I2449" t="s">
        <v>33</v>
      </c>
      <c r="J2449">
        <v>71</v>
      </c>
      <c r="K2449">
        <v>1025.68</v>
      </c>
      <c r="L2449">
        <v>72823.5</v>
      </c>
      <c r="M2449">
        <v>38045.93</v>
      </c>
      <c r="N2449">
        <v>5608.69</v>
      </c>
      <c r="O2449">
        <v>2514.42</v>
      </c>
      <c r="P2449">
        <v>1472.38</v>
      </c>
      <c r="Q2449">
        <v>751.15</v>
      </c>
      <c r="R2449">
        <v>2158.08</v>
      </c>
      <c r="S2449">
        <v>793.21</v>
      </c>
      <c r="T2449">
        <v>51343.87</v>
      </c>
      <c r="U2449">
        <v>34777.57</v>
      </c>
      <c r="V2449">
        <v>21479.64</v>
      </c>
      <c r="W2449">
        <v>19511.5</v>
      </c>
      <c r="X2449">
        <v>79401.399999999994</v>
      </c>
      <c r="Y2449">
        <v>48968.29</v>
      </c>
    </row>
    <row r="2450" spans="1:25" x14ac:dyDescent="0.25">
      <c r="A2450" t="s">
        <v>2506</v>
      </c>
      <c r="B2450" s="1">
        <v>45617</v>
      </c>
      <c r="C2450">
        <v>2024</v>
      </c>
      <c r="D2450">
        <v>11</v>
      </c>
      <c r="E2450" t="s">
        <v>1117</v>
      </c>
      <c r="F2450" t="s">
        <v>1018</v>
      </c>
      <c r="G2450" t="s">
        <v>55</v>
      </c>
      <c r="H2450" t="s">
        <v>32</v>
      </c>
      <c r="I2450" t="s">
        <v>39</v>
      </c>
      <c r="J2450">
        <v>49</v>
      </c>
      <c r="K2450">
        <v>1079.0999999999999</v>
      </c>
      <c r="L2450">
        <v>52875.99</v>
      </c>
      <c r="M2450">
        <v>32512</v>
      </c>
      <c r="N2450">
        <v>4855.59</v>
      </c>
      <c r="O2450">
        <v>2174.8000000000002</v>
      </c>
      <c r="P2450">
        <v>1749.37</v>
      </c>
      <c r="Q2450">
        <v>527.54999999999995</v>
      </c>
      <c r="R2450">
        <v>2995.55</v>
      </c>
      <c r="S2450">
        <v>1094.72</v>
      </c>
      <c r="T2450">
        <v>45909.59</v>
      </c>
      <c r="U2450">
        <v>20363.990000000002</v>
      </c>
      <c r="V2450">
        <v>6966.4</v>
      </c>
      <c r="W2450">
        <v>6742.35</v>
      </c>
      <c r="X2450">
        <v>57159.5</v>
      </c>
      <c r="Y2450">
        <v>43685.27</v>
      </c>
    </row>
    <row r="2451" spans="1:25" x14ac:dyDescent="0.25">
      <c r="A2451" t="s">
        <v>2507</v>
      </c>
      <c r="B2451" s="1">
        <v>45617</v>
      </c>
      <c r="C2451">
        <v>2024</v>
      </c>
      <c r="D2451">
        <v>11</v>
      </c>
      <c r="E2451" t="s">
        <v>1117</v>
      </c>
      <c r="F2451" t="s">
        <v>1018</v>
      </c>
      <c r="G2451" t="s">
        <v>44</v>
      </c>
      <c r="H2451" t="s">
        <v>29</v>
      </c>
      <c r="I2451" t="s">
        <v>30</v>
      </c>
      <c r="J2451">
        <v>105</v>
      </c>
      <c r="K2451">
        <v>849.46</v>
      </c>
      <c r="L2451">
        <v>89193.03</v>
      </c>
      <c r="M2451">
        <v>60128.84</v>
      </c>
      <c r="N2451">
        <v>7188.79</v>
      </c>
      <c r="O2451">
        <v>5843.7</v>
      </c>
      <c r="P2451">
        <v>1682.1</v>
      </c>
      <c r="Q2451">
        <v>1567</v>
      </c>
      <c r="R2451">
        <v>3016.1</v>
      </c>
      <c r="S2451">
        <v>1077.45</v>
      </c>
      <c r="T2451">
        <v>80503.98</v>
      </c>
      <c r="U2451">
        <v>29064.19</v>
      </c>
      <c r="V2451">
        <v>8689.0499999999993</v>
      </c>
      <c r="W2451">
        <v>7671.71</v>
      </c>
      <c r="X2451">
        <v>97436.06</v>
      </c>
      <c r="Y2451">
        <v>77931.59</v>
      </c>
    </row>
    <row r="2452" spans="1:25" x14ac:dyDescent="0.25">
      <c r="A2452" t="s">
        <v>2508</v>
      </c>
      <c r="B2452" s="1">
        <v>45617</v>
      </c>
      <c r="C2452">
        <v>2024</v>
      </c>
      <c r="D2452">
        <v>11</v>
      </c>
      <c r="E2452" t="s">
        <v>1117</v>
      </c>
      <c r="F2452" t="s">
        <v>1018</v>
      </c>
      <c r="G2452" t="s">
        <v>28</v>
      </c>
      <c r="H2452" t="s">
        <v>53</v>
      </c>
      <c r="I2452" t="s">
        <v>33</v>
      </c>
      <c r="J2452">
        <v>46</v>
      </c>
      <c r="K2452">
        <v>1465.86</v>
      </c>
      <c r="L2452">
        <v>67429.58</v>
      </c>
      <c r="M2452">
        <v>40142.620000000003</v>
      </c>
      <c r="N2452">
        <v>5894.6</v>
      </c>
      <c r="O2452">
        <v>2871.15</v>
      </c>
      <c r="P2452">
        <v>1312.07</v>
      </c>
      <c r="Q2452">
        <v>879</v>
      </c>
      <c r="R2452">
        <v>1821.15</v>
      </c>
      <c r="S2452">
        <v>660.03</v>
      </c>
      <c r="T2452">
        <v>53580.62</v>
      </c>
      <c r="U2452">
        <v>27286.959999999999</v>
      </c>
      <c r="V2452">
        <v>13848.96</v>
      </c>
      <c r="W2452">
        <v>14053.66</v>
      </c>
      <c r="X2452">
        <v>65295.51</v>
      </c>
      <c r="Y2452">
        <v>57575.32</v>
      </c>
    </row>
    <row r="2453" spans="1:25" x14ac:dyDescent="0.25">
      <c r="A2453" t="s">
        <v>2509</v>
      </c>
      <c r="B2453" s="1">
        <v>45617</v>
      </c>
      <c r="C2453">
        <v>2024</v>
      </c>
      <c r="D2453">
        <v>11</v>
      </c>
      <c r="E2453" t="s">
        <v>1117</v>
      </c>
      <c r="F2453" t="s">
        <v>1018</v>
      </c>
      <c r="G2453" t="s">
        <v>44</v>
      </c>
      <c r="H2453" t="s">
        <v>29</v>
      </c>
      <c r="I2453" t="s">
        <v>50</v>
      </c>
      <c r="J2453">
        <v>42</v>
      </c>
      <c r="K2453">
        <v>974.34</v>
      </c>
      <c r="L2453">
        <v>40922.35</v>
      </c>
      <c r="M2453">
        <v>26528.35</v>
      </c>
      <c r="N2453">
        <v>4832.67</v>
      </c>
      <c r="O2453">
        <v>1676.49</v>
      </c>
      <c r="P2453">
        <v>834.86</v>
      </c>
      <c r="Q2453">
        <v>332.35</v>
      </c>
      <c r="R2453">
        <v>2164.9</v>
      </c>
      <c r="S2453">
        <v>689.58</v>
      </c>
      <c r="T2453">
        <v>37059.199999999997</v>
      </c>
      <c r="U2453">
        <v>14394</v>
      </c>
      <c r="V2453">
        <v>3863.14</v>
      </c>
      <c r="W2453">
        <v>3666.28</v>
      </c>
      <c r="X2453">
        <v>39607.93</v>
      </c>
      <c r="Y2453">
        <v>39174.269999999997</v>
      </c>
    </row>
    <row r="2454" spans="1:25" x14ac:dyDescent="0.25">
      <c r="A2454" t="s">
        <v>2510</v>
      </c>
      <c r="B2454" s="1">
        <v>45618</v>
      </c>
      <c r="C2454">
        <v>2024</v>
      </c>
      <c r="D2454">
        <v>11</v>
      </c>
      <c r="E2454" t="s">
        <v>1117</v>
      </c>
      <c r="F2454" t="s">
        <v>1018</v>
      </c>
      <c r="G2454" t="s">
        <v>55</v>
      </c>
      <c r="H2454" t="s">
        <v>32</v>
      </c>
      <c r="I2454" t="s">
        <v>30</v>
      </c>
      <c r="J2454">
        <v>130</v>
      </c>
      <c r="K2454">
        <v>961.29</v>
      </c>
      <c r="L2454">
        <v>124967.66</v>
      </c>
      <c r="M2454">
        <v>71349.350000000006</v>
      </c>
      <c r="N2454">
        <v>10840.48</v>
      </c>
      <c r="O2454">
        <v>6057.68</v>
      </c>
      <c r="P2454">
        <v>3178.62</v>
      </c>
      <c r="Q2454">
        <v>1150.8900000000001</v>
      </c>
      <c r="R2454">
        <v>5008.51</v>
      </c>
      <c r="S2454">
        <v>1378.29</v>
      </c>
      <c r="T2454">
        <v>98963.81</v>
      </c>
      <c r="U2454">
        <v>53618.31</v>
      </c>
      <c r="V2454">
        <v>26003.84</v>
      </c>
      <c r="W2454">
        <v>25835.06</v>
      </c>
      <c r="X2454">
        <v>134099.1</v>
      </c>
      <c r="Y2454">
        <v>94082.21</v>
      </c>
    </row>
    <row r="2455" spans="1:25" x14ac:dyDescent="0.25">
      <c r="A2455" t="s">
        <v>2511</v>
      </c>
      <c r="B2455" s="1">
        <v>45619</v>
      </c>
      <c r="C2455">
        <v>2024</v>
      </c>
      <c r="D2455">
        <v>11</v>
      </c>
      <c r="E2455" t="s">
        <v>1117</v>
      </c>
      <c r="F2455" t="s">
        <v>1018</v>
      </c>
      <c r="G2455" t="s">
        <v>35</v>
      </c>
      <c r="H2455" t="s">
        <v>58</v>
      </c>
      <c r="I2455" t="s">
        <v>33</v>
      </c>
      <c r="J2455">
        <v>37</v>
      </c>
      <c r="K2455">
        <v>1642.95</v>
      </c>
      <c r="L2455">
        <v>60789.02</v>
      </c>
      <c r="M2455">
        <v>29543.59</v>
      </c>
      <c r="N2455">
        <v>6150.31</v>
      </c>
      <c r="O2455">
        <v>1591.6</v>
      </c>
      <c r="P2455">
        <v>2520.4</v>
      </c>
      <c r="Q2455">
        <v>473.53</v>
      </c>
      <c r="R2455">
        <v>1798.36</v>
      </c>
      <c r="S2455">
        <v>1079.93</v>
      </c>
      <c r="T2455">
        <v>43157.72</v>
      </c>
      <c r="U2455">
        <v>31245.43</v>
      </c>
      <c r="V2455">
        <v>17631.3</v>
      </c>
      <c r="W2455">
        <v>17013.86</v>
      </c>
      <c r="X2455">
        <v>56217.81</v>
      </c>
      <c r="Y2455">
        <v>44759.59</v>
      </c>
    </row>
    <row r="2456" spans="1:25" x14ac:dyDescent="0.25">
      <c r="A2456" t="s">
        <v>2512</v>
      </c>
      <c r="B2456" s="1">
        <v>45619</v>
      </c>
      <c r="C2456">
        <v>2024</v>
      </c>
      <c r="D2456">
        <v>11</v>
      </c>
      <c r="E2456" t="s">
        <v>1117</v>
      </c>
      <c r="F2456" t="s">
        <v>1018</v>
      </c>
      <c r="G2456" t="s">
        <v>35</v>
      </c>
      <c r="H2456" t="s">
        <v>53</v>
      </c>
      <c r="I2456" t="s">
        <v>56</v>
      </c>
      <c r="J2456">
        <v>23</v>
      </c>
      <c r="K2456">
        <v>1411.36</v>
      </c>
      <c r="L2456">
        <v>32461.34</v>
      </c>
      <c r="M2456">
        <v>17555.349999999999</v>
      </c>
      <c r="N2456">
        <v>3422.43</v>
      </c>
      <c r="O2456">
        <v>2106.8000000000002</v>
      </c>
      <c r="P2456">
        <v>669.9</v>
      </c>
      <c r="Q2456">
        <v>311.64999999999998</v>
      </c>
      <c r="R2456">
        <v>827.77</v>
      </c>
      <c r="S2456">
        <v>441.53</v>
      </c>
      <c r="T2456">
        <v>25335.42</v>
      </c>
      <c r="U2456">
        <v>14905.99</v>
      </c>
      <c r="V2456">
        <v>7125.91</v>
      </c>
      <c r="W2456">
        <v>6984.58</v>
      </c>
      <c r="X2456">
        <v>32641.5</v>
      </c>
      <c r="Y2456">
        <v>25424.65</v>
      </c>
    </row>
    <row r="2457" spans="1:25" x14ac:dyDescent="0.25">
      <c r="A2457" t="s">
        <v>2513</v>
      </c>
      <c r="B2457" s="1">
        <v>45619</v>
      </c>
      <c r="C2457">
        <v>2024</v>
      </c>
      <c r="D2457">
        <v>11</v>
      </c>
      <c r="E2457" t="s">
        <v>1117</v>
      </c>
      <c r="F2457" t="s">
        <v>1018</v>
      </c>
      <c r="G2457" t="s">
        <v>28</v>
      </c>
      <c r="H2457" t="s">
        <v>58</v>
      </c>
      <c r="I2457" t="s">
        <v>56</v>
      </c>
      <c r="J2457">
        <v>31</v>
      </c>
      <c r="K2457">
        <v>1016.11</v>
      </c>
      <c r="L2457">
        <v>31499.45</v>
      </c>
      <c r="M2457">
        <v>17866.87</v>
      </c>
      <c r="N2457">
        <v>3445.74</v>
      </c>
      <c r="O2457">
        <v>2355.34</v>
      </c>
      <c r="P2457">
        <v>550.29</v>
      </c>
      <c r="Q2457">
        <v>457.04</v>
      </c>
      <c r="R2457">
        <v>897.54</v>
      </c>
      <c r="S2457">
        <v>500.94</v>
      </c>
      <c r="T2457">
        <v>26073.77</v>
      </c>
      <c r="U2457">
        <v>13632.58</v>
      </c>
      <c r="V2457">
        <v>5425.68</v>
      </c>
      <c r="W2457">
        <v>4973.67</v>
      </c>
      <c r="X2457">
        <v>30790.23</v>
      </c>
      <c r="Y2457">
        <v>25153.61</v>
      </c>
    </row>
    <row r="2458" spans="1:25" x14ac:dyDescent="0.25">
      <c r="A2458" t="s">
        <v>2514</v>
      </c>
      <c r="B2458" s="1">
        <v>45619</v>
      </c>
      <c r="C2458">
        <v>2024</v>
      </c>
      <c r="D2458">
        <v>11</v>
      </c>
      <c r="E2458" t="s">
        <v>1117</v>
      </c>
      <c r="F2458" t="s">
        <v>1018</v>
      </c>
      <c r="G2458" t="s">
        <v>28</v>
      </c>
      <c r="H2458" t="s">
        <v>32</v>
      </c>
      <c r="I2458" t="s">
        <v>65</v>
      </c>
      <c r="J2458">
        <v>38</v>
      </c>
      <c r="K2458">
        <v>1559.61</v>
      </c>
      <c r="L2458">
        <v>59265.05</v>
      </c>
      <c r="M2458">
        <v>40133.599999999999</v>
      </c>
      <c r="N2458">
        <v>4192.04</v>
      </c>
      <c r="O2458">
        <v>1795.23</v>
      </c>
      <c r="P2458">
        <v>2662.23</v>
      </c>
      <c r="Q2458">
        <v>320.87</v>
      </c>
      <c r="R2458">
        <v>3316.01</v>
      </c>
      <c r="S2458">
        <v>564.69000000000005</v>
      </c>
      <c r="T2458">
        <v>52984.67</v>
      </c>
      <c r="U2458">
        <v>19131.45</v>
      </c>
      <c r="V2458">
        <v>6280.38</v>
      </c>
      <c r="W2458">
        <v>5883.87</v>
      </c>
      <c r="X2458">
        <v>62774.17</v>
      </c>
      <c r="Y2458">
        <v>53246.77</v>
      </c>
    </row>
    <row r="2459" spans="1:25" x14ac:dyDescent="0.25">
      <c r="A2459" t="s">
        <v>2515</v>
      </c>
      <c r="B2459" s="1">
        <v>45620</v>
      </c>
      <c r="C2459">
        <v>2024</v>
      </c>
      <c r="D2459">
        <v>11</v>
      </c>
      <c r="E2459" t="s">
        <v>1117</v>
      </c>
      <c r="F2459" t="s">
        <v>1018</v>
      </c>
      <c r="G2459" t="s">
        <v>28</v>
      </c>
      <c r="H2459" t="s">
        <v>29</v>
      </c>
      <c r="I2459" t="s">
        <v>39</v>
      </c>
      <c r="J2459">
        <v>51</v>
      </c>
      <c r="K2459">
        <v>865.47</v>
      </c>
      <c r="L2459">
        <v>44138.81</v>
      </c>
      <c r="M2459">
        <v>24147.59</v>
      </c>
      <c r="N2459">
        <v>3966.01</v>
      </c>
      <c r="O2459">
        <v>2918.98</v>
      </c>
      <c r="P2459">
        <v>1529.12</v>
      </c>
      <c r="Q2459">
        <v>752.55</v>
      </c>
      <c r="R2459">
        <v>1785.03</v>
      </c>
      <c r="S2459">
        <v>571.41999999999996</v>
      </c>
      <c r="T2459">
        <v>35670.71</v>
      </c>
      <c r="U2459">
        <v>19991.22</v>
      </c>
      <c r="V2459">
        <v>8468.11</v>
      </c>
      <c r="W2459">
        <v>7706.14</v>
      </c>
      <c r="X2459">
        <v>47330.01</v>
      </c>
      <c r="Y2459">
        <v>36087.699999999997</v>
      </c>
    </row>
    <row r="2460" spans="1:25" x14ac:dyDescent="0.25">
      <c r="A2460" t="s">
        <v>2516</v>
      </c>
      <c r="B2460" s="1">
        <v>45621</v>
      </c>
      <c r="C2460">
        <v>2024</v>
      </c>
      <c r="D2460">
        <v>11</v>
      </c>
      <c r="E2460" t="s">
        <v>1117</v>
      </c>
      <c r="F2460" t="s">
        <v>1018</v>
      </c>
      <c r="G2460" t="s">
        <v>35</v>
      </c>
      <c r="H2460" t="s">
        <v>53</v>
      </c>
      <c r="I2460" t="s">
        <v>39</v>
      </c>
      <c r="J2460">
        <v>29</v>
      </c>
      <c r="K2460">
        <v>1345.59</v>
      </c>
      <c r="L2460">
        <v>39022.080000000002</v>
      </c>
      <c r="M2460">
        <v>24000.29</v>
      </c>
      <c r="N2460">
        <v>4706.96</v>
      </c>
      <c r="O2460">
        <v>1429.67</v>
      </c>
      <c r="P2460">
        <v>1648.02</v>
      </c>
      <c r="Q2460">
        <v>611.80999999999995</v>
      </c>
      <c r="R2460">
        <v>1094.03</v>
      </c>
      <c r="S2460">
        <v>469.8</v>
      </c>
      <c r="T2460">
        <v>33960.57</v>
      </c>
      <c r="U2460">
        <v>15021.79</v>
      </c>
      <c r="V2460">
        <v>5061.5</v>
      </c>
      <c r="W2460">
        <v>4772.67</v>
      </c>
      <c r="X2460">
        <v>36795.54</v>
      </c>
      <c r="Y2460">
        <v>35773</v>
      </c>
    </row>
    <row r="2461" spans="1:25" x14ac:dyDescent="0.25">
      <c r="A2461" t="s">
        <v>2517</v>
      </c>
      <c r="B2461" s="1">
        <v>45621</v>
      </c>
      <c r="C2461">
        <v>2024</v>
      </c>
      <c r="D2461">
        <v>11</v>
      </c>
      <c r="E2461" t="s">
        <v>1117</v>
      </c>
      <c r="F2461" t="s">
        <v>1018</v>
      </c>
      <c r="G2461" t="s">
        <v>44</v>
      </c>
      <c r="H2461" t="s">
        <v>36</v>
      </c>
      <c r="I2461" t="s">
        <v>30</v>
      </c>
      <c r="J2461">
        <v>67</v>
      </c>
      <c r="K2461">
        <v>1486.27</v>
      </c>
      <c r="L2461">
        <v>99580.17</v>
      </c>
      <c r="M2461">
        <v>51507.85</v>
      </c>
      <c r="N2461">
        <v>8525.61</v>
      </c>
      <c r="O2461">
        <v>4943.34</v>
      </c>
      <c r="P2461">
        <v>2210.87</v>
      </c>
      <c r="Q2461">
        <v>1215.1400000000001</v>
      </c>
      <c r="R2461">
        <v>3675.39</v>
      </c>
      <c r="S2461">
        <v>2476.81</v>
      </c>
      <c r="T2461">
        <v>74555.009999999995</v>
      </c>
      <c r="U2461">
        <v>48072.33</v>
      </c>
      <c r="V2461">
        <v>25025.17</v>
      </c>
      <c r="W2461">
        <v>24678.29</v>
      </c>
      <c r="X2461">
        <v>94775.29</v>
      </c>
      <c r="Y2461">
        <v>78125.759999999995</v>
      </c>
    </row>
    <row r="2462" spans="1:25" x14ac:dyDescent="0.25">
      <c r="A2462" t="s">
        <v>2518</v>
      </c>
      <c r="B2462" s="1">
        <v>45621</v>
      </c>
      <c r="C2462">
        <v>2024</v>
      </c>
      <c r="D2462">
        <v>11</v>
      </c>
      <c r="E2462" t="s">
        <v>1117</v>
      </c>
      <c r="F2462" t="s">
        <v>1018</v>
      </c>
      <c r="G2462" t="s">
        <v>35</v>
      </c>
      <c r="H2462" t="s">
        <v>58</v>
      </c>
      <c r="I2462" t="s">
        <v>65</v>
      </c>
      <c r="J2462">
        <v>42</v>
      </c>
      <c r="K2462">
        <v>892.01</v>
      </c>
      <c r="L2462">
        <v>37464.42</v>
      </c>
      <c r="M2462">
        <v>23348.07</v>
      </c>
      <c r="N2462">
        <v>3460.87</v>
      </c>
      <c r="O2462">
        <v>984.86</v>
      </c>
      <c r="P2462">
        <v>1466.43</v>
      </c>
      <c r="Q2462">
        <v>532.67999999999995</v>
      </c>
      <c r="R2462">
        <v>1529.33</v>
      </c>
      <c r="S2462">
        <v>500.75</v>
      </c>
      <c r="T2462">
        <v>31822.99</v>
      </c>
      <c r="U2462">
        <v>14116.34</v>
      </c>
      <c r="V2462">
        <v>5641.43</v>
      </c>
      <c r="W2462">
        <v>5662.01</v>
      </c>
      <c r="X2462">
        <v>34698.839999999997</v>
      </c>
      <c r="Y2462">
        <v>32723.94</v>
      </c>
    </row>
    <row r="2463" spans="1:25" x14ac:dyDescent="0.25">
      <c r="A2463" t="s">
        <v>2519</v>
      </c>
      <c r="B2463" s="1">
        <v>45621</v>
      </c>
      <c r="C2463">
        <v>2024</v>
      </c>
      <c r="D2463">
        <v>11</v>
      </c>
      <c r="E2463" t="s">
        <v>1117</v>
      </c>
      <c r="F2463" t="s">
        <v>1018</v>
      </c>
      <c r="G2463" t="s">
        <v>44</v>
      </c>
      <c r="H2463" t="s">
        <v>53</v>
      </c>
      <c r="I2463" t="s">
        <v>45</v>
      </c>
      <c r="J2463">
        <v>16</v>
      </c>
      <c r="K2463">
        <v>1806.68</v>
      </c>
      <c r="L2463">
        <v>28906.89</v>
      </c>
      <c r="M2463">
        <v>14582.35</v>
      </c>
      <c r="N2463">
        <v>3687.31</v>
      </c>
      <c r="O2463">
        <v>2069.33</v>
      </c>
      <c r="P2463">
        <v>1146.0999999999999</v>
      </c>
      <c r="Q2463">
        <v>483.18</v>
      </c>
      <c r="R2463">
        <v>1501.84</v>
      </c>
      <c r="S2463">
        <v>317.86</v>
      </c>
      <c r="T2463">
        <v>23787.97</v>
      </c>
      <c r="U2463">
        <v>14324.54</v>
      </c>
      <c r="V2463">
        <v>5118.92</v>
      </c>
      <c r="W2463">
        <v>4716.6899999999996</v>
      </c>
      <c r="X2463">
        <v>28594.27</v>
      </c>
      <c r="Y2463">
        <v>23407.78</v>
      </c>
    </row>
    <row r="2464" spans="1:25" x14ac:dyDescent="0.25">
      <c r="A2464" t="s">
        <v>2520</v>
      </c>
      <c r="B2464" s="1">
        <v>45622</v>
      </c>
      <c r="C2464">
        <v>2024</v>
      </c>
      <c r="D2464">
        <v>11</v>
      </c>
      <c r="E2464" t="s">
        <v>1117</v>
      </c>
      <c r="F2464" t="s">
        <v>1018</v>
      </c>
      <c r="G2464" t="s">
        <v>28</v>
      </c>
      <c r="H2464" t="s">
        <v>32</v>
      </c>
      <c r="I2464" t="s">
        <v>45</v>
      </c>
      <c r="J2464">
        <v>32</v>
      </c>
      <c r="K2464">
        <v>1329.87</v>
      </c>
      <c r="L2464">
        <v>42555.78</v>
      </c>
      <c r="M2464">
        <v>25799.9</v>
      </c>
      <c r="N2464">
        <v>4733.8</v>
      </c>
      <c r="O2464">
        <v>2036.86</v>
      </c>
      <c r="P2464">
        <v>771.22</v>
      </c>
      <c r="Q2464">
        <v>722.05</v>
      </c>
      <c r="R2464">
        <v>1401.67</v>
      </c>
      <c r="S2464">
        <v>712.04</v>
      </c>
      <c r="T2464">
        <v>36177.53</v>
      </c>
      <c r="U2464">
        <v>16755.88</v>
      </c>
      <c r="V2464">
        <v>6378.25</v>
      </c>
      <c r="W2464">
        <v>5868.58</v>
      </c>
      <c r="X2464">
        <v>45771.75</v>
      </c>
      <c r="Y2464">
        <v>34535.620000000003</v>
      </c>
    </row>
    <row r="2465" spans="1:25" x14ac:dyDescent="0.25">
      <c r="A2465" t="s">
        <v>2521</v>
      </c>
      <c r="B2465" s="1">
        <v>45622</v>
      </c>
      <c r="C2465">
        <v>2024</v>
      </c>
      <c r="D2465">
        <v>11</v>
      </c>
      <c r="E2465" t="s">
        <v>1117</v>
      </c>
      <c r="F2465" t="s">
        <v>1018</v>
      </c>
      <c r="G2465" t="s">
        <v>35</v>
      </c>
      <c r="H2465" t="s">
        <v>32</v>
      </c>
      <c r="I2465" t="s">
        <v>30</v>
      </c>
      <c r="J2465">
        <v>58</v>
      </c>
      <c r="K2465">
        <v>1779.42</v>
      </c>
      <c r="L2465">
        <v>103206.58</v>
      </c>
      <c r="M2465">
        <v>54157.94</v>
      </c>
      <c r="N2465">
        <v>12043.84</v>
      </c>
      <c r="O2465">
        <v>4821</v>
      </c>
      <c r="P2465">
        <v>4053.67</v>
      </c>
      <c r="Q2465">
        <v>526.16999999999996</v>
      </c>
      <c r="R2465">
        <v>2701.75</v>
      </c>
      <c r="S2465">
        <v>1716.68</v>
      </c>
      <c r="T2465">
        <v>80021.05</v>
      </c>
      <c r="U2465">
        <v>49048.639999999999</v>
      </c>
      <c r="V2465">
        <v>23185.52</v>
      </c>
      <c r="W2465">
        <v>21583.72</v>
      </c>
      <c r="X2465">
        <v>96961.81</v>
      </c>
      <c r="Y2465">
        <v>79163.33</v>
      </c>
    </row>
    <row r="2466" spans="1:25" x14ac:dyDescent="0.25">
      <c r="A2466" t="s">
        <v>2522</v>
      </c>
      <c r="B2466" s="1">
        <v>45622</v>
      </c>
      <c r="C2466">
        <v>2024</v>
      </c>
      <c r="D2466">
        <v>11</v>
      </c>
      <c r="E2466" t="s">
        <v>1117</v>
      </c>
      <c r="F2466" t="s">
        <v>1018</v>
      </c>
      <c r="G2466" t="s">
        <v>35</v>
      </c>
      <c r="H2466" t="s">
        <v>36</v>
      </c>
      <c r="I2466" t="s">
        <v>30</v>
      </c>
      <c r="J2466">
        <v>83</v>
      </c>
      <c r="K2466">
        <v>837.87</v>
      </c>
      <c r="L2466">
        <v>69542.820000000007</v>
      </c>
      <c r="M2466">
        <v>35400.29</v>
      </c>
      <c r="N2466">
        <v>6569.75</v>
      </c>
      <c r="O2466">
        <v>2211.67</v>
      </c>
      <c r="P2466">
        <v>1621.79</v>
      </c>
      <c r="Q2466">
        <v>748.74</v>
      </c>
      <c r="R2466">
        <v>3864.04</v>
      </c>
      <c r="S2466">
        <v>724.32</v>
      </c>
      <c r="T2466">
        <v>51140.59</v>
      </c>
      <c r="U2466">
        <v>34142.53</v>
      </c>
      <c r="V2466">
        <v>18402.23</v>
      </c>
      <c r="W2466">
        <v>17219.41</v>
      </c>
      <c r="X2466">
        <v>73965.460000000006</v>
      </c>
      <c r="Y2466">
        <v>51196.89</v>
      </c>
    </row>
    <row r="2467" spans="1:25" x14ac:dyDescent="0.25">
      <c r="A2467" t="s">
        <v>2523</v>
      </c>
      <c r="B2467" s="1">
        <v>45623</v>
      </c>
      <c r="C2467">
        <v>2024</v>
      </c>
      <c r="D2467">
        <v>11</v>
      </c>
      <c r="E2467" t="s">
        <v>1117</v>
      </c>
      <c r="F2467" t="s">
        <v>1018</v>
      </c>
      <c r="G2467" t="s">
        <v>44</v>
      </c>
      <c r="H2467" t="s">
        <v>29</v>
      </c>
      <c r="I2467" t="s">
        <v>33</v>
      </c>
      <c r="J2467">
        <v>63</v>
      </c>
      <c r="K2467">
        <v>1033.01</v>
      </c>
      <c r="L2467">
        <v>65079.75</v>
      </c>
      <c r="M2467">
        <v>44156.160000000003</v>
      </c>
      <c r="N2467">
        <v>5446.14</v>
      </c>
      <c r="O2467">
        <v>3515.87</v>
      </c>
      <c r="P2467">
        <v>2709.96</v>
      </c>
      <c r="Q2467">
        <v>1119.8599999999999</v>
      </c>
      <c r="R2467">
        <v>3020.39</v>
      </c>
      <c r="S2467">
        <v>999.44</v>
      </c>
      <c r="T2467">
        <v>60967.81</v>
      </c>
      <c r="U2467">
        <v>20923.59</v>
      </c>
      <c r="V2467">
        <v>4111.9399999999996</v>
      </c>
      <c r="W2467">
        <v>4049.37</v>
      </c>
      <c r="X2467">
        <v>63010.59</v>
      </c>
      <c r="Y2467">
        <v>59872.29</v>
      </c>
    </row>
    <row r="2468" spans="1:25" x14ac:dyDescent="0.25">
      <c r="A2468" t="s">
        <v>2524</v>
      </c>
      <c r="B2468" s="1">
        <v>45623</v>
      </c>
      <c r="C2468">
        <v>2024</v>
      </c>
      <c r="D2468">
        <v>11</v>
      </c>
      <c r="E2468" t="s">
        <v>1117</v>
      </c>
      <c r="F2468" t="s">
        <v>1018</v>
      </c>
      <c r="G2468" t="s">
        <v>55</v>
      </c>
      <c r="H2468" t="s">
        <v>29</v>
      </c>
      <c r="I2468" t="s">
        <v>50</v>
      </c>
      <c r="J2468">
        <v>32</v>
      </c>
      <c r="K2468">
        <v>1582.72</v>
      </c>
      <c r="L2468">
        <v>50647.16</v>
      </c>
      <c r="M2468">
        <v>28545.26</v>
      </c>
      <c r="N2468">
        <v>5077.2</v>
      </c>
      <c r="O2468">
        <v>3655.6</v>
      </c>
      <c r="P2468">
        <v>1386.9</v>
      </c>
      <c r="Q2468">
        <v>789.17</v>
      </c>
      <c r="R2468">
        <v>3122.1</v>
      </c>
      <c r="S2468">
        <v>731.7</v>
      </c>
      <c r="T2468">
        <v>43307.94</v>
      </c>
      <c r="U2468">
        <v>22101.9</v>
      </c>
      <c r="V2468">
        <v>7339.22</v>
      </c>
      <c r="W2468">
        <v>6914.45</v>
      </c>
      <c r="X2468">
        <v>53614.31</v>
      </c>
      <c r="Y2468">
        <v>43985.81</v>
      </c>
    </row>
    <row r="2469" spans="1:25" x14ac:dyDescent="0.25">
      <c r="A2469" t="s">
        <v>2525</v>
      </c>
      <c r="B2469" s="1">
        <v>45624</v>
      </c>
      <c r="C2469">
        <v>2024</v>
      </c>
      <c r="D2469">
        <v>11</v>
      </c>
      <c r="E2469" t="s">
        <v>1117</v>
      </c>
      <c r="F2469" t="s">
        <v>1018</v>
      </c>
      <c r="G2469" t="s">
        <v>35</v>
      </c>
      <c r="H2469" t="s">
        <v>53</v>
      </c>
      <c r="I2469" t="s">
        <v>50</v>
      </c>
      <c r="J2469">
        <v>27</v>
      </c>
      <c r="K2469">
        <v>1278.56</v>
      </c>
      <c r="L2469">
        <v>34521.01</v>
      </c>
      <c r="M2469">
        <v>17714.689999999999</v>
      </c>
      <c r="N2469">
        <v>3453.65</v>
      </c>
      <c r="O2469">
        <v>1437.99</v>
      </c>
      <c r="P2469">
        <v>997.56</v>
      </c>
      <c r="Q2469">
        <v>398.48</v>
      </c>
      <c r="R2469">
        <v>897.49</v>
      </c>
      <c r="S2469">
        <v>774.76</v>
      </c>
      <c r="T2469">
        <v>25674.61</v>
      </c>
      <c r="U2469">
        <v>16806.32</v>
      </c>
      <c r="V2469">
        <v>8846.4</v>
      </c>
      <c r="W2469">
        <v>8868.2099999999991</v>
      </c>
      <c r="X2469">
        <v>38648.370000000003</v>
      </c>
      <c r="Y2469">
        <v>26318.9</v>
      </c>
    </row>
    <row r="2470" spans="1:25" x14ac:dyDescent="0.25">
      <c r="A2470" t="s">
        <v>2526</v>
      </c>
      <c r="B2470" s="1">
        <v>45624</v>
      </c>
      <c r="C2470">
        <v>2024</v>
      </c>
      <c r="D2470">
        <v>11</v>
      </c>
      <c r="E2470" t="s">
        <v>1117</v>
      </c>
      <c r="F2470" t="s">
        <v>1018</v>
      </c>
      <c r="G2470" t="s">
        <v>28</v>
      </c>
      <c r="H2470" t="s">
        <v>32</v>
      </c>
      <c r="I2470" t="s">
        <v>56</v>
      </c>
      <c r="J2470">
        <v>27</v>
      </c>
      <c r="K2470">
        <v>1489.71</v>
      </c>
      <c r="L2470">
        <v>40222.230000000003</v>
      </c>
      <c r="M2470">
        <v>22381.99</v>
      </c>
      <c r="N2470">
        <v>3121.57</v>
      </c>
      <c r="O2470">
        <v>2016.89</v>
      </c>
      <c r="P2470">
        <v>1346.72</v>
      </c>
      <c r="Q2470">
        <v>683.92</v>
      </c>
      <c r="R2470">
        <v>2467.59</v>
      </c>
      <c r="S2470">
        <v>369.17</v>
      </c>
      <c r="T2470">
        <v>32387.85</v>
      </c>
      <c r="U2470">
        <v>17840.240000000002</v>
      </c>
      <c r="V2470">
        <v>7834.39</v>
      </c>
      <c r="W2470">
        <v>7382.73</v>
      </c>
      <c r="X2470">
        <v>42864.98</v>
      </c>
      <c r="Y2470">
        <v>33958.36</v>
      </c>
    </row>
    <row r="2471" spans="1:25" x14ac:dyDescent="0.25">
      <c r="A2471" t="s">
        <v>2527</v>
      </c>
      <c r="B2471" s="1">
        <v>45624</v>
      </c>
      <c r="C2471">
        <v>2024</v>
      </c>
      <c r="D2471">
        <v>11</v>
      </c>
      <c r="E2471" t="s">
        <v>1117</v>
      </c>
      <c r="F2471" t="s">
        <v>1018</v>
      </c>
      <c r="G2471" t="s">
        <v>28</v>
      </c>
      <c r="H2471" t="s">
        <v>32</v>
      </c>
      <c r="I2471" t="s">
        <v>37</v>
      </c>
      <c r="J2471">
        <v>92</v>
      </c>
      <c r="K2471">
        <v>1141.71</v>
      </c>
      <c r="L2471">
        <v>105036.89</v>
      </c>
      <c r="M2471">
        <v>68544.69</v>
      </c>
      <c r="N2471">
        <v>9982.1299999999992</v>
      </c>
      <c r="O2471">
        <v>4424.8599999999997</v>
      </c>
      <c r="P2471">
        <v>2912.46</v>
      </c>
      <c r="Q2471">
        <v>1529.78</v>
      </c>
      <c r="R2471">
        <v>5011.96</v>
      </c>
      <c r="S2471">
        <v>1144.83</v>
      </c>
      <c r="T2471">
        <v>93550.720000000001</v>
      </c>
      <c r="U2471">
        <v>36492.199999999997</v>
      </c>
      <c r="V2471">
        <v>11486.16</v>
      </c>
      <c r="W2471">
        <v>11672.4</v>
      </c>
      <c r="X2471">
        <v>111014.99</v>
      </c>
      <c r="Y2471">
        <v>92348.93</v>
      </c>
    </row>
    <row r="2472" spans="1:25" x14ac:dyDescent="0.25">
      <c r="A2472" t="s">
        <v>2528</v>
      </c>
      <c r="B2472" s="1">
        <v>45624</v>
      </c>
      <c r="C2472">
        <v>2024</v>
      </c>
      <c r="D2472">
        <v>11</v>
      </c>
      <c r="E2472" t="s">
        <v>1117</v>
      </c>
      <c r="F2472" t="s">
        <v>1018</v>
      </c>
      <c r="G2472" t="s">
        <v>28</v>
      </c>
      <c r="H2472" t="s">
        <v>53</v>
      </c>
      <c r="I2472" t="s">
        <v>33</v>
      </c>
      <c r="J2472">
        <v>50</v>
      </c>
      <c r="K2472">
        <v>1772</v>
      </c>
      <c r="L2472">
        <v>88599.78</v>
      </c>
      <c r="M2472">
        <v>50338.46</v>
      </c>
      <c r="N2472">
        <v>8176.39</v>
      </c>
      <c r="O2472">
        <v>2347.85</v>
      </c>
      <c r="P2472">
        <v>2430.19</v>
      </c>
      <c r="Q2472">
        <v>1057.75</v>
      </c>
      <c r="R2472">
        <v>3832.85</v>
      </c>
      <c r="S2472">
        <v>1367.24</v>
      </c>
      <c r="T2472">
        <v>69550.740000000005</v>
      </c>
      <c r="U2472">
        <v>38261.33</v>
      </c>
      <c r="V2472">
        <v>19049.05</v>
      </c>
      <c r="W2472">
        <v>19174.830000000002</v>
      </c>
      <c r="X2472">
        <v>87199.53</v>
      </c>
      <c r="Y2472">
        <v>70116.88</v>
      </c>
    </row>
    <row r="2473" spans="1:25" x14ac:dyDescent="0.25">
      <c r="A2473" t="s">
        <v>2529</v>
      </c>
      <c r="B2473" s="1">
        <v>45624</v>
      </c>
      <c r="C2473">
        <v>2024</v>
      </c>
      <c r="D2473">
        <v>11</v>
      </c>
      <c r="E2473" t="s">
        <v>1117</v>
      </c>
      <c r="F2473" t="s">
        <v>1018</v>
      </c>
      <c r="G2473" t="s">
        <v>44</v>
      </c>
      <c r="H2473" t="s">
        <v>32</v>
      </c>
      <c r="I2473" t="s">
        <v>30</v>
      </c>
      <c r="J2473">
        <v>61</v>
      </c>
      <c r="K2473">
        <v>1768.79</v>
      </c>
      <c r="L2473">
        <v>107896.48</v>
      </c>
      <c r="M2473">
        <v>63880.23</v>
      </c>
      <c r="N2473">
        <v>9495.61</v>
      </c>
      <c r="O2473">
        <v>4075.28</v>
      </c>
      <c r="P2473">
        <v>4076.87</v>
      </c>
      <c r="Q2473">
        <v>1712.25</v>
      </c>
      <c r="R2473">
        <v>3645.73</v>
      </c>
      <c r="S2473">
        <v>1660.34</v>
      </c>
      <c r="T2473">
        <v>88546.3</v>
      </c>
      <c r="U2473">
        <v>44016.25</v>
      </c>
      <c r="V2473">
        <v>19350.169999999998</v>
      </c>
      <c r="W2473">
        <v>18986.93</v>
      </c>
      <c r="X2473">
        <v>111835.52</v>
      </c>
      <c r="Y2473">
        <v>82732.08</v>
      </c>
    </row>
    <row r="2474" spans="1:25" x14ac:dyDescent="0.25">
      <c r="A2474" t="s">
        <v>2530</v>
      </c>
      <c r="B2474" s="1">
        <v>45625</v>
      </c>
      <c r="C2474">
        <v>2024</v>
      </c>
      <c r="D2474">
        <v>11</v>
      </c>
      <c r="E2474" t="s">
        <v>1117</v>
      </c>
      <c r="F2474" t="s">
        <v>1018</v>
      </c>
      <c r="G2474" t="s">
        <v>35</v>
      </c>
      <c r="H2474" t="s">
        <v>36</v>
      </c>
      <c r="I2474" t="s">
        <v>30</v>
      </c>
      <c r="J2474">
        <v>69</v>
      </c>
      <c r="K2474">
        <v>1316.38</v>
      </c>
      <c r="L2474">
        <v>90830.09</v>
      </c>
      <c r="M2474">
        <v>61385.72</v>
      </c>
      <c r="N2474">
        <v>7994.15</v>
      </c>
      <c r="O2474">
        <v>6318.7</v>
      </c>
      <c r="P2474">
        <v>2629.74</v>
      </c>
      <c r="Q2474">
        <v>1281.58</v>
      </c>
      <c r="R2474">
        <v>3600.25</v>
      </c>
      <c r="S2474">
        <v>1839.84</v>
      </c>
      <c r="T2474">
        <v>85049.99</v>
      </c>
      <c r="U2474">
        <v>29444.37</v>
      </c>
      <c r="V2474">
        <v>5780.1</v>
      </c>
      <c r="W2474">
        <v>5675.78</v>
      </c>
      <c r="X2474">
        <v>92810.55</v>
      </c>
      <c r="Y2474">
        <v>93471.84</v>
      </c>
    </row>
    <row r="2475" spans="1:25" x14ac:dyDescent="0.25">
      <c r="A2475" t="s">
        <v>2531</v>
      </c>
      <c r="B2475" s="1">
        <v>45625</v>
      </c>
      <c r="C2475">
        <v>2024</v>
      </c>
      <c r="D2475">
        <v>11</v>
      </c>
      <c r="E2475" t="s">
        <v>1117</v>
      </c>
      <c r="F2475" t="s">
        <v>1018</v>
      </c>
      <c r="G2475" t="s">
        <v>28</v>
      </c>
      <c r="H2475" t="s">
        <v>32</v>
      </c>
      <c r="I2475" t="s">
        <v>39</v>
      </c>
      <c r="J2475">
        <v>32</v>
      </c>
      <c r="K2475">
        <v>1538.66</v>
      </c>
      <c r="L2475">
        <v>49237.09</v>
      </c>
      <c r="M2475">
        <v>32373.18</v>
      </c>
      <c r="N2475">
        <v>3554.21</v>
      </c>
      <c r="O2475">
        <v>3504.57</v>
      </c>
      <c r="P2475">
        <v>1543.24</v>
      </c>
      <c r="Q2475">
        <v>789.81</v>
      </c>
      <c r="R2475">
        <v>2269.4</v>
      </c>
      <c r="S2475">
        <v>980.78</v>
      </c>
      <c r="T2475">
        <v>45015.19</v>
      </c>
      <c r="U2475">
        <v>16863.91</v>
      </c>
      <c r="V2475">
        <v>4221.91</v>
      </c>
      <c r="W2475">
        <v>3818.43</v>
      </c>
      <c r="X2475">
        <v>49354.15</v>
      </c>
      <c r="Y2475">
        <v>46102.11</v>
      </c>
    </row>
    <row r="2476" spans="1:25" x14ac:dyDescent="0.25">
      <c r="A2476" t="s">
        <v>2532</v>
      </c>
      <c r="B2476" s="1">
        <v>45625</v>
      </c>
      <c r="C2476">
        <v>2024</v>
      </c>
      <c r="D2476">
        <v>11</v>
      </c>
      <c r="E2476" t="s">
        <v>1117</v>
      </c>
      <c r="F2476" t="s">
        <v>1018</v>
      </c>
      <c r="G2476" t="s">
        <v>55</v>
      </c>
      <c r="H2476" t="s">
        <v>53</v>
      </c>
      <c r="I2476" t="s">
        <v>39</v>
      </c>
      <c r="J2476">
        <v>23</v>
      </c>
      <c r="K2476">
        <v>1720.13</v>
      </c>
      <c r="L2476">
        <v>39562.92</v>
      </c>
      <c r="M2476">
        <v>23139.759999999998</v>
      </c>
      <c r="N2476">
        <v>3435.93</v>
      </c>
      <c r="O2476">
        <v>1999.37</v>
      </c>
      <c r="P2476">
        <v>1727.91</v>
      </c>
      <c r="Q2476">
        <v>682.78</v>
      </c>
      <c r="R2476">
        <v>1184.8</v>
      </c>
      <c r="S2476">
        <v>815.24</v>
      </c>
      <c r="T2476">
        <v>32985.800000000003</v>
      </c>
      <c r="U2476">
        <v>16423.16</v>
      </c>
      <c r="V2476">
        <v>6577.12</v>
      </c>
      <c r="W2476">
        <v>6173.45</v>
      </c>
      <c r="X2476">
        <v>37056.910000000003</v>
      </c>
      <c r="Y2476">
        <v>34648.870000000003</v>
      </c>
    </row>
    <row r="2477" spans="1:25" x14ac:dyDescent="0.25">
      <c r="A2477" t="s">
        <v>2533</v>
      </c>
      <c r="B2477" s="1">
        <v>45625</v>
      </c>
      <c r="C2477">
        <v>2024</v>
      </c>
      <c r="D2477">
        <v>11</v>
      </c>
      <c r="E2477" t="s">
        <v>1117</v>
      </c>
      <c r="F2477" t="s">
        <v>1018</v>
      </c>
      <c r="G2477" t="s">
        <v>55</v>
      </c>
      <c r="H2477" t="s">
        <v>36</v>
      </c>
      <c r="I2477" t="s">
        <v>65</v>
      </c>
      <c r="J2477">
        <v>35</v>
      </c>
      <c r="K2477">
        <v>1749.01</v>
      </c>
      <c r="L2477">
        <v>61215.199999999997</v>
      </c>
      <c r="M2477">
        <v>36535.360000000001</v>
      </c>
      <c r="N2477">
        <v>4708.2700000000004</v>
      </c>
      <c r="O2477">
        <v>1645.75</v>
      </c>
      <c r="P2477">
        <v>2150.87</v>
      </c>
      <c r="Q2477">
        <v>1009.31</v>
      </c>
      <c r="R2477">
        <v>3114.77</v>
      </c>
      <c r="S2477">
        <v>1167.97</v>
      </c>
      <c r="T2477">
        <v>50332.3</v>
      </c>
      <c r="U2477">
        <v>24679.83</v>
      </c>
      <c r="V2477">
        <v>10882.89</v>
      </c>
      <c r="W2477">
        <v>10333.66</v>
      </c>
      <c r="X2477">
        <v>61062.239999999998</v>
      </c>
      <c r="Y2477">
        <v>49825.96</v>
      </c>
    </row>
    <row r="2478" spans="1:25" x14ac:dyDescent="0.25">
      <c r="A2478" t="s">
        <v>2534</v>
      </c>
      <c r="B2478" s="1">
        <v>45625</v>
      </c>
      <c r="C2478">
        <v>2024</v>
      </c>
      <c r="D2478">
        <v>11</v>
      </c>
      <c r="E2478" t="s">
        <v>1117</v>
      </c>
      <c r="F2478" t="s">
        <v>1018</v>
      </c>
      <c r="G2478" t="s">
        <v>44</v>
      </c>
      <c r="H2478" t="s">
        <v>53</v>
      </c>
      <c r="I2478" t="s">
        <v>50</v>
      </c>
      <c r="J2478">
        <v>29</v>
      </c>
      <c r="K2478">
        <v>1583.33</v>
      </c>
      <c r="L2478">
        <v>45916.66</v>
      </c>
      <c r="M2478">
        <v>26829.61</v>
      </c>
      <c r="N2478">
        <v>4029.8</v>
      </c>
      <c r="O2478">
        <v>1235.83</v>
      </c>
      <c r="P2478">
        <v>1203.49</v>
      </c>
      <c r="Q2478">
        <v>745.26</v>
      </c>
      <c r="R2478">
        <v>1202.42</v>
      </c>
      <c r="S2478">
        <v>1120.1500000000001</v>
      </c>
      <c r="T2478">
        <v>36366.559999999998</v>
      </c>
      <c r="U2478">
        <v>19087.060000000001</v>
      </c>
      <c r="V2478">
        <v>9550.1</v>
      </c>
      <c r="W2478">
        <v>9423.6200000000008</v>
      </c>
      <c r="X2478">
        <v>45889.25</v>
      </c>
      <c r="Y2478">
        <v>36424.11</v>
      </c>
    </row>
    <row r="2479" spans="1:25" x14ac:dyDescent="0.25">
      <c r="A2479" t="s">
        <v>2535</v>
      </c>
      <c r="B2479" s="1">
        <v>45626</v>
      </c>
      <c r="C2479">
        <v>2024</v>
      </c>
      <c r="D2479">
        <v>11</v>
      </c>
      <c r="E2479" t="s">
        <v>1117</v>
      </c>
      <c r="F2479" t="s">
        <v>1018</v>
      </c>
      <c r="G2479" t="s">
        <v>44</v>
      </c>
      <c r="H2479" t="s">
        <v>36</v>
      </c>
      <c r="I2479" t="s">
        <v>39</v>
      </c>
      <c r="J2479">
        <v>24</v>
      </c>
      <c r="K2479">
        <v>1703.3</v>
      </c>
      <c r="L2479">
        <v>40879.29</v>
      </c>
      <c r="M2479">
        <v>20015.099999999999</v>
      </c>
      <c r="N2479">
        <v>3508.21</v>
      </c>
      <c r="O2479">
        <v>1107</v>
      </c>
      <c r="P2479">
        <v>1559.2</v>
      </c>
      <c r="Q2479">
        <v>666.45</v>
      </c>
      <c r="R2479">
        <v>2524.0500000000002</v>
      </c>
      <c r="S2479">
        <v>620.33000000000004</v>
      </c>
      <c r="T2479">
        <v>30000.33</v>
      </c>
      <c r="U2479">
        <v>20864.189999999999</v>
      </c>
      <c r="V2479">
        <v>10878.96</v>
      </c>
      <c r="W2479">
        <v>9674.73</v>
      </c>
      <c r="X2479">
        <v>40446.92</v>
      </c>
      <c r="Y2479">
        <v>29991.040000000001</v>
      </c>
    </row>
    <row r="2480" spans="1:25" x14ac:dyDescent="0.25">
      <c r="A2480" t="s">
        <v>2536</v>
      </c>
      <c r="B2480" s="1">
        <v>45626</v>
      </c>
      <c r="C2480">
        <v>2024</v>
      </c>
      <c r="D2480">
        <v>11</v>
      </c>
      <c r="E2480" t="s">
        <v>1117</v>
      </c>
      <c r="F2480" t="s">
        <v>1018</v>
      </c>
      <c r="G2480" t="s">
        <v>35</v>
      </c>
      <c r="H2480" t="s">
        <v>32</v>
      </c>
      <c r="I2480" t="s">
        <v>45</v>
      </c>
      <c r="J2480">
        <v>20</v>
      </c>
      <c r="K2480">
        <v>1771.06</v>
      </c>
      <c r="L2480">
        <v>35421.199999999997</v>
      </c>
      <c r="M2480">
        <v>21683.9</v>
      </c>
      <c r="N2480">
        <v>2805.33</v>
      </c>
      <c r="O2480">
        <v>1556.94</v>
      </c>
      <c r="P2480">
        <v>1417.17</v>
      </c>
      <c r="Q2480">
        <v>422.6</v>
      </c>
      <c r="R2480">
        <v>1765.61</v>
      </c>
      <c r="S2480">
        <v>535.04</v>
      </c>
      <c r="T2480">
        <v>30186.6</v>
      </c>
      <c r="U2480">
        <v>13737.29</v>
      </c>
      <c r="V2480">
        <v>5234.59</v>
      </c>
      <c r="W2480">
        <v>5227.32</v>
      </c>
      <c r="X2480">
        <v>38017.949999999997</v>
      </c>
      <c r="Y2480">
        <v>32519.96</v>
      </c>
    </row>
    <row r="2481" spans="1:25" x14ac:dyDescent="0.25">
      <c r="A2481" t="s">
        <v>2537</v>
      </c>
      <c r="B2481" s="1">
        <v>45626</v>
      </c>
      <c r="C2481">
        <v>2024</v>
      </c>
      <c r="D2481">
        <v>11</v>
      </c>
      <c r="E2481" t="s">
        <v>1117</v>
      </c>
      <c r="F2481" t="s">
        <v>1018</v>
      </c>
      <c r="G2481" t="s">
        <v>55</v>
      </c>
      <c r="H2481" t="s">
        <v>32</v>
      </c>
      <c r="I2481" t="s">
        <v>45</v>
      </c>
      <c r="J2481">
        <v>33</v>
      </c>
      <c r="K2481">
        <v>1575.43</v>
      </c>
      <c r="L2481">
        <v>51989.3</v>
      </c>
      <c r="M2481">
        <v>25159.31</v>
      </c>
      <c r="N2481">
        <v>4720.55</v>
      </c>
      <c r="O2481">
        <v>3817.46</v>
      </c>
      <c r="P2481">
        <v>1353.12</v>
      </c>
      <c r="Q2481">
        <v>787.41</v>
      </c>
      <c r="R2481">
        <v>1364.37</v>
      </c>
      <c r="S2481">
        <v>984.11</v>
      </c>
      <c r="T2481">
        <v>38186.33</v>
      </c>
      <c r="U2481">
        <v>26829.99</v>
      </c>
      <c r="V2481">
        <v>13802.97</v>
      </c>
      <c r="W2481">
        <v>13380.93</v>
      </c>
      <c r="X2481">
        <v>48232.56</v>
      </c>
      <c r="Y2481">
        <v>35807.15</v>
      </c>
    </row>
    <row r="2482" spans="1:25" x14ac:dyDescent="0.25">
      <c r="A2482" t="s">
        <v>2538</v>
      </c>
      <c r="B2482" s="1">
        <v>45626</v>
      </c>
      <c r="C2482">
        <v>2024</v>
      </c>
      <c r="D2482">
        <v>11</v>
      </c>
      <c r="E2482" t="s">
        <v>1117</v>
      </c>
      <c r="F2482" t="s">
        <v>1018</v>
      </c>
      <c r="G2482" t="s">
        <v>28</v>
      </c>
      <c r="H2482" t="s">
        <v>36</v>
      </c>
      <c r="I2482" t="s">
        <v>39</v>
      </c>
      <c r="J2482">
        <v>21</v>
      </c>
      <c r="K2482">
        <v>1778.41</v>
      </c>
      <c r="L2482">
        <v>37346.61</v>
      </c>
      <c r="M2482">
        <v>23174.22</v>
      </c>
      <c r="N2482">
        <v>2711.07</v>
      </c>
      <c r="O2482">
        <v>1555.82</v>
      </c>
      <c r="P2482">
        <v>1172.97</v>
      </c>
      <c r="Q2482">
        <v>509.71</v>
      </c>
      <c r="R2482">
        <v>956.84</v>
      </c>
      <c r="S2482">
        <v>813.09</v>
      </c>
      <c r="T2482">
        <v>30893.72</v>
      </c>
      <c r="U2482">
        <v>14172.39</v>
      </c>
      <c r="V2482">
        <v>6452.89</v>
      </c>
      <c r="W2482">
        <v>6443.07</v>
      </c>
      <c r="X2482">
        <v>35036.94</v>
      </c>
      <c r="Y2482">
        <v>29730.62</v>
      </c>
    </row>
    <row r="2483" spans="1:25" x14ac:dyDescent="0.25">
      <c r="A2483" t="s">
        <v>2539</v>
      </c>
      <c r="B2483" s="1">
        <v>45626</v>
      </c>
      <c r="C2483">
        <v>2024</v>
      </c>
      <c r="D2483">
        <v>11</v>
      </c>
      <c r="E2483" t="s">
        <v>1117</v>
      </c>
      <c r="F2483" t="s">
        <v>1018</v>
      </c>
      <c r="G2483" t="s">
        <v>35</v>
      </c>
      <c r="H2483" t="s">
        <v>36</v>
      </c>
      <c r="I2483" t="s">
        <v>45</v>
      </c>
      <c r="J2483">
        <v>52</v>
      </c>
      <c r="K2483">
        <v>857.9</v>
      </c>
      <c r="L2483">
        <v>44610.55</v>
      </c>
      <c r="M2483">
        <v>23638.38</v>
      </c>
      <c r="N2483">
        <v>3487.45</v>
      </c>
      <c r="O2483">
        <v>3193.66</v>
      </c>
      <c r="P2483">
        <v>1298.3900000000001</v>
      </c>
      <c r="Q2483">
        <v>441.84</v>
      </c>
      <c r="R2483">
        <v>2372.5300000000002</v>
      </c>
      <c r="S2483">
        <v>395.18</v>
      </c>
      <c r="T2483">
        <v>34827.440000000002</v>
      </c>
      <c r="U2483">
        <v>20972.17</v>
      </c>
      <c r="V2483">
        <v>9783.1200000000008</v>
      </c>
      <c r="W2483">
        <v>8742.7900000000009</v>
      </c>
      <c r="X2483">
        <v>43616.73</v>
      </c>
      <c r="Y2483">
        <v>32597.39</v>
      </c>
    </row>
    <row r="2484" spans="1:25" x14ac:dyDescent="0.25">
      <c r="A2484" t="s">
        <v>2540</v>
      </c>
      <c r="B2484" s="1">
        <v>45626</v>
      </c>
      <c r="C2484">
        <v>2024</v>
      </c>
      <c r="D2484">
        <v>11</v>
      </c>
      <c r="E2484" t="s">
        <v>1117</v>
      </c>
      <c r="F2484" t="s">
        <v>1018</v>
      </c>
      <c r="G2484" t="s">
        <v>28</v>
      </c>
      <c r="H2484" t="s">
        <v>32</v>
      </c>
      <c r="I2484" t="s">
        <v>65</v>
      </c>
      <c r="J2484">
        <v>50</v>
      </c>
      <c r="K2484">
        <v>1710.17</v>
      </c>
      <c r="L2484">
        <v>85508.55</v>
      </c>
      <c r="M2484">
        <v>45604.51</v>
      </c>
      <c r="N2484">
        <v>6288.81</v>
      </c>
      <c r="O2484">
        <v>5447.63</v>
      </c>
      <c r="P2484">
        <v>3146.36</v>
      </c>
      <c r="Q2484">
        <v>502.31</v>
      </c>
      <c r="R2484">
        <v>2716.53</v>
      </c>
      <c r="S2484">
        <v>865.57</v>
      </c>
      <c r="T2484">
        <v>64571.72</v>
      </c>
      <c r="U2484">
        <v>39904.04</v>
      </c>
      <c r="V2484">
        <v>20936.82</v>
      </c>
      <c r="W2484">
        <v>19028.53</v>
      </c>
      <c r="X2484">
        <v>82757.03</v>
      </c>
      <c r="Y2484">
        <v>64058.94</v>
      </c>
    </row>
    <row r="2485" spans="1:25" x14ac:dyDescent="0.25">
      <c r="A2485" t="s">
        <v>2541</v>
      </c>
      <c r="B2485" s="1">
        <v>45626</v>
      </c>
      <c r="C2485">
        <v>2024</v>
      </c>
      <c r="D2485">
        <v>11</v>
      </c>
      <c r="E2485" t="s">
        <v>1117</v>
      </c>
      <c r="F2485" t="s">
        <v>1018</v>
      </c>
      <c r="G2485" t="s">
        <v>35</v>
      </c>
      <c r="H2485" t="s">
        <v>36</v>
      </c>
      <c r="I2485" t="s">
        <v>50</v>
      </c>
      <c r="J2485">
        <v>36</v>
      </c>
      <c r="K2485">
        <v>1539.04</v>
      </c>
      <c r="L2485">
        <v>55405.4</v>
      </c>
      <c r="M2485">
        <v>30276.16</v>
      </c>
      <c r="N2485">
        <v>4567.09</v>
      </c>
      <c r="O2485">
        <v>2979.5</v>
      </c>
      <c r="P2485">
        <v>1539.35</v>
      </c>
      <c r="Q2485">
        <v>980.71</v>
      </c>
      <c r="R2485">
        <v>2197.23</v>
      </c>
      <c r="S2485">
        <v>1233.3599999999999</v>
      </c>
      <c r="T2485">
        <v>43773.4</v>
      </c>
      <c r="U2485">
        <v>25129.24</v>
      </c>
      <c r="V2485">
        <v>11632</v>
      </c>
      <c r="W2485">
        <v>11296.95</v>
      </c>
      <c r="X2485">
        <v>61104.39</v>
      </c>
      <c r="Y2485">
        <v>45878.43</v>
      </c>
    </row>
    <row r="2486" spans="1:25" x14ac:dyDescent="0.25">
      <c r="A2486" t="s">
        <v>2542</v>
      </c>
      <c r="B2486" s="1">
        <v>45626</v>
      </c>
      <c r="C2486">
        <v>2024</v>
      </c>
      <c r="D2486">
        <v>11</v>
      </c>
      <c r="E2486" t="s">
        <v>1117</v>
      </c>
      <c r="F2486" t="s">
        <v>1018</v>
      </c>
      <c r="G2486" t="s">
        <v>35</v>
      </c>
      <c r="H2486" t="s">
        <v>53</v>
      </c>
      <c r="I2486" t="s">
        <v>45</v>
      </c>
      <c r="J2486">
        <v>30</v>
      </c>
      <c r="K2486">
        <v>1435.09</v>
      </c>
      <c r="L2486">
        <v>43052.76</v>
      </c>
      <c r="M2486">
        <v>28543.51</v>
      </c>
      <c r="N2486">
        <v>4040.36</v>
      </c>
      <c r="O2486">
        <v>1722.71</v>
      </c>
      <c r="P2486">
        <v>1932.67</v>
      </c>
      <c r="Q2486">
        <v>649.98</v>
      </c>
      <c r="R2486">
        <v>2073.94</v>
      </c>
      <c r="S2486">
        <v>586.11</v>
      </c>
      <c r="T2486">
        <v>39549.26</v>
      </c>
      <c r="U2486">
        <v>14509.26</v>
      </c>
      <c r="V2486">
        <v>3503.51</v>
      </c>
      <c r="W2486">
        <v>3128.21</v>
      </c>
      <c r="X2486">
        <v>42805.49</v>
      </c>
      <c r="Y2486">
        <v>36946.42</v>
      </c>
    </row>
    <row r="2487" spans="1:25" x14ac:dyDescent="0.25">
      <c r="A2487" t="s">
        <v>2543</v>
      </c>
      <c r="B2487" s="1">
        <v>45626</v>
      </c>
      <c r="C2487">
        <v>2024</v>
      </c>
      <c r="D2487">
        <v>11</v>
      </c>
      <c r="E2487" t="s">
        <v>1117</v>
      </c>
      <c r="F2487" t="s">
        <v>1018</v>
      </c>
      <c r="G2487" t="s">
        <v>44</v>
      </c>
      <c r="H2487" t="s">
        <v>58</v>
      </c>
      <c r="I2487" t="s">
        <v>37</v>
      </c>
      <c r="J2487">
        <v>56</v>
      </c>
      <c r="K2487">
        <v>1341.74</v>
      </c>
      <c r="L2487">
        <v>75137.47</v>
      </c>
      <c r="M2487">
        <v>40489.79</v>
      </c>
      <c r="N2487">
        <v>6823.98</v>
      </c>
      <c r="O2487">
        <v>2114.37</v>
      </c>
      <c r="P2487">
        <v>3209.86</v>
      </c>
      <c r="Q2487">
        <v>1070.54</v>
      </c>
      <c r="R2487">
        <v>2167.39</v>
      </c>
      <c r="S2487">
        <v>987.5</v>
      </c>
      <c r="T2487">
        <v>56863.42</v>
      </c>
      <c r="U2487">
        <v>34647.69</v>
      </c>
      <c r="V2487">
        <v>18274.05</v>
      </c>
      <c r="W2487">
        <v>17826.18</v>
      </c>
      <c r="X2487">
        <v>83250.509999999995</v>
      </c>
      <c r="Y2487">
        <v>54248.06</v>
      </c>
    </row>
    <row r="2488" spans="1:25" x14ac:dyDescent="0.25">
      <c r="A2488" t="s">
        <v>2544</v>
      </c>
      <c r="B2488" s="1">
        <v>45626</v>
      </c>
      <c r="C2488">
        <v>2024</v>
      </c>
      <c r="D2488">
        <v>11</v>
      </c>
      <c r="E2488" t="s">
        <v>1117</v>
      </c>
      <c r="F2488" t="s">
        <v>1018</v>
      </c>
      <c r="G2488" t="s">
        <v>28</v>
      </c>
      <c r="H2488" t="s">
        <v>29</v>
      </c>
      <c r="I2488" t="s">
        <v>39</v>
      </c>
      <c r="J2488">
        <v>31</v>
      </c>
      <c r="K2488">
        <v>1476.99</v>
      </c>
      <c r="L2488">
        <v>45786.55</v>
      </c>
      <c r="M2488">
        <v>30281.49</v>
      </c>
      <c r="N2488">
        <v>5511.83</v>
      </c>
      <c r="O2488">
        <v>1892.16</v>
      </c>
      <c r="P2488">
        <v>884.07</v>
      </c>
      <c r="Q2488">
        <v>386.19</v>
      </c>
      <c r="R2488">
        <v>1884.1</v>
      </c>
      <c r="S2488">
        <v>697.45</v>
      </c>
      <c r="T2488">
        <v>41537.29</v>
      </c>
      <c r="U2488">
        <v>15505.06</v>
      </c>
      <c r="V2488">
        <v>4249.26</v>
      </c>
      <c r="W2488">
        <v>4291.8900000000003</v>
      </c>
      <c r="X2488">
        <v>43795.26</v>
      </c>
      <c r="Y2488">
        <v>42249.02</v>
      </c>
    </row>
    <row r="2489" spans="1:25" x14ac:dyDescent="0.25">
      <c r="A2489" t="s">
        <v>2545</v>
      </c>
      <c r="B2489" s="1">
        <v>45627</v>
      </c>
      <c r="C2489">
        <v>2024</v>
      </c>
      <c r="D2489">
        <v>12</v>
      </c>
      <c r="E2489" t="s">
        <v>1217</v>
      </c>
      <c r="F2489" t="s">
        <v>1018</v>
      </c>
      <c r="G2489" t="s">
        <v>55</v>
      </c>
      <c r="H2489" t="s">
        <v>32</v>
      </c>
      <c r="I2489" t="s">
        <v>37</v>
      </c>
      <c r="J2489">
        <v>66</v>
      </c>
      <c r="K2489">
        <v>1685.21</v>
      </c>
      <c r="L2489">
        <v>111224.05</v>
      </c>
      <c r="M2489">
        <v>61466.720000000001</v>
      </c>
      <c r="N2489">
        <v>10077.39</v>
      </c>
      <c r="O2489">
        <v>7711.82</v>
      </c>
      <c r="P2489">
        <v>4808.41</v>
      </c>
      <c r="Q2489">
        <v>1369.09</v>
      </c>
      <c r="R2489">
        <v>3191.24</v>
      </c>
      <c r="S2489">
        <v>1705.35</v>
      </c>
      <c r="T2489">
        <v>90330.01</v>
      </c>
      <c r="U2489">
        <v>49757.33</v>
      </c>
      <c r="V2489">
        <v>20894.05</v>
      </c>
      <c r="W2489">
        <v>20917.650000000001</v>
      </c>
      <c r="X2489">
        <v>117245.24</v>
      </c>
      <c r="Y2489">
        <v>86187.91</v>
      </c>
    </row>
    <row r="2490" spans="1:25" x14ac:dyDescent="0.25">
      <c r="A2490" t="s">
        <v>2546</v>
      </c>
      <c r="B2490" s="1">
        <v>45627</v>
      </c>
      <c r="C2490">
        <v>2024</v>
      </c>
      <c r="D2490">
        <v>12</v>
      </c>
      <c r="E2490" t="s">
        <v>1217</v>
      </c>
      <c r="F2490" t="s">
        <v>1018</v>
      </c>
      <c r="G2490" t="s">
        <v>35</v>
      </c>
      <c r="H2490" t="s">
        <v>29</v>
      </c>
      <c r="I2490" t="s">
        <v>56</v>
      </c>
      <c r="J2490">
        <v>31</v>
      </c>
      <c r="K2490">
        <v>1212.52</v>
      </c>
      <c r="L2490">
        <v>37588</v>
      </c>
      <c r="M2490">
        <v>24153.32</v>
      </c>
      <c r="N2490">
        <v>2987.11</v>
      </c>
      <c r="O2490">
        <v>2407.39</v>
      </c>
      <c r="P2490">
        <v>1108.4000000000001</v>
      </c>
      <c r="Q2490">
        <v>198.67</v>
      </c>
      <c r="R2490">
        <v>1935.24</v>
      </c>
      <c r="S2490">
        <v>507.61</v>
      </c>
      <c r="T2490">
        <v>33297.75</v>
      </c>
      <c r="U2490">
        <v>13434.67</v>
      </c>
      <c r="V2490">
        <v>4290.24</v>
      </c>
      <c r="W2490">
        <v>4322.74</v>
      </c>
      <c r="X2490">
        <v>37663.51</v>
      </c>
      <c r="Y2490">
        <v>35940.69</v>
      </c>
    </row>
    <row r="2491" spans="1:25" x14ac:dyDescent="0.25">
      <c r="A2491" t="s">
        <v>2547</v>
      </c>
      <c r="B2491" s="1">
        <v>45627</v>
      </c>
      <c r="C2491">
        <v>2024</v>
      </c>
      <c r="D2491">
        <v>12</v>
      </c>
      <c r="E2491" t="s">
        <v>1217</v>
      </c>
      <c r="F2491" t="s">
        <v>1018</v>
      </c>
      <c r="G2491" t="s">
        <v>44</v>
      </c>
      <c r="H2491" t="s">
        <v>53</v>
      </c>
      <c r="I2491" t="s">
        <v>56</v>
      </c>
      <c r="J2491">
        <v>18</v>
      </c>
      <c r="K2491">
        <v>1728.61</v>
      </c>
      <c r="L2491">
        <v>31114.94</v>
      </c>
      <c r="M2491">
        <v>21032.67</v>
      </c>
      <c r="N2491">
        <v>2938.36</v>
      </c>
      <c r="O2491">
        <v>2028.33</v>
      </c>
      <c r="P2491">
        <v>1116.02</v>
      </c>
      <c r="Q2491">
        <v>155.91999999999999</v>
      </c>
      <c r="R2491">
        <v>1480.95</v>
      </c>
      <c r="S2491">
        <v>281.32</v>
      </c>
      <c r="T2491">
        <v>29033.58</v>
      </c>
      <c r="U2491">
        <v>10082.27</v>
      </c>
      <c r="V2491">
        <v>2081.36</v>
      </c>
      <c r="W2491">
        <v>2102.3000000000002</v>
      </c>
      <c r="X2491">
        <v>30779.09</v>
      </c>
      <c r="Y2491">
        <v>31613.32</v>
      </c>
    </row>
    <row r="2492" spans="1:25" x14ac:dyDescent="0.25">
      <c r="A2492" t="s">
        <v>2548</v>
      </c>
      <c r="B2492" s="1">
        <v>45628</v>
      </c>
      <c r="C2492">
        <v>2024</v>
      </c>
      <c r="D2492">
        <v>12</v>
      </c>
      <c r="E2492" t="s">
        <v>1217</v>
      </c>
      <c r="F2492" t="s">
        <v>1018</v>
      </c>
      <c r="G2492" t="s">
        <v>28</v>
      </c>
      <c r="H2492" t="s">
        <v>53</v>
      </c>
      <c r="I2492" t="s">
        <v>37</v>
      </c>
      <c r="J2492">
        <v>78</v>
      </c>
      <c r="K2492">
        <v>849.78</v>
      </c>
      <c r="L2492">
        <v>66282.52</v>
      </c>
      <c r="M2492">
        <v>39173.46</v>
      </c>
      <c r="N2492">
        <v>5312.13</v>
      </c>
      <c r="O2492">
        <v>2230.19</v>
      </c>
      <c r="P2492">
        <v>2826.21</v>
      </c>
      <c r="Q2492">
        <v>685.38</v>
      </c>
      <c r="R2492">
        <v>3490.49</v>
      </c>
      <c r="S2492">
        <v>606.91999999999996</v>
      </c>
      <c r="T2492">
        <v>54324.78</v>
      </c>
      <c r="U2492">
        <v>27109.06</v>
      </c>
      <c r="V2492">
        <v>11957.74</v>
      </c>
      <c r="W2492">
        <v>10719.31</v>
      </c>
      <c r="X2492">
        <v>65591.399999999994</v>
      </c>
      <c r="Y2492">
        <v>59608.03</v>
      </c>
    </row>
    <row r="2493" spans="1:25" x14ac:dyDescent="0.25">
      <c r="A2493" t="s">
        <v>2549</v>
      </c>
      <c r="B2493" s="1">
        <v>45628</v>
      </c>
      <c r="C2493">
        <v>2024</v>
      </c>
      <c r="D2493">
        <v>12</v>
      </c>
      <c r="E2493" t="s">
        <v>1217</v>
      </c>
      <c r="F2493" t="s">
        <v>1018</v>
      </c>
      <c r="G2493" t="s">
        <v>44</v>
      </c>
      <c r="H2493" t="s">
        <v>53</v>
      </c>
      <c r="I2493" t="s">
        <v>50</v>
      </c>
      <c r="J2493">
        <v>23</v>
      </c>
      <c r="K2493">
        <v>1350.77</v>
      </c>
      <c r="L2493">
        <v>31067.77</v>
      </c>
      <c r="M2493">
        <v>17600.27</v>
      </c>
      <c r="N2493">
        <v>2855.57</v>
      </c>
      <c r="O2493">
        <v>1850.56</v>
      </c>
      <c r="P2493">
        <v>1374.45</v>
      </c>
      <c r="Q2493">
        <v>273.94</v>
      </c>
      <c r="R2493">
        <v>1892.1</v>
      </c>
      <c r="S2493">
        <v>538.72</v>
      </c>
      <c r="T2493">
        <v>26385.62</v>
      </c>
      <c r="U2493">
        <v>13467.5</v>
      </c>
      <c r="V2493">
        <v>4682.1499999999996</v>
      </c>
      <c r="W2493">
        <v>4334.58</v>
      </c>
      <c r="X2493">
        <v>31508.54</v>
      </c>
      <c r="Y2493">
        <v>27485.86</v>
      </c>
    </row>
    <row r="2494" spans="1:25" x14ac:dyDescent="0.25">
      <c r="A2494" t="s">
        <v>2550</v>
      </c>
      <c r="B2494" s="1">
        <v>45628</v>
      </c>
      <c r="C2494">
        <v>2024</v>
      </c>
      <c r="D2494">
        <v>12</v>
      </c>
      <c r="E2494" t="s">
        <v>1217</v>
      </c>
      <c r="F2494" t="s">
        <v>1018</v>
      </c>
      <c r="G2494" t="s">
        <v>55</v>
      </c>
      <c r="H2494" t="s">
        <v>32</v>
      </c>
      <c r="I2494" t="s">
        <v>37</v>
      </c>
      <c r="J2494">
        <v>102</v>
      </c>
      <c r="K2494">
        <v>814.61</v>
      </c>
      <c r="L2494">
        <v>83089.83</v>
      </c>
      <c r="M2494">
        <v>47574.62</v>
      </c>
      <c r="N2494">
        <v>10443.620000000001</v>
      </c>
      <c r="O2494">
        <v>4581.63</v>
      </c>
      <c r="P2494">
        <v>1476.8</v>
      </c>
      <c r="Q2494">
        <v>985.62</v>
      </c>
      <c r="R2494">
        <v>4410.9399999999996</v>
      </c>
      <c r="S2494">
        <v>977.86</v>
      </c>
      <c r="T2494">
        <v>70451.08</v>
      </c>
      <c r="U2494">
        <v>35515.22</v>
      </c>
      <c r="V2494">
        <v>12638.75</v>
      </c>
      <c r="W2494">
        <v>12413.22</v>
      </c>
      <c r="X2494">
        <v>81381.91</v>
      </c>
      <c r="Y2494">
        <v>67362.53</v>
      </c>
    </row>
    <row r="2495" spans="1:25" x14ac:dyDescent="0.25">
      <c r="A2495" t="s">
        <v>2551</v>
      </c>
      <c r="B2495" s="1">
        <v>45629</v>
      </c>
      <c r="C2495">
        <v>2024</v>
      </c>
      <c r="D2495">
        <v>12</v>
      </c>
      <c r="E2495" t="s">
        <v>1217</v>
      </c>
      <c r="F2495" t="s">
        <v>1018</v>
      </c>
      <c r="G2495" t="s">
        <v>28</v>
      </c>
      <c r="H2495" t="s">
        <v>53</v>
      </c>
      <c r="I2495" t="s">
        <v>56</v>
      </c>
      <c r="J2495">
        <v>36</v>
      </c>
      <c r="K2495">
        <v>1116.4000000000001</v>
      </c>
      <c r="L2495">
        <v>40190.54</v>
      </c>
      <c r="M2495">
        <v>22928.83</v>
      </c>
      <c r="N2495">
        <v>3168.91</v>
      </c>
      <c r="O2495">
        <v>2922.94</v>
      </c>
      <c r="P2495">
        <v>740.42</v>
      </c>
      <c r="Q2495">
        <v>565.77</v>
      </c>
      <c r="R2495">
        <v>1904.87</v>
      </c>
      <c r="S2495">
        <v>679.47</v>
      </c>
      <c r="T2495">
        <v>32911.199999999997</v>
      </c>
      <c r="U2495">
        <v>17261.71</v>
      </c>
      <c r="V2495">
        <v>7279.34</v>
      </c>
      <c r="W2495">
        <v>7216.98</v>
      </c>
      <c r="X2495">
        <v>37895.56</v>
      </c>
      <c r="Y2495">
        <v>32494.07</v>
      </c>
    </row>
    <row r="2496" spans="1:25" x14ac:dyDescent="0.25">
      <c r="A2496" t="s">
        <v>2552</v>
      </c>
      <c r="B2496" s="1">
        <v>45629</v>
      </c>
      <c r="C2496">
        <v>2024</v>
      </c>
      <c r="D2496">
        <v>12</v>
      </c>
      <c r="E2496" t="s">
        <v>1217</v>
      </c>
      <c r="F2496" t="s">
        <v>1018</v>
      </c>
      <c r="G2496" t="s">
        <v>44</v>
      </c>
      <c r="H2496" t="s">
        <v>58</v>
      </c>
      <c r="I2496" t="s">
        <v>33</v>
      </c>
      <c r="J2496">
        <v>36</v>
      </c>
      <c r="K2496">
        <v>1793.07</v>
      </c>
      <c r="L2496">
        <v>64550.63</v>
      </c>
      <c r="M2496">
        <v>39029.67</v>
      </c>
      <c r="N2496">
        <v>6120.73</v>
      </c>
      <c r="O2496">
        <v>2105.84</v>
      </c>
      <c r="P2496">
        <v>2711.28</v>
      </c>
      <c r="Q2496">
        <v>592.5</v>
      </c>
      <c r="R2496">
        <v>1900.41</v>
      </c>
      <c r="S2496">
        <v>525.1</v>
      </c>
      <c r="T2496">
        <v>52985.54</v>
      </c>
      <c r="U2496">
        <v>25520.959999999999</v>
      </c>
      <c r="V2496">
        <v>11565.09</v>
      </c>
      <c r="W2496">
        <v>11594.29</v>
      </c>
      <c r="X2496">
        <v>62172.79</v>
      </c>
      <c r="Y2496">
        <v>52352.65</v>
      </c>
    </row>
    <row r="2497" spans="1:25" x14ac:dyDescent="0.25">
      <c r="A2497" t="s">
        <v>2553</v>
      </c>
      <c r="B2497" s="1">
        <v>45629</v>
      </c>
      <c r="C2497">
        <v>2024</v>
      </c>
      <c r="D2497">
        <v>12</v>
      </c>
      <c r="E2497" t="s">
        <v>1217</v>
      </c>
      <c r="F2497" t="s">
        <v>1018</v>
      </c>
      <c r="G2497" t="s">
        <v>28</v>
      </c>
      <c r="H2497" t="s">
        <v>32</v>
      </c>
      <c r="I2497" t="s">
        <v>37</v>
      </c>
      <c r="J2497">
        <v>85</v>
      </c>
      <c r="K2497">
        <v>1256.0999999999999</v>
      </c>
      <c r="L2497">
        <v>106768.69</v>
      </c>
      <c r="M2497">
        <v>70242.960000000006</v>
      </c>
      <c r="N2497">
        <v>8040.67</v>
      </c>
      <c r="O2497">
        <v>7983.44</v>
      </c>
      <c r="P2497">
        <v>3860.11</v>
      </c>
      <c r="Q2497">
        <v>1299.81</v>
      </c>
      <c r="R2497">
        <v>4702.74</v>
      </c>
      <c r="S2497">
        <v>2111.08</v>
      </c>
      <c r="T2497">
        <v>98240.81</v>
      </c>
      <c r="U2497">
        <v>36525.730000000003</v>
      </c>
      <c r="V2497">
        <v>8527.8799999999992</v>
      </c>
      <c r="W2497">
        <v>8537.06</v>
      </c>
      <c r="X2497">
        <v>104629.36</v>
      </c>
      <c r="Y2497">
        <v>98908.31</v>
      </c>
    </row>
    <row r="2498" spans="1:25" x14ac:dyDescent="0.25">
      <c r="A2498" t="s">
        <v>2554</v>
      </c>
      <c r="B2498" s="1">
        <v>45629</v>
      </c>
      <c r="C2498">
        <v>2024</v>
      </c>
      <c r="D2498">
        <v>12</v>
      </c>
      <c r="E2498" t="s">
        <v>1217</v>
      </c>
      <c r="F2498" t="s">
        <v>1018</v>
      </c>
      <c r="G2498" t="s">
        <v>28</v>
      </c>
      <c r="H2498" t="s">
        <v>53</v>
      </c>
      <c r="I2498" t="s">
        <v>37</v>
      </c>
      <c r="J2498">
        <v>50</v>
      </c>
      <c r="K2498">
        <v>1435.2</v>
      </c>
      <c r="L2498">
        <v>71759.89</v>
      </c>
      <c r="M2498">
        <v>37664.239999999998</v>
      </c>
      <c r="N2498">
        <v>5568.47</v>
      </c>
      <c r="O2498">
        <v>3397.56</v>
      </c>
      <c r="P2498">
        <v>2847.27</v>
      </c>
      <c r="Q2498">
        <v>775.95</v>
      </c>
      <c r="R2498">
        <v>4517.67</v>
      </c>
      <c r="S2498">
        <v>1522.44</v>
      </c>
      <c r="T2498">
        <v>56293.599999999999</v>
      </c>
      <c r="U2498">
        <v>34095.65</v>
      </c>
      <c r="V2498">
        <v>15466.28</v>
      </c>
      <c r="W2498">
        <v>15655.14</v>
      </c>
      <c r="X2498">
        <v>69543.759999999995</v>
      </c>
      <c r="Y2498">
        <v>56512.95</v>
      </c>
    </row>
    <row r="2499" spans="1:25" x14ac:dyDescent="0.25">
      <c r="A2499" t="s">
        <v>2555</v>
      </c>
      <c r="B2499" s="1">
        <v>45629</v>
      </c>
      <c r="C2499">
        <v>2024</v>
      </c>
      <c r="D2499">
        <v>12</v>
      </c>
      <c r="E2499" t="s">
        <v>1217</v>
      </c>
      <c r="F2499" t="s">
        <v>1018</v>
      </c>
      <c r="G2499" t="s">
        <v>44</v>
      </c>
      <c r="H2499" t="s">
        <v>53</v>
      </c>
      <c r="I2499" t="s">
        <v>56</v>
      </c>
      <c r="J2499">
        <v>15</v>
      </c>
      <c r="K2499">
        <v>1648.59</v>
      </c>
      <c r="L2499">
        <v>24728.880000000001</v>
      </c>
      <c r="M2499">
        <v>14909.66</v>
      </c>
      <c r="N2499">
        <v>2780.29</v>
      </c>
      <c r="O2499">
        <v>861.12</v>
      </c>
      <c r="P2499">
        <v>1088.56</v>
      </c>
      <c r="Q2499">
        <v>333.99</v>
      </c>
      <c r="R2499">
        <v>1197.74</v>
      </c>
      <c r="S2499">
        <v>503.63</v>
      </c>
      <c r="T2499">
        <v>21674.99</v>
      </c>
      <c r="U2499">
        <v>9819.2199999999993</v>
      </c>
      <c r="V2499">
        <v>3053.89</v>
      </c>
      <c r="W2499">
        <v>2811.75</v>
      </c>
      <c r="X2499">
        <v>23536.97</v>
      </c>
      <c r="Y2499">
        <v>22822.83</v>
      </c>
    </row>
    <row r="2500" spans="1:25" x14ac:dyDescent="0.25">
      <c r="A2500" t="s">
        <v>2556</v>
      </c>
      <c r="B2500" s="1">
        <v>45630</v>
      </c>
      <c r="C2500">
        <v>2024</v>
      </c>
      <c r="D2500">
        <v>12</v>
      </c>
      <c r="E2500" t="s">
        <v>1217</v>
      </c>
      <c r="F2500" t="s">
        <v>1018</v>
      </c>
      <c r="G2500" t="s">
        <v>44</v>
      </c>
      <c r="H2500" t="s">
        <v>53</v>
      </c>
      <c r="I2500" t="s">
        <v>37</v>
      </c>
      <c r="J2500">
        <v>28</v>
      </c>
      <c r="K2500">
        <v>1679.01</v>
      </c>
      <c r="L2500">
        <v>47012.37</v>
      </c>
      <c r="M2500">
        <v>28793.48</v>
      </c>
      <c r="N2500">
        <v>5925.61</v>
      </c>
      <c r="O2500">
        <v>1914.75</v>
      </c>
      <c r="P2500">
        <v>921.99</v>
      </c>
      <c r="Q2500">
        <v>823.45</v>
      </c>
      <c r="R2500">
        <v>2203.9299999999998</v>
      </c>
      <c r="S2500">
        <v>734.72</v>
      </c>
      <c r="T2500">
        <v>41317.93</v>
      </c>
      <c r="U2500">
        <v>18218.89</v>
      </c>
      <c r="V2500">
        <v>5694.44</v>
      </c>
      <c r="W2500">
        <v>5361.3</v>
      </c>
      <c r="X2500">
        <v>50376.52</v>
      </c>
      <c r="Y2500">
        <v>40315.480000000003</v>
      </c>
    </row>
    <row r="2501" spans="1:25" x14ac:dyDescent="0.25">
      <c r="A2501" t="s">
        <v>2557</v>
      </c>
      <c r="B2501" s="1">
        <v>45630</v>
      </c>
      <c r="C2501">
        <v>2024</v>
      </c>
      <c r="D2501">
        <v>12</v>
      </c>
      <c r="E2501" t="s">
        <v>1217</v>
      </c>
      <c r="F2501" t="s">
        <v>1018</v>
      </c>
      <c r="G2501" t="s">
        <v>55</v>
      </c>
      <c r="H2501" t="s">
        <v>32</v>
      </c>
      <c r="I2501" t="s">
        <v>37</v>
      </c>
      <c r="J2501">
        <v>96</v>
      </c>
      <c r="K2501">
        <v>1055.31</v>
      </c>
      <c r="L2501">
        <v>101309.81</v>
      </c>
      <c r="M2501">
        <v>58744.27</v>
      </c>
      <c r="N2501">
        <v>12703.34</v>
      </c>
      <c r="O2501">
        <v>5773.33</v>
      </c>
      <c r="P2501">
        <v>3549.15</v>
      </c>
      <c r="Q2501">
        <v>869.6</v>
      </c>
      <c r="R2501">
        <v>3683.83</v>
      </c>
      <c r="S2501">
        <v>1342.19</v>
      </c>
      <c r="T2501">
        <v>86665.73</v>
      </c>
      <c r="U2501">
        <v>42565.54</v>
      </c>
      <c r="V2501">
        <v>14644.09</v>
      </c>
      <c r="W2501">
        <v>13000.75</v>
      </c>
      <c r="X2501">
        <v>96166.71</v>
      </c>
      <c r="Y2501">
        <v>89161.279999999999</v>
      </c>
    </row>
    <row r="2502" spans="1:25" x14ac:dyDescent="0.25">
      <c r="A2502" t="s">
        <v>2558</v>
      </c>
      <c r="B2502" s="1">
        <v>45630</v>
      </c>
      <c r="C2502">
        <v>2024</v>
      </c>
      <c r="D2502">
        <v>12</v>
      </c>
      <c r="E2502" t="s">
        <v>1217</v>
      </c>
      <c r="F2502" t="s">
        <v>1018</v>
      </c>
      <c r="G2502" t="s">
        <v>55</v>
      </c>
      <c r="H2502" t="s">
        <v>58</v>
      </c>
      <c r="I2502" t="s">
        <v>65</v>
      </c>
      <c r="J2502">
        <v>45</v>
      </c>
      <c r="K2502">
        <v>1260.52</v>
      </c>
      <c r="L2502">
        <v>56723.519999999997</v>
      </c>
      <c r="M2502">
        <v>27729.78</v>
      </c>
      <c r="N2502">
        <v>7217.98</v>
      </c>
      <c r="O2502">
        <v>3685.46</v>
      </c>
      <c r="P2502">
        <v>2356.6799999999998</v>
      </c>
      <c r="Q2502">
        <v>836.25</v>
      </c>
      <c r="R2502">
        <v>3635.23</v>
      </c>
      <c r="S2502">
        <v>654.73</v>
      </c>
      <c r="T2502">
        <v>46116.13</v>
      </c>
      <c r="U2502">
        <v>28993.73</v>
      </c>
      <c r="V2502">
        <v>10607.39</v>
      </c>
      <c r="W2502">
        <v>10194.81</v>
      </c>
      <c r="X2502">
        <v>54751.27</v>
      </c>
      <c r="Y2502">
        <v>45563.38</v>
      </c>
    </row>
    <row r="2503" spans="1:25" x14ac:dyDescent="0.25">
      <c r="A2503" t="s">
        <v>2559</v>
      </c>
      <c r="B2503" s="1">
        <v>45630</v>
      </c>
      <c r="C2503">
        <v>2024</v>
      </c>
      <c r="D2503">
        <v>12</v>
      </c>
      <c r="E2503" t="s">
        <v>1217</v>
      </c>
      <c r="F2503" t="s">
        <v>1018</v>
      </c>
      <c r="G2503" t="s">
        <v>44</v>
      </c>
      <c r="H2503" t="s">
        <v>36</v>
      </c>
      <c r="I2503" t="s">
        <v>45</v>
      </c>
      <c r="J2503">
        <v>57</v>
      </c>
      <c r="K2503">
        <v>837.68</v>
      </c>
      <c r="L2503">
        <v>47747.68</v>
      </c>
      <c r="M2503">
        <v>28941.78</v>
      </c>
      <c r="N2503">
        <v>5487.82</v>
      </c>
      <c r="O2503">
        <v>2174.5300000000002</v>
      </c>
      <c r="P2503">
        <v>1299.6099999999999</v>
      </c>
      <c r="Q2503">
        <v>406.8</v>
      </c>
      <c r="R2503">
        <v>2991</v>
      </c>
      <c r="S2503">
        <v>838.82</v>
      </c>
      <c r="T2503">
        <v>42140.36</v>
      </c>
      <c r="U2503">
        <v>18805.900000000001</v>
      </c>
      <c r="V2503">
        <v>5607.32</v>
      </c>
      <c r="W2503">
        <v>5018.26</v>
      </c>
      <c r="X2503">
        <v>52211.72</v>
      </c>
      <c r="Y2503">
        <v>41853.370000000003</v>
      </c>
    </row>
    <row r="2504" spans="1:25" x14ac:dyDescent="0.25">
      <c r="A2504" t="s">
        <v>2560</v>
      </c>
      <c r="B2504" s="1">
        <v>45630</v>
      </c>
      <c r="C2504">
        <v>2024</v>
      </c>
      <c r="D2504">
        <v>12</v>
      </c>
      <c r="E2504" t="s">
        <v>1217</v>
      </c>
      <c r="F2504" t="s">
        <v>1018</v>
      </c>
      <c r="G2504" t="s">
        <v>28</v>
      </c>
      <c r="H2504" t="s">
        <v>53</v>
      </c>
      <c r="I2504" t="s">
        <v>65</v>
      </c>
      <c r="J2504">
        <v>50</v>
      </c>
      <c r="K2504">
        <v>1406.32</v>
      </c>
      <c r="L2504">
        <v>70316.25</v>
      </c>
      <c r="M2504">
        <v>41048.75</v>
      </c>
      <c r="N2504">
        <v>8911.57</v>
      </c>
      <c r="O2504">
        <v>3159.65</v>
      </c>
      <c r="P2504">
        <v>2484.4499999999998</v>
      </c>
      <c r="Q2504">
        <v>480.1</v>
      </c>
      <c r="R2504">
        <v>2875.22</v>
      </c>
      <c r="S2504">
        <v>594.32000000000005</v>
      </c>
      <c r="T2504">
        <v>59554.07</v>
      </c>
      <c r="U2504">
        <v>29267.49</v>
      </c>
      <c r="V2504">
        <v>10762.18</v>
      </c>
      <c r="W2504">
        <v>9951.9599999999991</v>
      </c>
      <c r="X2504">
        <v>66801.23</v>
      </c>
      <c r="Y2504">
        <v>65003.24</v>
      </c>
    </row>
    <row r="2505" spans="1:25" x14ac:dyDescent="0.25">
      <c r="A2505" t="s">
        <v>2561</v>
      </c>
      <c r="B2505" s="1">
        <v>45630</v>
      </c>
      <c r="C2505">
        <v>2024</v>
      </c>
      <c r="D2505">
        <v>12</v>
      </c>
      <c r="E2505" t="s">
        <v>1217</v>
      </c>
      <c r="F2505" t="s">
        <v>1018</v>
      </c>
      <c r="G2505" t="s">
        <v>44</v>
      </c>
      <c r="H2505" t="s">
        <v>32</v>
      </c>
      <c r="I2505" t="s">
        <v>50</v>
      </c>
      <c r="J2505">
        <v>41</v>
      </c>
      <c r="K2505">
        <v>1421.54</v>
      </c>
      <c r="L2505">
        <v>58283.23</v>
      </c>
      <c r="M2505">
        <v>37928.71</v>
      </c>
      <c r="N2505">
        <v>6009.34</v>
      </c>
      <c r="O2505">
        <v>2499.7600000000002</v>
      </c>
      <c r="P2505">
        <v>2266.23</v>
      </c>
      <c r="Q2505">
        <v>714.22</v>
      </c>
      <c r="R2505">
        <v>2678.92</v>
      </c>
      <c r="S2505">
        <v>673.79</v>
      </c>
      <c r="T2505">
        <v>52770.97</v>
      </c>
      <c r="U2505">
        <v>20354.52</v>
      </c>
      <c r="V2505">
        <v>5512.26</v>
      </c>
      <c r="W2505">
        <v>5183.25</v>
      </c>
      <c r="X2505">
        <v>64657</v>
      </c>
      <c r="Y2505">
        <v>54963.7</v>
      </c>
    </row>
    <row r="2506" spans="1:25" x14ac:dyDescent="0.25">
      <c r="A2506" t="s">
        <v>2562</v>
      </c>
      <c r="B2506" s="1">
        <v>45631</v>
      </c>
      <c r="C2506">
        <v>2024</v>
      </c>
      <c r="D2506">
        <v>12</v>
      </c>
      <c r="E2506" t="s">
        <v>1217</v>
      </c>
      <c r="F2506" t="s">
        <v>1018</v>
      </c>
      <c r="G2506" t="s">
        <v>55</v>
      </c>
      <c r="H2506" t="s">
        <v>29</v>
      </c>
      <c r="I2506" t="s">
        <v>65</v>
      </c>
      <c r="J2506">
        <v>63</v>
      </c>
      <c r="K2506">
        <v>873.23</v>
      </c>
      <c r="L2506">
        <v>55013.26</v>
      </c>
      <c r="M2506">
        <v>36675.15</v>
      </c>
      <c r="N2506">
        <v>4072.21</v>
      </c>
      <c r="O2506">
        <v>3572.22</v>
      </c>
      <c r="P2506">
        <v>1961.35</v>
      </c>
      <c r="Q2506">
        <v>684.38</v>
      </c>
      <c r="R2506">
        <v>3295.9</v>
      </c>
      <c r="S2506">
        <v>514.45000000000005</v>
      </c>
      <c r="T2506">
        <v>50775.66</v>
      </c>
      <c r="U2506">
        <v>18338.11</v>
      </c>
      <c r="V2506">
        <v>4237.6000000000004</v>
      </c>
      <c r="W2506">
        <v>4271.58</v>
      </c>
      <c r="X2506">
        <v>57436.97</v>
      </c>
      <c r="Y2506">
        <v>54403.79</v>
      </c>
    </row>
    <row r="2507" spans="1:25" x14ac:dyDescent="0.25">
      <c r="A2507" t="s">
        <v>2563</v>
      </c>
      <c r="B2507" s="1">
        <v>45631</v>
      </c>
      <c r="C2507">
        <v>2024</v>
      </c>
      <c r="D2507">
        <v>12</v>
      </c>
      <c r="E2507" t="s">
        <v>1217</v>
      </c>
      <c r="F2507" t="s">
        <v>1018</v>
      </c>
      <c r="G2507" t="s">
        <v>28</v>
      </c>
      <c r="H2507" t="s">
        <v>32</v>
      </c>
      <c r="I2507" t="s">
        <v>45</v>
      </c>
      <c r="J2507">
        <v>73</v>
      </c>
      <c r="K2507">
        <v>907.81</v>
      </c>
      <c r="L2507">
        <v>66269.820000000007</v>
      </c>
      <c r="M2507">
        <v>37625.89</v>
      </c>
      <c r="N2507">
        <v>6310.7</v>
      </c>
      <c r="O2507">
        <v>1790.43</v>
      </c>
      <c r="P2507">
        <v>2481.11</v>
      </c>
      <c r="Q2507">
        <v>335.2</v>
      </c>
      <c r="R2507">
        <v>3281.82</v>
      </c>
      <c r="S2507">
        <v>1525.08</v>
      </c>
      <c r="T2507">
        <v>53350.22</v>
      </c>
      <c r="U2507">
        <v>28643.94</v>
      </c>
      <c r="V2507">
        <v>12919.6</v>
      </c>
      <c r="W2507">
        <v>12560.95</v>
      </c>
      <c r="X2507">
        <v>70258.3</v>
      </c>
      <c r="Y2507">
        <v>51679.88</v>
      </c>
    </row>
    <row r="2508" spans="1:25" x14ac:dyDescent="0.25">
      <c r="A2508" t="s">
        <v>2564</v>
      </c>
      <c r="B2508" s="1">
        <v>45633</v>
      </c>
      <c r="C2508">
        <v>2024</v>
      </c>
      <c r="D2508">
        <v>12</v>
      </c>
      <c r="E2508" t="s">
        <v>1217</v>
      </c>
      <c r="F2508" t="s">
        <v>1018</v>
      </c>
      <c r="G2508" t="s">
        <v>44</v>
      </c>
      <c r="H2508" t="s">
        <v>36</v>
      </c>
      <c r="I2508" t="s">
        <v>37</v>
      </c>
      <c r="J2508">
        <v>45</v>
      </c>
      <c r="K2508">
        <v>1622.36</v>
      </c>
      <c r="L2508">
        <v>73006.13</v>
      </c>
      <c r="M2508">
        <v>41865.08</v>
      </c>
      <c r="N2508">
        <v>7798.77</v>
      </c>
      <c r="O2508">
        <v>5114.41</v>
      </c>
      <c r="P2508">
        <v>1798.2</v>
      </c>
      <c r="Q2508">
        <v>537.67999999999995</v>
      </c>
      <c r="R2508">
        <v>4226.95</v>
      </c>
      <c r="S2508">
        <v>1231.49</v>
      </c>
      <c r="T2508">
        <v>62572.59</v>
      </c>
      <c r="U2508">
        <v>31141.040000000001</v>
      </c>
      <c r="V2508">
        <v>10433.540000000001</v>
      </c>
      <c r="W2508">
        <v>10082.42</v>
      </c>
      <c r="X2508">
        <v>79411.289999999994</v>
      </c>
      <c r="Y2508">
        <v>65584.39</v>
      </c>
    </row>
    <row r="2509" spans="1:25" x14ac:dyDescent="0.25">
      <c r="A2509" t="s">
        <v>2565</v>
      </c>
      <c r="B2509" s="1">
        <v>45633</v>
      </c>
      <c r="C2509">
        <v>2024</v>
      </c>
      <c r="D2509">
        <v>12</v>
      </c>
      <c r="E2509" t="s">
        <v>1217</v>
      </c>
      <c r="F2509" t="s">
        <v>1018</v>
      </c>
      <c r="G2509" t="s">
        <v>28</v>
      </c>
      <c r="H2509" t="s">
        <v>36</v>
      </c>
      <c r="I2509" t="s">
        <v>30</v>
      </c>
      <c r="J2509">
        <v>54</v>
      </c>
      <c r="K2509">
        <v>1604.66</v>
      </c>
      <c r="L2509">
        <v>86651.54</v>
      </c>
      <c r="M2509">
        <v>41685.39</v>
      </c>
      <c r="N2509">
        <v>10408.719999999999</v>
      </c>
      <c r="O2509">
        <v>4465.8599999999997</v>
      </c>
      <c r="P2509">
        <v>2254.0500000000002</v>
      </c>
      <c r="Q2509">
        <v>1525.28</v>
      </c>
      <c r="R2509">
        <v>2436.9499999999998</v>
      </c>
      <c r="S2509">
        <v>1783.23</v>
      </c>
      <c r="T2509">
        <v>64559.49</v>
      </c>
      <c r="U2509">
        <v>44966.15</v>
      </c>
      <c r="V2509">
        <v>22092.05</v>
      </c>
      <c r="W2509">
        <v>21313.17</v>
      </c>
      <c r="X2509">
        <v>93085.95</v>
      </c>
      <c r="Y2509">
        <v>64265.33</v>
      </c>
    </row>
    <row r="2510" spans="1:25" x14ac:dyDescent="0.25">
      <c r="A2510" t="s">
        <v>2566</v>
      </c>
      <c r="B2510" s="1">
        <v>45634</v>
      </c>
      <c r="C2510">
        <v>2024</v>
      </c>
      <c r="D2510">
        <v>12</v>
      </c>
      <c r="E2510" t="s">
        <v>1217</v>
      </c>
      <c r="F2510" t="s">
        <v>1018</v>
      </c>
      <c r="G2510" t="s">
        <v>35</v>
      </c>
      <c r="H2510" t="s">
        <v>32</v>
      </c>
      <c r="I2510" t="s">
        <v>39</v>
      </c>
      <c r="J2510">
        <v>41</v>
      </c>
      <c r="K2510">
        <v>1356.62</v>
      </c>
      <c r="L2510">
        <v>55621.279999999999</v>
      </c>
      <c r="M2510">
        <v>33151.31</v>
      </c>
      <c r="N2510">
        <v>5644.38</v>
      </c>
      <c r="O2510">
        <v>4072.4</v>
      </c>
      <c r="P2510">
        <v>1283.06</v>
      </c>
      <c r="Q2510">
        <v>565.4</v>
      </c>
      <c r="R2510">
        <v>2882.33</v>
      </c>
      <c r="S2510">
        <v>1139.72</v>
      </c>
      <c r="T2510">
        <v>48738.61</v>
      </c>
      <c r="U2510">
        <v>22469.97</v>
      </c>
      <c r="V2510">
        <v>6882.68</v>
      </c>
      <c r="W2510">
        <v>7015.97</v>
      </c>
      <c r="X2510">
        <v>55071.78</v>
      </c>
      <c r="Y2510">
        <v>45469.98</v>
      </c>
    </row>
    <row r="2511" spans="1:25" x14ac:dyDescent="0.25">
      <c r="A2511" t="s">
        <v>2567</v>
      </c>
      <c r="B2511" s="1">
        <v>45635</v>
      </c>
      <c r="C2511">
        <v>2024</v>
      </c>
      <c r="D2511">
        <v>12</v>
      </c>
      <c r="E2511" t="s">
        <v>1217</v>
      </c>
      <c r="F2511" t="s">
        <v>1018</v>
      </c>
      <c r="G2511" t="s">
        <v>55</v>
      </c>
      <c r="H2511" t="s">
        <v>29</v>
      </c>
      <c r="I2511" t="s">
        <v>56</v>
      </c>
      <c r="J2511">
        <v>44</v>
      </c>
      <c r="K2511">
        <v>1030.75</v>
      </c>
      <c r="L2511">
        <v>45352.92</v>
      </c>
      <c r="M2511">
        <v>22957.48</v>
      </c>
      <c r="N2511">
        <v>5225.51</v>
      </c>
      <c r="O2511">
        <v>1610.05</v>
      </c>
      <c r="P2511">
        <v>1076.28</v>
      </c>
      <c r="Q2511">
        <v>423.72</v>
      </c>
      <c r="R2511">
        <v>1512.21</v>
      </c>
      <c r="S2511">
        <v>786.84</v>
      </c>
      <c r="T2511">
        <v>33592.089999999997</v>
      </c>
      <c r="U2511">
        <v>22395.43</v>
      </c>
      <c r="V2511">
        <v>11760.82</v>
      </c>
      <c r="W2511">
        <v>11076.82</v>
      </c>
      <c r="X2511">
        <v>48177.15</v>
      </c>
      <c r="Y2511">
        <v>31548.65</v>
      </c>
    </row>
    <row r="2512" spans="1:25" x14ac:dyDescent="0.25">
      <c r="A2512" t="s">
        <v>2568</v>
      </c>
      <c r="B2512" s="1">
        <v>45635</v>
      </c>
      <c r="C2512">
        <v>2024</v>
      </c>
      <c r="D2512">
        <v>12</v>
      </c>
      <c r="E2512" t="s">
        <v>1217</v>
      </c>
      <c r="F2512" t="s">
        <v>1018</v>
      </c>
      <c r="G2512" t="s">
        <v>28</v>
      </c>
      <c r="H2512" t="s">
        <v>32</v>
      </c>
      <c r="I2512" t="s">
        <v>50</v>
      </c>
      <c r="J2512">
        <v>35</v>
      </c>
      <c r="K2512">
        <v>1514.45</v>
      </c>
      <c r="L2512">
        <v>53005.72</v>
      </c>
      <c r="M2512">
        <v>30614.34</v>
      </c>
      <c r="N2512">
        <v>6671.74</v>
      </c>
      <c r="O2512">
        <v>3527.51</v>
      </c>
      <c r="P2512">
        <v>958.51</v>
      </c>
      <c r="Q2512">
        <v>353.78</v>
      </c>
      <c r="R2512">
        <v>1529.31</v>
      </c>
      <c r="S2512">
        <v>1201.69</v>
      </c>
      <c r="T2512">
        <v>44856.88</v>
      </c>
      <c r="U2512">
        <v>22391.38</v>
      </c>
      <c r="V2512">
        <v>8148.83</v>
      </c>
      <c r="W2512">
        <v>7521.9</v>
      </c>
      <c r="X2512">
        <v>55899.57</v>
      </c>
      <c r="Y2512">
        <v>45811.68</v>
      </c>
    </row>
    <row r="2513" spans="1:25" x14ac:dyDescent="0.25">
      <c r="A2513" t="s">
        <v>2569</v>
      </c>
      <c r="B2513" s="1">
        <v>45635</v>
      </c>
      <c r="C2513">
        <v>2024</v>
      </c>
      <c r="D2513">
        <v>12</v>
      </c>
      <c r="E2513" t="s">
        <v>1217</v>
      </c>
      <c r="F2513" t="s">
        <v>1018</v>
      </c>
      <c r="G2513" t="s">
        <v>44</v>
      </c>
      <c r="H2513" t="s">
        <v>29</v>
      </c>
      <c r="I2513" t="s">
        <v>50</v>
      </c>
      <c r="J2513">
        <v>38</v>
      </c>
      <c r="K2513">
        <v>1307.57</v>
      </c>
      <c r="L2513">
        <v>49687.49</v>
      </c>
      <c r="M2513">
        <v>33127.589999999997</v>
      </c>
      <c r="N2513">
        <v>6015.49</v>
      </c>
      <c r="O2513">
        <v>2490.34</v>
      </c>
      <c r="P2513">
        <v>2087.1799999999998</v>
      </c>
      <c r="Q2513">
        <v>703.23</v>
      </c>
      <c r="R2513">
        <v>1664.67</v>
      </c>
      <c r="S2513">
        <v>1191.47</v>
      </c>
      <c r="T2513">
        <v>47279.97</v>
      </c>
      <c r="U2513">
        <v>16559.91</v>
      </c>
      <c r="V2513">
        <v>2407.52</v>
      </c>
      <c r="W2513">
        <v>2327.11</v>
      </c>
      <c r="X2513">
        <v>55058.8</v>
      </c>
      <c r="Y2513">
        <v>49757.279999999999</v>
      </c>
    </row>
    <row r="2514" spans="1:25" x14ac:dyDescent="0.25">
      <c r="A2514" t="s">
        <v>2570</v>
      </c>
      <c r="B2514" s="1">
        <v>45635</v>
      </c>
      <c r="C2514">
        <v>2024</v>
      </c>
      <c r="D2514">
        <v>12</v>
      </c>
      <c r="E2514" t="s">
        <v>1217</v>
      </c>
      <c r="F2514" t="s">
        <v>1018</v>
      </c>
      <c r="G2514" t="s">
        <v>55</v>
      </c>
      <c r="H2514" t="s">
        <v>53</v>
      </c>
      <c r="I2514" t="s">
        <v>37</v>
      </c>
      <c r="J2514">
        <v>39</v>
      </c>
      <c r="K2514">
        <v>1542.22</v>
      </c>
      <c r="L2514">
        <v>60146.58</v>
      </c>
      <c r="M2514">
        <v>40637.5</v>
      </c>
      <c r="N2514">
        <v>5248.31</v>
      </c>
      <c r="O2514">
        <v>4378.1400000000003</v>
      </c>
      <c r="P2514">
        <v>955.6</v>
      </c>
      <c r="Q2514">
        <v>722.07</v>
      </c>
      <c r="R2514">
        <v>3702.89</v>
      </c>
      <c r="S2514">
        <v>1340.15</v>
      </c>
      <c r="T2514">
        <v>56984.66</v>
      </c>
      <c r="U2514">
        <v>19509.080000000002</v>
      </c>
      <c r="V2514">
        <v>3161.91</v>
      </c>
      <c r="W2514">
        <v>2821.5</v>
      </c>
      <c r="X2514">
        <v>66292.289999999994</v>
      </c>
      <c r="Y2514">
        <v>61709.71</v>
      </c>
    </row>
    <row r="2515" spans="1:25" x14ac:dyDescent="0.25">
      <c r="A2515" t="s">
        <v>2571</v>
      </c>
      <c r="B2515" s="1">
        <v>45635</v>
      </c>
      <c r="C2515">
        <v>2024</v>
      </c>
      <c r="D2515">
        <v>12</v>
      </c>
      <c r="E2515" t="s">
        <v>1217</v>
      </c>
      <c r="F2515" t="s">
        <v>1018</v>
      </c>
      <c r="G2515" t="s">
        <v>28</v>
      </c>
      <c r="H2515" t="s">
        <v>32</v>
      </c>
      <c r="I2515" t="s">
        <v>39</v>
      </c>
      <c r="J2515">
        <v>43</v>
      </c>
      <c r="K2515">
        <v>1506.78</v>
      </c>
      <c r="L2515">
        <v>64791.58</v>
      </c>
      <c r="M2515">
        <v>31627.3</v>
      </c>
      <c r="N2515">
        <v>5148.2700000000004</v>
      </c>
      <c r="O2515">
        <v>3127.28</v>
      </c>
      <c r="P2515">
        <v>2223.65</v>
      </c>
      <c r="Q2515">
        <v>609.66</v>
      </c>
      <c r="R2515">
        <v>2755.51</v>
      </c>
      <c r="S2515">
        <v>1604.89</v>
      </c>
      <c r="T2515">
        <v>47096.55</v>
      </c>
      <c r="U2515">
        <v>33164.29</v>
      </c>
      <c r="V2515">
        <v>17695.03</v>
      </c>
      <c r="W2515">
        <v>16037.13</v>
      </c>
      <c r="X2515">
        <v>71926.990000000005</v>
      </c>
      <c r="Y2515">
        <v>51238.9</v>
      </c>
    </row>
    <row r="2516" spans="1:25" x14ac:dyDescent="0.25">
      <c r="A2516" t="s">
        <v>2572</v>
      </c>
      <c r="B2516" s="1">
        <v>45635</v>
      </c>
      <c r="C2516">
        <v>2024</v>
      </c>
      <c r="D2516">
        <v>12</v>
      </c>
      <c r="E2516" t="s">
        <v>1217</v>
      </c>
      <c r="F2516" t="s">
        <v>1018</v>
      </c>
      <c r="G2516" t="s">
        <v>35</v>
      </c>
      <c r="H2516" t="s">
        <v>58</v>
      </c>
      <c r="I2516" t="s">
        <v>65</v>
      </c>
      <c r="J2516">
        <v>35</v>
      </c>
      <c r="K2516">
        <v>1516.28</v>
      </c>
      <c r="L2516">
        <v>53069.63</v>
      </c>
      <c r="M2516">
        <v>34546.32</v>
      </c>
      <c r="N2516">
        <v>3996.74</v>
      </c>
      <c r="O2516">
        <v>2126.65</v>
      </c>
      <c r="P2516">
        <v>2005.67</v>
      </c>
      <c r="Q2516">
        <v>615.73</v>
      </c>
      <c r="R2516">
        <v>2098.3200000000002</v>
      </c>
      <c r="S2516">
        <v>479.19</v>
      </c>
      <c r="T2516">
        <v>45868.61</v>
      </c>
      <c r="U2516">
        <v>18523.3</v>
      </c>
      <c r="V2516">
        <v>7201.02</v>
      </c>
      <c r="W2516">
        <v>6354.41</v>
      </c>
      <c r="X2516">
        <v>49960.53</v>
      </c>
      <c r="Y2516">
        <v>46605.96</v>
      </c>
    </row>
    <row r="2517" spans="1:25" x14ac:dyDescent="0.25">
      <c r="A2517" t="s">
        <v>2573</v>
      </c>
      <c r="B2517" s="1">
        <v>45636</v>
      </c>
      <c r="C2517">
        <v>2024</v>
      </c>
      <c r="D2517">
        <v>12</v>
      </c>
      <c r="E2517" t="s">
        <v>1217</v>
      </c>
      <c r="F2517" t="s">
        <v>1018</v>
      </c>
      <c r="G2517" t="s">
        <v>28</v>
      </c>
      <c r="H2517" t="s">
        <v>53</v>
      </c>
      <c r="I2517" t="s">
        <v>65</v>
      </c>
      <c r="J2517">
        <v>39</v>
      </c>
      <c r="K2517">
        <v>1334.59</v>
      </c>
      <c r="L2517">
        <v>52048.91</v>
      </c>
      <c r="M2517">
        <v>27813.21</v>
      </c>
      <c r="N2517">
        <v>6370.38</v>
      </c>
      <c r="O2517">
        <v>2574.41</v>
      </c>
      <c r="P2517">
        <v>2044.8</v>
      </c>
      <c r="Q2517">
        <v>454.38</v>
      </c>
      <c r="R2517">
        <v>2216.2800000000002</v>
      </c>
      <c r="S2517">
        <v>1109.8699999999999</v>
      </c>
      <c r="T2517">
        <v>42583.34</v>
      </c>
      <c r="U2517">
        <v>24235.69</v>
      </c>
      <c r="V2517">
        <v>9465.57</v>
      </c>
      <c r="W2517">
        <v>8745.52</v>
      </c>
      <c r="X2517">
        <v>54855.53</v>
      </c>
      <c r="Y2517">
        <v>46075.86</v>
      </c>
    </row>
    <row r="2518" spans="1:25" x14ac:dyDescent="0.25">
      <c r="A2518" t="s">
        <v>2574</v>
      </c>
      <c r="B2518" s="1">
        <v>45636</v>
      </c>
      <c r="C2518">
        <v>2024</v>
      </c>
      <c r="D2518">
        <v>12</v>
      </c>
      <c r="E2518" t="s">
        <v>1217</v>
      </c>
      <c r="F2518" t="s">
        <v>1018</v>
      </c>
      <c r="G2518" t="s">
        <v>55</v>
      </c>
      <c r="H2518" t="s">
        <v>29</v>
      </c>
      <c r="I2518" t="s">
        <v>56</v>
      </c>
      <c r="J2518">
        <v>27</v>
      </c>
      <c r="K2518">
        <v>1284.5999999999999</v>
      </c>
      <c r="L2518">
        <v>34684.29</v>
      </c>
      <c r="M2518">
        <v>18391.22</v>
      </c>
      <c r="N2518">
        <v>3521.74</v>
      </c>
      <c r="O2518">
        <v>1483.47</v>
      </c>
      <c r="P2518">
        <v>670.05</v>
      </c>
      <c r="Q2518">
        <v>402.23</v>
      </c>
      <c r="R2518">
        <v>1331.3</v>
      </c>
      <c r="S2518">
        <v>357.56</v>
      </c>
      <c r="T2518">
        <v>26157.55</v>
      </c>
      <c r="U2518">
        <v>16293.07</v>
      </c>
      <c r="V2518">
        <v>8526.74</v>
      </c>
      <c r="W2518">
        <v>8237.68</v>
      </c>
      <c r="X2518">
        <v>33568.76</v>
      </c>
      <c r="Y2518">
        <v>24865.23</v>
      </c>
    </row>
    <row r="2519" spans="1:25" x14ac:dyDescent="0.25">
      <c r="A2519" t="s">
        <v>2575</v>
      </c>
      <c r="B2519" s="1">
        <v>45636</v>
      </c>
      <c r="C2519">
        <v>2024</v>
      </c>
      <c r="D2519">
        <v>12</v>
      </c>
      <c r="E2519" t="s">
        <v>1217</v>
      </c>
      <c r="F2519" t="s">
        <v>1018</v>
      </c>
      <c r="G2519" t="s">
        <v>28</v>
      </c>
      <c r="H2519" t="s">
        <v>32</v>
      </c>
      <c r="I2519" t="s">
        <v>45</v>
      </c>
      <c r="J2519">
        <v>36</v>
      </c>
      <c r="K2519">
        <v>1177.6099999999999</v>
      </c>
      <c r="L2519">
        <v>42393.96</v>
      </c>
      <c r="M2519">
        <v>26273.57</v>
      </c>
      <c r="N2519">
        <v>5006.37</v>
      </c>
      <c r="O2519">
        <v>2543.4899999999998</v>
      </c>
      <c r="P2519">
        <v>1737.81</v>
      </c>
      <c r="Q2519">
        <v>330.86</v>
      </c>
      <c r="R2519">
        <v>1096.01</v>
      </c>
      <c r="S2519">
        <v>716.12</v>
      </c>
      <c r="T2519">
        <v>37704.230000000003</v>
      </c>
      <c r="U2519">
        <v>16120.39</v>
      </c>
      <c r="V2519">
        <v>4689.7299999999996</v>
      </c>
      <c r="W2519">
        <v>4166.38</v>
      </c>
      <c r="X2519">
        <v>42217.91</v>
      </c>
      <c r="Y2519">
        <v>35334.730000000003</v>
      </c>
    </row>
    <row r="2520" spans="1:25" x14ac:dyDescent="0.25">
      <c r="A2520" t="s">
        <v>2576</v>
      </c>
      <c r="B2520" s="1">
        <v>45636</v>
      </c>
      <c r="C2520">
        <v>2024</v>
      </c>
      <c r="D2520">
        <v>12</v>
      </c>
      <c r="E2520" t="s">
        <v>1217</v>
      </c>
      <c r="F2520" t="s">
        <v>1018</v>
      </c>
      <c r="G2520" t="s">
        <v>28</v>
      </c>
      <c r="H2520" t="s">
        <v>32</v>
      </c>
      <c r="I2520" t="s">
        <v>37</v>
      </c>
      <c r="J2520">
        <v>41</v>
      </c>
      <c r="K2520">
        <v>1629.72</v>
      </c>
      <c r="L2520">
        <v>66818.509999999995</v>
      </c>
      <c r="M2520">
        <v>39466.480000000003</v>
      </c>
      <c r="N2520">
        <v>7507.07</v>
      </c>
      <c r="O2520">
        <v>4316.3500000000004</v>
      </c>
      <c r="P2520">
        <v>1856.66</v>
      </c>
      <c r="Q2520">
        <v>593.19000000000005</v>
      </c>
      <c r="R2520">
        <v>2074.9899999999998</v>
      </c>
      <c r="S2520">
        <v>971.63</v>
      </c>
      <c r="T2520">
        <v>56786.37</v>
      </c>
      <c r="U2520">
        <v>27352.03</v>
      </c>
      <c r="V2520">
        <v>10032.14</v>
      </c>
      <c r="W2520">
        <v>9139.59</v>
      </c>
      <c r="X2520">
        <v>72343</v>
      </c>
      <c r="Y2520">
        <v>53812.85</v>
      </c>
    </row>
    <row r="2521" spans="1:25" x14ac:dyDescent="0.25">
      <c r="A2521" t="s">
        <v>2577</v>
      </c>
      <c r="B2521" s="1">
        <v>45636</v>
      </c>
      <c r="C2521">
        <v>2024</v>
      </c>
      <c r="D2521">
        <v>12</v>
      </c>
      <c r="E2521" t="s">
        <v>1217</v>
      </c>
      <c r="F2521" t="s">
        <v>1018</v>
      </c>
      <c r="G2521" t="s">
        <v>28</v>
      </c>
      <c r="H2521" t="s">
        <v>32</v>
      </c>
      <c r="I2521" t="s">
        <v>37</v>
      </c>
      <c r="J2521">
        <v>57</v>
      </c>
      <c r="K2521">
        <v>1666.8</v>
      </c>
      <c r="L2521">
        <v>95007.44</v>
      </c>
      <c r="M2521">
        <v>53289.35</v>
      </c>
      <c r="N2521">
        <v>10231.219999999999</v>
      </c>
      <c r="O2521">
        <v>7027.52</v>
      </c>
      <c r="P2521">
        <v>1826.89</v>
      </c>
      <c r="Q2521">
        <v>731.89</v>
      </c>
      <c r="R2521">
        <v>5620.05</v>
      </c>
      <c r="S2521">
        <v>933.6</v>
      </c>
      <c r="T2521">
        <v>79660.53</v>
      </c>
      <c r="U2521">
        <v>41718.089999999997</v>
      </c>
      <c r="V2521">
        <v>15346.91</v>
      </c>
      <c r="W2521">
        <v>15228.39</v>
      </c>
      <c r="X2521">
        <v>97760.44</v>
      </c>
      <c r="Y2521">
        <v>76990.759999999995</v>
      </c>
    </row>
    <row r="2522" spans="1:25" x14ac:dyDescent="0.25">
      <c r="A2522" t="s">
        <v>2578</v>
      </c>
      <c r="B2522" s="1">
        <v>45637</v>
      </c>
      <c r="C2522">
        <v>2024</v>
      </c>
      <c r="D2522">
        <v>12</v>
      </c>
      <c r="E2522" t="s">
        <v>1217</v>
      </c>
      <c r="F2522" t="s">
        <v>1018</v>
      </c>
      <c r="G2522" t="s">
        <v>28</v>
      </c>
      <c r="H2522" t="s">
        <v>32</v>
      </c>
      <c r="I2522" t="s">
        <v>65</v>
      </c>
      <c r="J2522">
        <v>44</v>
      </c>
      <c r="K2522">
        <v>1664.47</v>
      </c>
      <c r="L2522">
        <v>73236.89</v>
      </c>
      <c r="M2522">
        <v>37897.360000000001</v>
      </c>
      <c r="N2522">
        <v>8063.29</v>
      </c>
      <c r="O2522">
        <v>4059.31</v>
      </c>
      <c r="P2522">
        <v>1115.3800000000001</v>
      </c>
      <c r="Q2522">
        <v>1175.69</v>
      </c>
      <c r="R2522">
        <v>4401.1099999999997</v>
      </c>
      <c r="S2522">
        <v>1067.18</v>
      </c>
      <c r="T2522">
        <v>57779.31</v>
      </c>
      <c r="U2522">
        <v>35339.53</v>
      </c>
      <c r="V2522">
        <v>15457.58</v>
      </c>
      <c r="W2522">
        <v>15367.17</v>
      </c>
      <c r="X2522">
        <v>76197.86</v>
      </c>
      <c r="Y2522">
        <v>59777</v>
      </c>
    </row>
    <row r="2523" spans="1:25" x14ac:dyDescent="0.25">
      <c r="A2523" t="s">
        <v>2579</v>
      </c>
      <c r="B2523" s="1">
        <v>45637</v>
      </c>
      <c r="C2523">
        <v>2024</v>
      </c>
      <c r="D2523">
        <v>12</v>
      </c>
      <c r="E2523" t="s">
        <v>1217</v>
      </c>
      <c r="F2523" t="s">
        <v>1018</v>
      </c>
      <c r="G2523" t="s">
        <v>55</v>
      </c>
      <c r="H2523" t="s">
        <v>29</v>
      </c>
      <c r="I2523" t="s">
        <v>56</v>
      </c>
      <c r="J2523">
        <v>32</v>
      </c>
      <c r="K2523">
        <v>1230.97</v>
      </c>
      <c r="L2523">
        <v>39390.980000000003</v>
      </c>
      <c r="M2523">
        <v>19898.759999999998</v>
      </c>
      <c r="N2523">
        <v>4135.54</v>
      </c>
      <c r="O2523">
        <v>1564.61</v>
      </c>
      <c r="P2523">
        <v>1729.69</v>
      </c>
      <c r="Q2523">
        <v>198.8</v>
      </c>
      <c r="R2523">
        <v>2393.31</v>
      </c>
      <c r="S2523">
        <v>322.60000000000002</v>
      </c>
      <c r="T2523">
        <v>30243.3</v>
      </c>
      <c r="U2523">
        <v>19492.22</v>
      </c>
      <c r="V2523">
        <v>9147.68</v>
      </c>
      <c r="W2523">
        <v>9229.59</v>
      </c>
      <c r="X2523">
        <v>38915.71</v>
      </c>
      <c r="Y2523">
        <v>29216.84</v>
      </c>
    </row>
    <row r="2524" spans="1:25" x14ac:dyDescent="0.25">
      <c r="A2524" t="s">
        <v>2580</v>
      </c>
      <c r="B2524" s="1">
        <v>45638</v>
      </c>
      <c r="C2524">
        <v>2024</v>
      </c>
      <c r="D2524">
        <v>12</v>
      </c>
      <c r="E2524" t="s">
        <v>1217</v>
      </c>
      <c r="F2524" t="s">
        <v>1018</v>
      </c>
      <c r="G2524" t="s">
        <v>44</v>
      </c>
      <c r="H2524" t="s">
        <v>29</v>
      </c>
      <c r="I2524" t="s">
        <v>33</v>
      </c>
      <c r="J2524">
        <v>37</v>
      </c>
      <c r="K2524">
        <v>1623.67</v>
      </c>
      <c r="L2524">
        <v>60075.83</v>
      </c>
      <c r="M2524">
        <v>39685.01</v>
      </c>
      <c r="N2524">
        <v>6689.96</v>
      </c>
      <c r="O2524">
        <v>2690.87</v>
      </c>
      <c r="P2524">
        <v>2275.29</v>
      </c>
      <c r="Q2524">
        <v>978.1</v>
      </c>
      <c r="R2524">
        <v>1754.48</v>
      </c>
      <c r="S2524">
        <v>1193.3399999999999</v>
      </c>
      <c r="T2524">
        <v>55267.06</v>
      </c>
      <c r="U2524">
        <v>20390.82</v>
      </c>
      <c r="V2524">
        <v>4808.7700000000004</v>
      </c>
      <c r="W2524">
        <v>4364.71</v>
      </c>
      <c r="X2524">
        <v>60898.42</v>
      </c>
      <c r="Y2524">
        <v>54487.72</v>
      </c>
    </row>
    <row r="2525" spans="1:25" x14ac:dyDescent="0.25">
      <c r="A2525" t="s">
        <v>2581</v>
      </c>
      <c r="B2525" s="1">
        <v>45638</v>
      </c>
      <c r="C2525">
        <v>2024</v>
      </c>
      <c r="D2525">
        <v>12</v>
      </c>
      <c r="E2525" t="s">
        <v>1217</v>
      </c>
      <c r="F2525" t="s">
        <v>1018</v>
      </c>
      <c r="G2525" t="s">
        <v>35</v>
      </c>
      <c r="H2525" t="s">
        <v>36</v>
      </c>
      <c r="I2525" t="s">
        <v>39</v>
      </c>
      <c r="J2525">
        <v>37</v>
      </c>
      <c r="K2525">
        <v>1022.01</v>
      </c>
      <c r="L2525">
        <v>37814.28</v>
      </c>
      <c r="M2525">
        <v>25657.46</v>
      </c>
      <c r="N2525">
        <v>4302.42</v>
      </c>
      <c r="O2525">
        <v>2220.21</v>
      </c>
      <c r="P2525">
        <v>1407.54</v>
      </c>
      <c r="Q2525">
        <v>614.74</v>
      </c>
      <c r="R2525">
        <v>1601.06</v>
      </c>
      <c r="S2525">
        <v>486.18</v>
      </c>
      <c r="T2525">
        <v>36289.61</v>
      </c>
      <c r="U2525">
        <v>12156.82</v>
      </c>
      <c r="V2525">
        <v>1524.66</v>
      </c>
      <c r="W2525">
        <v>1428.02</v>
      </c>
      <c r="X2525">
        <v>36426.839999999997</v>
      </c>
      <c r="Y2525">
        <v>39089.160000000003</v>
      </c>
    </row>
    <row r="2526" spans="1:25" x14ac:dyDescent="0.25">
      <c r="A2526" t="s">
        <v>2582</v>
      </c>
      <c r="B2526" s="1">
        <v>45639</v>
      </c>
      <c r="C2526">
        <v>2024</v>
      </c>
      <c r="D2526">
        <v>12</v>
      </c>
      <c r="E2526" t="s">
        <v>1217</v>
      </c>
      <c r="F2526" t="s">
        <v>1018</v>
      </c>
      <c r="G2526" t="s">
        <v>44</v>
      </c>
      <c r="H2526" t="s">
        <v>29</v>
      </c>
      <c r="I2526" t="s">
        <v>45</v>
      </c>
      <c r="J2526">
        <v>43</v>
      </c>
      <c r="K2526">
        <v>1057.6300000000001</v>
      </c>
      <c r="L2526">
        <v>45478.04</v>
      </c>
      <c r="M2526">
        <v>30554.31</v>
      </c>
      <c r="N2526">
        <v>3400.44</v>
      </c>
      <c r="O2526">
        <v>1955.79</v>
      </c>
      <c r="P2526">
        <v>850.83</v>
      </c>
      <c r="Q2526">
        <v>702.59</v>
      </c>
      <c r="R2526">
        <v>2148.91</v>
      </c>
      <c r="S2526">
        <v>492.93</v>
      </c>
      <c r="T2526">
        <v>40105.800000000003</v>
      </c>
      <c r="U2526">
        <v>14923.73</v>
      </c>
      <c r="V2526">
        <v>5372.24</v>
      </c>
      <c r="W2526">
        <v>4779.87</v>
      </c>
      <c r="X2526">
        <v>47004.55</v>
      </c>
      <c r="Y2526">
        <v>41134.18</v>
      </c>
    </row>
    <row r="2527" spans="1:25" x14ac:dyDescent="0.25">
      <c r="A2527" t="s">
        <v>2583</v>
      </c>
      <c r="B2527" s="1">
        <v>45639</v>
      </c>
      <c r="C2527">
        <v>2024</v>
      </c>
      <c r="D2527">
        <v>12</v>
      </c>
      <c r="E2527" t="s">
        <v>1217</v>
      </c>
      <c r="F2527" t="s">
        <v>1018</v>
      </c>
      <c r="G2527" t="s">
        <v>35</v>
      </c>
      <c r="H2527" t="s">
        <v>32</v>
      </c>
      <c r="I2527" t="s">
        <v>56</v>
      </c>
      <c r="J2527">
        <v>24</v>
      </c>
      <c r="K2527">
        <v>1155.05</v>
      </c>
      <c r="L2527">
        <v>27721.14</v>
      </c>
      <c r="M2527">
        <v>18718.740000000002</v>
      </c>
      <c r="N2527">
        <v>2279.7800000000002</v>
      </c>
      <c r="O2527">
        <v>1854.42</v>
      </c>
      <c r="P2527">
        <v>1018.9</v>
      </c>
      <c r="Q2527">
        <v>212.49</v>
      </c>
      <c r="R2527">
        <v>1206.42</v>
      </c>
      <c r="S2527">
        <v>338.66</v>
      </c>
      <c r="T2527">
        <v>25629.41</v>
      </c>
      <c r="U2527">
        <v>9002.4</v>
      </c>
      <c r="V2527">
        <v>2091.7399999999998</v>
      </c>
      <c r="W2527">
        <v>1949.85</v>
      </c>
      <c r="X2527">
        <v>27793.29</v>
      </c>
      <c r="Y2527">
        <v>27308.86</v>
      </c>
    </row>
    <row r="2528" spans="1:25" x14ac:dyDescent="0.25">
      <c r="A2528" t="s">
        <v>2584</v>
      </c>
      <c r="B2528" s="1">
        <v>45640</v>
      </c>
      <c r="C2528">
        <v>2024</v>
      </c>
      <c r="D2528">
        <v>12</v>
      </c>
      <c r="E2528" t="s">
        <v>1217</v>
      </c>
      <c r="F2528" t="s">
        <v>1018</v>
      </c>
      <c r="G2528" t="s">
        <v>28</v>
      </c>
      <c r="H2528" t="s">
        <v>29</v>
      </c>
      <c r="I2528" t="s">
        <v>37</v>
      </c>
      <c r="J2528">
        <v>64</v>
      </c>
      <c r="K2528">
        <v>1116.06</v>
      </c>
      <c r="L2528">
        <v>71427.66</v>
      </c>
      <c r="M2528">
        <v>37717.22</v>
      </c>
      <c r="N2528">
        <v>7161.26</v>
      </c>
      <c r="O2528">
        <v>2036.02</v>
      </c>
      <c r="P2528">
        <v>3129.69</v>
      </c>
      <c r="Q2528">
        <v>505.27</v>
      </c>
      <c r="R2528">
        <v>2956.17</v>
      </c>
      <c r="S2528">
        <v>781.3</v>
      </c>
      <c r="T2528">
        <v>54286.92</v>
      </c>
      <c r="U2528">
        <v>33710.449999999997</v>
      </c>
      <c r="V2528">
        <v>17140.75</v>
      </c>
      <c r="W2528">
        <v>15656.18</v>
      </c>
      <c r="X2528">
        <v>77306.429999999993</v>
      </c>
      <c r="Y2528">
        <v>57310.84</v>
      </c>
    </row>
    <row r="2529" spans="1:25" x14ac:dyDescent="0.25">
      <c r="A2529" t="s">
        <v>2585</v>
      </c>
      <c r="B2529" s="1">
        <v>45640</v>
      </c>
      <c r="C2529">
        <v>2024</v>
      </c>
      <c r="D2529">
        <v>12</v>
      </c>
      <c r="E2529" t="s">
        <v>1217</v>
      </c>
      <c r="F2529" t="s">
        <v>1018</v>
      </c>
      <c r="G2529" t="s">
        <v>44</v>
      </c>
      <c r="H2529" t="s">
        <v>53</v>
      </c>
      <c r="I2529" t="s">
        <v>56</v>
      </c>
      <c r="J2529">
        <v>16</v>
      </c>
      <c r="K2529">
        <v>1555.01</v>
      </c>
      <c r="L2529">
        <v>24880.21</v>
      </c>
      <c r="M2529">
        <v>16326</v>
      </c>
      <c r="N2529">
        <v>3055.45</v>
      </c>
      <c r="O2529">
        <v>1339.02</v>
      </c>
      <c r="P2529">
        <v>794.72</v>
      </c>
      <c r="Q2529">
        <v>311.45</v>
      </c>
      <c r="R2529">
        <v>1241.81</v>
      </c>
      <c r="S2529">
        <v>523.34</v>
      </c>
      <c r="T2529">
        <v>23591.79</v>
      </c>
      <c r="U2529">
        <v>8554.2199999999993</v>
      </c>
      <c r="V2529">
        <v>1288.42</v>
      </c>
      <c r="W2529">
        <v>1176.5999999999999</v>
      </c>
      <c r="X2529">
        <v>27243.54</v>
      </c>
      <c r="Y2529">
        <v>23548.23</v>
      </c>
    </row>
    <row r="2530" spans="1:25" x14ac:dyDescent="0.25">
      <c r="A2530" t="s">
        <v>2586</v>
      </c>
      <c r="B2530" s="1">
        <v>45640</v>
      </c>
      <c r="C2530">
        <v>2024</v>
      </c>
      <c r="D2530">
        <v>12</v>
      </c>
      <c r="E2530" t="s">
        <v>1217</v>
      </c>
      <c r="F2530" t="s">
        <v>1018</v>
      </c>
      <c r="G2530" t="s">
        <v>55</v>
      </c>
      <c r="H2530" t="s">
        <v>32</v>
      </c>
      <c r="I2530" t="s">
        <v>37</v>
      </c>
      <c r="J2530">
        <v>59</v>
      </c>
      <c r="K2530">
        <v>1540.86</v>
      </c>
      <c r="L2530">
        <v>90910.47</v>
      </c>
      <c r="M2530">
        <v>54130.09</v>
      </c>
      <c r="N2530">
        <v>8257.82</v>
      </c>
      <c r="O2530">
        <v>5634.66</v>
      </c>
      <c r="P2530">
        <v>2231.4899999999998</v>
      </c>
      <c r="Q2530">
        <v>1405.06</v>
      </c>
      <c r="R2530">
        <v>4194.1000000000004</v>
      </c>
      <c r="S2530">
        <v>1760.92</v>
      </c>
      <c r="T2530">
        <v>77614.14</v>
      </c>
      <c r="U2530">
        <v>36780.379999999997</v>
      </c>
      <c r="V2530">
        <v>13296.33</v>
      </c>
      <c r="W2530">
        <v>13108.18</v>
      </c>
      <c r="X2530">
        <v>83728.570000000007</v>
      </c>
      <c r="Y2530">
        <v>83598.149999999994</v>
      </c>
    </row>
    <row r="2531" spans="1:25" x14ac:dyDescent="0.25">
      <c r="A2531" t="s">
        <v>2587</v>
      </c>
      <c r="B2531" s="1">
        <v>45640</v>
      </c>
      <c r="C2531">
        <v>2024</v>
      </c>
      <c r="D2531">
        <v>12</v>
      </c>
      <c r="E2531" t="s">
        <v>1217</v>
      </c>
      <c r="F2531" t="s">
        <v>1018</v>
      </c>
      <c r="G2531" t="s">
        <v>28</v>
      </c>
      <c r="H2531" t="s">
        <v>29</v>
      </c>
      <c r="I2531" t="s">
        <v>50</v>
      </c>
      <c r="J2531">
        <v>28</v>
      </c>
      <c r="K2531">
        <v>1604.16</v>
      </c>
      <c r="L2531">
        <v>44916.37</v>
      </c>
      <c r="M2531">
        <v>24979.58</v>
      </c>
      <c r="N2531">
        <v>3300.65</v>
      </c>
      <c r="O2531">
        <v>2515.79</v>
      </c>
      <c r="P2531">
        <v>1420.26</v>
      </c>
      <c r="Q2531">
        <v>365.99</v>
      </c>
      <c r="R2531">
        <v>1921.91</v>
      </c>
      <c r="S2531">
        <v>519.79999999999995</v>
      </c>
      <c r="T2531">
        <v>35023.97</v>
      </c>
      <c r="U2531">
        <v>19936.79</v>
      </c>
      <c r="V2531">
        <v>9892.4</v>
      </c>
      <c r="W2531">
        <v>10061.299999999999</v>
      </c>
      <c r="X2531">
        <v>49862.97</v>
      </c>
      <c r="Y2531">
        <v>35461.61</v>
      </c>
    </row>
    <row r="2532" spans="1:25" x14ac:dyDescent="0.25">
      <c r="A2532" t="s">
        <v>2588</v>
      </c>
      <c r="B2532" s="1">
        <v>45640</v>
      </c>
      <c r="C2532">
        <v>2024</v>
      </c>
      <c r="D2532">
        <v>12</v>
      </c>
      <c r="E2532" t="s">
        <v>1217</v>
      </c>
      <c r="F2532" t="s">
        <v>1018</v>
      </c>
      <c r="G2532" t="s">
        <v>55</v>
      </c>
      <c r="H2532" t="s">
        <v>58</v>
      </c>
      <c r="I2532" t="s">
        <v>56</v>
      </c>
      <c r="J2532">
        <v>26</v>
      </c>
      <c r="K2532">
        <v>1712.96</v>
      </c>
      <c r="L2532">
        <v>44536.91</v>
      </c>
      <c r="M2532">
        <v>26821.5</v>
      </c>
      <c r="N2532">
        <v>3755.56</v>
      </c>
      <c r="O2532">
        <v>3323.57</v>
      </c>
      <c r="P2532">
        <v>968.79</v>
      </c>
      <c r="Q2532">
        <v>347.14</v>
      </c>
      <c r="R2532">
        <v>2855.9</v>
      </c>
      <c r="S2532">
        <v>469.89</v>
      </c>
      <c r="T2532">
        <v>38542.36</v>
      </c>
      <c r="U2532">
        <v>17715.41</v>
      </c>
      <c r="V2532">
        <v>5994.56</v>
      </c>
      <c r="W2532">
        <v>5616.85</v>
      </c>
      <c r="X2532">
        <v>46605.49</v>
      </c>
      <c r="Y2532">
        <v>39226.71</v>
      </c>
    </row>
    <row r="2533" spans="1:25" x14ac:dyDescent="0.25">
      <c r="A2533" t="s">
        <v>2589</v>
      </c>
      <c r="B2533" s="1">
        <v>45640</v>
      </c>
      <c r="C2533">
        <v>2024</v>
      </c>
      <c r="D2533">
        <v>12</v>
      </c>
      <c r="E2533" t="s">
        <v>1217</v>
      </c>
      <c r="F2533" t="s">
        <v>1018</v>
      </c>
      <c r="G2533" t="s">
        <v>44</v>
      </c>
      <c r="H2533" t="s">
        <v>36</v>
      </c>
      <c r="I2533" t="s">
        <v>37</v>
      </c>
      <c r="J2533">
        <v>77</v>
      </c>
      <c r="K2533">
        <v>962.69</v>
      </c>
      <c r="L2533">
        <v>74127.03</v>
      </c>
      <c r="M2533">
        <v>45205.919999999998</v>
      </c>
      <c r="N2533">
        <v>7033.71</v>
      </c>
      <c r="O2533">
        <v>2434.31</v>
      </c>
      <c r="P2533">
        <v>2323.5100000000002</v>
      </c>
      <c r="Q2533">
        <v>1229.06</v>
      </c>
      <c r="R2533">
        <v>4367.82</v>
      </c>
      <c r="S2533">
        <v>1201.67</v>
      </c>
      <c r="T2533">
        <v>63796.01</v>
      </c>
      <c r="U2533">
        <v>28921.11</v>
      </c>
      <c r="V2533">
        <v>10331.02</v>
      </c>
      <c r="W2533">
        <v>10402.06</v>
      </c>
      <c r="X2533">
        <v>68712.539999999994</v>
      </c>
      <c r="Y2533">
        <v>67080.92</v>
      </c>
    </row>
    <row r="2534" spans="1:25" x14ac:dyDescent="0.25">
      <c r="A2534" t="s">
        <v>2590</v>
      </c>
      <c r="B2534" s="1">
        <v>45640</v>
      </c>
      <c r="C2534">
        <v>2024</v>
      </c>
      <c r="D2534">
        <v>12</v>
      </c>
      <c r="E2534" t="s">
        <v>1217</v>
      </c>
      <c r="F2534" t="s">
        <v>1018</v>
      </c>
      <c r="G2534" t="s">
        <v>28</v>
      </c>
      <c r="H2534" t="s">
        <v>29</v>
      </c>
      <c r="I2534" t="s">
        <v>56</v>
      </c>
      <c r="J2534">
        <v>22</v>
      </c>
      <c r="K2534">
        <v>1802.46</v>
      </c>
      <c r="L2534">
        <v>39654.080000000002</v>
      </c>
      <c r="M2534">
        <v>26204.53</v>
      </c>
      <c r="N2534">
        <v>3866.41</v>
      </c>
      <c r="O2534">
        <v>1184.58</v>
      </c>
      <c r="P2534">
        <v>1781.96</v>
      </c>
      <c r="Q2534">
        <v>560.29</v>
      </c>
      <c r="R2534">
        <v>1380.7</v>
      </c>
      <c r="S2534">
        <v>979.54</v>
      </c>
      <c r="T2534">
        <v>35958</v>
      </c>
      <c r="U2534">
        <v>13449.55</v>
      </c>
      <c r="V2534">
        <v>3696.08</v>
      </c>
      <c r="W2534">
        <v>3453.12</v>
      </c>
      <c r="X2534">
        <v>39888.620000000003</v>
      </c>
      <c r="Y2534">
        <v>34716.629999999997</v>
      </c>
    </row>
    <row r="2535" spans="1:25" x14ac:dyDescent="0.25">
      <c r="A2535" t="s">
        <v>2591</v>
      </c>
      <c r="B2535" s="1">
        <v>45640</v>
      </c>
      <c r="C2535">
        <v>2024</v>
      </c>
      <c r="D2535">
        <v>12</v>
      </c>
      <c r="E2535" t="s">
        <v>1217</v>
      </c>
      <c r="F2535" t="s">
        <v>1018</v>
      </c>
      <c r="G2535" t="s">
        <v>35</v>
      </c>
      <c r="H2535" t="s">
        <v>32</v>
      </c>
      <c r="I2535" t="s">
        <v>45</v>
      </c>
      <c r="J2535">
        <v>43</v>
      </c>
      <c r="K2535">
        <v>822.55</v>
      </c>
      <c r="L2535">
        <v>35369.85</v>
      </c>
      <c r="M2535">
        <v>19088.849999999999</v>
      </c>
      <c r="N2535">
        <v>4533.08</v>
      </c>
      <c r="O2535">
        <v>2651.12</v>
      </c>
      <c r="P2535">
        <v>586.46</v>
      </c>
      <c r="Q2535">
        <v>299.99</v>
      </c>
      <c r="R2535">
        <v>1111.55</v>
      </c>
      <c r="S2535">
        <v>878.17</v>
      </c>
      <c r="T2535">
        <v>29149.21</v>
      </c>
      <c r="U2535">
        <v>16281.01</v>
      </c>
      <c r="V2535">
        <v>6220.64</v>
      </c>
      <c r="W2535">
        <v>5849.49</v>
      </c>
      <c r="X2535">
        <v>35444.019999999997</v>
      </c>
      <c r="Y2535">
        <v>30490.11</v>
      </c>
    </row>
    <row r="2536" spans="1:25" x14ac:dyDescent="0.25">
      <c r="A2536" t="s">
        <v>2592</v>
      </c>
      <c r="B2536" s="1">
        <v>45640</v>
      </c>
      <c r="C2536">
        <v>2024</v>
      </c>
      <c r="D2536">
        <v>12</v>
      </c>
      <c r="E2536" t="s">
        <v>1217</v>
      </c>
      <c r="F2536" t="s">
        <v>1018</v>
      </c>
      <c r="G2536" t="s">
        <v>28</v>
      </c>
      <c r="H2536" t="s">
        <v>36</v>
      </c>
      <c r="I2536" t="s">
        <v>65</v>
      </c>
      <c r="J2536">
        <v>42</v>
      </c>
      <c r="K2536">
        <v>1310.57</v>
      </c>
      <c r="L2536">
        <v>55043.98</v>
      </c>
      <c r="M2536">
        <v>36542.129999999997</v>
      </c>
      <c r="N2536">
        <v>5482.24</v>
      </c>
      <c r="O2536">
        <v>2060.35</v>
      </c>
      <c r="P2536">
        <v>2401.89</v>
      </c>
      <c r="Q2536">
        <v>523.30999999999995</v>
      </c>
      <c r="R2536">
        <v>2817.67</v>
      </c>
      <c r="S2536">
        <v>1192.67</v>
      </c>
      <c r="T2536">
        <v>51020.27</v>
      </c>
      <c r="U2536">
        <v>18501.84</v>
      </c>
      <c r="V2536">
        <v>4023.71</v>
      </c>
      <c r="W2536">
        <v>4063.32</v>
      </c>
      <c r="X2536">
        <v>59642.73</v>
      </c>
      <c r="Y2536">
        <v>48600.63</v>
      </c>
    </row>
    <row r="2537" spans="1:25" x14ac:dyDescent="0.25">
      <c r="A2537" t="s">
        <v>2593</v>
      </c>
      <c r="B2537" s="1">
        <v>45641</v>
      </c>
      <c r="C2537">
        <v>2024</v>
      </c>
      <c r="D2537">
        <v>12</v>
      </c>
      <c r="E2537" t="s">
        <v>1217</v>
      </c>
      <c r="F2537" t="s">
        <v>1018</v>
      </c>
      <c r="G2537" t="s">
        <v>44</v>
      </c>
      <c r="H2537" t="s">
        <v>32</v>
      </c>
      <c r="I2537" t="s">
        <v>56</v>
      </c>
      <c r="J2537">
        <v>27</v>
      </c>
      <c r="K2537">
        <v>1211.3900000000001</v>
      </c>
      <c r="L2537">
        <v>32707.49</v>
      </c>
      <c r="M2537">
        <v>21474.13</v>
      </c>
      <c r="N2537">
        <v>2963.36</v>
      </c>
      <c r="O2537">
        <v>2296.9</v>
      </c>
      <c r="P2537">
        <v>1034.6199999999999</v>
      </c>
      <c r="Q2537">
        <v>344.32</v>
      </c>
      <c r="R2537">
        <v>1590.7</v>
      </c>
      <c r="S2537">
        <v>268.72000000000003</v>
      </c>
      <c r="T2537">
        <v>29972.74</v>
      </c>
      <c r="U2537">
        <v>11233.36</v>
      </c>
      <c r="V2537">
        <v>2734.74</v>
      </c>
      <c r="W2537">
        <v>2442.88</v>
      </c>
      <c r="X2537">
        <v>34187.11</v>
      </c>
      <c r="Y2537">
        <v>31845.39</v>
      </c>
    </row>
    <row r="2538" spans="1:25" x14ac:dyDescent="0.25">
      <c r="A2538" t="s">
        <v>2594</v>
      </c>
      <c r="B2538" s="1">
        <v>45641</v>
      </c>
      <c r="C2538">
        <v>2024</v>
      </c>
      <c r="D2538">
        <v>12</v>
      </c>
      <c r="E2538" t="s">
        <v>1217</v>
      </c>
      <c r="F2538" t="s">
        <v>1018</v>
      </c>
      <c r="G2538" t="s">
        <v>35</v>
      </c>
      <c r="H2538" t="s">
        <v>36</v>
      </c>
      <c r="I2538" t="s">
        <v>30</v>
      </c>
      <c r="J2538">
        <v>54</v>
      </c>
      <c r="K2538">
        <v>1665.75</v>
      </c>
      <c r="L2538">
        <v>89950.43</v>
      </c>
      <c r="M2538">
        <v>44636.27</v>
      </c>
      <c r="N2538">
        <v>7890.51</v>
      </c>
      <c r="O2538">
        <v>6123.53</v>
      </c>
      <c r="P2538">
        <v>2860.2</v>
      </c>
      <c r="Q2538">
        <v>1316.28</v>
      </c>
      <c r="R2538">
        <v>4740.33</v>
      </c>
      <c r="S2538">
        <v>910.38</v>
      </c>
      <c r="T2538">
        <v>68477.5</v>
      </c>
      <c r="U2538">
        <v>45314.16</v>
      </c>
      <c r="V2538">
        <v>21472.93</v>
      </c>
      <c r="W2538">
        <v>19735.48</v>
      </c>
      <c r="X2538">
        <v>89673.34</v>
      </c>
      <c r="Y2538">
        <v>72365.759999999995</v>
      </c>
    </row>
    <row r="2539" spans="1:25" x14ac:dyDescent="0.25">
      <c r="A2539" t="s">
        <v>2595</v>
      </c>
      <c r="B2539" s="1">
        <v>45641</v>
      </c>
      <c r="C2539">
        <v>2024</v>
      </c>
      <c r="D2539">
        <v>12</v>
      </c>
      <c r="E2539" t="s">
        <v>1217</v>
      </c>
      <c r="F2539" t="s">
        <v>1018</v>
      </c>
      <c r="G2539" t="s">
        <v>55</v>
      </c>
      <c r="H2539" t="s">
        <v>53</v>
      </c>
      <c r="I2539" t="s">
        <v>33</v>
      </c>
      <c r="J2539">
        <v>50</v>
      </c>
      <c r="K2539">
        <v>1754.56</v>
      </c>
      <c r="L2539">
        <v>87727.76</v>
      </c>
      <c r="M2539">
        <v>46207.8</v>
      </c>
      <c r="N2539">
        <v>10820.95</v>
      </c>
      <c r="O2539">
        <v>4191.09</v>
      </c>
      <c r="P2539">
        <v>3200.84</v>
      </c>
      <c r="Q2539">
        <v>938.26</v>
      </c>
      <c r="R2539">
        <v>3642.84</v>
      </c>
      <c r="S2539">
        <v>2144.04</v>
      </c>
      <c r="T2539">
        <v>71145.83</v>
      </c>
      <c r="U2539">
        <v>41519.97</v>
      </c>
      <c r="V2539">
        <v>16581.93</v>
      </c>
      <c r="W2539">
        <v>14599.43</v>
      </c>
      <c r="X2539">
        <v>93629.79</v>
      </c>
      <c r="Y2539">
        <v>76872.100000000006</v>
      </c>
    </row>
    <row r="2540" spans="1:25" x14ac:dyDescent="0.25">
      <c r="A2540" t="s">
        <v>2596</v>
      </c>
      <c r="B2540" s="1">
        <v>45641</v>
      </c>
      <c r="C2540">
        <v>2024</v>
      </c>
      <c r="D2540">
        <v>12</v>
      </c>
      <c r="E2540" t="s">
        <v>1217</v>
      </c>
      <c r="F2540" t="s">
        <v>1018</v>
      </c>
      <c r="G2540" t="s">
        <v>28</v>
      </c>
      <c r="H2540" t="s">
        <v>36</v>
      </c>
      <c r="I2540" t="s">
        <v>37</v>
      </c>
      <c r="J2540">
        <v>58</v>
      </c>
      <c r="K2540">
        <v>1415</v>
      </c>
      <c r="L2540">
        <v>82070.09</v>
      </c>
      <c r="M2540">
        <v>47124.959999999999</v>
      </c>
      <c r="N2540">
        <v>8852.0499999999993</v>
      </c>
      <c r="O2540">
        <v>4945.93</v>
      </c>
      <c r="P2540">
        <v>1762.11</v>
      </c>
      <c r="Q2540">
        <v>1082.01</v>
      </c>
      <c r="R2540">
        <v>3542.53</v>
      </c>
      <c r="S2540">
        <v>787.88</v>
      </c>
      <c r="T2540">
        <v>68097.47</v>
      </c>
      <c r="U2540">
        <v>34945.129999999997</v>
      </c>
      <c r="V2540">
        <v>13972.61</v>
      </c>
      <c r="W2540">
        <v>14210.46</v>
      </c>
      <c r="X2540">
        <v>83284.259999999995</v>
      </c>
      <c r="Y2540">
        <v>72522.8</v>
      </c>
    </row>
    <row r="2541" spans="1:25" x14ac:dyDescent="0.25">
      <c r="A2541" t="s">
        <v>2597</v>
      </c>
      <c r="B2541" s="1">
        <v>45642</v>
      </c>
      <c r="C2541">
        <v>2024</v>
      </c>
      <c r="D2541">
        <v>12</v>
      </c>
      <c r="E2541" t="s">
        <v>1217</v>
      </c>
      <c r="F2541" t="s">
        <v>1018</v>
      </c>
      <c r="G2541" t="s">
        <v>35</v>
      </c>
      <c r="H2541" t="s">
        <v>36</v>
      </c>
      <c r="I2541" t="s">
        <v>37</v>
      </c>
      <c r="J2541">
        <v>57</v>
      </c>
      <c r="K2541">
        <v>1189.5999999999999</v>
      </c>
      <c r="L2541">
        <v>67807.33</v>
      </c>
      <c r="M2541">
        <v>45806.03</v>
      </c>
      <c r="N2541">
        <v>4887.08</v>
      </c>
      <c r="O2541">
        <v>3260.18</v>
      </c>
      <c r="P2541">
        <v>2278.36</v>
      </c>
      <c r="Q2541">
        <v>1132.43</v>
      </c>
      <c r="R2541">
        <v>2194.88</v>
      </c>
      <c r="S2541">
        <v>911.65</v>
      </c>
      <c r="T2541">
        <v>60470.62</v>
      </c>
      <c r="U2541">
        <v>22001.29</v>
      </c>
      <c r="V2541">
        <v>7336.71</v>
      </c>
      <c r="W2541">
        <v>6607.87</v>
      </c>
      <c r="X2541">
        <v>71241.899999999994</v>
      </c>
      <c r="Y2541">
        <v>62894</v>
      </c>
    </row>
    <row r="2542" spans="1:25" x14ac:dyDescent="0.25">
      <c r="A2542" t="s">
        <v>2598</v>
      </c>
      <c r="B2542" s="1">
        <v>45642</v>
      </c>
      <c r="C2542">
        <v>2024</v>
      </c>
      <c r="D2542">
        <v>12</v>
      </c>
      <c r="E2542" t="s">
        <v>1217</v>
      </c>
      <c r="F2542" t="s">
        <v>1018</v>
      </c>
      <c r="G2542" t="s">
        <v>28</v>
      </c>
      <c r="H2542" t="s">
        <v>53</v>
      </c>
      <c r="I2542" t="s">
        <v>30</v>
      </c>
      <c r="J2542">
        <v>62</v>
      </c>
      <c r="K2542">
        <v>1535.58</v>
      </c>
      <c r="L2542">
        <v>95206.26</v>
      </c>
      <c r="M2542">
        <v>62109.97</v>
      </c>
      <c r="N2542">
        <v>7733.41</v>
      </c>
      <c r="O2542">
        <v>4151.76</v>
      </c>
      <c r="P2542">
        <v>2048.79</v>
      </c>
      <c r="Q2542">
        <v>1180.32</v>
      </c>
      <c r="R2542">
        <v>3285.28</v>
      </c>
      <c r="S2542">
        <v>2206.11</v>
      </c>
      <c r="T2542">
        <v>82715.64</v>
      </c>
      <c r="U2542">
        <v>33096.28</v>
      </c>
      <c r="V2542">
        <v>12490.62</v>
      </c>
      <c r="W2542">
        <v>12213.45</v>
      </c>
      <c r="X2542">
        <v>104910.63</v>
      </c>
      <c r="Y2542">
        <v>80666.09</v>
      </c>
    </row>
    <row r="2543" spans="1:25" x14ac:dyDescent="0.25">
      <c r="A2543" t="s">
        <v>2599</v>
      </c>
      <c r="B2543" s="1">
        <v>45642</v>
      </c>
      <c r="C2543">
        <v>2024</v>
      </c>
      <c r="D2543">
        <v>12</v>
      </c>
      <c r="E2543" t="s">
        <v>1217</v>
      </c>
      <c r="F2543" t="s">
        <v>1018</v>
      </c>
      <c r="G2543" t="s">
        <v>28</v>
      </c>
      <c r="H2543" t="s">
        <v>32</v>
      </c>
      <c r="I2543" t="s">
        <v>39</v>
      </c>
      <c r="J2543">
        <v>25</v>
      </c>
      <c r="K2543">
        <v>1770.3</v>
      </c>
      <c r="L2543">
        <v>44257.45</v>
      </c>
      <c r="M2543">
        <v>22866.26</v>
      </c>
      <c r="N2543">
        <v>3391.91</v>
      </c>
      <c r="O2543">
        <v>3057.4</v>
      </c>
      <c r="P2543">
        <v>1431.16</v>
      </c>
      <c r="Q2543">
        <v>344.34</v>
      </c>
      <c r="R2543">
        <v>1197.0999999999999</v>
      </c>
      <c r="S2543">
        <v>629.59</v>
      </c>
      <c r="T2543">
        <v>32917.760000000002</v>
      </c>
      <c r="U2543">
        <v>21391.19</v>
      </c>
      <c r="V2543">
        <v>11339.69</v>
      </c>
      <c r="W2543">
        <v>10917.86</v>
      </c>
      <c r="X2543">
        <v>41834.620000000003</v>
      </c>
      <c r="Y2543">
        <v>33981.519999999997</v>
      </c>
    </row>
    <row r="2544" spans="1:25" x14ac:dyDescent="0.25">
      <c r="A2544" t="s">
        <v>2600</v>
      </c>
      <c r="B2544" s="1">
        <v>45642</v>
      </c>
      <c r="C2544">
        <v>2024</v>
      </c>
      <c r="D2544">
        <v>12</v>
      </c>
      <c r="E2544" t="s">
        <v>1217</v>
      </c>
      <c r="F2544" t="s">
        <v>1018</v>
      </c>
      <c r="G2544" t="s">
        <v>44</v>
      </c>
      <c r="H2544" t="s">
        <v>32</v>
      </c>
      <c r="I2544" t="s">
        <v>37</v>
      </c>
      <c r="J2544">
        <v>59</v>
      </c>
      <c r="K2544">
        <v>1589.09</v>
      </c>
      <c r="L2544">
        <v>93756.59</v>
      </c>
      <c r="M2544">
        <v>56327.94</v>
      </c>
      <c r="N2544">
        <v>6658.72</v>
      </c>
      <c r="O2544">
        <v>2765.91</v>
      </c>
      <c r="P2544">
        <v>3339.54</v>
      </c>
      <c r="Q2544">
        <v>774.79</v>
      </c>
      <c r="R2544">
        <v>4481.47</v>
      </c>
      <c r="S2544">
        <v>2163.5100000000002</v>
      </c>
      <c r="T2544">
        <v>76511.87</v>
      </c>
      <c r="U2544">
        <v>37428.65</v>
      </c>
      <c r="V2544">
        <v>17244.72</v>
      </c>
      <c r="W2544">
        <v>15529.79</v>
      </c>
      <c r="X2544">
        <v>87435.72</v>
      </c>
      <c r="Y2544">
        <v>80402.33</v>
      </c>
    </row>
    <row r="2545" spans="1:25" x14ac:dyDescent="0.25">
      <c r="A2545" t="s">
        <v>2601</v>
      </c>
      <c r="B2545" s="1">
        <v>45642</v>
      </c>
      <c r="C2545">
        <v>2024</v>
      </c>
      <c r="D2545">
        <v>12</v>
      </c>
      <c r="E2545" t="s">
        <v>1217</v>
      </c>
      <c r="F2545" t="s">
        <v>1018</v>
      </c>
      <c r="G2545" t="s">
        <v>28</v>
      </c>
      <c r="H2545" t="s">
        <v>36</v>
      </c>
      <c r="I2545" t="s">
        <v>65</v>
      </c>
      <c r="J2545">
        <v>40</v>
      </c>
      <c r="K2545">
        <v>1446.65</v>
      </c>
      <c r="L2545">
        <v>57866.03</v>
      </c>
      <c r="M2545">
        <v>34366.839999999997</v>
      </c>
      <c r="N2545">
        <v>4706.7</v>
      </c>
      <c r="O2545">
        <v>2135.65</v>
      </c>
      <c r="P2545">
        <v>1920.95</v>
      </c>
      <c r="Q2545">
        <v>940.17</v>
      </c>
      <c r="R2545">
        <v>3636.73</v>
      </c>
      <c r="S2545">
        <v>478.99</v>
      </c>
      <c r="T2545">
        <v>48186.02</v>
      </c>
      <c r="U2545">
        <v>23499.19</v>
      </c>
      <c r="V2545">
        <v>9680.01</v>
      </c>
      <c r="W2545">
        <v>8576.11</v>
      </c>
      <c r="X2545">
        <v>57158.76</v>
      </c>
      <c r="Y2545">
        <v>45407.22</v>
      </c>
    </row>
    <row r="2546" spans="1:25" x14ac:dyDescent="0.25">
      <c r="A2546" t="s">
        <v>2602</v>
      </c>
      <c r="B2546" s="1">
        <v>45643</v>
      </c>
      <c r="C2546">
        <v>2024</v>
      </c>
      <c r="D2546">
        <v>12</v>
      </c>
      <c r="E2546" t="s">
        <v>1217</v>
      </c>
      <c r="F2546" t="s">
        <v>1018</v>
      </c>
      <c r="G2546" t="s">
        <v>28</v>
      </c>
      <c r="H2546" t="s">
        <v>53</v>
      </c>
      <c r="I2546" t="s">
        <v>56</v>
      </c>
      <c r="J2546">
        <v>28</v>
      </c>
      <c r="K2546">
        <v>1014.77</v>
      </c>
      <c r="L2546">
        <v>28413.58</v>
      </c>
      <c r="M2546">
        <v>17654.490000000002</v>
      </c>
      <c r="N2546">
        <v>2793.93</v>
      </c>
      <c r="O2546">
        <v>1543.3</v>
      </c>
      <c r="P2546">
        <v>583.58000000000004</v>
      </c>
      <c r="Q2546">
        <v>318.64</v>
      </c>
      <c r="R2546">
        <v>1334.37</v>
      </c>
      <c r="S2546">
        <v>295.88</v>
      </c>
      <c r="T2546">
        <v>24524.19</v>
      </c>
      <c r="U2546">
        <v>10759.09</v>
      </c>
      <c r="V2546">
        <v>3889.38</v>
      </c>
      <c r="W2546">
        <v>3547.82</v>
      </c>
      <c r="X2546">
        <v>31086.7</v>
      </c>
      <c r="Y2546">
        <v>25064.07</v>
      </c>
    </row>
    <row r="2547" spans="1:25" x14ac:dyDescent="0.25">
      <c r="A2547" t="s">
        <v>2603</v>
      </c>
      <c r="B2547" s="1">
        <v>45643</v>
      </c>
      <c r="C2547">
        <v>2024</v>
      </c>
      <c r="D2547">
        <v>12</v>
      </c>
      <c r="E2547" t="s">
        <v>1217</v>
      </c>
      <c r="F2547" t="s">
        <v>1018</v>
      </c>
      <c r="G2547" t="s">
        <v>28</v>
      </c>
      <c r="H2547" t="s">
        <v>58</v>
      </c>
      <c r="I2547" t="s">
        <v>65</v>
      </c>
      <c r="J2547">
        <v>43</v>
      </c>
      <c r="K2547">
        <v>1707.07</v>
      </c>
      <c r="L2547">
        <v>73404.06</v>
      </c>
      <c r="M2547">
        <v>43271.839999999997</v>
      </c>
      <c r="N2547">
        <v>5567.41</v>
      </c>
      <c r="O2547">
        <v>2111.4899999999998</v>
      </c>
      <c r="P2547">
        <v>2534.8200000000002</v>
      </c>
      <c r="Q2547">
        <v>1313.08</v>
      </c>
      <c r="R2547">
        <v>3660.18</v>
      </c>
      <c r="S2547">
        <v>851.38</v>
      </c>
      <c r="T2547">
        <v>59310.2</v>
      </c>
      <c r="U2547">
        <v>30132.23</v>
      </c>
      <c r="V2547">
        <v>14093.86</v>
      </c>
      <c r="W2547">
        <v>14081.17</v>
      </c>
      <c r="X2547">
        <v>69955.929999999993</v>
      </c>
      <c r="Y2547">
        <v>59017.8</v>
      </c>
    </row>
    <row r="2548" spans="1:25" x14ac:dyDescent="0.25">
      <c r="A2548" t="s">
        <v>2604</v>
      </c>
      <c r="B2548" s="1">
        <v>45644</v>
      </c>
      <c r="C2548">
        <v>2024</v>
      </c>
      <c r="D2548">
        <v>12</v>
      </c>
      <c r="E2548" t="s">
        <v>1217</v>
      </c>
      <c r="F2548" t="s">
        <v>1018</v>
      </c>
      <c r="G2548" t="s">
        <v>35</v>
      </c>
      <c r="H2548" t="s">
        <v>36</v>
      </c>
      <c r="I2548" t="s">
        <v>50</v>
      </c>
      <c r="J2548">
        <v>31</v>
      </c>
      <c r="K2548">
        <v>1476.93</v>
      </c>
      <c r="L2548">
        <v>45784.68</v>
      </c>
      <c r="M2548">
        <v>28414.03</v>
      </c>
      <c r="N2548">
        <v>5177.5200000000004</v>
      </c>
      <c r="O2548">
        <v>1543.27</v>
      </c>
      <c r="P2548">
        <v>980.9</v>
      </c>
      <c r="Q2548">
        <v>441.76</v>
      </c>
      <c r="R2548">
        <v>2106.83</v>
      </c>
      <c r="S2548">
        <v>1122.8699999999999</v>
      </c>
      <c r="T2548">
        <v>39787.19</v>
      </c>
      <c r="U2548">
        <v>17370.650000000001</v>
      </c>
      <c r="V2548">
        <v>5997.49</v>
      </c>
      <c r="W2548">
        <v>5522.26</v>
      </c>
      <c r="X2548">
        <v>45212.66</v>
      </c>
      <c r="Y2548">
        <v>40225.33</v>
      </c>
    </row>
    <row r="2549" spans="1:25" x14ac:dyDescent="0.25">
      <c r="A2549" t="s">
        <v>2605</v>
      </c>
      <c r="B2549" s="1">
        <v>45644</v>
      </c>
      <c r="C2549">
        <v>2024</v>
      </c>
      <c r="D2549">
        <v>12</v>
      </c>
      <c r="E2549" t="s">
        <v>1217</v>
      </c>
      <c r="F2549" t="s">
        <v>1018</v>
      </c>
      <c r="G2549" t="s">
        <v>55</v>
      </c>
      <c r="H2549" t="s">
        <v>36</v>
      </c>
      <c r="I2549" t="s">
        <v>39</v>
      </c>
      <c r="J2549">
        <v>40</v>
      </c>
      <c r="K2549">
        <v>1390.66</v>
      </c>
      <c r="L2549">
        <v>55626.37</v>
      </c>
      <c r="M2549">
        <v>35824.019999999997</v>
      </c>
      <c r="N2549">
        <v>6439.53</v>
      </c>
      <c r="O2549">
        <v>2580.71</v>
      </c>
      <c r="P2549">
        <v>1629.66</v>
      </c>
      <c r="Q2549">
        <v>818.99</v>
      </c>
      <c r="R2549">
        <v>3181.15</v>
      </c>
      <c r="S2549">
        <v>821.19</v>
      </c>
      <c r="T2549">
        <v>51295.25</v>
      </c>
      <c r="U2549">
        <v>19802.34</v>
      </c>
      <c r="V2549">
        <v>4331.12</v>
      </c>
      <c r="W2549">
        <v>4294.88</v>
      </c>
      <c r="X2549">
        <v>54904</v>
      </c>
      <c r="Y2549">
        <v>52581.41</v>
      </c>
    </row>
    <row r="2550" spans="1:25" x14ac:dyDescent="0.25">
      <c r="A2550" t="s">
        <v>2606</v>
      </c>
      <c r="B2550" s="1">
        <v>45644</v>
      </c>
      <c r="C2550">
        <v>2024</v>
      </c>
      <c r="D2550">
        <v>12</v>
      </c>
      <c r="E2550" t="s">
        <v>1217</v>
      </c>
      <c r="F2550" t="s">
        <v>1018</v>
      </c>
      <c r="G2550" t="s">
        <v>55</v>
      </c>
      <c r="H2550" t="s">
        <v>53</v>
      </c>
      <c r="I2550" t="s">
        <v>33</v>
      </c>
      <c r="J2550">
        <v>55</v>
      </c>
      <c r="K2550">
        <v>1566.03</v>
      </c>
      <c r="L2550">
        <v>86131.76</v>
      </c>
      <c r="M2550">
        <v>48665.73</v>
      </c>
      <c r="N2550">
        <v>8622.9500000000007</v>
      </c>
      <c r="O2550">
        <v>2998.78</v>
      </c>
      <c r="P2550">
        <v>1993.27</v>
      </c>
      <c r="Q2550">
        <v>1402.09</v>
      </c>
      <c r="R2550">
        <v>2908.92</v>
      </c>
      <c r="S2550">
        <v>696.09</v>
      </c>
      <c r="T2550">
        <v>67287.83</v>
      </c>
      <c r="U2550">
        <v>37466.03</v>
      </c>
      <c r="V2550">
        <v>18843.919999999998</v>
      </c>
      <c r="W2550">
        <v>18395.939999999999</v>
      </c>
      <c r="X2550">
        <v>94233.66</v>
      </c>
      <c r="Y2550">
        <v>68169.240000000005</v>
      </c>
    </row>
    <row r="2551" spans="1:25" x14ac:dyDescent="0.25">
      <c r="A2551" t="s">
        <v>2607</v>
      </c>
      <c r="B2551" s="1">
        <v>45645</v>
      </c>
      <c r="C2551">
        <v>2024</v>
      </c>
      <c r="D2551">
        <v>12</v>
      </c>
      <c r="E2551" t="s">
        <v>1217</v>
      </c>
      <c r="F2551" t="s">
        <v>1018</v>
      </c>
      <c r="G2551" t="s">
        <v>44</v>
      </c>
      <c r="H2551" t="s">
        <v>36</v>
      </c>
      <c r="I2551" t="s">
        <v>65</v>
      </c>
      <c r="J2551">
        <v>69</v>
      </c>
      <c r="K2551">
        <v>968.4</v>
      </c>
      <c r="L2551">
        <v>66819.509999999995</v>
      </c>
      <c r="M2551">
        <v>33933.870000000003</v>
      </c>
      <c r="N2551">
        <v>5894.81</v>
      </c>
      <c r="O2551">
        <v>2898.53</v>
      </c>
      <c r="P2551">
        <v>2957.1</v>
      </c>
      <c r="Q2551">
        <v>990.41</v>
      </c>
      <c r="R2551">
        <v>3672.19</v>
      </c>
      <c r="S2551">
        <v>1526.45</v>
      </c>
      <c r="T2551">
        <v>51873.37</v>
      </c>
      <c r="U2551">
        <v>32885.64</v>
      </c>
      <c r="V2551">
        <v>14946.14</v>
      </c>
      <c r="W2551">
        <v>15140.41</v>
      </c>
      <c r="X2551">
        <v>62577.45</v>
      </c>
      <c r="Y2551">
        <v>52979.35</v>
      </c>
    </row>
    <row r="2552" spans="1:25" x14ac:dyDescent="0.25">
      <c r="A2552" t="s">
        <v>2608</v>
      </c>
      <c r="B2552" s="1">
        <v>45645</v>
      </c>
      <c r="C2552">
        <v>2024</v>
      </c>
      <c r="D2552">
        <v>12</v>
      </c>
      <c r="E2552" t="s">
        <v>1217</v>
      </c>
      <c r="F2552" t="s">
        <v>1018</v>
      </c>
      <c r="G2552" t="s">
        <v>35</v>
      </c>
      <c r="H2552" t="s">
        <v>36</v>
      </c>
      <c r="I2552" t="s">
        <v>39</v>
      </c>
      <c r="J2552">
        <v>24</v>
      </c>
      <c r="K2552">
        <v>1195.95</v>
      </c>
      <c r="L2552">
        <v>28702.83</v>
      </c>
      <c r="M2552">
        <v>18506.759999999998</v>
      </c>
      <c r="N2552">
        <v>3243.49</v>
      </c>
      <c r="O2552">
        <v>861.85</v>
      </c>
      <c r="P2552">
        <v>1163.53</v>
      </c>
      <c r="Q2552">
        <v>447.17</v>
      </c>
      <c r="R2552">
        <v>1542.21</v>
      </c>
      <c r="S2552">
        <v>339.3</v>
      </c>
      <c r="T2552">
        <v>26104.31</v>
      </c>
      <c r="U2552">
        <v>10196.07</v>
      </c>
      <c r="V2552">
        <v>2598.52</v>
      </c>
      <c r="W2552">
        <v>2627.86</v>
      </c>
      <c r="X2552">
        <v>28805.4</v>
      </c>
      <c r="Y2552">
        <v>26605.52</v>
      </c>
    </row>
    <row r="2553" spans="1:25" x14ac:dyDescent="0.25">
      <c r="A2553" t="s">
        <v>2609</v>
      </c>
      <c r="B2553" s="1">
        <v>45646</v>
      </c>
      <c r="C2553">
        <v>2024</v>
      </c>
      <c r="D2553">
        <v>12</v>
      </c>
      <c r="E2553" t="s">
        <v>1217</v>
      </c>
      <c r="F2553" t="s">
        <v>1018</v>
      </c>
      <c r="G2553" t="s">
        <v>28</v>
      </c>
      <c r="H2553" t="s">
        <v>36</v>
      </c>
      <c r="I2553" t="s">
        <v>37</v>
      </c>
      <c r="J2553">
        <v>99</v>
      </c>
      <c r="K2553">
        <v>800.25</v>
      </c>
      <c r="L2553">
        <v>79224.36</v>
      </c>
      <c r="M2553">
        <v>39205.22</v>
      </c>
      <c r="N2553">
        <v>7485.81</v>
      </c>
      <c r="O2553">
        <v>2050.88</v>
      </c>
      <c r="P2553">
        <v>2832.3</v>
      </c>
      <c r="Q2553">
        <v>1407.14</v>
      </c>
      <c r="R2553">
        <v>3360.18</v>
      </c>
      <c r="S2553">
        <v>1110.3</v>
      </c>
      <c r="T2553">
        <v>57451.82</v>
      </c>
      <c r="U2553">
        <v>40019.14</v>
      </c>
      <c r="V2553">
        <v>21772.54</v>
      </c>
      <c r="W2553">
        <v>19171.39</v>
      </c>
      <c r="X2553">
        <v>86698.14</v>
      </c>
      <c r="Y2553">
        <v>56130.86</v>
      </c>
    </row>
    <row r="2554" spans="1:25" x14ac:dyDescent="0.25">
      <c r="A2554" t="s">
        <v>2610</v>
      </c>
      <c r="B2554" s="1">
        <v>45646</v>
      </c>
      <c r="C2554">
        <v>2024</v>
      </c>
      <c r="D2554">
        <v>12</v>
      </c>
      <c r="E2554" t="s">
        <v>1217</v>
      </c>
      <c r="F2554" t="s">
        <v>1018</v>
      </c>
      <c r="G2554" t="s">
        <v>28</v>
      </c>
      <c r="H2554" t="s">
        <v>53</v>
      </c>
      <c r="I2554" t="s">
        <v>37</v>
      </c>
      <c r="J2554">
        <v>53</v>
      </c>
      <c r="K2554">
        <v>1302.3900000000001</v>
      </c>
      <c r="L2554">
        <v>69026.78</v>
      </c>
      <c r="M2554">
        <v>40322.33</v>
      </c>
      <c r="N2554">
        <v>8090.75</v>
      </c>
      <c r="O2554">
        <v>2599.75</v>
      </c>
      <c r="P2554">
        <v>3088.19</v>
      </c>
      <c r="Q2554">
        <v>1188.1199999999999</v>
      </c>
      <c r="R2554">
        <v>2011.76</v>
      </c>
      <c r="S2554">
        <v>604.13</v>
      </c>
      <c r="T2554">
        <v>57905.03</v>
      </c>
      <c r="U2554">
        <v>28704.45</v>
      </c>
      <c r="V2554">
        <v>11121.75</v>
      </c>
      <c r="W2554">
        <v>10247.26</v>
      </c>
      <c r="X2554">
        <v>74230.12</v>
      </c>
      <c r="Y2554">
        <v>58274.5</v>
      </c>
    </row>
    <row r="2555" spans="1:25" x14ac:dyDescent="0.25">
      <c r="A2555" t="s">
        <v>2611</v>
      </c>
      <c r="B2555" s="1">
        <v>45646</v>
      </c>
      <c r="C2555">
        <v>2024</v>
      </c>
      <c r="D2555">
        <v>12</v>
      </c>
      <c r="E2555" t="s">
        <v>1217</v>
      </c>
      <c r="F2555" t="s">
        <v>1018</v>
      </c>
      <c r="G2555" t="s">
        <v>44</v>
      </c>
      <c r="H2555" t="s">
        <v>32</v>
      </c>
      <c r="I2555" t="s">
        <v>33</v>
      </c>
      <c r="J2555">
        <v>50</v>
      </c>
      <c r="K2555">
        <v>1281.8</v>
      </c>
      <c r="L2555">
        <v>64089.79</v>
      </c>
      <c r="M2555">
        <v>33383.07</v>
      </c>
      <c r="N2555">
        <v>5793.61</v>
      </c>
      <c r="O2555">
        <v>2817.65</v>
      </c>
      <c r="P2555">
        <v>2296.5300000000002</v>
      </c>
      <c r="Q2555">
        <v>662.12</v>
      </c>
      <c r="R2555">
        <v>3047.72</v>
      </c>
      <c r="S2555">
        <v>1600.56</v>
      </c>
      <c r="T2555">
        <v>49601.25</v>
      </c>
      <c r="U2555">
        <v>30706.720000000001</v>
      </c>
      <c r="V2555">
        <v>14488.53</v>
      </c>
      <c r="W2555">
        <v>13904.96</v>
      </c>
      <c r="X2555">
        <v>68594.080000000002</v>
      </c>
      <c r="Y2555">
        <v>46944.2</v>
      </c>
    </row>
    <row r="2556" spans="1:25" x14ac:dyDescent="0.25">
      <c r="A2556" t="s">
        <v>2612</v>
      </c>
      <c r="B2556" s="1">
        <v>45646</v>
      </c>
      <c r="C2556">
        <v>2024</v>
      </c>
      <c r="D2556">
        <v>12</v>
      </c>
      <c r="E2556" t="s">
        <v>1217</v>
      </c>
      <c r="F2556" t="s">
        <v>1018</v>
      </c>
      <c r="G2556" t="s">
        <v>55</v>
      </c>
      <c r="H2556" t="s">
        <v>32</v>
      </c>
      <c r="I2556" t="s">
        <v>65</v>
      </c>
      <c r="J2556">
        <v>98</v>
      </c>
      <c r="K2556">
        <v>824.73</v>
      </c>
      <c r="L2556">
        <v>80823.53</v>
      </c>
      <c r="M2556">
        <v>41849.870000000003</v>
      </c>
      <c r="N2556">
        <v>9981.84</v>
      </c>
      <c r="O2556">
        <v>5384.63</v>
      </c>
      <c r="P2556">
        <v>1978.57</v>
      </c>
      <c r="Q2556">
        <v>770.36</v>
      </c>
      <c r="R2556">
        <v>3484.72</v>
      </c>
      <c r="S2556">
        <v>1894.68</v>
      </c>
      <c r="T2556">
        <v>65344.66</v>
      </c>
      <c r="U2556">
        <v>38973.660000000003</v>
      </c>
      <c r="V2556">
        <v>15478.86</v>
      </c>
      <c r="W2556">
        <v>15426.36</v>
      </c>
      <c r="X2556">
        <v>77764.240000000005</v>
      </c>
      <c r="Y2556">
        <v>66555.64</v>
      </c>
    </row>
    <row r="2557" spans="1:25" x14ac:dyDescent="0.25">
      <c r="A2557" t="s">
        <v>2613</v>
      </c>
      <c r="B2557" s="1">
        <v>45646</v>
      </c>
      <c r="C2557">
        <v>2024</v>
      </c>
      <c r="D2557">
        <v>12</v>
      </c>
      <c r="E2557" t="s">
        <v>1217</v>
      </c>
      <c r="F2557" t="s">
        <v>1018</v>
      </c>
      <c r="G2557" t="s">
        <v>44</v>
      </c>
      <c r="H2557" t="s">
        <v>32</v>
      </c>
      <c r="I2557" t="s">
        <v>45</v>
      </c>
      <c r="J2557">
        <v>63</v>
      </c>
      <c r="K2557">
        <v>801.54</v>
      </c>
      <c r="L2557">
        <v>50496.94</v>
      </c>
      <c r="M2557">
        <v>26176.11</v>
      </c>
      <c r="N2557">
        <v>5362.33</v>
      </c>
      <c r="O2557">
        <v>2004</v>
      </c>
      <c r="P2557">
        <v>830.39</v>
      </c>
      <c r="Q2557">
        <v>355.12</v>
      </c>
      <c r="R2557">
        <v>2443.52</v>
      </c>
      <c r="S2557">
        <v>820.13</v>
      </c>
      <c r="T2557">
        <v>37991.599999999999</v>
      </c>
      <c r="U2557">
        <v>24320.83</v>
      </c>
      <c r="V2557">
        <v>12505.34</v>
      </c>
      <c r="W2557">
        <v>11819.99</v>
      </c>
      <c r="X2557">
        <v>55338.42</v>
      </c>
      <c r="Y2557">
        <v>36471.440000000002</v>
      </c>
    </row>
    <row r="2558" spans="1:25" x14ac:dyDescent="0.25">
      <c r="A2558" t="s">
        <v>2614</v>
      </c>
      <c r="B2558" s="1">
        <v>45647</v>
      </c>
      <c r="C2558">
        <v>2024</v>
      </c>
      <c r="D2558">
        <v>12</v>
      </c>
      <c r="E2558" t="s">
        <v>1217</v>
      </c>
      <c r="F2558" t="s">
        <v>1018</v>
      </c>
      <c r="G2558" t="s">
        <v>55</v>
      </c>
      <c r="H2558" t="s">
        <v>53</v>
      </c>
      <c r="I2558" t="s">
        <v>65</v>
      </c>
      <c r="J2558">
        <v>39</v>
      </c>
      <c r="K2558">
        <v>1513.3</v>
      </c>
      <c r="L2558">
        <v>59018.86</v>
      </c>
      <c r="M2558">
        <v>38001.85</v>
      </c>
      <c r="N2558">
        <v>6547</v>
      </c>
      <c r="O2558">
        <v>3126.18</v>
      </c>
      <c r="P2558">
        <v>2271.3200000000002</v>
      </c>
      <c r="Q2558">
        <v>345.79</v>
      </c>
      <c r="R2558">
        <v>2514.9499999999998</v>
      </c>
      <c r="S2558">
        <v>965.05</v>
      </c>
      <c r="T2558">
        <v>53772.14</v>
      </c>
      <c r="U2558">
        <v>21017.01</v>
      </c>
      <c r="V2558">
        <v>5246.71</v>
      </c>
      <c r="W2558">
        <v>5157.1099999999997</v>
      </c>
      <c r="X2558">
        <v>55998.27</v>
      </c>
      <c r="Y2558">
        <v>54540.44</v>
      </c>
    </row>
    <row r="2559" spans="1:25" x14ac:dyDescent="0.25">
      <c r="A2559" t="s">
        <v>2615</v>
      </c>
      <c r="B2559" s="1">
        <v>45647</v>
      </c>
      <c r="C2559">
        <v>2024</v>
      </c>
      <c r="D2559">
        <v>12</v>
      </c>
      <c r="E2559" t="s">
        <v>1217</v>
      </c>
      <c r="F2559" t="s">
        <v>1018</v>
      </c>
      <c r="G2559" t="s">
        <v>28</v>
      </c>
      <c r="H2559" t="s">
        <v>32</v>
      </c>
      <c r="I2559" t="s">
        <v>56</v>
      </c>
      <c r="J2559">
        <v>34</v>
      </c>
      <c r="K2559">
        <v>1321.34</v>
      </c>
      <c r="L2559">
        <v>44925.48</v>
      </c>
      <c r="M2559">
        <v>26271.34</v>
      </c>
      <c r="N2559">
        <v>5815.99</v>
      </c>
      <c r="O2559">
        <v>2802.86</v>
      </c>
      <c r="P2559">
        <v>783.13</v>
      </c>
      <c r="Q2559">
        <v>636.08000000000004</v>
      </c>
      <c r="R2559">
        <v>1223.26</v>
      </c>
      <c r="S2559">
        <v>781.4</v>
      </c>
      <c r="T2559">
        <v>38314.07</v>
      </c>
      <c r="U2559">
        <v>18654.14</v>
      </c>
      <c r="V2559">
        <v>6611.41</v>
      </c>
      <c r="W2559">
        <v>6489.22</v>
      </c>
      <c r="X2559">
        <v>42736.63</v>
      </c>
      <c r="Y2559">
        <v>38229.82</v>
      </c>
    </row>
    <row r="2560" spans="1:25" x14ac:dyDescent="0.25">
      <c r="A2560" t="s">
        <v>2616</v>
      </c>
      <c r="B2560" s="1">
        <v>45647</v>
      </c>
      <c r="C2560">
        <v>2024</v>
      </c>
      <c r="D2560">
        <v>12</v>
      </c>
      <c r="E2560" t="s">
        <v>1217</v>
      </c>
      <c r="F2560" t="s">
        <v>1018</v>
      </c>
      <c r="G2560" t="s">
        <v>28</v>
      </c>
      <c r="H2560" t="s">
        <v>36</v>
      </c>
      <c r="I2560" t="s">
        <v>37</v>
      </c>
      <c r="J2560">
        <v>81</v>
      </c>
      <c r="K2560">
        <v>1090.45</v>
      </c>
      <c r="L2560">
        <v>88326.34</v>
      </c>
      <c r="M2560">
        <v>47193.16</v>
      </c>
      <c r="N2560">
        <v>9462.7000000000007</v>
      </c>
      <c r="O2560">
        <v>2607.7600000000002</v>
      </c>
      <c r="P2560">
        <v>2539.41</v>
      </c>
      <c r="Q2560">
        <v>1117.82</v>
      </c>
      <c r="R2560">
        <v>4015.35</v>
      </c>
      <c r="S2560">
        <v>1155.1199999999999</v>
      </c>
      <c r="T2560">
        <v>68091.31</v>
      </c>
      <c r="U2560">
        <v>41133.18</v>
      </c>
      <c r="V2560">
        <v>20235.03</v>
      </c>
      <c r="W2560">
        <v>20585.04</v>
      </c>
      <c r="X2560">
        <v>83624.600000000006</v>
      </c>
      <c r="Y2560">
        <v>67081.17</v>
      </c>
    </row>
    <row r="2561" spans="1:25" x14ac:dyDescent="0.25">
      <c r="A2561" t="s">
        <v>2617</v>
      </c>
      <c r="B2561" s="1">
        <v>45647</v>
      </c>
      <c r="C2561">
        <v>2024</v>
      </c>
      <c r="D2561">
        <v>12</v>
      </c>
      <c r="E2561" t="s">
        <v>1217</v>
      </c>
      <c r="F2561" t="s">
        <v>1018</v>
      </c>
      <c r="G2561" t="s">
        <v>55</v>
      </c>
      <c r="H2561" t="s">
        <v>32</v>
      </c>
      <c r="I2561" t="s">
        <v>37</v>
      </c>
      <c r="J2561">
        <v>63</v>
      </c>
      <c r="K2561">
        <v>1421.95</v>
      </c>
      <c r="L2561">
        <v>89582.59</v>
      </c>
      <c r="M2561">
        <v>46005.21</v>
      </c>
      <c r="N2561">
        <v>7672.48</v>
      </c>
      <c r="O2561">
        <v>3177.86</v>
      </c>
      <c r="P2561">
        <v>1643.95</v>
      </c>
      <c r="Q2561">
        <v>1486.71</v>
      </c>
      <c r="R2561">
        <v>4203.76</v>
      </c>
      <c r="S2561">
        <v>1893.33</v>
      </c>
      <c r="T2561">
        <v>66083.289999999994</v>
      </c>
      <c r="U2561">
        <v>43577.38</v>
      </c>
      <c r="V2561">
        <v>23499.3</v>
      </c>
      <c r="W2561">
        <v>22546.46</v>
      </c>
      <c r="X2561">
        <v>90429.83</v>
      </c>
      <c r="Y2561">
        <v>63406.59</v>
      </c>
    </row>
    <row r="2562" spans="1:25" x14ac:dyDescent="0.25">
      <c r="A2562" t="s">
        <v>2618</v>
      </c>
      <c r="B2562" s="1">
        <v>45647</v>
      </c>
      <c r="C2562">
        <v>2024</v>
      </c>
      <c r="D2562">
        <v>12</v>
      </c>
      <c r="E2562" t="s">
        <v>1217</v>
      </c>
      <c r="F2562" t="s">
        <v>1018</v>
      </c>
      <c r="G2562" t="s">
        <v>35</v>
      </c>
      <c r="H2562" t="s">
        <v>53</v>
      </c>
      <c r="I2562" t="s">
        <v>37</v>
      </c>
      <c r="J2562">
        <v>35</v>
      </c>
      <c r="K2562">
        <v>1611.58</v>
      </c>
      <c r="L2562">
        <v>56405.45</v>
      </c>
      <c r="M2562">
        <v>35699.370000000003</v>
      </c>
      <c r="N2562">
        <v>5476.88</v>
      </c>
      <c r="O2562">
        <v>4145.9799999999996</v>
      </c>
      <c r="P2562">
        <v>2396.19</v>
      </c>
      <c r="Q2562">
        <v>518.03</v>
      </c>
      <c r="R2562">
        <v>1565.94</v>
      </c>
      <c r="S2562">
        <v>671.35</v>
      </c>
      <c r="T2562">
        <v>50473.74</v>
      </c>
      <c r="U2562">
        <v>20706.080000000002</v>
      </c>
      <c r="V2562">
        <v>5931.7</v>
      </c>
      <c r="W2562">
        <v>5229.62</v>
      </c>
      <c r="X2562">
        <v>57610.879999999997</v>
      </c>
      <c r="Y2562">
        <v>53754.07</v>
      </c>
    </row>
    <row r="2563" spans="1:25" x14ac:dyDescent="0.25">
      <c r="A2563" t="s">
        <v>2619</v>
      </c>
      <c r="B2563" s="1">
        <v>45648</v>
      </c>
      <c r="C2563">
        <v>2024</v>
      </c>
      <c r="D2563">
        <v>12</v>
      </c>
      <c r="E2563" t="s">
        <v>1217</v>
      </c>
      <c r="F2563" t="s">
        <v>1018</v>
      </c>
      <c r="G2563" t="s">
        <v>28</v>
      </c>
      <c r="H2563" t="s">
        <v>32</v>
      </c>
      <c r="I2563" t="s">
        <v>45</v>
      </c>
      <c r="J2563">
        <v>33</v>
      </c>
      <c r="K2563">
        <v>1331.75</v>
      </c>
      <c r="L2563">
        <v>43947.71</v>
      </c>
      <c r="M2563">
        <v>26150.1</v>
      </c>
      <c r="N2563">
        <v>4529.97</v>
      </c>
      <c r="O2563">
        <v>1931.45</v>
      </c>
      <c r="P2563">
        <v>748.7</v>
      </c>
      <c r="Q2563">
        <v>247.4</v>
      </c>
      <c r="R2563">
        <v>1196.96</v>
      </c>
      <c r="S2563">
        <v>742.88</v>
      </c>
      <c r="T2563">
        <v>35547.46</v>
      </c>
      <c r="U2563">
        <v>17797.599999999999</v>
      </c>
      <c r="V2563">
        <v>8400.25</v>
      </c>
      <c r="W2563">
        <v>7930.19</v>
      </c>
      <c r="X2563">
        <v>45791.34</v>
      </c>
      <c r="Y2563">
        <v>35214.01</v>
      </c>
    </row>
    <row r="2564" spans="1:25" x14ac:dyDescent="0.25">
      <c r="A2564" t="s">
        <v>2620</v>
      </c>
      <c r="B2564" s="1">
        <v>45648</v>
      </c>
      <c r="C2564">
        <v>2024</v>
      </c>
      <c r="D2564">
        <v>12</v>
      </c>
      <c r="E2564" t="s">
        <v>1217</v>
      </c>
      <c r="F2564" t="s">
        <v>1018</v>
      </c>
      <c r="G2564" t="s">
        <v>44</v>
      </c>
      <c r="H2564" t="s">
        <v>32</v>
      </c>
      <c r="I2564" t="s">
        <v>50</v>
      </c>
      <c r="J2564">
        <v>42</v>
      </c>
      <c r="K2564">
        <v>1019.37</v>
      </c>
      <c r="L2564">
        <v>42813.63</v>
      </c>
      <c r="M2564">
        <v>23723.9</v>
      </c>
      <c r="N2564">
        <v>4837.03</v>
      </c>
      <c r="O2564">
        <v>1437.11</v>
      </c>
      <c r="P2564">
        <v>1432.73</v>
      </c>
      <c r="Q2564">
        <v>622.39</v>
      </c>
      <c r="R2564">
        <v>1250.48</v>
      </c>
      <c r="S2564">
        <v>363.01</v>
      </c>
      <c r="T2564">
        <v>33666.65</v>
      </c>
      <c r="U2564">
        <v>19089.73</v>
      </c>
      <c r="V2564">
        <v>9146.98</v>
      </c>
      <c r="W2564">
        <v>9103.0300000000007</v>
      </c>
      <c r="X2564">
        <v>45535.34</v>
      </c>
      <c r="Y2564">
        <v>36195.879999999997</v>
      </c>
    </row>
    <row r="2565" spans="1:25" x14ac:dyDescent="0.25">
      <c r="A2565" t="s">
        <v>2621</v>
      </c>
      <c r="B2565" s="1">
        <v>45649</v>
      </c>
      <c r="C2565">
        <v>2024</v>
      </c>
      <c r="D2565">
        <v>12</v>
      </c>
      <c r="E2565" t="s">
        <v>1217</v>
      </c>
      <c r="F2565" t="s">
        <v>1018</v>
      </c>
      <c r="G2565" t="s">
        <v>44</v>
      </c>
      <c r="H2565" t="s">
        <v>58</v>
      </c>
      <c r="I2565" t="s">
        <v>37</v>
      </c>
      <c r="J2565">
        <v>27</v>
      </c>
      <c r="K2565">
        <v>1805.77</v>
      </c>
      <c r="L2565">
        <v>48755.67</v>
      </c>
      <c r="M2565">
        <v>26614.65</v>
      </c>
      <c r="N2565">
        <v>3488.02</v>
      </c>
      <c r="O2565">
        <v>1437.16</v>
      </c>
      <c r="P2565">
        <v>1171.83</v>
      </c>
      <c r="Q2565">
        <v>315.99</v>
      </c>
      <c r="R2565">
        <v>1765.61</v>
      </c>
      <c r="S2565">
        <v>775.91</v>
      </c>
      <c r="T2565">
        <v>35569.160000000003</v>
      </c>
      <c r="U2565">
        <v>22141.02</v>
      </c>
      <c r="V2565">
        <v>13186.51</v>
      </c>
      <c r="W2565">
        <v>12677.25</v>
      </c>
      <c r="X2565">
        <v>45227.54</v>
      </c>
      <c r="Y2565">
        <v>33294.879999999997</v>
      </c>
    </row>
    <row r="2566" spans="1:25" x14ac:dyDescent="0.25">
      <c r="A2566" t="s">
        <v>2622</v>
      </c>
      <c r="B2566" s="1">
        <v>45650</v>
      </c>
      <c r="C2566">
        <v>2024</v>
      </c>
      <c r="D2566">
        <v>12</v>
      </c>
      <c r="E2566" t="s">
        <v>1217</v>
      </c>
      <c r="F2566" t="s">
        <v>1018</v>
      </c>
      <c r="G2566" t="s">
        <v>28</v>
      </c>
      <c r="H2566" t="s">
        <v>36</v>
      </c>
      <c r="I2566" t="s">
        <v>37</v>
      </c>
      <c r="J2566">
        <v>52</v>
      </c>
      <c r="K2566">
        <v>1163.3900000000001</v>
      </c>
      <c r="L2566">
        <v>60496.480000000003</v>
      </c>
      <c r="M2566">
        <v>35572.1</v>
      </c>
      <c r="N2566">
        <v>5655.99</v>
      </c>
      <c r="O2566">
        <v>2468.46</v>
      </c>
      <c r="P2566">
        <v>2468.0700000000002</v>
      </c>
      <c r="Q2566">
        <v>901.57</v>
      </c>
      <c r="R2566">
        <v>1808.6</v>
      </c>
      <c r="S2566">
        <v>735.45</v>
      </c>
      <c r="T2566">
        <v>49610.239999999998</v>
      </c>
      <c r="U2566">
        <v>24924.38</v>
      </c>
      <c r="V2566">
        <v>10886.24</v>
      </c>
      <c r="W2566">
        <v>10189.370000000001</v>
      </c>
      <c r="X2566">
        <v>58177.66</v>
      </c>
      <c r="Y2566">
        <v>52939.61</v>
      </c>
    </row>
    <row r="2567" spans="1:25" x14ac:dyDescent="0.25">
      <c r="A2567" t="s">
        <v>2623</v>
      </c>
      <c r="B2567" s="1">
        <v>45650</v>
      </c>
      <c r="C2567">
        <v>2024</v>
      </c>
      <c r="D2567">
        <v>12</v>
      </c>
      <c r="E2567" t="s">
        <v>1217</v>
      </c>
      <c r="F2567" t="s">
        <v>1018</v>
      </c>
      <c r="G2567" t="s">
        <v>28</v>
      </c>
      <c r="H2567" t="s">
        <v>36</v>
      </c>
      <c r="I2567" t="s">
        <v>50</v>
      </c>
      <c r="J2567">
        <v>23</v>
      </c>
      <c r="K2567">
        <v>1699.31</v>
      </c>
      <c r="L2567">
        <v>39084.160000000003</v>
      </c>
      <c r="M2567">
        <v>19464.97</v>
      </c>
      <c r="N2567">
        <v>3328.34</v>
      </c>
      <c r="O2567">
        <v>1465.79</v>
      </c>
      <c r="P2567">
        <v>950.07</v>
      </c>
      <c r="Q2567">
        <v>574.5</v>
      </c>
      <c r="R2567">
        <v>1428.35</v>
      </c>
      <c r="S2567">
        <v>546.42999999999995</v>
      </c>
      <c r="T2567">
        <v>27758.45</v>
      </c>
      <c r="U2567">
        <v>19619.189999999999</v>
      </c>
      <c r="V2567">
        <v>11325.71</v>
      </c>
      <c r="W2567">
        <v>10275.450000000001</v>
      </c>
      <c r="X2567">
        <v>39276.07</v>
      </c>
      <c r="Y2567">
        <v>28997.78</v>
      </c>
    </row>
    <row r="2568" spans="1:25" x14ac:dyDescent="0.25">
      <c r="A2568" t="s">
        <v>2624</v>
      </c>
      <c r="B2568" s="1">
        <v>45651</v>
      </c>
      <c r="C2568">
        <v>2024</v>
      </c>
      <c r="D2568">
        <v>12</v>
      </c>
      <c r="E2568" t="s">
        <v>1217</v>
      </c>
      <c r="F2568" t="s">
        <v>1018</v>
      </c>
      <c r="G2568" t="s">
        <v>55</v>
      </c>
      <c r="H2568" t="s">
        <v>32</v>
      </c>
      <c r="I2568" t="s">
        <v>39</v>
      </c>
      <c r="J2568">
        <v>42</v>
      </c>
      <c r="K2568">
        <v>1338.29</v>
      </c>
      <c r="L2568">
        <v>56208.31</v>
      </c>
      <c r="M2568">
        <v>36015.699999999997</v>
      </c>
      <c r="N2568">
        <v>6211.03</v>
      </c>
      <c r="O2568">
        <v>2845.68</v>
      </c>
      <c r="P2568">
        <v>2522.85</v>
      </c>
      <c r="Q2568">
        <v>916.33</v>
      </c>
      <c r="R2568">
        <v>2849.71</v>
      </c>
      <c r="S2568">
        <v>1325.87</v>
      </c>
      <c r="T2568">
        <v>52687.17</v>
      </c>
      <c r="U2568">
        <v>20192.61</v>
      </c>
      <c r="V2568">
        <v>3521.14</v>
      </c>
      <c r="W2568">
        <v>3580.25</v>
      </c>
      <c r="X2568">
        <v>53878.33</v>
      </c>
      <c r="Y2568">
        <v>51846.46</v>
      </c>
    </row>
    <row r="2569" spans="1:25" x14ac:dyDescent="0.25">
      <c r="A2569" t="s">
        <v>2625</v>
      </c>
      <c r="B2569" s="1">
        <v>45651</v>
      </c>
      <c r="C2569">
        <v>2024</v>
      </c>
      <c r="D2569">
        <v>12</v>
      </c>
      <c r="E2569" t="s">
        <v>1217</v>
      </c>
      <c r="F2569" t="s">
        <v>1018</v>
      </c>
      <c r="G2569" t="s">
        <v>28</v>
      </c>
      <c r="H2569" t="s">
        <v>36</v>
      </c>
      <c r="I2569" t="s">
        <v>45</v>
      </c>
      <c r="J2569">
        <v>22</v>
      </c>
      <c r="K2569">
        <v>1772.73</v>
      </c>
      <c r="L2569">
        <v>38999.97</v>
      </c>
      <c r="M2569">
        <v>20028.669999999998</v>
      </c>
      <c r="N2569">
        <v>3068.16</v>
      </c>
      <c r="O2569">
        <v>1784.12</v>
      </c>
      <c r="P2569">
        <v>1721.62</v>
      </c>
      <c r="Q2569">
        <v>533.95000000000005</v>
      </c>
      <c r="R2569">
        <v>2397.54</v>
      </c>
      <c r="S2569">
        <v>511.62</v>
      </c>
      <c r="T2569">
        <v>30045.66</v>
      </c>
      <c r="U2569">
        <v>18971.3</v>
      </c>
      <c r="V2569">
        <v>8954.31</v>
      </c>
      <c r="W2569">
        <v>8144.03</v>
      </c>
      <c r="X2569">
        <v>40906.660000000003</v>
      </c>
      <c r="Y2569">
        <v>28227.88</v>
      </c>
    </row>
    <row r="2570" spans="1:25" x14ac:dyDescent="0.25">
      <c r="A2570" t="s">
        <v>2626</v>
      </c>
      <c r="B2570" s="1">
        <v>45651</v>
      </c>
      <c r="C2570">
        <v>2024</v>
      </c>
      <c r="D2570">
        <v>12</v>
      </c>
      <c r="E2570" t="s">
        <v>1217</v>
      </c>
      <c r="F2570" t="s">
        <v>1018</v>
      </c>
      <c r="G2570" t="s">
        <v>35</v>
      </c>
      <c r="H2570" t="s">
        <v>29</v>
      </c>
      <c r="I2570" t="s">
        <v>56</v>
      </c>
      <c r="J2570">
        <v>18</v>
      </c>
      <c r="K2570">
        <v>1361.56</v>
      </c>
      <c r="L2570">
        <v>24508.09</v>
      </c>
      <c r="M2570">
        <v>12785.1</v>
      </c>
      <c r="N2570">
        <v>2034.07</v>
      </c>
      <c r="O2570">
        <v>887.08</v>
      </c>
      <c r="P2570">
        <v>776.17</v>
      </c>
      <c r="Q2570">
        <v>398.32</v>
      </c>
      <c r="R2570">
        <v>822.44</v>
      </c>
      <c r="S2570">
        <v>553.97</v>
      </c>
      <c r="T2570">
        <v>18257.14</v>
      </c>
      <c r="U2570">
        <v>11722.99</v>
      </c>
      <c r="V2570">
        <v>6250.95</v>
      </c>
      <c r="W2570">
        <v>5512.64</v>
      </c>
      <c r="X2570">
        <v>25134.21</v>
      </c>
      <c r="Y2570">
        <v>19949.64</v>
      </c>
    </row>
    <row r="2571" spans="1:25" x14ac:dyDescent="0.25">
      <c r="A2571" t="s">
        <v>2627</v>
      </c>
      <c r="B2571" s="1">
        <v>45651</v>
      </c>
      <c r="C2571">
        <v>2024</v>
      </c>
      <c r="D2571">
        <v>12</v>
      </c>
      <c r="E2571" t="s">
        <v>1217</v>
      </c>
      <c r="F2571" t="s">
        <v>1018</v>
      </c>
      <c r="G2571" t="s">
        <v>55</v>
      </c>
      <c r="H2571" t="s">
        <v>36</v>
      </c>
      <c r="I2571" t="s">
        <v>65</v>
      </c>
      <c r="J2571">
        <v>32</v>
      </c>
      <c r="K2571">
        <v>1763.3</v>
      </c>
      <c r="L2571">
        <v>56425.67</v>
      </c>
      <c r="M2571">
        <v>33254.089999999997</v>
      </c>
      <c r="N2571">
        <v>5366.31</v>
      </c>
      <c r="O2571">
        <v>3045.3</v>
      </c>
      <c r="P2571">
        <v>2156.4699999999998</v>
      </c>
      <c r="Q2571">
        <v>519.5</v>
      </c>
      <c r="R2571">
        <v>2126.33</v>
      </c>
      <c r="S2571">
        <v>1092.3800000000001</v>
      </c>
      <c r="T2571">
        <v>47560.39</v>
      </c>
      <c r="U2571">
        <v>23171.59</v>
      </c>
      <c r="V2571">
        <v>8865.2900000000009</v>
      </c>
      <c r="W2571">
        <v>8288.2000000000007</v>
      </c>
      <c r="X2571">
        <v>60929.06</v>
      </c>
      <c r="Y2571">
        <v>47959.37</v>
      </c>
    </row>
    <row r="2572" spans="1:25" x14ac:dyDescent="0.25">
      <c r="A2572" t="s">
        <v>2628</v>
      </c>
      <c r="B2572" s="1">
        <v>45651</v>
      </c>
      <c r="C2572">
        <v>2024</v>
      </c>
      <c r="D2572">
        <v>12</v>
      </c>
      <c r="E2572" t="s">
        <v>1217</v>
      </c>
      <c r="F2572" t="s">
        <v>1018</v>
      </c>
      <c r="G2572" t="s">
        <v>35</v>
      </c>
      <c r="H2572" t="s">
        <v>58</v>
      </c>
      <c r="I2572" t="s">
        <v>30</v>
      </c>
      <c r="J2572">
        <v>60</v>
      </c>
      <c r="K2572">
        <v>1569.75</v>
      </c>
      <c r="L2572">
        <v>94184.8</v>
      </c>
      <c r="M2572">
        <v>55974.42</v>
      </c>
      <c r="N2572">
        <v>8991.15</v>
      </c>
      <c r="O2572">
        <v>3016.45</v>
      </c>
      <c r="P2572">
        <v>3859.08</v>
      </c>
      <c r="Q2572">
        <v>1556.76</v>
      </c>
      <c r="R2572">
        <v>2693.33</v>
      </c>
      <c r="S2572">
        <v>1400.32</v>
      </c>
      <c r="T2572">
        <v>77491.509999999995</v>
      </c>
      <c r="U2572">
        <v>38210.379999999997</v>
      </c>
      <c r="V2572">
        <v>16693.29</v>
      </c>
      <c r="W2572">
        <v>16883.939999999999</v>
      </c>
      <c r="X2572">
        <v>100588.65</v>
      </c>
      <c r="Y2572">
        <v>74856.160000000003</v>
      </c>
    </row>
    <row r="2573" spans="1:25" x14ac:dyDescent="0.25">
      <c r="A2573" t="s">
        <v>2629</v>
      </c>
      <c r="B2573" s="1">
        <v>45652</v>
      </c>
      <c r="C2573">
        <v>2024</v>
      </c>
      <c r="D2573">
        <v>12</v>
      </c>
      <c r="E2573" t="s">
        <v>1217</v>
      </c>
      <c r="F2573" t="s">
        <v>1018</v>
      </c>
      <c r="G2573" t="s">
        <v>44</v>
      </c>
      <c r="H2573" t="s">
        <v>53</v>
      </c>
      <c r="I2573" t="s">
        <v>37</v>
      </c>
      <c r="J2573">
        <v>32</v>
      </c>
      <c r="K2573">
        <v>1370.27</v>
      </c>
      <c r="L2573">
        <v>43848.68</v>
      </c>
      <c r="M2573">
        <v>22625.16</v>
      </c>
      <c r="N2573">
        <v>3265.35</v>
      </c>
      <c r="O2573">
        <v>2483.83</v>
      </c>
      <c r="P2573">
        <v>1058.67</v>
      </c>
      <c r="Q2573">
        <v>451.56</v>
      </c>
      <c r="R2573">
        <v>2072.27</v>
      </c>
      <c r="S2573">
        <v>879.84</v>
      </c>
      <c r="T2573">
        <v>32836.69</v>
      </c>
      <c r="U2573">
        <v>21223.51</v>
      </c>
      <c r="V2573">
        <v>11011.99</v>
      </c>
      <c r="W2573">
        <v>10603.62</v>
      </c>
      <c r="X2573">
        <v>48490.87</v>
      </c>
      <c r="Y2573">
        <v>33377.68</v>
      </c>
    </row>
    <row r="2574" spans="1:25" x14ac:dyDescent="0.25">
      <c r="A2574" t="s">
        <v>2630</v>
      </c>
      <c r="B2574" s="1">
        <v>45652</v>
      </c>
      <c r="C2574">
        <v>2024</v>
      </c>
      <c r="D2574">
        <v>12</v>
      </c>
      <c r="E2574" t="s">
        <v>1217</v>
      </c>
      <c r="F2574" t="s">
        <v>1018</v>
      </c>
      <c r="G2574" t="s">
        <v>44</v>
      </c>
      <c r="H2574" t="s">
        <v>29</v>
      </c>
      <c r="I2574" t="s">
        <v>65</v>
      </c>
      <c r="J2574">
        <v>31</v>
      </c>
      <c r="K2574">
        <v>1704.35</v>
      </c>
      <c r="L2574">
        <v>52834.79</v>
      </c>
      <c r="M2574">
        <v>30603.53</v>
      </c>
      <c r="N2574">
        <v>6028.03</v>
      </c>
      <c r="O2574">
        <v>3481.37</v>
      </c>
      <c r="P2574">
        <v>1753.4</v>
      </c>
      <c r="Q2574">
        <v>901.87</v>
      </c>
      <c r="R2574">
        <v>3235.81</v>
      </c>
      <c r="S2574">
        <v>452.39</v>
      </c>
      <c r="T2574">
        <v>46456.4</v>
      </c>
      <c r="U2574">
        <v>22231.26</v>
      </c>
      <c r="V2574">
        <v>6378.39</v>
      </c>
      <c r="W2574">
        <v>6163.32</v>
      </c>
      <c r="X2574">
        <v>58230.46</v>
      </c>
      <c r="Y2574">
        <v>48571.23</v>
      </c>
    </row>
    <row r="2575" spans="1:25" x14ac:dyDescent="0.25">
      <c r="A2575" t="s">
        <v>2631</v>
      </c>
      <c r="B2575" s="1">
        <v>45652</v>
      </c>
      <c r="C2575">
        <v>2024</v>
      </c>
      <c r="D2575">
        <v>12</v>
      </c>
      <c r="E2575" t="s">
        <v>1217</v>
      </c>
      <c r="F2575" t="s">
        <v>1018</v>
      </c>
      <c r="G2575" t="s">
        <v>55</v>
      </c>
      <c r="H2575" t="s">
        <v>36</v>
      </c>
      <c r="I2575" t="s">
        <v>45</v>
      </c>
      <c r="J2575">
        <v>32</v>
      </c>
      <c r="K2575">
        <v>1629.49</v>
      </c>
      <c r="L2575">
        <v>52143.83</v>
      </c>
      <c r="M2575">
        <v>30898.99</v>
      </c>
      <c r="N2575">
        <v>5230.18</v>
      </c>
      <c r="O2575">
        <v>3132.21</v>
      </c>
      <c r="P2575">
        <v>2210.3200000000002</v>
      </c>
      <c r="Q2575">
        <v>517.79</v>
      </c>
      <c r="R2575">
        <v>2214.61</v>
      </c>
      <c r="S2575">
        <v>864.83</v>
      </c>
      <c r="T2575">
        <v>45068.93</v>
      </c>
      <c r="U2575">
        <v>21244.84</v>
      </c>
      <c r="V2575">
        <v>7074.9</v>
      </c>
      <c r="W2575">
        <v>6753.55</v>
      </c>
      <c r="X2575">
        <v>54086.39</v>
      </c>
      <c r="Y2575">
        <v>49108.03</v>
      </c>
    </row>
    <row r="2576" spans="1:25" x14ac:dyDescent="0.25">
      <c r="A2576" t="s">
        <v>2632</v>
      </c>
      <c r="B2576" s="1">
        <v>45652</v>
      </c>
      <c r="C2576">
        <v>2024</v>
      </c>
      <c r="D2576">
        <v>12</v>
      </c>
      <c r="E2576" t="s">
        <v>1217</v>
      </c>
      <c r="F2576" t="s">
        <v>1018</v>
      </c>
      <c r="G2576" t="s">
        <v>28</v>
      </c>
      <c r="H2576" t="s">
        <v>29</v>
      </c>
      <c r="I2576" t="s">
        <v>30</v>
      </c>
      <c r="J2576">
        <v>91</v>
      </c>
      <c r="K2576">
        <v>1059.6600000000001</v>
      </c>
      <c r="L2576">
        <v>96429.49</v>
      </c>
      <c r="M2576">
        <v>62931.19</v>
      </c>
      <c r="N2576">
        <v>6923.86</v>
      </c>
      <c r="O2576">
        <v>6280.55</v>
      </c>
      <c r="P2576">
        <v>3683.97</v>
      </c>
      <c r="Q2576">
        <v>954.08</v>
      </c>
      <c r="R2576">
        <v>4642.17</v>
      </c>
      <c r="S2576">
        <v>1126.24</v>
      </c>
      <c r="T2576">
        <v>86542.05</v>
      </c>
      <c r="U2576">
        <v>33498.31</v>
      </c>
      <c r="V2576">
        <v>9887.4500000000007</v>
      </c>
      <c r="W2576">
        <v>9910.0499999999993</v>
      </c>
      <c r="X2576">
        <v>92633.67</v>
      </c>
      <c r="Y2576">
        <v>94043.98</v>
      </c>
    </row>
    <row r="2577" spans="1:25" x14ac:dyDescent="0.25">
      <c r="A2577" t="s">
        <v>2633</v>
      </c>
      <c r="B2577" s="1">
        <v>45652</v>
      </c>
      <c r="C2577">
        <v>2024</v>
      </c>
      <c r="D2577">
        <v>12</v>
      </c>
      <c r="E2577" t="s">
        <v>1217</v>
      </c>
      <c r="F2577" t="s">
        <v>1018</v>
      </c>
      <c r="G2577" t="s">
        <v>35</v>
      </c>
      <c r="H2577" t="s">
        <v>36</v>
      </c>
      <c r="I2577" t="s">
        <v>33</v>
      </c>
      <c r="J2577">
        <v>56</v>
      </c>
      <c r="K2577">
        <v>1128.46</v>
      </c>
      <c r="L2577">
        <v>63193.53</v>
      </c>
      <c r="M2577">
        <v>36612.61</v>
      </c>
      <c r="N2577">
        <v>7129.6</v>
      </c>
      <c r="O2577">
        <v>2738.19</v>
      </c>
      <c r="P2577">
        <v>1557.71</v>
      </c>
      <c r="Q2577">
        <v>696.71</v>
      </c>
      <c r="R2577">
        <v>1834.61</v>
      </c>
      <c r="S2577">
        <v>963.54</v>
      </c>
      <c r="T2577">
        <v>51532.959999999999</v>
      </c>
      <c r="U2577">
        <v>26580.92</v>
      </c>
      <c r="V2577">
        <v>11660.57</v>
      </c>
      <c r="W2577">
        <v>11427.75</v>
      </c>
      <c r="X2577">
        <v>58307.64</v>
      </c>
      <c r="Y2577">
        <v>51141.56</v>
      </c>
    </row>
    <row r="2578" spans="1:25" x14ac:dyDescent="0.25">
      <c r="A2578" t="s">
        <v>2634</v>
      </c>
      <c r="B2578" s="1">
        <v>45652</v>
      </c>
      <c r="C2578">
        <v>2024</v>
      </c>
      <c r="D2578">
        <v>12</v>
      </c>
      <c r="E2578" t="s">
        <v>1217</v>
      </c>
      <c r="F2578" t="s">
        <v>1018</v>
      </c>
      <c r="G2578" t="s">
        <v>55</v>
      </c>
      <c r="H2578" t="s">
        <v>53</v>
      </c>
      <c r="I2578" t="s">
        <v>50</v>
      </c>
      <c r="J2578">
        <v>54</v>
      </c>
      <c r="K2578">
        <v>1038.58</v>
      </c>
      <c r="L2578">
        <v>56083.27</v>
      </c>
      <c r="M2578">
        <v>37074.239999999998</v>
      </c>
      <c r="N2578">
        <v>6223.44</v>
      </c>
      <c r="O2578">
        <v>2581.75</v>
      </c>
      <c r="P2578">
        <v>929.57</v>
      </c>
      <c r="Q2578">
        <v>513.73</v>
      </c>
      <c r="R2578">
        <v>3507.16</v>
      </c>
      <c r="S2578">
        <v>532.5</v>
      </c>
      <c r="T2578">
        <v>51362.38</v>
      </c>
      <c r="U2578">
        <v>19009.03</v>
      </c>
      <c r="V2578">
        <v>4720.8900000000003</v>
      </c>
      <c r="W2578">
        <v>4240.57</v>
      </c>
      <c r="X2578">
        <v>57655.41</v>
      </c>
      <c r="Y2578">
        <v>52538.559999999998</v>
      </c>
    </row>
    <row r="2579" spans="1:25" x14ac:dyDescent="0.25">
      <c r="A2579" t="s">
        <v>2635</v>
      </c>
      <c r="B2579" s="1">
        <v>45652</v>
      </c>
      <c r="C2579">
        <v>2024</v>
      </c>
      <c r="D2579">
        <v>12</v>
      </c>
      <c r="E2579" t="s">
        <v>1217</v>
      </c>
      <c r="F2579" t="s">
        <v>1018</v>
      </c>
      <c r="G2579" t="s">
        <v>28</v>
      </c>
      <c r="H2579" t="s">
        <v>29</v>
      </c>
      <c r="I2579" t="s">
        <v>45</v>
      </c>
      <c r="J2579">
        <v>47</v>
      </c>
      <c r="K2579">
        <v>1149.3</v>
      </c>
      <c r="L2579">
        <v>54017.31</v>
      </c>
      <c r="M2579">
        <v>30743.14</v>
      </c>
      <c r="N2579">
        <v>5918.54</v>
      </c>
      <c r="O2579">
        <v>2577.21</v>
      </c>
      <c r="P2579">
        <v>1753.94</v>
      </c>
      <c r="Q2579">
        <v>673.81</v>
      </c>
      <c r="R2579">
        <v>2175.19</v>
      </c>
      <c r="S2579">
        <v>1137.73</v>
      </c>
      <c r="T2579">
        <v>44979.56</v>
      </c>
      <c r="U2579">
        <v>23274.17</v>
      </c>
      <c r="V2579">
        <v>9037.75</v>
      </c>
      <c r="W2579">
        <v>9086.26</v>
      </c>
      <c r="X2579">
        <v>53864.81</v>
      </c>
      <c r="Y2579">
        <v>45896.52</v>
      </c>
    </row>
    <row r="2580" spans="1:25" x14ac:dyDescent="0.25">
      <c r="A2580" t="s">
        <v>2636</v>
      </c>
      <c r="B2580" s="1">
        <v>45652</v>
      </c>
      <c r="C2580">
        <v>2024</v>
      </c>
      <c r="D2580">
        <v>12</v>
      </c>
      <c r="E2580" t="s">
        <v>1217</v>
      </c>
      <c r="F2580" t="s">
        <v>1018</v>
      </c>
      <c r="G2580" t="s">
        <v>28</v>
      </c>
      <c r="H2580" t="s">
        <v>32</v>
      </c>
      <c r="I2580" t="s">
        <v>33</v>
      </c>
      <c r="J2580">
        <v>69</v>
      </c>
      <c r="K2580">
        <v>1652.13</v>
      </c>
      <c r="L2580">
        <v>113996.63</v>
      </c>
      <c r="M2580">
        <v>57467.67</v>
      </c>
      <c r="N2580">
        <v>12336.05</v>
      </c>
      <c r="O2580">
        <v>6236</v>
      </c>
      <c r="P2580">
        <v>4937.8</v>
      </c>
      <c r="Q2580">
        <v>855.64</v>
      </c>
      <c r="R2580">
        <v>6744.05</v>
      </c>
      <c r="S2580">
        <v>1113.6500000000001</v>
      </c>
      <c r="T2580">
        <v>89690.86</v>
      </c>
      <c r="U2580">
        <v>56528.959999999999</v>
      </c>
      <c r="V2580">
        <v>24305.78</v>
      </c>
      <c r="W2580">
        <v>21724.23</v>
      </c>
      <c r="X2580">
        <v>106796.69</v>
      </c>
      <c r="Y2580">
        <v>87153.27</v>
      </c>
    </row>
    <row r="2581" spans="1:25" x14ac:dyDescent="0.25">
      <c r="A2581" t="s">
        <v>2637</v>
      </c>
      <c r="B2581" s="1">
        <v>45652</v>
      </c>
      <c r="C2581">
        <v>2024</v>
      </c>
      <c r="D2581">
        <v>12</v>
      </c>
      <c r="E2581" t="s">
        <v>1217</v>
      </c>
      <c r="F2581" t="s">
        <v>1018</v>
      </c>
      <c r="G2581" t="s">
        <v>28</v>
      </c>
      <c r="H2581" t="s">
        <v>32</v>
      </c>
      <c r="I2581" t="s">
        <v>30</v>
      </c>
      <c r="J2581">
        <v>64</v>
      </c>
      <c r="K2581">
        <v>1427.83</v>
      </c>
      <c r="L2581">
        <v>91380.89</v>
      </c>
      <c r="M2581">
        <v>53069.919999999998</v>
      </c>
      <c r="N2581">
        <v>8797.76</v>
      </c>
      <c r="O2581">
        <v>2609.33</v>
      </c>
      <c r="P2581">
        <v>2939.74</v>
      </c>
      <c r="Q2581">
        <v>720.9</v>
      </c>
      <c r="R2581">
        <v>4321.66</v>
      </c>
      <c r="S2581">
        <v>1849.3</v>
      </c>
      <c r="T2581">
        <v>74308.600000000006</v>
      </c>
      <c r="U2581">
        <v>38310.97</v>
      </c>
      <c r="V2581">
        <v>17072.29</v>
      </c>
      <c r="W2581">
        <v>15383.08</v>
      </c>
      <c r="X2581">
        <v>97969.5</v>
      </c>
      <c r="Y2581">
        <v>77828.850000000006</v>
      </c>
    </row>
    <row r="2582" spans="1:25" x14ac:dyDescent="0.25">
      <c r="A2582" t="s">
        <v>2638</v>
      </c>
      <c r="B2582" s="1">
        <v>45653</v>
      </c>
      <c r="C2582">
        <v>2024</v>
      </c>
      <c r="D2582">
        <v>12</v>
      </c>
      <c r="E2582" t="s">
        <v>1217</v>
      </c>
      <c r="F2582" t="s">
        <v>1018</v>
      </c>
      <c r="G2582" t="s">
        <v>35</v>
      </c>
      <c r="H2582" t="s">
        <v>53</v>
      </c>
      <c r="I2582" t="s">
        <v>37</v>
      </c>
      <c r="J2582">
        <v>52</v>
      </c>
      <c r="K2582">
        <v>1273.23</v>
      </c>
      <c r="L2582">
        <v>66208.100000000006</v>
      </c>
      <c r="M2582">
        <v>39412.71</v>
      </c>
      <c r="N2582">
        <v>5737.93</v>
      </c>
      <c r="O2582">
        <v>2521.4499999999998</v>
      </c>
      <c r="P2582">
        <v>1807.79</v>
      </c>
      <c r="Q2582">
        <v>476.98</v>
      </c>
      <c r="R2582">
        <v>2809.55</v>
      </c>
      <c r="S2582">
        <v>1311.55</v>
      </c>
      <c r="T2582">
        <v>54077.96</v>
      </c>
      <c r="U2582">
        <v>26795.39</v>
      </c>
      <c r="V2582">
        <v>12130.14</v>
      </c>
      <c r="W2582">
        <v>11381.96</v>
      </c>
      <c r="X2582">
        <v>68322.37</v>
      </c>
      <c r="Y2582">
        <v>58673.56</v>
      </c>
    </row>
    <row r="2583" spans="1:25" x14ac:dyDescent="0.25">
      <c r="A2583" t="s">
        <v>2639</v>
      </c>
      <c r="B2583" s="1">
        <v>45653</v>
      </c>
      <c r="C2583">
        <v>2024</v>
      </c>
      <c r="D2583">
        <v>12</v>
      </c>
      <c r="E2583" t="s">
        <v>1217</v>
      </c>
      <c r="F2583" t="s">
        <v>1018</v>
      </c>
      <c r="G2583" t="s">
        <v>28</v>
      </c>
      <c r="H2583" t="s">
        <v>29</v>
      </c>
      <c r="I2583" t="s">
        <v>50</v>
      </c>
      <c r="J2583">
        <v>40</v>
      </c>
      <c r="K2583">
        <v>1483.31</v>
      </c>
      <c r="L2583">
        <v>59332.42</v>
      </c>
      <c r="M2583">
        <v>28589.52</v>
      </c>
      <c r="N2583">
        <v>4919.62</v>
      </c>
      <c r="O2583">
        <v>2018.71</v>
      </c>
      <c r="P2583">
        <v>2648.79</v>
      </c>
      <c r="Q2583">
        <v>304.68</v>
      </c>
      <c r="R2583">
        <v>3371.14</v>
      </c>
      <c r="S2583">
        <v>494.19</v>
      </c>
      <c r="T2583">
        <v>42346.66</v>
      </c>
      <c r="U2583">
        <v>30742.89</v>
      </c>
      <c r="V2583">
        <v>16985.75</v>
      </c>
      <c r="W2583">
        <v>16123.47</v>
      </c>
      <c r="X2583">
        <v>65996.31</v>
      </c>
      <c r="Y2583">
        <v>41812.559999999998</v>
      </c>
    </row>
    <row r="2584" spans="1:25" x14ac:dyDescent="0.25">
      <c r="A2584" t="s">
        <v>2640</v>
      </c>
      <c r="B2584" s="1">
        <v>45653</v>
      </c>
      <c r="C2584">
        <v>2024</v>
      </c>
      <c r="D2584">
        <v>12</v>
      </c>
      <c r="E2584" t="s">
        <v>1217</v>
      </c>
      <c r="F2584" t="s">
        <v>1018</v>
      </c>
      <c r="G2584" t="s">
        <v>44</v>
      </c>
      <c r="H2584" t="s">
        <v>58</v>
      </c>
      <c r="I2584" t="s">
        <v>30</v>
      </c>
      <c r="J2584">
        <v>65</v>
      </c>
      <c r="K2584">
        <v>1228.44</v>
      </c>
      <c r="L2584">
        <v>79848.92</v>
      </c>
      <c r="M2584">
        <v>53883.14</v>
      </c>
      <c r="N2584">
        <v>7287.46</v>
      </c>
      <c r="O2584">
        <v>3151.16</v>
      </c>
      <c r="P2584">
        <v>3327.89</v>
      </c>
      <c r="Q2584">
        <v>1378.59</v>
      </c>
      <c r="R2584">
        <v>3684.86</v>
      </c>
      <c r="S2584">
        <v>676.21</v>
      </c>
      <c r="T2584">
        <v>73389.31</v>
      </c>
      <c r="U2584">
        <v>25965.78</v>
      </c>
      <c r="V2584">
        <v>6459.61</v>
      </c>
      <c r="W2584">
        <v>6326.92</v>
      </c>
      <c r="X2584">
        <v>78377.600000000006</v>
      </c>
      <c r="Y2584">
        <v>80656.600000000006</v>
      </c>
    </row>
    <row r="2585" spans="1:25" x14ac:dyDescent="0.25">
      <c r="A2585" t="s">
        <v>2641</v>
      </c>
      <c r="B2585" s="1">
        <v>45653</v>
      </c>
      <c r="C2585">
        <v>2024</v>
      </c>
      <c r="D2585">
        <v>12</v>
      </c>
      <c r="E2585" t="s">
        <v>1217</v>
      </c>
      <c r="F2585" t="s">
        <v>1018</v>
      </c>
      <c r="G2585" t="s">
        <v>35</v>
      </c>
      <c r="H2585" t="s">
        <v>53</v>
      </c>
      <c r="I2585" t="s">
        <v>56</v>
      </c>
      <c r="J2585">
        <v>18</v>
      </c>
      <c r="K2585">
        <v>1263.2</v>
      </c>
      <c r="L2585">
        <v>22737.57</v>
      </c>
      <c r="M2585">
        <v>14647.3</v>
      </c>
      <c r="N2585">
        <v>2378.4499999999998</v>
      </c>
      <c r="O2585">
        <v>1088.72</v>
      </c>
      <c r="P2585">
        <v>392.65</v>
      </c>
      <c r="Q2585">
        <v>185.9</v>
      </c>
      <c r="R2585">
        <v>615.30999999999995</v>
      </c>
      <c r="S2585">
        <v>275.74</v>
      </c>
      <c r="T2585">
        <v>19584.07</v>
      </c>
      <c r="U2585">
        <v>8090.27</v>
      </c>
      <c r="V2585">
        <v>3153.49</v>
      </c>
      <c r="W2585">
        <v>2988.93</v>
      </c>
      <c r="X2585">
        <v>22956.799999999999</v>
      </c>
      <c r="Y2585">
        <v>20701.89</v>
      </c>
    </row>
    <row r="2586" spans="1:25" x14ac:dyDescent="0.25">
      <c r="A2586" t="s">
        <v>2642</v>
      </c>
      <c r="B2586" s="1">
        <v>45653</v>
      </c>
      <c r="C2586">
        <v>2024</v>
      </c>
      <c r="D2586">
        <v>12</v>
      </c>
      <c r="E2586" t="s">
        <v>1217</v>
      </c>
      <c r="F2586" t="s">
        <v>1018</v>
      </c>
      <c r="G2586" t="s">
        <v>35</v>
      </c>
      <c r="H2586" t="s">
        <v>53</v>
      </c>
      <c r="I2586" t="s">
        <v>30</v>
      </c>
      <c r="J2586">
        <v>70</v>
      </c>
      <c r="K2586">
        <v>937.62</v>
      </c>
      <c r="L2586">
        <v>65633.490000000005</v>
      </c>
      <c r="M2586">
        <v>32859.769999999997</v>
      </c>
      <c r="N2586">
        <v>6070.35</v>
      </c>
      <c r="O2586">
        <v>4210.59</v>
      </c>
      <c r="P2586">
        <v>2722.02</v>
      </c>
      <c r="Q2586">
        <v>1105.28</v>
      </c>
      <c r="R2586">
        <v>3141.66</v>
      </c>
      <c r="S2586">
        <v>1276.29</v>
      </c>
      <c r="T2586">
        <v>51385.96</v>
      </c>
      <c r="U2586">
        <v>32773.72</v>
      </c>
      <c r="V2586">
        <v>14247.53</v>
      </c>
      <c r="W2586">
        <v>13404.04</v>
      </c>
      <c r="X2586">
        <v>66391</v>
      </c>
      <c r="Y2586">
        <v>48852.17</v>
      </c>
    </row>
    <row r="2587" spans="1:25" x14ac:dyDescent="0.25">
      <c r="A2587" t="s">
        <v>2643</v>
      </c>
      <c r="B2587" s="1">
        <v>45653</v>
      </c>
      <c r="C2587">
        <v>2024</v>
      </c>
      <c r="D2587">
        <v>12</v>
      </c>
      <c r="E2587" t="s">
        <v>1217</v>
      </c>
      <c r="F2587" t="s">
        <v>1018</v>
      </c>
      <c r="G2587" t="s">
        <v>55</v>
      </c>
      <c r="H2587" t="s">
        <v>29</v>
      </c>
      <c r="I2587" t="s">
        <v>56</v>
      </c>
      <c r="J2587">
        <v>44</v>
      </c>
      <c r="K2587">
        <v>808.63</v>
      </c>
      <c r="L2587">
        <v>35579.89</v>
      </c>
      <c r="M2587">
        <v>18005.05</v>
      </c>
      <c r="N2587">
        <v>2714.43</v>
      </c>
      <c r="O2587">
        <v>1569.57</v>
      </c>
      <c r="P2587">
        <v>1232.74</v>
      </c>
      <c r="Q2587">
        <v>224.74</v>
      </c>
      <c r="R2587">
        <v>1514.93</v>
      </c>
      <c r="S2587">
        <v>616.80999999999995</v>
      </c>
      <c r="T2587">
        <v>25878.25</v>
      </c>
      <c r="U2587">
        <v>17574.84</v>
      </c>
      <c r="V2587">
        <v>9701.64</v>
      </c>
      <c r="W2587">
        <v>9232.48</v>
      </c>
      <c r="X2587">
        <v>33808.69</v>
      </c>
      <c r="Y2587">
        <v>25557.43</v>
      </c>
    </row>
    <row r="2588" spans="1:25" x14ac:dyDescent="0.25">
      <c r="A2588" t="s">
        <v>2644</v>
      </c>
      <c r="B2588" s="1">
        <v>45653</v>
      </c>
      <c r="C2588">
        <v>2024</v>
      </c>
      <c r="D2588">
        <v>12</v>
      </c>
      <c r="E2588" t="s">
        <v>1217</v>
      </c>
      <c r="F2588" t="s">
        <v>1018</v>
      </c>
      <c r="G2588" t="s">
        <v>28</v>
      </c>
      <c r="H2588" t="s">
        <v>29</v>
      </c>
      <c r="I2588" t="s">
        <v>45</v>
      </c>
      <c r="J2588">
        <v>56</v>
      </c>
      <c r="K2588">
        <v>1082.9100000000001</v>
      </c>
      <c r="L2588">
        <v>60642.9</v>
      </c>
      <c r="M2588">
        <v>29276.54</v>
      </c>
      <c r="N2588">
        <v>4937.59</v>
      </c>
      <c r="O2588">
        <v>4173.0600000000004</v>
      </c>
      <c r="P2588">
        <v>2034.99</v>
      </c>
      <c r="Q2588">
        <v>888.78</v>
      </c>
      <c r="R2588">
        <v>3726.51</v>
      </c>
      <c r="S2588">
        <v>1313.59</v>
      </c>
      <c r="T2588">
        <v>46351.05</v>
      </c>
      <c r="U2588">
        <v>31366.35</v>
      </c>
      <c r="V2588">
        <v>14291.84</v>
      </c>
      <c r="W2588">
        <v>12882.01</v>
      </c>
      <c r="X2588">
        <v>61416.4</v>
      </c>
      <c r="Y2588">
        <v>45166.5</v>
      </c>
    </row>
    <row r="2589" spans="1:25" x14ac:dyDescent="0.25">
      <c r="A2589" t="s">
        <v>2645</v>
      </c>
      <c r="B2589" s="1">
        <v>45654</v>
      </c>
      <c r="C2589">
        <v>2024</v>
      </c>
      <c r="D2589">
        <v>12</v>
      </c>
      <c r="E2589" t="s">
        <v>1217</v>
      </c>
      <c r="F2589" t="s">
        <v>1018</v>
      </c>
      <c r="G2589" t="s">
        <v>28</v>
      </c>
      <c r="H2589" t="s">
        <v>36</v>
      </c>
      <c r="I2589" t="s">
        <v>56</v>
      </c>
      <c r="J2589">
        <v>41</v>
      </c>
      <c r="K2589">
        <v>965.66</v>
      </c>
      <c r="L2589">
        <v>39591.870000000003</v>
      </c>
      <c r="M2589">
        <v>21044.7</v>
      </c>
      <c r="N2589">
        <v>3353.42</v>
      </c>
      <c r="O2589">
        <v>2471.1999999999998</v>
      </c>
      <c r="P2589">
        <v>669.14</v>
      </c>
      <c r="Q2589">
        <v>498.26</v>
      </c>
      <c r="R2589">
        <v>1995.43</v>
      </c>
      <c r="S2589">
        <v>783.32</v>
      </c>
      <c r="T2589">
        <v>30815.46</v>
      </c>
      <c r="U2589">
        <v>18547.169999999998</v>
      </c>
      <c r="V2589">
        <v>8776.41</v>
      </c>
      <c r="W2589">
        <v>8451.74</v>
      </c>
      <c r="X2589">
        <v>40436.089999999997</v>
      </c>
      <c r="Y2589">
        <v>29979.63</v>
      </c>
    </row>
    <row r="2590" spans="1:25" x14ac:dyDescent="0.25">
      <c r="A2590" t="s">
        <v>2646</v>
      </c>
      <c r="B2590" s="1">
        <v>45654</v>
      </c>
      <c r="C2590">
        <v>2024</v>
      </c>
      <c r="D2590">
        <v>12</v>
      </c>
      <c r="E2590" t="s">
        <v>1217</v>
      </c>
      <c r="F2590" t="s">
        <v>1018</v>
      </c>
      <c r="G2590" t="s">
        <v>28</v>
      </c>
      <c r="H2590" t="s">
        <v>36</v>
      </c>
      <c r="I2590" t="s">
        <v>45</v>
      </c>
      <c r="J2590">
        <v>51</v>
      </c>
      <c r="K2590">
        <v>957.8</v>
      </c>
      <c r="L2590">
        <v>48847.97</v>
      </c>
      <c r="M2590">
        <v>30033.56</v>
      </c>
      <c r="N2590">
        <v>4024.48</v>
      </c>
      <c r="O2590">
        <v>1921.78</v>
      </c>
      <c r="P2590">
        <v>1454.64</v>
      </c>
      <c r="Q2590">
        <v>279.26</v>
      </c>
      <c r="R2590">
        <v>2107.8200000000002</v>
      </c>
      <c r="S2590">
        <v>642.22</v>
      </c>
      <c r="T2590">
        <v>40463.75</v>
      </c>
      <c r="U2590">
        <v>18814.41</v>
      </c>
      <c r="V2590">
        <v>8384.2199999999993</v>
      </c>
      <c r="W2590">
        <v>7717.44</v>
      </c>
      <c r="X2590">
        <v>51298.13</v>
      </c>
      <c r="Y2590">
        <v>41482.33</v>
      </c>
    </row>
    <row r="2591" spans="1:25" x14ac:dyDescent="0.25">
      <c r="A2591" t="s">
        <v>2647</v>
      </c>
      <c r="B2591" s="1">
        <v>45654</v>
      </c>
      <c r="C2591">
        <v>2024</v>
      </c>
      <c r="D2591">
        <v>12</v>
      </c>
      <c r="E2591" t="s">
        <v>1217</v>
      </c>
      <c r="F2591" t="s">
        <v>1018</v>
      </c>
      <c r="G2591" t="s">
        <v>35</v>
      </c>
      <c r="H2591" t="s">
        <v>58</v>
      </c>
      <c r="I2591" t="s">
        <v>39</v>
      </c>
      <c r="J2591">
        <v>24</v>
      </c>
      <c r="K2591">
        <v>1145.3499999999999</v>
      </c>
      <c r="L2591">
        <v>27488.37</v>
      </c>
      <c r="M2591">
        <v>17141.59</v>
      </c>
      <c r="N2591">
        <v>2911.76</v>
      </c>
      <c r="O2591">
        <v>1130.52</v>
      </c>
      <c r="P2591">
        <v>615.32000000000005</v>
      </c>
      <c r="Q2591">
        <v>256.49</v>
      </c>
      <c r="R2591">
        <v>761.08</v>
      </c>
      <c r="S2591">
        <v>633.14</v>
      </c>
      <c r="T2591">
        <v>23449.9</v>
      </c>
      <c r="U2591">
        <v>10346.780000000001</v>
      </c>
      <c r="V2591">
        <v>4038.47</v>
      </c>
      <c r="W2591">
        <v>4055.99</v>
      </c>
      <c r="X2591">
        <v>25698.14</v>
      </c>
      <c r="Y2591">
        <v>22810.65</v>
      </c>
    </row>
    <row r="2592" spans="1:25" x14ac:dyDescent="0.25">
      <c r="A2592" t="s">
        <v>2648</v>
      </c>
      <c r="B2592" s="1">
        <v>45655</v>
      </c>
      <c r="C2592">
        <v>2024</v>
      </c>
      <c r="D2592">
        <v>12</v>
      </c>
      <c r="E2592" t="s">
        <v>1217</v>
      </c>
      <c r="F2592" t="s">
        <v>1018</v>
      </c>
      <c r="G2592" t="s">
        <v>44</v>
      </c>
      <c r="H2592" t="s">
        <v>32</v>
      </c>
      <c r="I2592" t="s">
        <v>50</v>
      </c>
      <c r="J2592">
        <v>54</v>
      </c>
      <c r="K2592">
        <v>1289.8699999999999</v>
      </c>
      <c r="L2592">
        <v>69653.13</v>
      </c>
      <c r="M2592">
        <v>43233.11</v>
      </c>
      <c r="N2592">
        <v>7169.97</v>
      </c>
      <c r="O2592">
        <v>4505.54</v>
      </c>
      <c r="P2592">
        <v>1406.57</v>
      </c>
      <c r="Q2592">
        <v>805.41</v>
      </c>
      <c r="R2592">
        <v>3115.97</v>
      </c>
      <c r="S2592">
        <v>1625.15</v>
      </c>
      <c r="T2592">
        <v>61861.72</v>
      </c>
      <c r="U2592">
        <v>26420.02</v>
      </c>
      <c r="V2592">
        <v>7791.41</v>
      </c>
      <c r="W2592">
        <v>7665.92</v>
      </c>
      <c r="X2592">
        <v>71887.3</v>
      </c>
      <c r="Y2592">
        <v>59643.19</v>
      </c>
    </row>
    <row r="2593" spans="1:25" x14ac:dyDescent="0.25">
      <c r="A2593" t="s">
        <v>2649</v>
      </c>
      <c r="B2593" s="1">
        <v>45655</v>
      </c>
      <c r="C2593">
        <v>2024</v>
      </c>
      <c r="D2593">
        <v>12</v>
      </c>
      <c r="E2593" t="s">
        <v>1217</v>
      </c>
      <c r="F2593" t="s">
        <v>1018</v>
      </c>
      <c r="G2593" t="s">
        <v>35</v>
      </c>
      <c r="H2593" t="s">
        <v>32</v>
      </c>
      <c r="I2593" t="s">
        <v>45</v>
      </c>
      <c r="J2593">
        <v>63</v>
      </c>
      <c r="K2593">
        <v>812.19</v>
      </c>
      <c r="L2593">
        <v>51168.18</v>
      </c>
      <c r="M2593">
        <v>28420.09</v>
      </c>
      <c r="N2593">
        <v>4269.34</v>
      </c>
      <c r="O2593">
        <v>2183.5</v>
      </c>
      <c r="P2593">
        <v>946.1</v>
      </c>
      <c r="Q2593">
        <v>745.11</v>
      </c>
      <c r="R2593">
        <v>2046.07</v>
      </c>
      <c r="S2593">
        <v>1037.32</v>
      </c>
      <c r="T2593">
        <v>39647.54</v>
      </c>
      <c r="U2593">
        <v>22748.09</v>
      </c>
      <c r="V2593">
        <v>11520.65</v>
      </c>
      <c r="W2593">
        <v>10809.18</v>
      </c>
      <c r="X2593">
        <v>52527.11</v>
      </c>
      <c r="Y2593">
        <v>43257.05</v>
      </c>
    </row>
    <row r="2594" spans="1:25" x14ac:dyDescent="0.25">
      <c r="A2594" t="s">
        <v>2650</v>
      </c>
      <c r="B2594" s="1">
        <v>45655</v>
      </c>
      <c r="C2594">
        <v>2024</v>
      </c>
      <c r="D2594">
        <v>12</v>
      </c>
      <c r="E2594" t="s">
        <v>1217</v>
      </c>
      <c r="F2594" t="s">
        <v>1018</v>
      </c>
      <c r="G2594" t="s">
        <v>44</v>
      </c>
      <c r="H2594" t="s">
        <v>32</v>
      </c>
      <c r="I2594" t="s">
        <v>30</v>
      </c>
      <c r="J2594">
        <v>98</v>
      </c>
      <c r="K2594">
        <v>982.42</v>
      </c>
      <c r="L2594">
        <v>96277.3</v>
      </c>
      <c r="M2594">
        <v>52958.35</v>
      </c>
      <c r="N2594">
        <v>10571.98</v>
      </c>
      <c r="O2594">
        <v>3698.95</v>
      </c>
      <c r="P2594">
        <v>3755.55</v>
      </c>
      <c r="Q2594">
        <v>1618.14</v>
      </c>
      <c r="R2594">
        <v>2523.73</v>
      </c>
      <c r="S2594">
        <v>1979.78</v>
      </c>
      <c r="T2594">
        <v>77106.48</v>
      </c>
      <c r="U2594">
        <v>43318.95</v>
      </c>
      <c r="V2594">
        <v>19170.830000000002</v>
      </c>
      <c r="W2594">
        <v>17708.759999999998</v>
      </c>
      <c r="X2594">
        <v>106670.28</v>
      </c>
      <c r="Y2594">
        <v>78242.3</v>
      </c>
    </row>
    <row r="2595" spans="1:25" x14ac:dyDescent="0.25">
      <c r="A2595" t="s">
        <v>2651</v>
      </c>
      <c r="B2595" s="1">
        <v>45655</v>
      </c>
      <c r="C2595">
        <v>2024</v>
      </c>
      <c r="D2595">
        <v>12</v>
      </c>
      <c r="E2595" t="s">
        <v>1217</v>
      </c>
      <c r="F2595" t="s">
        <v>1018</v>
      </c>
      <c r="G2595" t="s">
        <v>55</v>
      </c>
      <c r="H2595" t="s">
        <v>36</v>
      </c>
      <c r="I2595" t="s">
        <v>37</v>
      </c>
      <c r="J2595">
        <v>54</v>
      </c>
      <c r="K2595">
        <v>1625.69</v>
      </c>
      <c r="L2595">
        <v>87787.35</v>
      </c>
      <c r="M2595">
        <v>52409.79</v>
      </c>
      <c r="N2595">
        <v>9193.16</v>
      </c>
      <c r="O2595">
        <v>4355.6899999999996</v>
      </c>
      <c r="P2595">
        <v>2804.68</v>
      </c>
      <c r="Q2595">
        <v>744.66</v>
      </c>
      <c r="R2595">
        <v>3820.12</v>
      </c>
      <c r="S2595">
        <v>1428.14</v>
      </c>
      <c r="T2595">
        <v>74756.23</v>
      </c>
      <c r="U2595">
        <v>35377.57</v>
      </c>
      <c r="V2595">
        <v>13031.12</v>
      </c>
      <c r="W2595">
        <v>12637.83</v>
      </c>
      <c r="X2595">
        <v>88426.54</v>
      </c>
      <c r="Y2595">
        <v>78546.039999999994</v>
      </c>
    </row>
    <row r="2596" spans="1:25" x14ac:dyDescent="0.25">
      <c r="A2596" t="s">
        <v>2652</v>
      </c>
      <c r="B2596" s="1">
        <v>45656</v>
      </c>
      <c r="C2596">
        <v>2024</v>
      </c>
      <c r="D2596">
        <v>12</v>
      </c>
      <c r="E2596" t="s">
        <v>1217</v>
      </c>
      <c r="F2596" t="s">
        <v>1018</v>
      </c>
      <c r="G2596" t="s">
        <v>28</v>
      </c>
      <c r="H2596" t="s">
        <v>32</v>
      </c>
      <c r="I2596" t="s">
        <v>65</v>
      </c>
      <c r="J2596">
        <v>60</v>
      </c>
      <c r="K2596">
        <v>1192.1300000000001</v>
      </c>
      <c r="L2596">
        <v>71527.75</v>
      </c>
      <c r="M2596">
        <v>43520.34</v>
      </c>
      <c r="N2596">
        <v>7896.12</v>
      </c>
      <c r="O2596">
        <v>2309.31</v>
      </c>
      <c r="P2596">
        <v>1309.21</v>
      </c>
      <c r="Q2596">
        <v>1217.96</v>
      </c>
      <c r="R2596">
        <v>2464.2399999999998</v>
      </c>
      <c r="S2596">
        <v>1017.4</v>
      </c>
      <c r="T2596">
        <v>59734.57</v>
      </c>
      <c r="U2596">
        <v>28007.41</v>
      </c>
      <c r="V2596">
        <v>11793.18</v>
      </c>
      <c r="W2596">
        <v>11788.12</v>
      </c>
      <c r="X2596">
        <v>75756.899999999994</v>
      </c>
      <c r="Y2596">
        <v>58361.16</v>
      </c>
    </row>
    <row r="2597" spans="1:25" x14ac:dyDescent="0.25">
      <c r="A2597" t="s">
        <v>2653</v>
      </c>
      <c r="B2597" s="1">
        <v>45656</v>
      </c>
      <c r="C2597">
        <v>2024</v>
      </c>
      <c r="D2597">
        <v>12</v>
      </c>
      <c r="E2597" t="s">
        <v>1217</v>
      </c>
      <c r="F2597" t="s">
        <v>1018</v>
      </c>
      <c r="G2597" t="s">
        <v>28</v>
      </c>
      <c r="H2597" t="s">
        <v>32</v>
      </c>
      <c r="I2597" t="s">
        <v>50</v>
      </c>
      <c r="J2597">
        <v>41</v>
      </c>
      <c r="K2597">
        <v>1780.14</v>
      </c>
      <c r="L2597">
        <v>72985.73</v>
      </c>
      <c r="M2597">
        <v>39169.39</v>
      </c>
      <c r="N2597">
        <v>5798.3</v>
      </c>
      <c r="O2597">
        <v>4828.58</v>
      </c>
      <c r="P2597">
        <v>2230.75</v>
      </c>
      <c r="Q2597">
        <v>1140.47</v>
      </c>
      <c r="R2597">
        <v>2619.77</v>
      </c>
      <c r="S2597">
        <v>1338.89</v>
      </c>
      <c r="T2597">
        <v>57126.15</v>
      </c>
      <c r="U2597">
        <v>33816.35</v>
      </c>
      <c r="V2597">
        <v>15859.59</v>
      </c>
      <c r="W2597">
        <v>14678.01</v>
      </c>
      <c r="X2597">
        <v>77561.45</v>
      </c>
      <c r="Y2597">
        <v>60250.26</v>
      </c>
    </row>
    <row r="2598" spans="1:25" x14ac:dyDescent="0.25">
      <c r="A2598" t="s">
        <v>2654</v>
      </c>
      <c r="B2598" s="1">
        <v>45656</v>
      </c>
      <c r="C2598">
        <v>2024</v>
      </c>
      <c r="D2598">
        <v>12</v>
      </c>
      <c r="E2598" t="s">
        <v>1217</v>
      </c>
      <c r="F2598" t="s">
        <v>1018</v>
      </c>
      <c r="G2598" t="s">
        <v>35</v>
      </c>
      <c r="H2598" t="s">
        <v>53</v>
      </c>
      <c r="I2598" t="s">
        <v>50</v>
      </c>
      <c r="J2598">
        <v>52</v>
      </c>
      <c r="K2598">
        <v>898.6</v>
      </c>
      <c r="L2598">
        <v>46727.28</v>
      </c>
      <c r="M2598">
        <v>24238.36</v>
      </c>
      <c r="N2598">
        <v>5767.36</v>
      </c>
      <c r="O2598">
        <v>2310.71</v>
      </c>
      <c r="P2598">
        <v>1872.68</v>
      </c>
      <c r="Q2598">
        <v>641.17999999999995</v>
      </c>
      <c r="R2598">
        <v>1688.04</v>
      </c>
      <c r="S2598">
        <v>840.13</v>
      </c>
      <c r="T2598">
        <v>37358.449999999997</v>
      </c>
      <c r="U2598">
        <v>22488.92</v>
      </c>
      <c r="V2598">
        <v>9368.82</v>
      </c>
      <c r="W2598">
        <v>9548.33</v>
      </c>
      <c r="X2598">
        <v>47974.879999999997</v>
      </c>
      <c r="Y2598">
        <v>40589.14</v>
      </c>
    </row>
    <row r="2599" spans="1:25" x14ac:dyDescent="0.25">
      <c r="A2599" t="s">
        <v>2655</v>
      </c>
      <c r="B2599" s="1">
        <v>45657</v>
      </c>
      <c r="C2599">
        <v>2024</v>
      </c>
      <c r="D2599">
        <v>12</v>
      </c>
      <c r="E2599" t="s">
        <v>1217</v>
      </c>
      <c r="F2599" t="s">
        <v>1018</v>
      </c>
      <c r="G2599" t="s">
        <v>28</v>
      </c>
      <c r="H2599" t="s">
        <v>32</v>
      </c>
      <c r="I2599" t="s">
        <v>39</v>
      </c>
      <c r="J2599">
        <v>59</v>
      </c>
      <c r="K2599">
        <v>975.85</v>
      </c>
      <c r="L2599">
        <v>57575.43</v>
      </c>
      <c r="M2599">
        <v>30085.19</v>
      </c>
      <c r="N2599">
        <v>6243.49</v>
      </c>
      <c r="O2599">
        <v>1764.76</v>
      </c>
      <c r="P2599">
        <v>1051.3</v>
      </c>
      <c r="Q2599">
        <v>979.65</v>
      </c>
      <c r="R2599">
        <v>2978.02</v>
      </c>
      <c r="S2599">
        <v>1078.02</v>
      </c>
      <c r="T2599">
        <v>44180.44</v>
      </c>
      <c r="U2599">
        <v>27490.240000000002</v>
      </c>
      <c r="V2599">
        <v>13394.99</v>
      </c>
      <c r="W2599">
        <v>12282.74</v>
      </c>
      <c r="X2599">
        <v>56088.79</v>
      </c>
      <c r="Y2599">
        <v>43522.87</v>
      </c>
    </row>
    <row r="2600" spans="1:25" x14ac:dyDescent="0.25">
      <c r="A2600" t="s">
        <v>2656</v>
      </c>
      <c r="B2600" s="1">
        <v>45657</v>
      </c>
      <c r="C2600">
        <v>2024</v>
      </c>
      <c r="D2600">
        <v>12</v>
      </c>
      <c r="E2600" t="s">
        <v>1217</v>
      </c>
      <c r="F2600" t="s">
        <v>1018</v>
      </c>
      <c r="G2600" t="s">
        <v>55</v>
      </c>
      <c r="H2600" t="s">
        <v>36</v>
      </c>
      <c r="I2600" t="s">
        <v>33</v>
      </c>
      <c r="J2600">
        <v>88</v>
      </c>
      <c r="K2600">
        <v>1029.48</v>
      </c>
      <c r="L2600">
        <v>90593.96</v>
      </c>
      <c r="M2600">
        <v>56073.27</v>
      </c>
      <c r="N2600">
        <v>8699.44</v>
      </c>
      <c r="O2600">
        <v>5589.18</v>
      </c>
      <c r="P2600">
        <v>2404.11</v>
      </c>
      <c r="Q2600">
        <v>1236.29</v>
      </c>
      <c r="R2600">
        <v>2356.5300000000002</v>
      </c>
      <c r="S2600">
        <v>1279.8599999999999</v>
      </c>
      <c r="T2600">
        <v>77638.679999999993</v>
      </c>
      <c r="U2600">
        <v>34520.69</v>
      </c>
      <c r="V2600">
        <v>12955.28</v>
      </c>
      <c r="W2600">
        <v>12339.03</v>
      </c>
      <c r="X2600">
        <v>99287.76</v>
      </c>
      <c r="Y2600">
        <v>75188.210000000006</v>
      </c>
    </row>
    <row r="2601" spans="1:25" x14ac:dyDescent="0.25">
      <c r="A2601" t="s">
        <v>2657</v>
      </c>
      <c r="B2601" s="1">
        <v>45658</v>
      </c>
      <c r="C2601">
        <v>2025</v>
      </c>
      <c r="D2601">
        <v>1</v>
      </c>
      <c r="E2601" t="s">
        <v>26</v>
      </c>
      <c r="F2601" t="s">
        <v>27</v>
      </c>
      <c r="G2601" t="s">
        <v>55</v>
      </c>
      <c r="H2601" t="s">
        <v>36</v>
      </c>
      <c r="I2601" t="s">
        <v>56</v>
      </c>
      <c r="J2601">
        <v>49</v>
      </c>
      <c r="K2601">
        <v>946.71</v>
      </c>
      <c r="L2601">
        <v>46388.56</v>
      </c>
      <c r="M2601">
        <v>29038.19</v>
      </c>
      <c r="N2601">
        <v>4393.05</v>
      </c>
      <c r="O2601">
        <v>2733.84</v>
      </c>
      <c r="P2601">
        <v>1396.52</v>
      </c>
      <c r="Q2601">
        <v>447.67</v>
      </c>
      <c r="R2601">
        <v>1337.3</v>
      </c>
      <c r="S2601">
        <v>1065.42</v>
      </c>
      <c r="T2601">
        <v>40411.980000000003</v>
      </c>
      <c r="U2601">
        <v>17350.37</v>
      </c>
      <c r="V2601">
        <v>5976.58</v>
      </c>
      <c r="W2601">
        <v>5928.5</v>
      </c>
      <c r="X2601">
        <v>45861.26</v>
      </c>
      <c r="Y2601">
        <v>40531.53</v>
      </c>
    </row>
    <row r="2602" spans="1:25" x14ac:dyDescent="0.25">
      <c r="A2602" t="s">
        <v>2658</v>
      </c>
      <c r="B2602" s="1">
        <v>45658</v>
      </c>
      <c r="C2602">
        <v>2025</v>
      </c>
      <c r="D2602">
        <v>1</v>
      </c>
      <c r="E2602" t="s">
        <v>26</v>
      </c>
      <c r="F2602" t="s">
        <v>27</v>
      </c>
      <c r="G2602" t="s">
        <v>35</v>
      </c>
      <c r="H2602" t="s">
        <v>36</v>
      </c>
      <c r="I2602" t="s">
        <v>45</v>
      </c>
      <c r="J2602">
        <v>35</v>
      </c>
      <c r="K2602">
        <v>1268.44</v>
      </c>
      <c r="L2602">
        <v>44395.45</v>
      </c>
      <c r="M2602">
        <v>23721.53</v>
      </c>
      <c r="N2602">
        <v>3541.08</v>
      </c>
      <c r="O2602">
        <v>1682.26</v>
      </c>
      <c r="P2602">
        <v>1822.99</v>
      </c>
      <c r="Q2602">
        <v>501.29</v>
      </c>
      <c r="R2602">
        <v>2441.0500000000002</v>
      </c>
      <c r="S2602">
        <v>527.67999999999995</v>
      </c>
      <c r="T2602">
        <v>34237.870000000003</v>
      </c>
      <c r="U2602">
        <v>20673.919999999998</v>
      </c>
      <c r="V2602">
        <v>10157.58</v>
      </c>
      <c r="W2602">
        <v>8967.14</v>
      </c>
      <c r="X2602">
        <v>48930.89</v>
      </c>
      <c r="Y2602">
        <v>36094.800000000003</v>
      </c>
    </row>
    <row r="2603" spans="1:25" x14ac:dyDescent="0.25">
      <c r="A2603" t="s">
        <v>2659</v>
      </c>
      <c r="B2603" s="1">
        <v>45658</v>
      </c>
      <c r="C2603">
        <v>2025</v>
      </c>
      <c r="D2603">
        <v>1</v>
      </c>
      <c r="E2603" t="s">
        <v>26</v>
      </c>
      <c r="F2603" t="s">
        <v>27</v>
      </c>
      <c r="G2603" t="s">
        <v>35</v>
      </c>
      <c r="H2603" t="s">
        <v>58</v>
      </c>
      <c r="I2603" t="s">
        <v>30</v>
      </c>
      <c r="J2603">
        <v>57</v>
      </c>
      <c r="K2603">
        <v>1621.61</v>
      </c>
      <c r="L2603">
        <v>92432.03</v>
      </c>
      <c r="M2603">
        <v>54899.61</v>
      </c>
      <c r="N2603">
        <v>8705.2000000000007</v>
      </c>
      <c r="O2603">
        <v>5166.53</v>
      </c>
      <c r="P2603">
        <v>1725.07</v>
      </c>
      <c r="Q2603">
        <v>1400.22</v>
      </c>
      <c r="R2603">
        <v>5479.43</v>
      </c>
      <c r="S2603">
        <v>1336.67</v>
      </c>
      <c r="T2603">
        <v>78712.72</v>
      </c>
      <c r="U2603">
        <v>37532.42</v>
      </c>
      <c r="V2603">
        <v>13719.31</v>
      </c>
      <c r="W2603">
        <v>12700.94</v>
      </c>
      <c r="X2603">
        <v>91005.25</v>
      </c>
      <c r="Y2603">
        <v>85197.84</v>
      </c>
    </row>
    <row r="2604" spans="1:25" x14ac:dyDescent="0.25">
      <c r="A2604" t="s">
        <v>2660</v>
      </c>
      <c r="B2604" s="1">
        <v>45658</v>
      </c>
      <c r="C2604">
        <v>2025</v>
      </c>
      <c r="D2604">
        <v>1</v>
      </c>
      <c r="E2604" t="s">
        <v>26</v>
      </c>
      <c r="F2604" t="s">
        <v>27</v>
      </c>
      <c r="G2604" t="s">
        <v>35</v>
      </c>
      <c r="H2604" t="s">
        <v>32</v>
      </c>
      <c r="I2604" t="s">
        <v>56</v>
      </c>
      <c r="J2604">
        <v>31</v>
      </c>
      <c r="K2604">
        <v>1316.4</v>
      </c>
      <c r="L2604">
        <v>40808.47</v>
      </c>
      <c r="M2604">
        <v>24778.18</v>
      </c>
      <c r="N2604">
        <v>3425.83</v>
      </c>
      <c r="O2604">
        <v>1183.55</v>
      </c>
      <c r="P2604">
        <v>1156.17</v>
      </c>
      <c r="Q2604">
        <v>647.59</v>
      </c>
      <c r="R2604">
        <v>2640.3</v>
      </c>
      <c r="S2604">
        <v>781.29</v>
      </c>
      <c r="T2604">
        <v>34612.89</v>
      </c>
      <c r="U2604">
        <v>16030.29</v>
      </c>
      <c r="V2604">
        <v>6195.58</v>
      </c>
      <c r="W2604">
        <v>5503.26</v>
      </c>
      <c r="X2604">
        <v>44219.03</v>
      </c>
      <c r="Y2604">
        <v>35842.879999999997</v>
      </c>
    </row>
    <row r="2605" spans="1:25" x14ac:dyDescent="0.25">
      <c r="A2605" t="s">
        <v>2661</v>
      </c>
      <c r="B2605" s="1">
        <v>45659</v>
      </c>
      <c r="C2605">
        <v>2025</v>
      </c>
      <c r="D2605">
        <v>1</v>
      </c>
      <c r="E2605" t="s">
        <v>26</v>
      </c>
      <c r="F2605" t="s">
        <v>27</v>
      </c>
      <c r="G2605" t="s">
        <v>28</v>
      </c>
      <c r="H2605" t="s">
        <v>29</v>
      </c>
      <c r="I2605" t="s">
        <v>56</v>
      </c>
      <c r="J2605">
        <v>27</v>
      </c>
      <c r="K2605">
        <v>1231.54</v>
      </c>
      <c r="L2605">
        <v>33251.480000000003</v>
      </c>
      <c r="M2605">
        <v>16928.740000000002</v>
      </c>
      <c r="N2605">
        <v>3303.59</v>
      </c>
      <c r="O2605">
        <v>2398.91</v>
      </c>
      <c r="P2605">
        <v>1267.51</v>
      </c>
      <c r="Q2605">
        <v>415.31</v>
      </c>
      <c r="R2605">
        <v>982.13</v>
      </c>
      <c r="S2605">
        <v>337.17</v>
      </c>
      <c r="T2605">
        <v>25633.360000000001</v>
      </c>
      <c r="U2605">
        <v>16322.74</v>
      </c>
      <c r="V2605">
        <v>7618.12</v>
      </c>
      <c r="W2605">
        <v>7029.3</v>
      </c>
      <c r="X2605">
        <v>31858.02</v>
      </c>
      <c r="Y2605">
        <v>26042.36</v>
      </c>
    </row>
    <row r="2606" spans="1:25" x14ac:dyDescent="0.25">
      <c r="A2606" t="s">
        <v>2662</v>
      </c>
      <c r="B2606" s="1">
        <v>45659</v>
      </c>
      <c r="C2606">
        <v>2025</v>
      </c>
      <c r="D2606">
        <v>1</v>
      </c>
      <c r="E2606" t="s">
        <v>26</v>
      </c>
      <c r="F2606" t="s">
        <v>27</v>
      </c>
      <c r="G2606" t="s">
        <v>44</v>
      </c>
      <c r="H2606" t="s">
        <v>32</v>
      </c>
      <c r="I2606" t="s">
        <v>50</v>
      </c>
      <c r="J2606">
        <v>39</v>
      </c>
      <c r="K2606">
        <v>1818.38</v>
      </c>
      <c r="L2606">
        <v>70917</v>
      </c>
      <c r="M2606">
        <v>42821.56</v>
      </c>
      <c r="N2606">
        <v>7013.89</v>
      </c>
      <c r="O2606">
        <v>2592.86</v>
      </c>
      <c r="P2606">
        <v>1363.82</v>
      </c>
      <c r="Q2606">
        <v>1202.05</v>
      </c>
      <c r="R2606">
        <v>1828.88</v>
      </c>
      <c r="S2606">
        <v>1189.3499999999999</v>
      </c>
      <c r="T2606">
        <v>58012.41</v>
      </c>
      <c r="U2606">
        <v>28095.45</v>
      </c>
      <c r="V2606">
        <v>12904.59</v>
      </c>
      <c r="W2606">
        <v>12483.5</v>
      </c>
      <c r="X2606">
        <v>66731.89</v>
      </c>
      <c r="Y2606">
        <v>59622.720000000001</v>
      </c>
    </row>
    <row r="2607" spans="1:25" x14ac:dyDescent="0.25">
      <c r="A2607" t="s">
        <v>2663</v>
      </c>
      <c r="B2607" s="1">
        <v>45659</v>
      </c>
      <c r="C2607">
        <v>2025</v>
      </c>
      <c r="D2607">
        <v>1</v>
      </c>
      <c r="E2607" t="s">
        <v>26</v>
      </c>
      <c r="F2607" t="s">
        <v>27</v>
      </c>
      <c r="G2607" t="s">
        <v>44</v>
      </c>
      <c r="H2607" t="s">
        <v>32</v>
      </c>
      <c r="I2607" t="s">
        <v>45</v>
      </c>
      <c r="J2607">
        <v>27</v>
      </c>
      <c r="K2607">
        <v>1377.83</v>
      </c>
      <c r="L2607">
        <v>37201.42</v>
      </c>
      <c r="M2607">
        <v>18054.93</v>
      </c>
      <c r="N2607">
        <v>3013.01</v>
      </c>
      <c r="O2607">
        <v>1385.05</v>
      </c>
      <c r="P2607">
        <v>1524.64</v>
      </c>
      <c r="Q2607">
        <v>318.95</v>
      </c>
      <c r="R2607">
        <v>2243.15</v>
      </c>
      <c r="S2607">
        <v>792.78</v>
      </c>
      <c r="T2607">
        <v>27332.52</v>
      </c>
      <c r="U2607">
        <v>19146.490000000002</v>
      </c>
      <c r="V2607">
        <v>9868.9</v>
      </c>
      <c r="W2607">
        <v>9964.56</v>
      </c>
      <c r="X2607">
        <v>37847.519999999997</v>
      </c>
      <c r="Y2607">
        <v>29762.51</v>
      </c>
    </row>
    <row r="2608" spans="1:25" x14ac:dyDescent="0.25">
      <c r="A2608" t="s">
        <v>2664</v>
      </c>
      <c r="B2608" s="1">
        <v>45659</v>
      </c>
      <c r="C2608">
        <v>2025</v>
      </c>
      <c r="D2608">
        <v>1</v>
      </c>
      <c r="E2608" t="s">
        <v>26</v>
      </c>
      <c r="F2608" t="s">
        <v>27</v>
      </c>
      <c r="G2608" t="s">
        <v>28</v>
      </c>
      <c r="H2608" t="s">
        <v>32</v>
      </c>
      <c r="I2608" t="s">
        <v>39</v>
      </c>
      <c r="J2608">
        <v>44</v>
      </c>
      <c r="K2608">
        <v>1322.26</v>
      </c>
      <c r="L2608">
        <v>58179.55</v>
      </c>
      <c r="M2608">
        <v>30962.3</v>
      </c>
      <c r="N2608">
        <v>5938.76</v>
      </c>
      <c r="O2608">
        <v>2113.1999999999998</v>
      </c>
      <c r="P2608">
        <v>1360.21</v>
      </c>
      <c r="Q2608">
        <v>647.26</v>
      </c>
      <c r="R2608">
        <v>3364.64</v>
      </c>
      <c r="S2608">
        <v>715.78</v>
      </c>
      <c r="T2608">
        <v>45102.16</v>
      </c>
      <c r="U2608">
        <v>27217.25</v>
      </c>
      <c r="V2608">
        <v>13077.39</v>
      </c>
      <c r="W2608">
        <v>12163.95</v>
      </c>
      <c r="X2608">
        <v>60983.88</v>
      </c>
      <c r="Y2608">
        <v>43163.16</v>
      </c>
    </row>
    <row r="2609" spans="1:25" x14ac:dyDescent="0.25">
      <c r="A2609" t="s">
        <v>2665</v>
      </c>
      <c r="B2609" s="1">
        <v>45660</v>
      </c>
      <c r="C2609">
        <v>2025</v>
      </c>
      <c r="D2609">
        <v>1</v>
      </c>
      <c r="E2609" t="s">
        <v>26</v>
      </c>
      <c r="F2609" t="s">
        <v>27</v>
      </c>
      <c r="G2609" t="s">
        <v>28</v>
      </c>
      <c r="H2609" t="s">
        <v>29</v>
      </c>
      <c r="I2609" t="s">
        <v>50</v>
      </c>
      <c r="J2609">
        <v>53</v>
      </c>
      <c r="K2609">
        <v>1125.28</v>
      </c>
      <c r="L2609">
        <v>59639.59</v>
      </c>
      <c r="M2609">
        <v>30718.29</v>
      </c>
      <c r="N2609">
        <v>6339.69</v>
      </c>
      <c r="O2609">
        <v>1495.14</v>
      </c>
      <c r="P2609">
        <v>2160.8200000000002</v>
      </c>
      <c r="Q2609">
        <v>675.77</v>
      </c>
      <c r="R2609">
        <v>2097.12</v>
      </c>
      <c r="S2609">
        <v>1054.6500000000001</v>
      </c>
      <c r="T2609">
        <v>44541.49</v>
      </c>
      <c r="U2609">
        <v>28921.29</v>
      </c>
      <c r="V2609">
        <v>15098.09</v>
      </c>
      <c r="W2609">
        <v>13373.7</v>
      </c>
      <c r="X2609">
        <v>63556.28</v>
      </c>
      <c r="Y2609">
        <v>45956.71</v>
      </c>
    </row>
    <row r="2610" spans="1:25" x14ac:dyDescent="0.25">
      <c r="A2610" t="s">
        <v>2666</v>
      </c>
      <c r="B2610" s="1">
        <v>45660</v>
      </c>
      <c r="C2610">
        <v>2025</v>
      </c>
      <c r="D2610">
        <v>1</v>
      </c>
      <c r="E2610" t="s">
        <v>26</v>
      </c>
      <c r="F2610" t="s">
        <v>27</v>
      </c>
      <c r="G2610" t="s">
        <v>28</v>
      </c>
      <c r="H2610" t="s">
        <v>58</v>
      </c>
      <c r="I2610" t="s">
        <v>30</v>
      </c>
      <c r="J2610">
        <v>82</v>
      </c>
      <c r="K2610">
        <v>1331.88</v>
      </c>
      <c r="L2610">
        <v>109214.53</v>
      </c>
      <c r="M2610">
        <v>56783.91</v>
      </c>
      <c r="N2610">
        <v>9190.7199999999993</v>
      </c>
      <c r="O2610">
        <v>7789.46</v>
      </c>
      <c r="P2610">
        <v>1791.52</v>
      </c>
      <c r="Q2610">
        <v>1284.25</v>
      </c>
      <c r="R2610">
        <v>5689</v>
      </c>
      <c r="S2610">
        <v>2705.88</v>
      </c>
      <c r="T2610">
        <v>85234.73</v>
      </c>
      <c r="U2610">
        <v>52430.62</v>
      </c>
      <c r="V2610">
        <v>23979.8</v>
      </c>
      <c r="W2610">
        <v>24200.17</v>
      </c>
      <c r="X2610">
        <v>118253.06</v>
      </c>
      <c r="Y2610">
        <v>90528.21</v>
      </c>
    </row>
    <row r="2611" spans="1:25" x14ac:dyDescent="0.25">
      <c r="A2611" t="s">
        <v>2667</v>
      </c>
      <c r="B2611" s="1">
        <v>45661</v>
      </c>
      <c r="C2611">
        <v>2025</v>
      </c>
      <c r="D2611">
        <v>1</v>
      </c>
      <c r="E2611" t="s">
        <v>26</v>
      </c>
      <c r="F2611" t="s">
        <v>27</v>
      </c>
      <c r="G2611" t="s">
        <v>44</v>
      </c>
      <c r="H2611" t="s">
        <v>36</v>
      </c>
      <c r="I2611" t="s">
        <v>56</v>
      </c>
      <c r="J2611">
        <v>27</v>
      </c>
      <c r="K2611">
        <v>904.84</v>
      </c>
      <c r="L2611">
        <v>24430.560000000001</v>
      </c>
      <c r="M2611">
        <v>14906.58</v>
      </c>
      <c r="N2611">
        <v>2490.7399999999998</v>
      </c>
      <c r="O2611">
        <v>740.22</v>
      </c>
      <c r="P2611">
        <v>437.02</v>
      </c>
      <c r="Q2611">
        <v>363.55</v>
      </c>
      <c r="R2611">
        <v>796.94</v>
      </c>
      <c r="S2611">
        <v>416.14</v>
      </c>
      <c r="T2611">
        <v>20151.169999999998</v>
      </c>
      <c r="U2611">
        <v>9523.99</v>
      </c>
      <c r="V2611">
        <v>4279.3900000000003</v>
      </c>
      <c r="W2611">
        <v>4029.66</v>
      </c>
      <c r="X2611">
        <v>25291.74</v>
      </c>
      <c r="Y2611">
        <v>21852.05</v>
      </c>
    </row>
    <row r="2612" spans="1:25" x14ac:dyDescent="0.25">
      <c r="A2612" t="s">
        <v>2668</v>
      </c>
      <c r="B2612" s="1">
        <v>45661</v>
      </c>
      <c r="C2612">
        <v>2025</v>
      </c>
      <c r="D2612">
        <v>1</v>
      </c>
      <c r="E2612" t="s">
        <v>26</v>
      </c>
      <c r="F2612" t="s">
        <v>27</v>
      </c>
      <c r="G2612" t="s">
        <v>28</v>
      </c>
      <c r="H2612" t="s">
        <v>29</v>
      </c>
      <c r="I2612" t="s">
        <v>45</v>
      </c>
      <c r="J2612">
        <v>57</v>
      </c>
      <c r="K2612">
        <v>1083.3900000000001</v>
      </c>
      <c r="L2612">
        <v>61753.47</v>
      </c>
      <c r="M2612">
        <v>35869.129999999997</v>
      </c>
      <c r="N2612">
        <v>7216.44</v>
      </c>
      <c r="O2612">
        <v>2611.11</v>
      </c>
      <c r="P2612">
        <v>2688.34</v>
      </c>
      <c r="Q2612">
        <v>642.24</v>
      </c>
      <c r="R2612">
        <v>3140.87</v>
      </c>
      <c r="S2612">
        <v>625.78</v>
      </c>
      <c r="T2612">
        <v>52793.91</v>
      </c>
      <c r="U2612">
        <v>25884.34</v>
      </c>
      <c r="V2612">
        <v>8959.56</v>
      </c>
      <c r="W2612">
        <v>8901.0499999999993</v>
      </c>
      <c r="X2612">
        <v>62302.21</v>
      </c>
      <c r="Y2612">
        <v>55164.72</v>
      </c>
    </row>
    <row r="2613" spans="1:25" x14ac:dyDescent="0.25">
      <c r="A2613" t="s">
        <v>2669</v>
      </c>
      <c r="B2613" s="1">
        <v>45661</v>
      </c>
      <c r="C2613">
        <v>2025</v>
      </c>
      <c r="D2613">
        <v>1</v>
      </c>
      <c r="E2613" t="s">
        <v>26</v>
      </c>
      <c r="F2613" t="s">
        <v>27</v>
      </c>
      <c r="G2613" t="s">
        <v>28</v>
      </c>
      <c r="H2613" t="s">
        <v>29</v>
      </c>
      <c r="I2613" t="s">
        <v>45</v>
      </c>
      <c r="J2613">
        <v>49</v>
      </c>
      <c r="K2613">
        <v>1042.5</v>
      </c>
      <c r="L2613">
        <v>51082.54</v>
      </c>
      <c r="M2613">
        <v>27933.1</v>
      </c>
      <c r="N2613">
        <v>6532.93</v>
      </c>
      <c r="O2613">
        <v>2528.39</v>
      </c>
      <c r="P2613">
        <v>2164.81</v>
      </c>
      <c r="Q2613">
        <v>817.81</v>
      </c>
      <c r="R2613">
        <v>2391.94</v>
      </c>
      <c r="S2613">
        <v>573.58000000000004</v>
      </c>
      <c r="T2613">
        <v>42942.559999999998</v>
      </c>
      <c r="U2613">
        <v>23149.439999999999</v>
      </c>
      <c r="V2613">
        <v>8139.97</v>
      </c>
      <c r="W2613">
        <v>7291.29</v>
      </c>
      <c r="X2613">
        <v>48999.55</v>
      </c>
      <c r="Y2613">
        <v>41923.71</v>
      </c>
    </row>
    <row r="2614" spans="1:25" x14ac:dyDescent="0.25">
      <c r="A2614" t="s">
        <v>2670</v>
      </c>
      <c r="B2614" s="1">
        <v>45662</v>
      </c>
      <c r="C2614">
        <v>2025</v>
      </c>
      <c r="D2614">
        <v>1</v>
      </c>
      <c r="E2614" t="s">
        <v>26</v>
      </c>
      <c r="F2614" t="s">
        <v>27</v>
      </c>
      <c r="G2614" t="s">
        <v>55</v>
      </c>
      <c r="H2614" t="s">
        <v>36</v>
      </c>
      <c r="I2614" t="s">
        <v>39</v>
      </c>
      <c r="J2614">
        <v>28</v>
      </c>
      <c r="K2614">
        <v>1607.43</v>
      </c>
      <c r="L2614">
        <v>45008.13</v>
      </c>
      <c r="M2614">
        <v>28458.47</v>
      </c>
      <c r="N2614">
        <v>4610.37</v>
      </c>
      <c r="O2614">
        <v>1993.69</v>
      </c>
      <c r="P2614">
        <v>1137.51</v>
      </c>
      <c r="Q2614">
        <v>563.27</v>
      </c>
      <c r="R2614">
        <v>1869</v>
      </c>
      <c r="S2614">
        <v>872.61</v>
      </c>
      <c r="T2614">
        <v>39504.910000000003</v>
      </c>
      <c r="U2614">
        <v>16549.66</v>
      </c>
      <c r="V2614">
        <v>5503.22</v>
      </c>
      <c r="W2614">
        <v>4919.12</v>
      </c>
      <c r="X2614">
        <v>48719.05</v>
      </c>
      <c r="Y2614">
        <v>39604.67</v>
      </c>
    </row>
    <row r="2615" spans="1:25" x14ac:dyDescent="0.25">
      <c r="A2615" t="s">
        <v>2671</v>
      </c>
      <c r="B2615" s="1">
        <v>45662</v>
      </c>
      <c r="C2615">
        <v>2025</v>
      </c>
      <c r="D2615">
        <v>1</v>
      </c>
      <c r="E2615" t="s">
        <v>26</v>
      </c>
      <c r="F2615" t="s">
        <v>27</v>
      </c>
      <c r="G2615" t="s">
        <v>28</v>
      </c>
      <c r="H2615" t="s">
        <v>29</v>
      </c>
      <c r="I2615" t="s">
        <v>50</v>
      </c>
      <c r="J2615">
        <v>34</v>
      </c>
      <c r="K2615">
        <v>1458.27</v>
      </c>
      <c r="L2615">
        <v>49581.04</v>
      </c>
      <c r="M2615">
        <v>25449.94</v>
      </c>
      <c r="N2615">
        <v>5426.6</v>
      </c>
      <c r="O2615">
        <v>3672.62</v>
      </c>
      <c r="P2615">
        <v>1034.8399999999999</v>
      </c>
      <c r="Q2615">
        <v>642.35</v>
      </c>
      <c r="R2615">
        <v>1841.14</v>
      </c>
      <c r="S2615">
        <v>905.95</v>
      </c>
      <c r="T2615">
        <v>38973.449999999997</v>
      </c>
      <c r="U2615">
        <v>24131.1</v>
      </c>
      <c r="V2615">
        <v>10607.59</v>
      </c>
      <c r="W2615">
        <v>10033.74</v>
      </c>
      <c r="X2615">
        <v>46827.03</v>
      </c>
      <c r="Y2615">
        <v>41577.1</v>
      </c>
    </row>
    <row r="2616" spans="1:25" x14ac:dyDescent="0.25">
      <c r="A2616" t="s">
        <v>2672</v>
      </c>
      <c r="B2616" s="1">
        <v>45662</v>
      </c>
      <c r="C2616">
        <v>2025</v>
      </c>
      <c r="D2616">
        <v>1</v>
      </c>
      <c r="E2616" t="s">
        <v>26</v>
      </c>
      <c r="F2616" t="s">
        <v>27</v>
      </c>
      <c r="G2616" t="s">
        <v>44</v>
      </c>
      <c r="H2616" t="s">
        <v>36</v>
      </c>
      <c r="I2616" t="s">
        <v>33</v>
      </c>
      <c r="J2616">
        <v>76</v>
      </c>
      <c r="K2616">
        <v>845.32</v>
      </c>
      <c r="L2616">
        <v>64244.29</v>
      </c>
      <c r="M2616">
        <v>40836.76</v>
      </c>
      <c r="N2616">
        <v>5028.26</v>
      </c>
      <c r="O2616">
        <v>4129.5200000000004</v>
      </c>
      <c r="P2616">
        <v>2116.96</v>
      </c>
      <c r="Q2616">
        <v>839.47</v>
      </c>
      <c r="R2616">
        <v>2592.38</v>
      </c>
      <c r="S2616">
        <v>826.27</v>
      </c>
      <c r="T2616">
        <v>56369.63</v>
      </c>
      <c r="U2616">
        <v>23407.52</v>
      </c>
      <c r="V2616">
        <v>7874.66</v>
      </c>
      <c r="W2616">
        <v>7098.55</v>
      </c>
      <c r="X2616">
        <v>71533.570000000007</v>
      </c>
      <c r="Y2616">
        <v>54276.62</v>
      </c>
    </row>
    <row r="2617" spans="1:25" x14ac:dyDescent="0.25">
      <c r="A2617" t="s">
        <v>2673</v>
      </c>
      <c r="B2617" s="1">
        <v>45662</v>
      </c>
      <c r="C2617">
        <v>2025</v>
      </c>
      <c r="D2617">
        <v>1</v>
      </c>
      <c r="E2617" t="s">
        <v>26</v>
      </c>
      <c r="F2617" t="s">
        <v>27</v>
      </c>
      <c r="G2617" t="s">
        <v>35</v>
      </c>
      <c r="H2617" t="s">
        <v>36</v>
      </c>
      <c r="I2617" t="s">
        <v>65</v>
      </c>
      <c r="J2617">
        <v>51</v>
      </c>
      <c r="K2617">
        <v>1253.5</v>
      </c>
      <c r="L2617">
        <v>63928.71</v>
      </c>
      <c r="M2617">
        <v>34207.65</v>
      </c>
      <c r="N2617">
        <v>8261.11</v>
      </c>
      <c r="O2617">
        <v>4116.3</v>
      </c>
      <c r="P2617">
        <v>1233.1600000000001</v>
      </c>
      <c r="Q2617">
        <v>946.38</v>
      </c>
      <c r="R2617">
        <v>2334.5</v>
      </c>
      <c r="S2617">
        <v>890.51</v>
      </c>
      <c r="T2617">
        <v>51989.61</v>
      </c>
      <c r="U2617">
        <v>29721.06</v>
      </c>
      <c r="V2617">
        <v>11939.1</v>
      </c>
      <c r="W2617">
        <v>11983.15</v>
      </c>
      <c r="X2617">
        <v>67247.8</v>
      </c>
      <c r="Y2617">
        <v>54271.199999999997</v>
      </c>
    </row>
    <row r="2618" spans="1:25" x14ac:dyDescent="0.25">
      <c r="A2618" t="s">
        <v>2674</v>
      </c>
      <c r="B2618" s="1">
        <v>45662</v>
      </c>
      <c r="C2618">
        <v>2025</v>
      </c>
      <c r="D2618">
        <v>1</v>
      </c>
      <c r="E2618" t="s">
        <v>26</v>
      </c>
      <c r="F2618" t="s">
        <v>27</v>
      </c>
      <c r="G2618" t="s">
        <v>44</v>
      </c>
      <c r="H2618" t="s">
        <v>32</v>
      </c>
      <c r="I2618" t="s">
        <v>30</v>
      </c>
      <c r="J2618">
        <v>72</v>
      </c>
      <c r="K2618">
        <v>1223.8399999999999</v>
      </c>
      <c r="L2618">
        <v>88116.46</v>
      </c>
      <c r="M2618">
        <v>44551</v>
      </c>
      <c r="N2618">
        <v>6485.07</v>
      </c>
      <c r="O2618">
        <v>2451.54</v>
      </c>
      <c r="P2618">
        <v>1610.16</v>
      </c>
      <c r="Q2618">
        <v>1432.73</v>
      </c>
      <c r="R2618">
        <v>4289.04</v>
      </c>
      <c r="S2618">
        <v>1134.5999999999999</v>
      </c>
      <c r="T2618">
        <v>61954.16</v>
      </c>
      <c r="U2618">
        <v>43565.46</v>
      </c>
      <c r="V2618">
        <v>26162.3</v>
      </c>
      <c r="W2618">
        <v>23215.59</v>
      </c>
      <c r="X2618">
        <v>86746.14</v>
      </c>
      <c r="Y2618">
        <v>65039.88</v>
      </c>
    </row>
    <row r="2619" spans="1:25" x14ac:dyDescent="0.25">
      <c r="A2619" t="s">
        <v>2675</v>
      </c>
      <c r="B2619" s="1">
        <v>45663</v>
      </c>
      <c r="C2619">
        <v>2025</v>
      </c>
      <c r="D2619">
        <v>1</v>
      </c>
      <c r="E2619" t="s">
        <v>26</v>
      </c>
      <c r="F2619" t="s">
        <v>27</v>
      </c>
      <c r="G2619" t="s">
        <v>35</v>
      </c>
      <c r="H2619" t="s">
        <v>36</v>
      </c>
      <c r="I2619" t="s">
        <v>56</v>
      </c>
      <c r="J2619">
        <v>23</v>
      </c>
      <c r="K2619">
        <v>1187.01</v>
      </c>
      <c r="L2619">
        <v>27301.16</v>
      </c>
      <c r="M2619">
        <v>17967.29</v>
      </c>
      <c r="N2619">
        <v>2292.21</v>
      </c>
      <c r="O2619">
        <v>1199.07</v>
      </c>
      <c r="P2619">
        <v>674.82</v>
      </c>
      <c r="Q2619">
        <v>203.8</v>
      </c>
      <c r="R2619">
        <v>969.95</v>
      </c>
      <c r="S2619">
        <v>288.39</v>
      </c>
      <c r="T2619">
        <v>23595.52</v>
      </c>
      <c r="U2619">
        <v>9333.8700000000008</v>
      </c>
      <c r="V2619">
        <v>3705.64</v>
      </c>
      <c r="W2619">
        <v>3733.77</v>
      </c>
      <c r="X2619">
        <v>29847.27</v>
      </c>
      <c r="Y2619">
        <v>25889.439999999999</v>
      </c>
    </row>
    <row r="2620" spans="1:25" x14ac:dyDescent="0.25">
      <c r="A2620" t="s">
        <v>2676</v>
      </c>
      <c r="B2620" s="1">
        <v>45663</v>
      </c>
      <c r="C2620">
        <v>2025</v>
      </c>
      <c r="D2620">
        <v>1</v>
      </c>
      <c r="E2620" t="s">
        <v>26</v>
      </c>
      <c r="F2620" t="s">
        <v>27</v>
      </c>
      <c r="G2620" t="s">
        <v>35</v>
      </c>
      <c r="H2620" t="s">
        <v>32</v>
      </c>
      <c r="I2620" t="s">
        <v>50</v>
      </c>
      <c r="J2620">
        <v>26</v>
      </c>
      <c r="K2620">
        <v>1672.56</v>
      </c>
      <c r="L2620">
        <v>43486.63</v>
      </c>
      <c r="M2620">
        <v>23844.22</v>
      </c>
      <c r="N2620">
        <v>4839.5200000000004</v>
      </c>
      <c r="O2620">
        <v>2086.81</v>
      </c>
      <c r="P2620">
        <v>1211.05</v>
      </c>
      <c r="Q2620">
        <v>753.01</v>
      </c>
      <c r="R2620">
        <v>1145.3499999999999</v>
      </c>
      <c r="S2620">
        <v>767.16</v>
      </c>
      <c r="T2620">
        <v>34647.120000000003</v>
      </c>
      <c r="U2620">
        <v>19642.41</v>
      </c>
      <c r="V2620">
        <v>8839.51</v>
      </c>
      <c r="W2620">
        <v>8792.8799999999992</v>
      </c>
      <c r="X2620">
        <v>48057.27</v>
      </c>
      <c r="Y2620">
        <v>32337.73</v>
      </c>
    </row>
    <row r="2621" spans="1:25" x14ac:dyDescent="0.25">
      <c r="A2621" t="s">
        <v>2677</v>
      </c>
      <c r="B2621" s="1">
        <v>45664</v>
      </c>
      <c r="C2621">
        <v>2025</v>
      </c>
      <c r="D2621">
        <v>1</v>
      </c>
      <c r="E2621" t="s">
        <v>26</v>
      </c>
      <c r="F2621" t="s">
        <v>27</v>
      </c>
      <c r="G2621" t="s">
        <v>55</v>
      </c>
      <c r="H2621" t="s">
        <v>32</v>
      </c>
      <c r="I2621" t="s">
        <v>30</v>
      </c>
      <c r="J2621">
        <v>83</v>
      </c>
      <c r="K2621">
        <v>1596.82</v>
      </c>
      <c r="L2621">
        <v>132536.04</v>
      </c>
      <c r="M2621">
        <v>81727.8</v>
      </c>
      <c r="N2621">
        <v>16537.310000000001</v>
      </c>
      <c r="O2621">
        <v>5826.34</v>
      </c>
      <c r="P2621">
        <v>3322.92</v>
      </c>
      <c r="Q2621">
        <v>1549.85</v>
      </c>
      <c r="R2621">
        <v>3565.76</v>
      </c>
      <c r="S2621">
        <v>2622.25</v>
      </c>
      <c r="T2621">
        <v>115152.22</v>
      </c>
      <c r="U2621">
        <v>50808.25</v>
      </c>
      <c r="V2621">
        <v>17383.82</v>
      </c>
      <c r="W2621">
        <v>17438.02</v>
      </c>
      <c r="X2621">
        <v>129670.19</v>
      </c>
      <c r="Y2621">
        <v>112386.66</v>
      </c>
    </row>
    <row r="2622" spans="1:25" x14ac:dyDescent="0.25">
      <c r="A2622" t="s">
        <v>2678</v>
      </c>
      <c r="B2622" s="1">
        <v>45664</v>
      </c>
      <c r="C2622">
        <v>2025</v>
      </c>
      <c r="D2622">
        <v>1</v>
      </c>
      <c r="E2622" t="s">
        <v>26</v>
      </c>
      <c r="F2622" t="s">
        <v>27</v>
      </c>
      <c r="G2622" t="s">
        <v>44</v>
      </c>
      <c r="H2622" t="s">
        <v>36</v>
      </c>
      <c r="I2622" t="s">
        <v>30</v>
      </c>
      <c r="J2622">
        <v>76</v>
      </c>
      <c r="K2622">
        <v>1383.91</v>
      </c>
      <c r="L2622">
        <v>105176.84</v>
      </c>
      <c r="M2622">
        <v>70789.429999999993</v>
      </c>
      <c r="N2622">
        <v>7618.65</v>
      </c>
      <c r="O2622">
        <v>3839.02</v>
      </c>
      <c r="P2622">
        <v>3901.02</v>
      </c>
      <c r="Q2622">
        <v>1672.71</v>
      </c>
      <c r="R2622">
        <v>6774.76</v>
      </c>
      <c r="S2622">
        <v>2296.8200000000002</v>
      </c>
      <c r="T2622">
        <v>96892.41</v>
      </c>
      <c r="U2622">
        <v>34387.4</v>
      </c>
      <c r="V2622">
        <v>8284.43</v>
      </c>
      <c r="W2622">
        <v>8070.25</v>
      </c>
      <c r="X2622">
        <v>97558.58</v>
      </c>
      <c r="Y2622">
        <v>103815.41</v>
      </c>
    </row>
    <row r="2623" spans="1:25" x14ac:dyDescent="0.25">
      <c r="A2623" t="s">
        <v>2679</v>
      </c>
      <c r="B2623" s="1">
        <v>45664</v>
      </c>
      <c r="C2623">
        <v>2025</v>
      </c>
      <c r="D2623">
        <v>1</v>
      </c>
      <c r="E2623" t="s">
        <v>26</v>
      </c>
      <c r="F2623" t="s">
        <v>27</v>
      </c>
      <c r="G2623" t="s">
        <v>44</v>
      </c>
      <c r="H2623" t="s">
        <v>32</v>
      </c>
      <c r="I2623" t="s">
        <v>30</v>
      </c>
      <c r="J2623">
        <v>57</v>
      </c>
      <c r="K2623">
        <v>1315.93</v>
      </c>
      <c r="L2623">
        <v>75007.98</v>
      </c>
      <c r="M2623">
        <v>44307.57</v>
      </c>
      <c r="N2623">
        <v>8608.77</v>
      </c>
      <c r="O2623">
        <v>5427.5</v>
      </c>
      <c r="P2623">
        <v>1844.94</v>
      </c>
      <c r="Q2623">
        <v>1060.3699999999999</v>
      </c>
      <c r="R2623">
        <v>2775.37</v>
      </c>
      <c r="S2623">
        <v>1753.76</v>
      </c>
      <c r="T2623">
        <v>65778.28</v>
      </c>
      <c r="U2623">
        <v>30700.41</v>
      </c>
      <c r="V2623">
        <v>9229.7000000000007</v>
      </c>
      <c r="W2623">
        <v>9240.65</v>
      </c>
      <c r="X2623">
        <v>74627.7</v>
      </c>
      <c r="Y2623">
        <v>70629.899999999994</v>
      </c>
    </row>
    <row r="2624" spans="1:25" x14ac:dyDescent="0.25">
      <c r="A2624" t="s">
        <v>2680</v>
      </c>
      <c r="B2624" s="1">
        <v>45664</v>
      </c>
      <c r="C2624">
        <v>2025</v>
      </c>
      <c r="D2624">
        <v>1</v>
      </c>
      <c r="E2624" t="s">
        <v>26</v>
      </c>
      <c r="F2624" t="s">
        <v>27</v>
      </c>
      <c r="G2624" t="s">
        <v>35</v>
      </c>
      <c r="H2624" t="s">
        <v>36</v>
      </c>
      <c r="I2624" t="s">
        <v>45</v>
      </c>
      <c r="J2624">
        <v>23</v>
      </c>
      <c r="K2624">
        <v>1817.7</v>
      </c>
      <c r="L2624">
        <v>41807.019999999997</v>
      </c>
      <c r="M2624">
        <v>20322.39</v>
      </c>
      <c r="N2624">
        <v>4492.5</v>
      </c>
      <c r="O2624">
        <v>1761.6</v>
      </c>
      <c r="P2624">
        <v>1218.18</v>
      </c>
      <c r="Q2624">
        <v>716.17</v>
      </c>
      <c r="R2624">
        <v>1156.3499999999999</v>
      </c>
      <c r="S2624">
        <v>770.69</v>
      </c>
      <c r="T2624">
        <v>30437.87</v>
      </c>
      <c r="U2624">
        <v>21484.63</v>
      </c>
      <c r="V2624">
        <v>11369.14</v>
      </c>
      <c r="W2624">
        <v>11418.51</v>
      </c>
      <c r="X2624">
        <v>39115.57</v>
      </c>
      <c r="Y2624">
        <v>30543</v>
      </c>
    </row>
    <row r="2625" spans="1:25" x14ac:dyDescent="0.25">
      <c r="A2625" t="s">
        <v>2681</v>
      </c>
      <c r="B2625" s="1">
        <v>45664</v>
      </c>
      <c r="C2625">
        <v>2025</v>
      </c>
      <c r="D2625">
        <v>1</v>
      </c>
      <c r="E2625" t="s">
        <v>26</v>
      </c>
      <c r="F2625" t="s">
        <v>27</v>
      </c>
      <c r="G2625" t="s">
        <v>55</v>
      </c>
      <c r="H2625" t="s">
        <v>53</v>
      </c>
      <c r="I2625" t="s">
        <v>37</v>
      </c>
      <c r="J2625">
        <v>50</v>
      </c>
      <c r="K2625">
        <v>1518.58</v>
      </c>
      <c r="L2625">
        <v>75929</v>
      </c>
      <c r="M2625">
        <v>44030.45</v>
      </c>
      <c r="N2625">
        <v>7108.3</v>
      </c>
      <c r="O2625">
        <v>4888.0200000000004</v>
      </c>
      <c r="P2625">
        <v>1880.8</v>
      </c>
      <c r="Q2625">
        <v>1201.56</v>
      </c>
      <c r="R2625">
        <v>2760.11</v>
      </c>
      <c r="S2625">
        <v>918.5</v>
      </c>
      <c r="T2625">
        <v>62787.73</v>
      </c>
      <c r="U2625">
        <v>31898.55</v>
      </c>
      <c r="V2625">
        <v>13141.27</v>
      </c>
      <c r="W2625">
        <v>11744.07</v>
      </c>
      <c r="X2625">
        <v>70078.789999999994</v>
      </c>
      <c r="Y2625">
        <v>64593.04</v>
      </c>
    </row>
    <row r="2626" spans="1:25" x14ac:dyDescent="0.25">
      <c r="A2626" t="s">
        <v>2682</v>
      </c>
      <c r="B2626" s="1">
        <v>45665</v>
      </c>
      <c r="C2626">
        <v>2025</v>
      </c>
      <c r="D2626">
        <v>1</v>
      </c>
      <c r="E2626" t="s">
        <v>26</v>
      </c>
      <c r="F2626" t="s">
        <v>27</v>
      </c>
      <c r="G2626" t="s">
        <v>55</v>
      </c>
      <c r="H2626" t="s">
        <v>58</v>
      </c>
      <c r="I2626" t="s">
        <v>65</v>
      </c>
      <c r="J2626">
        <v>39</v>
      </c>
      <c r="K2626">
        <v>1313.27</v>
      </c>
      <c r="L2626">
        <v>51217.38</v>
      </c>
      <c r="M2626">
        <v>32537.31</v>
      </c>
      <c r="N2626">
        <v>5271.2</v>
      </c>
      <c r="O2626">
        <v>1305.8699999999999</v>
      </c>
      <c r="P2626">
        <v>1386.37</v>
      </c>
      <c r="Q2626">
        <v>413.63</v>
      </c>
      <c r="R2626">
        <v>1471.82</v>
      </c>
      <c r="S2626">
        <v>538.11</v>
      </c>
      <c r="T2626">
        <v>42924.33</v>
      </c>
      <c r="U2626">
        <v>18680.07</v>
      </c>
      <c r="V2626">
        <v>8293.06</v>
      </c>
      <c r="W2626">
        <v>8027.2</v>
      </c>
      <c r="X2626">
        <v>53810.42</v>
      </c>
      <c r="Y2626">
        <v>45001.120000000003</v>
      </c>
    </row>
    <row r="2627" spans="1:25" x14ac:dyDescent="0.25">
      <c r="A2627" t="s">
        <v>2683</v>
      </c>
      <c r="B2627" s="1">
        <v>45665</v>
      </c>
      <c r="C2627">
        <v>2025</v>
      </c>
      <c r="D2627">
        <v>1</v>
      </c>
      <c r="E2627" t="s">
        <v>26</v>
      </c>
      <c r="F2627" t="s">
        <v>27</v>
      </c>
      <c r="G2627" t="s">
        <v>28</v>
      </c>
      <c r="H2627" t="s">
        <v>36</v>
      </c>
      <c r="I2627" t="s">
        <v>65</v>
      </c>
      <c r="J2627">
        <v>54</v>
      </c>
      <c r="K2627">
        <v>1475.97</v>
      </c>
      <c r="L2627">
        <v>79702.429999999993</v>
      </c>
      <c r="M2627">
        <v>40363.15</v>
      </c>
      <c r="N2627">
        <v>7396.17</v>
      </c>
      <c r="O2627">
        <v>4770.67</v>
      </c>
      <c r="P2627">
        <v>1348.22</v>
      </c>
      <c r="Q2627">
        <v>1175.83</v>
      </c>
      <c r="R2627">
        <v>4771.0200000000004</v>
      </c>
      <c r="S2627">
        <v>772.6</v>
      </c>
      <c r="T2627">
        <v>60597.67</v>
      </c>
      <c r="U2627">
        <v>39339.269999999997</v>
      </c>
      <c r="V2627">
        <v>19104.759999999998</v>
      </c>
      <c r="W2627">
        <v>19176.169999999998</v>
      </c>
      <c r="X2627">
        <v>78568.95</v>
      </c>
      <c r="Y2627">
        <v>64098.04</v>
      </c>
    </row>
    <row r="2628" spans="1:25" x14ac:dyDescent="0.25">
      <c r="A2628" t="s">
        <v>2684</v>
      </c>
      <c r="B2628" s="1">
        <v>45665</v>
      </c>
      <c r="C2628">
        <v>2025</v>
      </c>
      <c r="D2628">
        <v>1</v>
      </c>
      <c r="E2628" t="s">
        <v>26</v>
      </c>
      <c r="F2628" t="s">
        <v>27</v>
      </c>
      <c r="G2628" t="s">
        <v>28</v>
      </c>
      <c r="H2628" t="s">
        <v>29</v>
      </c>
      <c r="I2628" t="s">
        <v>33</v>
      </c>
      <c r="J2628">
        <v>73</v>
      </c>
      <c r="K2628">
        <v>1154.6300000000001</v>
      </c>
      <c r="L2628">
        <v>84287.76</v>
      </c>
      <c r="M2628">
        <v>55271.839999999997</v>
      </c>
      <c r="N2628">
        <v>10514.96</v>
      </c>
      <c r="O2628">
        <v>2670.23</v>
      </c>
      <c r="P2628">
        <v>2122.06</v>
      </c>
      <c r="Q2628">
        <v>595.64</v>
      </c>
      <c r="R2628">
        <v>4511.7</v>
      </c>
      <c r="S2628">
        <v>839.31</v>
      </c>
      <c r="T2628">
        <v>76525.73</v>
      </c>
      <c r="U2628">
        <v>29015.919999999998</v>
      </c>
      <c r="V2628">
        <v>7762.02</v>
      </c>
      <c r="W2628">
        <v>7046.02</v>
      </c>
      <c r="X2628">
        <v>90017.85</v>
      </c>
      <c r="Y2628">
        <v>81226.539999999994</v>
      </c>
    </row>
    <row r="2629" spans="1:25" x14ac:dyDescent="0.25">
      <c r="A2629" t="s">
        <v>2685</v>
      </c>
      <c r="B2629" s="1">
        <v>45665</v>
      </c>
      <c r="C2629">
        <v>2025</v>
      </c>
      <c r="D2629">
        <v>1</v>
      </c>
      <c r="E2629" t="s">
        <v>26</v>
      </c>
      <c r="F2629" t="s">
        <v>27</v>
      </c>
      <c r="G2629" t="s">
        <v>44</v>
      </c>
      <c r="H2629" t="s">
        <v>32</v>
      </c>
      <c r="I2629" t="s">
        <v>65</v>
      </c>
      <c r="J2629">
        <v>51</v>
      </c>
      <c r="K2629">
        <v>1601.69</v>
      </c>
      <c r="L2629">
        <v>81686.080000000002</v>
      </c>
      <c r="M2629">
        <v>50145.31</v>
      </c>
      <c r="N2629">
        <v>6577.93</v>
      </c>
      <c r="O2629">
        <v>6016.71</v>
      </c>
      <c r="P2629">
        <v>1395.78</v>
      </c>
      <c r="Q2629">
        <v>1260.3599999999999</v>
      </c>
      <c r="R2629">
        <v>2467.59</v>
      </c>
      <c r="S2629">
        <v>1622.98</v>
      </c>
      <c r="T2629">
        <v>69486.66</v>
      </c>
      <c r="U2629">
        <v>31540.78</v>
      </c>
      <c r="V2629">
        <v>12199.43</v>
      </c>
      <c r="W2629">
        <v>11282.19</v>
      </c>
      <c r="X2629">
        <v>77777.460000000006</v>
      </c>
      <c r="Y2629">
        <v>75500.2</v>
      </c>
    </row>
    <row r="2630" spans="1:25" x14ac:dyDescent="0.25">
      <c r="A2630" t="s">
        <v>2686</v>
      </c>
      <c r="B2630" s="1">
        <v>45666</v>
      </c>
      <c r="C2630">
        <v>2025</v>
      </c>
      <c r="D2630">
        <v>1</v>
      </c>
      <c r="E2630" t="s">
        <v>26</v>
      </c>
      <c r="F2630" t="s">
        <v>27</v>
      </c>
      <c r="G2630" t="s">
        <v>28</v>
      </c>
      <c r="H2630" t="s">
        <v>32</v>
      </c>
      <c r="I2630" t="s">
        <v>33</v>
      </c>
      <c r="J2630">
        <v>77</v>
      </c>
      <c r="K2630">
        <v>1232.1400000000001</v>
      </c>
      <c r="L2630">
        <v>94874.72</v>
      </c>
      <c r="M2630">
        <v>60446.35</v>
      </c>
      <c r="N2630">
        <v>7670.76</v>
      </c>
      <c r="O2630">
        <v>3799.16</v>
      </c>
      <c r="P2630">
        <v>3481.46</v>
      </c>
      <c r="Q2630">
        <v>1481.65</v>
      </c>
      <c r="R2630">
        <v>5481.53</v>
      </c>
      <c r="S2630">
        <v>1152.3800000000001</v>
      </c>
      <c r="T2630">
        <v>83513.3</v>
      </c>
      <c r="U2630">
        <v>34428.36</v>
      </c>
      <c r="V2630">
        <v>11361.42</v>
      </c>
      <c r="W2630">
        <v>10982.89</v>
      </c>
      <c r="X2630">
        <v>105436.7</v>
      </c>
      <c r="Y2630">
        <v>85610.36</v>
      </c>
    </row>
    <row r="2631" spans="1:25" x14ac:dyDescent="0.25">
      <c r="A2631" t="s">
        <v>2687</v>
      </c>
      <c r="B2631" s="1">
        <v>45666</v>
      </c>
      <c r="C2631">
        <v>2025</v>
      </c>
      <c r="D2631">
        <v>1</v>
      </c>
      <c r="E2631" t="s">
        <v>26</v>
      </c>
      <c r="F2631" t="s">
        <v>27</v>
      </c>
      <c r="G2631" t="s">
        <v>28</v>
      </c>
      <c r="H2631" t="s">
        <v>29</v>
      </c>
      <c r="I2631" t="s">
        <v>45</v>
      </c>
      <c r="J2631">
        <v>27</v>
      </c>
      <c r="K2631">
        <v>1678.86</v>
      </c>
      <c r="L2631">
        <v>45329.15</v>
      </c>
      <c r="M2631">
        <v>29380.95</v>
      </c>
      <c r="N2631">
        <v>3341.2</v>
      </c>
      <c r="O2631">
        <v>1224.53</v>
      </c>
      <c r="P2631">
        <v>1556.4</v>
      </c>
      <c r="Q2631">
        <v>242.11</v>
      </c>
      <c r="R2631">
        <v>2694.98</v>
      </c>
      <c r="S2631">
        <v>671.5</v>
      </c>
      <c r="T2631">
        <v>39111.68</v>
      </c>
      <c r="U2631">
        <v>15948.2</v>
      </c>
      <c r="V2631">
        <v>6217.47</v>
      </c>
      <c r="W2631">
        <v>5880.03</v>
      </c>
      <c r="X2631">
        <v>43760.05</v>
      </c>
      <c r="Y2631">
        <v>38119.08</v>
      </c>
    </row>
    <row r="2632" spans="1:25" x14ac:dyDescent="0.25">
      <c r="A2632" t="s">
        <v>2688</v>
      </c>
      <c r="B2632" s="1">
        <v>45666</v>
      </c>
      <c r="C2632">
        <v>2025</v>
      </c>
      <c r="D2632">
        <v>1</v>
      </c>
      <c r="E2632" t="s">
        <v>26</v>
      </c>
      <c r="F2632" t="s">
        <v>27</v>
      </c>
      <c r="G2632" t="s">
        <v>44</v>
      </c>
      <c r="H2632" t="s">
        <v>29</v>
      </c>
      <c r="I2632" t="s">
        <v>30</v>
      </c>
      <c r="J2632">
        <v>54</v>
      </c>
      <c r="K2632">
        <v>1765.11</v>
      </c>
      <c r="L2632">
        <v>95315.77</v>
      </c>
      <c r="M2632">
        <v>49925.99</v>
      </c>
      <c r="N2632">
        <v>7184.91</v>
      </c>
      <c r="O2632">
        <v>3243.93</v>
      </c>
      <c r="P2632">
        <v>3833.87</v>
      </c>
      <c r="Q2632">
        <v>1389.36</v>
      </c>
      <c r="R2632">
        <v>3380.68</v>
      </c>
      <c r="S2632">
        <v>1231.0999999999999</v>
      </c>
      <c r="T2632">
        <v>70189.84</v>
      </c>
      <c r="U2632">
        <v>45389.78</v>
      </c>
      <c r="V2632">
        <v>25125.93</v>
      </c>
      <c r="W2632">
        <v>22541.74</v>
      </c>
      <c r="X2632">
        <v>93103.25</v>
      </c>
      <c r="Y2632">
        <v>73633.929999999993</v>
      </c>
    </row>
    <row r="2633" spans="1:25" x14ac:dyDescent="0.25">
      <c r="A2633" t="s">
        <v>2689</v>
      </c>
      <c r="B2633" s="1">
        <v>45666</v>
      </c>
      <c r="C2633">
        <v>2025</v>
      </c>
      <c r="D2633">
        <v>1</v>
      </c>
      <c r="E2633" t="s">
        <v>26</v>
      </c>
      <c r="F2633" t="s">
        <v>27</v>
      </c>
      <c r="G2633" t="s">
        <v>44</v>
      </c>
      <c r="H2633" t="s">
        <v>58</v>
      </c>
      <c r="I2633" t="s">
        <v>65</v>
      </c>
      <c r="J2633">
        <v>51</v>
      </c>
      <c r="K2633">
        <v>1126.43</v>
      </c>
      <c r="L2633">
        <v>57447.74</v>
      </c>
      <c r="M2633">
        <v>31556.99</v>
      </c>
      <c r="N2633">
        <v>7449.69</v>
      </c>
      <c r="O2633">
        <v>4041.2</v>
      </c>
      <c r="P2633">
        <v>2446.9699999999998</v>
      </c>
      <c r="Q2633">
        <v>775.27</v>
      </c>
      <c r="R2633">
        <v>1446.35</v>
      </c>
      <c r="S2633">
        <v>814.37</v>
      </c>
      <c r="T2633">
        <v>48530.83</v>
      </c>
      <c r="U2633">
        <v>25890.75</v>
      </c>
      <c r="V2633">
        <v>8916.91</v>
      </c>
      <c r="W2633">
        <v>8082.79</v>
      </c>
      <c r="X2633">
        <v>64145.04</v>
      </c>
      <c r="Y2633">
        <v>47092.53</v>
      </c>
    </row>
    <row r="2634" spans="1:25" x14ac:dyDescent="0.25">
      <c r="A2634" t="s">
        <v>2690</v>
      </c>
      <c r="B2634" s="1">
        <v>45667</v>
      </c>
      <c r="C2634">
        <v>2025</v>
      </c>
      <c r="D2634">
        <v>1</v>
      </c>
      <c r="E2634" t="s">
        <v>26</v>
      </c>
      <c r="F2634" t="s">
        <v>27</v>
      </c>
      <c r="G2634" t="s">
        <v>28</v>
      </c>
      <c r="H2634" t="s">
        <v>32</v>
      </c>
      <c r="I2634" t="s">
        <v>56</v>
      </c>
      <c r="J2634">
        <v>59</v>
      </c>
      <c r="K2634">
        <v>840.31</v>
      </c>
      <c r="L2634">
        <v>49578.080000000002</v>
      </c>
      <c r="M2634">
        <v>29902.03</v>
      </c>
      <c r="N2634">
        <v>3860.15</v>
      </c>
      <c r="O2634">
        <v>2643.98</v>
      </c>
      <c r="P2634">
        <v>1549.59</v>
      </c>
      <c r="Q2634">
        <v>625.34</v>
      </c>
      <c r="R2634">
        <v>2290.9699999999998</v>
      </c>
      <c r="S2634">
        <v>763.94</v>
      </c>
      <c r="T2634">
        <v>41636</v>
      </c>
      <c r="U2634">
        <v>19676.05</v>
      </c>
      <c r="V2634">
        <v>7942.08</v>
      </c>
      <c r="W2634">
        <v>7825.99</v>
      </c>
      <c r="X2634">
        <v>52497.24</v>
      </c>
      <c r="Y2634">
        <v>39762.400000000001</v>
      </c>
    </row>
    <row r="2635" spans="1:25" x14ac:dyDescent="0.25">
      <c r="A2635" t="s">
        <v>2691</v>
      </c>
      <c r="B2635" s="1">
        <v>45667</v>
      </c>
      <c r="C2635">
        <v>2025</v>
      </c>
      <c r="D2635">
        <v>1</v>
      </c>
      <c r="E2635" t="s">
        <v>26</v>
      </c>
      <c r="F2635" t="s">
        <v>27</v>
      </c>
      <c r="G2635" t="s">
        <v>28</v>
      </c>
      <c r="H2635" t="s">
        <v>53</v>
      </c>
      <c r="I2635" t="s">
        <v>50</v>
      </c>
      <c r="J2635">
        <v>56</v>
      </c>
      <c r="K2635">
        <v>954.88</v>
      </c>
      <c r="L2635">
        <v>53473.35</v>
      </c>
      <c r="M2635">
        <v>36241.61</v>
      </c>
      <c r="N2635">
        <v>4120.6099999999997</v>
      </c>
      <c r="O2635">
        <v>1960.48</v>
      </c>
      <c r="P2635">
        <v>1986.16</v>
      </c>
      <c r="Q2635">
        <v>387.01</v>
      </c>
      <c r="R2635">
        <v>2100.2800000000002</v>
      </c>
      <c r="S2635">
        <v>628.07000000000005</v>
      </c>
      <c r="T2635">
        <v>47424.23</v>
      </c>
      <c r="U2635">
        <v>17231.740000000002</v>
      </c>
      <c r="V2635">
        <v>6049.12</v>
      </c>
      <c r="W2635">
        <v>5635.81</v>
      </c>
      <c r="X2635">
        <v>54956.63</v>
      </c>
      <c r="Y2635">
        <v>45749.53</v>
      </c>
    </row>
    <row r="2636" spans="1:25" x14ac:dyDescent="0.25">
      <c r="A2636" t="s">
        <v>2692</v>
      </c>
      <c r="B2636" s="1">
        <v>45668</v>
      </c>
      <c r="C2636">
        <v>2025</v>
      </c>
      <c r="D2636">
        <v>1</v>
      </c>
      <c r="E2636" t="s">
        <v>26</v>
      </c>
      <c r="F2636" t="s">
        <v>27</v>
      </c>
      <c r="G2636" t="s">
        <v>44</v>
      </c>
      <c r="H2636" t="s">
        <v>32</v>
      </c>
      <c r="I2636" t="s">
        <v>39</v>
      </c>
      <c r="J2636">
        <v>33</v>
      </c>
      <c r="K2636">
        <v>1523.42</v>
      </c>
      <c r="L2636">
        <v>50272.71</v>
      </c>
      <c r="M2636">
        <v>33838.129999999997</v>
      </c>
      <c r="N2636">
        <v>4720.84</v>
      </c>
      <c r="O2636">
        <v>3008.89</v>
      </c>
      <c r="P2636">
        <v>913.56</v>
      </c>
      <c r="Q2636">
        <v>361.86</v>
      </c>
      <c r="R2636">
        <v>1976.26</v>
      </c>
      <c r="S2636">
        <v>1060.3499999999999</v>
      </c>
      <c r="T2636">
        <v>45879.89</v>
      </c>
      <c r="U2636">
        <v>16434.580000000002</v>
      </c>
      <c r="V2636">
        <v>4392.82</v>
      </c>
      <c r="W2636">
        <v>4231.84</v>
      </c>
      <c r="X2636">
        <v>53263.12</v>
      </c>
      <c r="Y2636">
        <v>44311.46</v>
      </c>
    </row>
    <row r="2637" spans="1:25" x14ac:dyDescent="0.25">
      <c r="A2637" t="s">
        <v>2693</v>
      </c>
      <c r="B2637" s="1">
        <v>45668</v>
      </c>
      <c r="C2637">
        <v>2025</v>
      </c>
      <c r="D2637">
        <v>1</v>
      </c>
      <c r="E2637" t="s">
        <v>26</v>
      </c>
      <c r="F2637" t="s">
        <v>27</v>
      </c>
      <c r="G2637" t="s">
        <v>44</v>
      </c>
      <c r="H2637" t="s">
        <v>58</v>
      </c>
      <c r="I2637" t="s">
        <v>50</v>
      </c>
      <c r="J2637">
        <v>23</v>
      </c>
      <c r="K2637">
        <v>1401.61</v>
      </c>
      <c r="L2637">
        <v>32236.97</v>
      </c>
      <c r="M2637">
        <v>15862.25</v>
      </c>
      <c r="N2637">
        <v>2576.4299999999998</v>
      </c>
      <c r="O2637">
        <v>1888.93</v>
      </c>
      <c r="P2637">
        <v>726.61</v>
      </c>
      <c r="Q2637">
        <v>562.62</v>
      </c>
      <c r="R2637">
        <v>869.11</v>
      </c>
      <c r="S2637">
        <v>403.61</v>
      </c>
      <c r="T2637">
        <v>22889.55</v>
      </c>
      <c r="U2637">
        <v>16374.72</v>
      </c>
      <c r="V2637">
        <v>9347.42</v>
      </c>
      <c r="W2637">
        <v>8612.0400000000009</v>
      </c>
      <c r="X2637">
        <v>31454.799999999999</v>
      </c>
      <c r="Y2637">
        <v>23253.360000000001</v>
      </c>
    </row>
    <row r="2638" spans="1:25" x14ac:dyDescent="0.25">
      <c r="A2638" t="s">
        <v>2694</v>
      </c>
      <c r="B2638" s="1">
        <v>45668</v>
      </c>
      <c r="C2638">
        <v>2025</v>
      </c>
      <c r="D2638">
        <v>1</v>
      </c>
      <c r="E2638" t="s">
        <v>26</v>
      </c>
      <c r="F2638" t="s">
        <v>27</v>
      </c>
      <c r="G2638" t="s">
        <v>55</v>
      </c>
      <c r="H2638" t="s">
        <v>29</v>
      </c>
      <c r="I2638" t="s">
        <v>30</v>
      </c>
      <c r="J2638">
        <v>155</v>
      </c>
      <c r="K2638">
        <v>817.85</v>
      </c>
      <c r="L2638">
        <v>126767.12</v>
      </c>
      <c r="M2638">
        <v>74613</v>
      </c>
      <c r="N2638">
        <v>13798.15</v>
      </c>
      <c r="O2638">
        <v>4266.3100000000004</v>
      </c>
      <c r="P2638">
        <v>2795.69</v>
      </c>
      <c r="Q2638">
        <v>1546.47</v>
      </c>
      <c r="R2638">
        <v>4940.55</v>
      </c>
      <c r="S2638">
        <v>2157.3000000000002</v>
      </c>
      <c r="T2638">
        <v>104117.48</v>
      </c>
      <c r="U2638">
        <v>52154.11</v>
      </c>
      <c r="V2638">
        <v>22649.63</v>
      </c>
      <c r="W2638">
        <v>19944.62</v>
      </c>
      <c r="X2638">
        <v>133347.54</v>
      </c>
      <c r="Y2638">
        <v>103624.32000000001</v>
      </c>
    </row>
    <row r="2639" spans="1:25" x14ac:dyDescent="0.25">
      <c r="A2639" t="s">
        <v>2695</v>
      </c>
      <c r="B2639" s="1">
        <v>45669</v>
      </c>
      <c r="C2639">
        <v>2025</v>
      </c>
      <c r="D2639">
        <v>1</v>
      </c>
      <c r="E2639" t="s">
        <v>26</v>
      </c>
      <c r="F2639" t="s">
        <v>27</v>
      </c>
      <c r="G2639" t="s">
        <v>55</v>
      </c>
      <c r="H2639" t="s">
        <v>32</v>
      </c>
      <c r="I2639" t="s">
        <v>50</v>
      </c>
      <c r="J2639">
        <v>37</v>
      </c>
      <c r="K2639">
        <v>1546.05</v>
      </c>
      <c r="L2639">
        <v>57203.67</v>
      </c>
      <c r="M2639">
        <v>38733.49</v>
      </c>
      <c r="N2639">
        <v>5548.51</v>
      </c>
      <c r="O2639">
        <v>2878.04</v>
      </c>
      <c r="P2639">
        <v>991.15</v>
      </c>
      <c r="Q2639">
        <v>505.3</v>
      </c>
      <c r="R2639">
        <v>2640.38</v>
      </c>
      <c r="S2639">
        <v>1245.9100000000001</v>
      </c>
      <c r="T2639">
        <v>52542.77</v>
      </c>
      <c r="U2639">
        <v>18470.18</v>
      </c>
      <c r="V2639">
        <v>4660.8900000000003</v>
      </c>
      <c r="W2639">
        <v>4342.87</v>
      </c>
      <c r="X2639">
        <v>61157.58</v>
      </c>
      <c r="Y2639">
        <v>54353.919999999998</v>
      </c>
    </row>
    <row r="2640" spans="1:25" x14ac:dyDescent="0.25">
      <c r="A2640" t="s">
        <v>2696</v>
      </c>
      <c r="B2640" s="1">
        <v>45669</v>
      </c>
      <c r="C2640">
        <v>2025</v>
      </c>
      <c r="D2640">
        <v>1</v>
      </c>
      <c r="E2640" t="s">
        <v>26</v>
      </c>
      <c r="F2640" t="s">
        <v>27</v>
      </c>
      <c r="G2640" t="s">
        <v>55</v>
      </c>
      <c r="H2640" t="s">
        <v>29</v>
      </c>
      <c r="I2640" t="s">
        <v>65</v>
      </c>
      <c r="J2640">
        <v>77</v>
      </c>
      <c r="K2640">
        <v>1097.03</v>
      </c>
      <c r="L2640">
        <v>84471</v>
      </c>
      <c r="M2640">
        <v>47634.87</v>
      </c>
      <c r="N2640">
        <v>7249.67</v>
      </c>
      <c r="O2640">
        <v>5856.17</v>
      </c>
      <c r="P2640">
        <v>2874.49</v>
      </c>
      <c r="Q2640">
        <v>738.84</v>
      </c>
      <c r="R2640">
        <v>5051.6499999999996</v>
      </c>
      <c r="S2640">
        <v>1801.81</v>
      </c>
      <c r="T2640">
        <v>71207.490000000005</v>
      </c>
      <c r="U2640">
        <v>36836.129999999997</v>
      </c>
      <c r="V2640">
        <v>13263.51</v>
      </c>
      <c r="W2640">
        <v>11795.96</v>
      </c>
      <c r="X2640">
        <v>89663.11</v>
      </c>
      <c r="Y2640">
        <v>76815.149999999994</v>
      </c>
    </row>
    <row r="2641" spans="1:25" x14ac:dyDescent="0.25">
      <c r="A2641" t="s">
        <v>2697</v>
      </c>
      <c r="B2641" s="1">
        <v>45670</v>
      </c>
      <c r="C2641">
        <v>2025</v>
      </c>
      <c r="D2641">
        <v>1</v>
      </c>
      <c r="E2641" t="s">
        <v>26</v>
      </c>
      <c r="F2641" t="s">
        <v>27</v>
      </c>
      <c r="G2641" t="s">
        <v>55</v>
      </c>
      <c r="H2641" t="s">
        <v>58</v>
      </c>
      <c r="I2641" t="s">
        <v>65</v>
      </c>
      <c r="J2641">
        <v>29</v>
      </c>
      <c r="K2641">
        <v>1770.87</v>
      </c>
      <c r="L2641">
        <v>51355.29</v>
      </c>
      <c r="M2641">
        <v>29032.080000000002</v>
      </c>
      <c r="N2641">
        <v>6166.14</v>
      </c>
      <c r="O2641">
        <v>2771.49</v>
      </c>
      <c r="P2641">
        <v>1226.58</v>
      </c>
      <c r="Q2641">
        <v>562.37</v>
      </c>
      <c r="R2641">
        <v>3291.24</v>
      </c>
      <c r="S2641">
        <v>1255.0899999999999</v>
      </c>
      <c r="T2641">
        <v>44304.99</v>
      </c>
      <c r="U2641">
        <v>22323.21</v>
      </c>
      <c r="V2641">
        <v>7050.3</v>
      </c>
      <c r="W2641">
        <v>6444.33</v>
      </c>
      <c r="X2641">
        <v>50677.97</v>
      </c>
      <c r="Y2641">
        <v>45824.35</v>
      </c>
    </row>
    <row r="2642" spans="1:25" x14ac:dyDescent="0.25">
      <c r="A2642" t="s">
        <v>2698</v>
      </c>
      <c r="B2642" s="1">
        <v>45670</v>
      </c>
      <c r="C2642">
        <v>2025</v>
      </c>
      <c r="D2642">
        <v>1</v>
      </c>
      <c r="E2642" t="s">
        <v>26</v>
      </c>
      <c r="F2642" t="s">
        <v>27</v>
      </c>
      <c r="G2642" t="s">
        <v>35</v>
      </c>
      <c r="H2642" t="s">
        <v>32</v>
      </c>
      <c r="I2642" t="s">
        <v>39</v>
      </c>
      <c r="J2642">
        <v>32</v>
      </c>
      <c r="K2642">
        <v>1728.58</v>
      </c>
      <c r="L2642">
        <v>55314.64</v>
      </c>
      <c r="M2642">
        <v>37323.699999999997</v>
      </c>
      <c r="N2642">
        <v>4605.8599999999997</v>
      </c>
      <c r="O2642">
        <v>2701.64</v>
      </c>
      <c r="P2642">
        <v>2219.35</v>
      </c>
      <c r="Q2642">
        <v>799.86</v>
      </c>
      <c r="R2642">
        <v>3111.34</v>
      </c>
      <c r="S2642">
        <v>1002.76</v>
      </c>
      <c r="T2642">
        <v>51764.5</v>
      </c>
      <c r="U2642">
        <v>17990.939999999999</v>
      </c>
      <c r="V2642">
        <v>3550.14</v>
      </c>
      <c r="W2642">
        <v>3506.87</v>
      </c>
      <c r="X2642">
        <v>58195.3</v>
      </c>
      <c r="Y2642">
        <v>51738.92</v>
      </c>
    </row>
    <row r="2643" spans="1:25" x14ac:dyDescent="0.25">
      <c r="A2643" t="s">
        <v>2699</v>
      </c>
      <c r="B2643" s="1">
        <v>45670</v>
      </c>
      <c r="C2643">
        <v>2025</v>
      </c>
      <c r="D2643">
        <v>1</v>
      </c>
      <c r="E2643" t="s">
        <v>26</v>
      </c>
      <c r="F2643" t="s">
        <v>27</v>
      </c>
      <c r="G2643" t="s">
        <v>55</v>
      </c>
      <c r="H2643" t="s">
        <v>53</v>
      </c>
      <c r="I2643" t="s">
        <v>45</v>
      </c>
      <c r="J2643">
        <v>32</v>
      </c>
      <c r="K2643">
        <v>1358.33</v>
      </c>
      <c r="L2643">
        <v>43466.43</v>
      </c>
      <c r="M2643">
        <v>24187.69</v>
      </c>
      <c r="N2643">
        <v>5402.19</v>
      </c>
      <c r="O2643">
        <v>1174.03</v>
      </c>
      <c r="P2643">
        <v>1346.08</v>
      </c>
      <c r="Q2643">
        <v>661.66</v>
      </c>
      <c r="R2643">
        <v>2176.96</v>
      </c>
      <c r="S2643">
        <v>649.82000000000005</v>
      </c>
      <c r="T2643">
        <v>35598.410000000003</v>
      </c>
      <c r="U2643">
        <v>19278.740000000002</v>
      </c>
      <c r="V2643">
        <v>7868.01</v>
      </c>
      <c r="W2643">
        <v>7730.85</v>
      </c>
      <c r="X2643">
        <v>44204.43</v>
      </c>
      <c r="Y2643">
        <v>33811.99</v>
      </c>
    </row>
    <row r="2644" spans="1:25" x14ac:dyDescent="0.25">
      <c r="A2644" t="s">
        <v>2700</v>
      </c>
      <c r="B2644" s="1">
        <v>45670</v>
      </c>
      <c r="C2644">
        <v>2025</v>
      </c>
      <c r="D2644">
        <v>1</v>
      </c>
      <c r="E2644" t="s">
        <v>26</v>
      </c>
      <c r="F2644" t="s">
        <v>27</v>
      </c>
      <c r="G2644" t="s">
        <v>28</v>
      </c>
      <c r="H2644" t="s">
        <v>53</v>
      </c>
      <c r="I2644" t="s">
        <v>65</v>
      </c>
      <c r="J2644">
        <v>31</v>
      </c>
      <c r="K2644">
        <v>1385.27</v>
      </c>
      <c r="L2644">
        <v>42943.35</v>
      </c>
      <c r="M2644">
        <v>21632.79</v>
      </c>
      <c r="N2644">
        <v>4770.99</v>
      </c>
      <c r="O2644">
        <v>2496.75</v>
      </c>
      <c r="P2644">
        <v>734.58</v>
      </c>
      <c r="Q2644">
        <v>616.30999999999995</v>
      </c>
      <c r="R2644">
        <v>2388.61</v>
      </c>
      <c r="S2644">
        <v>621.20000000000005</v>
      </c>
      <c r="T2644">
        <v>33261.230000000003</v>
      </c>
      <c r="U2644">
        <v>21310.560000000001</v>
      </c>
      <c r="V2644">
        <v>9682.1200000000008</v>
      </c>
      <c r="W2644">
        <v>8756.9699999999993</v>
      </c>
      <c r="X2644">
        <v>45807.11</v>
      </c>
      <c r="Y2644">
        <v>33952.879999999997</v>
      </c>
    </row>
    <row r="2645" spans="1:25" x14ac:dyDescent="0.25">
      <c r="A2645" t="s">
        <v>2701</v>
      </c>
      <c r="B2645" s="1">
        <v>45670</v>
      </c>
      <c r="C2645">
        <v>2025</v>
      </c>
      <c r="D2645">
        <v>1</v>
      </c>
      <c r="E2645" t="s">
        <v>26</v>
      </c>
      <c r="F2645" t="s">
        <v>27</v>
      </c>
      <c r="G2645" t="s">
        <v>35</v>
      </c>
      <c r="H2645" t="s">
        <v>36</v>
      </c>
      <c r="I2645" t="s">
        <v>56</v>
      </c>
      <c r="J2645">
        <v>17</v>
      </c>
      <c r="K2645">
        <v>1563.89</v>
      </c>
      <c r="L2645">
        <v>26586.080000000002</v>
      </c>
      <c r="M2645">
        <v>13304</v>
      </c>
      <c r="N2645">
        <v>3436.62</v>
      </c>
      <c r="O2645">
        <v>1213.43</v>
      </c>
      <c r="P2645">
        <v>959.42</v>
      </c>
      <c r="Q2645">
        <v>392.03</v>
      </c>
      <c r="R2645">
        <v>1542.64</v>
      </c>
      <c r="S2645">
        <v>337.37</v>
      </c>
      <c r="T2645">
        <v>21185.51</v>
      </c>
      <c r="U2645">
        <v>13282.08</v>
      </c>
      <c r="V2645">
        <v>5400.56</v>
      </c>
      <c r="W2645">
        <v>5418.6</v>
      </c>
      <c r="X2645">
        <v>24570.880000000001</v>
      </c>
      <c r="Y2645">
        <v>21052.65</v>
      </c>
    </row>
    <row r="2646" spans="1:25" x14ac:dyDescent="0.25">
      <c r="A2646" t="s">
        <v>2702</v>
      </c>
      <c r="B2646" s="1">
        <v>45671</v>
      </c>
      <c r="C2646">
        <v>2025</v>
      </c>
      <c r="D2646">
        <v>1</v>
      </c>
      <c r="E2646" t="s">
        <v>26</v>
      </c>
      <c r="F2646" t="s">
        <v>27</v>
      </c>
      <c r="G2646" t="s">
        <v>28</v>
      </c>
      <c r="H2646" t="s">
        <v>32</v>
      </c>
      <c r="I2646" t="s">
        <v>37</v>
      </c>
      <c r="J2646">
        <v>64</v>
      </c>
      <c r="K2646">
        <v>992.33</v>
      </c>
      <c r="L2646">
        <v>63509.42</v>
      </c>
      <c r="M2646">
        <v>37169.93</v>
      </c>
      <c r="N2646">
        <v>5869.59</v>
      </c>
      <c r="O2646">
        <v>3362.64</v>
      </c>
      <c r="P2646">
        <v>2548.5300000000002</v>
      </c>
      <c r="Q2646">
        <v>1111.3</v>
      </c>
      <c r="R2646">
        <v>3792.25</v>
      </c>
      <c r="S2646">
        <v>1434.11</v>
      </c>
      <c r="T2646">
        <v>55288.35</v>
      </c>
      <c r="U2646">
        <v>26339.49</v>
      </c>
      <c r="V2646">
        <v>8221.07</v>
      </c>
      <c r="W2646">
        <v>7979.4</v>
      </c>
      <c r="X2646">
        <v>59323.839999999997</v>
      </c>
      <c r="Y2646">
        <v>52721.42</v>
      </c>
    </row>
    <row r="2647" spans="1:25" x14ac:dyDescent="0.25">
      <c r="A2647" t="s">
        <v>2703</v>
      </c>
      <c r="B2647" s="1">
        <v>45671</v>
      </c>
      <c r="C2647">
        <v>2025</v>
      </c>
      <c r="D2647">
        <v>1</v>
      </c>
      <c r="E2647" t="s">
        <v>26</v>
      </c>
      <c r="F2647" t="s">
        <v>27</v>
      </c>
      <c r="G2647" t="s">
        <v>44</v>
      </c>
      <c r="H2647" t="s">
        <v>32</v>
      </c>
      <c r="I2647" t="s">
        <v>50</v>
      </c>
      <c r="J2647">
        <v>39</v>
      </c>
      <c r="K2647">
        <v>1444.04</v>
      </c>
      <c r="L2647">
        <v>56317.68</v>
      </c>
      <c r="M2647">
        <v>29482.04</v>
      </c>
      <c r="N2647">
        <v>5449.03</v>
      </c>
      <c r="O2647">
        <v>4086.08</v>
      </c>
      <c r="P2647">
        <v>899.62</v>
      </c>
      <c r="Q2647">
        <v>423.5</v>
      </c>
      <c r="R2647">
        <v>3219.21</v>
      </c>
      <c r="S2647">
        <v>725.23</v>
      </c>
      <c r="T2647">
        <v>44284.73</v>
      </c>
      <c r="U2647">
        <v>26835.64</v>
      </c>
      <c r="V2647">
        <v>12032.96</v>
      </c>
      <c r="W2647">
        <v>11265.63</v>
      </c>
      <c r="X2647">
        <v>59379.13</v>
      </c>
      <c r="Y2647">
        <v>45518.28</v>
      </c>
    </row>
    <row r="2648" spans="1:25" x14ac:dyDescent="0.25">
      <c r="A2648" t="s">
        <v>2704</v>
      </c>
      <c r="B2648" s="1">
        <v>45672</v>
      </c>
      <c r="C2648">
        <v>2025</v>
      </c>
      <c r="D2648">
        <v>1</v>
      </c>
      <c r="E2648" t="s">
        <v>26</v>
      </c>
      <c r="F2648" t="s">
        <v>27</v>
      </c>
      <c r="G2648" t="s">
        <v>35</v>
      </c>
      <c r="H2648" t="s">
        <v>53</v>
      </c>
      <c r="I2648" t="s">
        <v>33</v>
      </c>
      <c r="J2648">
        <v>35</v>
      </c>
      <c r="K2648">
        <v>1657.74</v>
      </c>
      <c r="L2648">
        <v>58021</v>
      </c>
      <c r="M2648">
        <v>30236.43</v>
      </c>
      <c r="N2648">
        <v>6597.91</v>
      </c>
      <c r="O2648">
        <v>3817.25</v>
      </c>
      <c r="P2648">
        <v>2581.0100000000002</v>
      </c>
      <c r="Q2648">
        <v>588.19000000000005</v>
      </c>
      <c r="R2648">
        <v>3559.32</v>
      </c>
      <c r="S2648">
        <v>1000.11</v>
      </c>
      <c r="T2648">
        <v>48380.22</v>
      </c>
      <c r="U2648">
        <v>27784.57</v>
      </c>
      <c r="V2648">
        <v>9640.7800000000007</v>
      </c>
      <c r="W2648">
        <v>9698.67</v>
      </c>
      <c r="X2648">
        <v>62944.31</v>
      </c>
      <c r="Y2648">
        <v>48783.519999999997</v>
      </c>
    </row>
    <row r="2649" spans="1:25" x14ac:dyDescent="0.25">
      <c r="A2649" t="s">
        <v>2705</v>
      </c>
      <c r="B2649" s="1">
        <v>45672</v>
      </c>
      <c r="C2649">
        <v>2025</v>
      </c>
      <c r="D2649">
        <v>1</v>
      </c>
      <c r="E2649" t="s">
        <v>26</v>
      </c>
      <c r="F2649" t="s">
        <v>27</v>
      </c>
      <c r="G2649" t="s">
        <v>55</v>
      </c>
      <c r="H2649" t="s">
        <v>32</v>
      </c>
      <c r="I2649" t="s">
        <v>30</v>
      </c>
      <c r="J2649">
        <v>140</v>
      </c>
      <c r="K2649">
        <v>887.85</v>
      </c>
      <c r="L2649">
        <v>124299.05</v>
      </c>
      <c r="M2649">
        <v>83741.73</v>
      </c>
      <c r="N2649">
        <v>10672.47</v>
      </c>
      <c r="O2649">
        <v>8563.41</v>
      </c>
      <c r="P2649">
        <v>3903.24</v>
      </c>
      <c r="Q2649">
        <v>1348.88</v>
      </c>
      <c r="R2649">
        <v>3906.55</v>
      </c>
      <c r="S2649">
        <v>2879.52</v>
      </c>
      <c r="T2649">
        <v>115015.8</v>
      </c>
      <c r="U2649">
        <v>40557.32</v>
      </c>
      <c r="V2649">
        <v>9283.25</v>
      </c>
      <c r="W2649">
        <v>9021.41</v>
      </c>
      <c r="X2649">
        <v>124946.6</v>
      </c>
      <c r="Y2649">
        <v>121205.91</v>
      </c>
    </row>
    <row r="2650" spans="1:25" x14ac:dyDescent="0.25">
      <c r="A2650" t="s">
        <v>2706</v>
      </c>
      <c r="B2650" s="1">
        <v>45672</v>
      </c>
      <c r="C2650">
        <v>2025</v>
      </c>
      <c r="D2650">
        <v>1</v>
      </c>
      <c r="E2650" t="s">
        <v>26</v>
      </c>
      <c r="F2650" t="s">
        <v>27</v>
      </c>
      <c r="G2650" t="s">
        <v>35</v>
      </c>
      <c r="H2650" t="s">
        <v>32</v>
      </c>
      <c r="I2650" t="s">
        <v>45</v>
      </c>
      <c r="J2650">
        <v>40</v>
      </c>
      <c r="K2650">
        <v>1027.19</v>
      </c>
      <c r="L2650">
        <v>41087.42</v>
      </c>
      <c r="M2650">
        <v>20448.77</v>
      </c>
      <c r="N2650">
        <v>4729.8999999999996</v>
      </c>
      <c r="O2650">
        <v>2998.24</v>
      </c>
      <c r="P2650">
        <v>755.89</v>
      </c>
      <c r="Q2650">
        <v>362.64</v>
      </c>
      <c r="R2650">
        <v>1232.02</v>
      </c>
      <c r="S2650">
        <v>884.9</v>
      </c>
      <c r="T2650">
        <v>31412.35</v>
      </c>
      <c r="U2650">
        <v>20638.650000000001</v>
      </c>
      <c r="V2650">
        <v>9675.06</v>
      </c>
      <c r="W2650">
        <v>8906.83</v>
      </c>
      <c r="X2650">
        <v>43105.58</v>
      </c>
      <c r="Y2650">
        <v>34360.03</v>
      </c>
    </row>
    <row r="2651" spans="1:25" x14ac:dyDescent="0.25">
      <c r="A2651" t="s">
        <v>2707</v>
      </c>
      <c r="B2651" s="1">
        <v>45674</v>
      </c>
      <c r="C2651">
        <v>2025</v>
      </c>
      <c r="D2651">
        <v>1</v>
      </c>
      <c r="E2651" t="s">
        <v>26</v>
      </c>
      <c r="F2651" t="s">
        <v>27</v>
      </c>
      <c r="G2651" t="s">
        <v>35</v>
      </c>
      <c r="H2651" t="s">
        <v>29</v>
      </c>
      <c r="I2651" t="s">
        <v>39</v>
      </c>
      <c r="J2651">
        <v>28</v>
      </c>
      <c r="K2651">
        <v>1477.68</v>
      </c>
      <c r="L2651">
        <v>41375</v>
      </c>
      <c r="M2651">
        <v>22942.04</v>
      </c>
      <c r="N2651">
        <v>5211.76</v>
      </c>
      <c r="O2651">
        <v>2199.83</v>
      </c>
      <c r="P2651">
        <v>1256.45</v>
      </c>
      <c r="Q2651">
        <v>308.23</v>
      </c>
      <c r="R2651">
        <v>2345.62</v>
      </c>
      <c r="S2651">
        <v>923.8</v>
      </c>
      <c r="T2651">
        <v>35187.72</v>
      </c>
      <c r="U2651">
        <v>18432.96</v>
      </c>
      <c r="V2651">
        <v>6187.28</v>
      </c>
      <c r="W2651">
        <v>6065.64</v>
      </c>
      <c r="X2651">
        <v>42800.46</v>
      </c>
      <c r="Y2651">
        <v>35204.04</v>
      </c>
    </row>
    <row r="2652" spans="1:25" x14ac:dyDescent="0.25">
      <c r="A2652" t="s">
        <v>2708</v>
      </c>
      <c r="B2652" s="1">
        <v>45674</v>
      </c>
      <c r="C2652">
        <v>2025</v>
      </c>
      <c r="D2652">
        <v>1</v>
      </c>
      <c r="E2652" t="s">
        <v>26</v>
      </c>
      <c r="F2652" t="s">
        <v>27</v>
      </c>
      <c r="G2652" t="s">
        <v>55</v>
      </c>
      <c r="H2652" t="s">
        <v>36</v>
      </c>
      <c r="I2652" t="s">
        <v>45</v>
      </c>
      <c r="J2652">
        <v>40</v>
      </c>
      <c r="K2652">
        <v>1425.37</v>
      </c>
      <c r="L2652">
        <v>57014.87</v>
      </c>
      <c r="M2652">
        <v>32695.69</v>
      </c>
      <c r="N2652">
        <v>7296.91</v>
      </c>
      <c r="O2652">
        <v>3007.29</v>
      </c>
      <c r="P2652">
        <v>2553.67</v>
      </c>
      <c r="Q2652">
        <v>388.85</v>
      </c>
      <c r="R2652">
        <v>1526.19</v>
      </c>
      <c r="S2652">
        <v>566.96</v>
      </c>
      <c r="T2652">
        <v>48035.55</v>
      </c>
      <c r="U2652">
        <v>24319.18</v>
      </c>
      <c r="V2652">
        <v>8979.31</v>
      </c>
      <c r="W2652">
        <v>8525.7800000000007</v>
      </c>
      <c r="X2652">
        <v>62547.03</v>
      </c>
      <c r="Y2652">
        <v>49990.64</v>
      </c>
    </row>
    <row r="2653" spans="1:25" x14ac:dyDescent="0.25">
      <c r="A2653" t="s">
        <v>2709</v>
      </c>
      <c r="B2653" s="1">
        <v>45674</v>
      </c>
      <c r="C2653">
        <v>2025</v>
      </c>
      <c r="D2653">
        <v>1</v>
      </c>
      <c r="E2653" t="s">
        <v>26</v>
      </c>
      <c r="F2653" t="s">
        <v>27</v>
      </c>
      <c r="G2653" t="s">
        <v>28</v>
      </c>
      <c r="H2653" t="s">
        <v>53</v>
      </c>
      <c r="I2653" t="s">
        <v>30</v>
      </c>
      <c r="J2653">
        <v>65</v>
      </c>
      <c r="K2653">
        <v>1506.66</v>
      </c>
      <c r="L2653">
        <v>97933.03</v>
      </c>
      <c r="M2653">
        <v>54688.42</v>
      </c>
      <c r="N2653">
        <v>11297.8</v>
      </c>
      <c r="O2653">
        <v>4497.9399999999996</v>
      </c>
      <c r="P2653">
        <v>1658.11</v>
      </c>
      <c r="Q2653">
        <v>532.79999999999995</v>
      </c>
      <c r="R2653">
        <v>5422.55</v>
      </c>
      <c r="S2653">
        <v>1588.57</v>
      </c>
      <c r="T2653">
        <v>79686.179999999993</v>
      </c>
      <c r="U2653">
        <v>43244.61</v>
      </c>
      <c r="V2653">
        <v>18246.86</v>
      </c>
      <c r="W2653">
        <v>17911.59</v>
      </c>
      <c r="X2653">
        <v>102513.25</v>
      </c>
      <c r="Y2653">
        <v>74574.34</v>
      </c>
    </row>
    <row r="2654" spans="1:25" x14ac:dyDescent="0.25">
      <c r="A2654" t="s">
        <v>2710</v>
      </c>
      <c r="B2654" s="1">
        <v>45674</v>
      </c>
      <c r="C2654">
        <v>2025</v>
      </c>
      <c r="D2654">
        <v>1</v>
      </c>
      <c r="E2654" t="s">
        <v>26</v>
      </c>
      <c r="F2654" t="s">
        <v>27</v>
      </c>
      <c r="G2654" t="s">
        <v>55</v>
      </c>
      <c r="H2654" t="s">
        <v>32</v>
      </c>
      <c r="I2654" t="s">
        <v>50</v>
      </c>
      <c r="J2654">
        <v>54</v>
      </c>
      <c r="K2654">
        <v>1153.43</v>
      </c>
      <c r="L2654">
        <v>62285.27</v>
      </c>
      <c r="M2654">
        <v>31223.15</v>
      </c>
      <c r="N2654">
        <v>6802.98</v>
      </c>
      <c r="O2654">
        <v>4429.62</v>
      </c>
      <c r="P2654">
        <v>1194.8399999999999</v>
      </c>
      <c r="Q2654">
        <v>368.56</v>
      </c>
      <c r="R2654">
        <v>2148.23</v>
      </c>
      <c r="S2654">
        <v>1148.3499999999999</v>
      </c>
      <c r="T2654">
        <v>47315.75</v>
      </c>
      <c r="U2654">
        <v>31062.11</v>
      </c>
      <c r="V2654">
        <v>14969.52</v>
      </c>
      <c r="W2654">
        <v>14178.48</v>
      </c>
      <c r="X2654">
        <v>62261.79</v>
      </c>
      <c r="Y2654">
        <v>48310.73</v>
      </c>
    </row>
    <row r="2655" spans="1:25" x14ac:dyDescent="0.25">
      <c r="A2655" t="s">
        <v>2711</v>
      </c>
      <c r="B2655" s="1">
        <v>45675</v>
      </c>
      <c r="C2655">
        <v>2025</v>
      </c>
      <c r="D2655">
        <v>1</v>
      </c>
      <c r="E2655" t="s">
        <v>26</v>
      </c>
      <c r="F2655" t="s">
        <v>27</v>
      </c>
      <c r="G2655" t="s">
        <v>55</v>
      </c>
      <c r="H2655" t="s">
        <v>36</v>
      </c>
      <c r="I2655" t="s">
        <v>65</v>
      </c>
      <c r="J2655">
        <v>101</v>
      </c>
      <c r="K2655">
        <v>812.64</v>
      </c>
      <c r="L2655">
        <v>82077.009999999995</v>
      </c>
      <c r="M2655">
        <v>47820.08</v>
      </c>
      <c r="N2655">
        <v>6220.43</v>
      </c>
      <c r="O2655">
        <v>3032.18</v>
      </c>
      <c r="P2655">
        <v>1827.06</v>
      </c>
      <c r="Q2655">
        <v>1216.8399999999999</v>
      </c>
      <c r="R2655">
        <v>3083.88</v>
      </c>
      <c r="S2655">
        <v>1747.66</v>
      </c>
      <c r="T2655">
        <v>64948.14</v>
      </c>
      <c r="U2655">
        <v>34256.93</v>
      </c>
      <c r="V2655">
        <v>17128.87</v>
      </c>
      <c r="W2655">
        <v>15770.02</v>
      </c>
      <c r="X2655">
        <v>85274.41</v>
      </c>
      <c r="Y2655">
        <v>67819.929999999993</v>
      </c>
    </row>
    <row r="2656" spans="1:25" x14ac:dyDescent="0.25">
      <c r="A2656" t="s">
        <v>2712</v>
      </c>
      <c r="B2656" s="1">
        <v>45675</v>
      </c>
      <c r="C2656">
        <v>2025</v>
      </c>
      <c r="D2656">
        <v>1</v>
      </c>
      <c r="E2656" t="s">
        <v>26</v>
      </c>
      <c r="F2656" t="s">
        <v>27</v>
      </c>
      <c r="G2656" t="s">
        <v>55</v>
      </c>
      <c r="H2656" t="s">
        <v>29</v>
      </c>
      <c r="I2656" t="s">
        <v>33</v>
      </c>
      <c r="J2656">
        <v>82</v>
      </c>
      <c r="K2656">
        <v>1191.3</v>
      </c>
      <c r="L2656">
        <v>97686.41</v>
      </c>
      <c r="M2656">
        <v>54771.839999999997</v>
      </c>
      <c r="N2656">
        <v>12028.96</v>
      </c>
      <c r="O2656">
        <v>2460.2600000000002</v>
      </c>
      <c r="P2656">
        <v>2382.85</v>
      </c>
      <c r="Q2656">
        <v>1317.73</v>
      </c>
      <c r="R2656">
        <v>2774.4</v>
      </c>
      <c r="S2656">
        <v>1508.34</v>
      </c>
      <c r="T2656">
        <v>77244.38</v>
      </c>
      <c r="U2656">
        <v>42914.57</v>
      </c>
      <c r="V2656">
        <v>20442.03</v>
      </c>
      <c r="W2656">
        <v>20067.52</v>
      </c>
      <c r="X2656">
        <v>101893.55</v>
      </c>
      <c r="Y2656">
        <v>73107.81</v>
      </c>
    </row>
    <row r="2657" spans="1:25" x14ac:dyDescent="0.25">
      <c r="A2657" t="s">
        <v>2713</v>
      </c>
      <c r="B2657" s="1">
        <v>45675</v>
      </c>
      <c r="C2657">
        <v>2025</v>
      </c>
      <c r="D2657">
        <v>1</v>
      </c>
      <c r="E2657" t="s">
        <v>26</v>
      </c>
      <c r="F2657" t="s">
        <v>27</v>
      </c>
      <c r="G2657" t="s">
        <v>55</v>
      </c>
      <c r="H2657" t="s">
        <v>58</v>
      </c>
      <c r="I2657" t="s">
        <v>45</v>
      </c>
      <c r="J2657">
        <v>29</v>
      </c>
      <c r="K2657">
        <v>1195.72</v>
      </c>
      <c r="L2657">
        <v>34675.99</v>
      </c>
      <c r="M2657">
        <v>23514.240000000002</v>
      </c>
      <c r="N2657">
        <v>3910.16</v>
      </c>
      <c r="O2657">
        <v>1960.43</v>
      </c>
      <c r="P2657">
        <v>569.69000000000005</v>
      </c>
      <c r="Q2657">
        <v>570.57000000000005</v>
      </c>
      <c r="R2657">
        <v>1468.76</v>
      </c>
      <c r="S2657">
        <v>573.53</v>
      </c>
      <c r="T2657">
        <v>32567.38</v>
      </c>
      <c r="U2657">
        <v>11161.75</v>
      </c>
      <c r="V2657">
        <v>2108.62</v>
      </c>
      <c r="W2657">
        <v>2094.59</v>
      </c>
      <c r="X2657">
        <v>37712.36</v>
      </c>
      <c r="Y2657">
        <v>33548.519999999997</v>
      </c>
    </row>
    <row r="2658" spans="1:25" x14ac:dyDescent="0.25">
      <c r="A2658" t="s">
        <v>2714</v>
      </c>
      <c r="B2658" s="1">
        <v>45675</v>
      </c>
      <c r="C2658">
        <v>2025</v>
      </c>
      <c r="D2658">
        <v>1</v>
      </c>
      <c r="E2658" t="s">
        <v>26</v>
      </c>
      <c r="F2658" t="s">
        <v>27</v>
      </c>
      <c r="G2658" t="s">
        <v>44</v>
      </c>
      <c r="H2658" t="s">
        <v>32</v>
      </c>
      <c r="I2658" t="s">
        <v>39</v>
      </c>
      <c r="J2658">
        <v>43</v>
      </c>
      <c r="K2658">
        <v>1071.5</v>
      </c>
      <c r="L2658">
        <v>46074.64</v>
      </c>
      <c r="M2658">
        <v>25890.97</v>
      </c>
      <c r="N2658">
        <v>4564.68</v>
      </c>
      <c r="O2658">
        <v>3301.09</v>
      </c>
      <c r="P2658">
        <v>1776.28</v>
      </c>
      <c r="Q2658">
        <v>501.21</v>
      </c>
      <c r="R2658">
        <v>2490.39</v>
      </c>
      <c r="S2658">
        <v>757.49</v>
      </c>
      <c r="T2658">
        <v>39282.11</v>
      </c>
      <c r="U2658">
        <v>20183.669999999998</v>
      </c>
      <c r="V2658">
        <v>6792.52</v>
      </c>
      <c r="W2658">
        <v>6534.51</v>
      </c>
      <c r="X2658">
        <v>47298.1</v>
      </c>
      <c r="Y2658">
        <v>41103.050000000003</v>
      </c>
    </row>
    <row r="2659" spans="1:25" x14ac:dyDescent="0.25">
      <c r="A2659" t="s">
        <v>2715</v>
      </c>
      <c r="B2659" s="1">
        <v>45676</v>
      </c>
      <c r="C2659">
        <v>2025</v>
      </c>
      <c r="D2659">
        <v>1</v>
      </c>
      <c r="E2659" t="s">
        <v>26</v>
      </c>
      <c r="F2659" t="s">
        <v>27</v>
      </c>
      <c r="G2659" t="s">
        <v>35</v>
      </c>
      <c r="H2659" t="s">
        <v>29</v>
      </c>
      <c r="I2659" t="s">
        <v>50</v>
      </c>
      <c r="J2659">
        <v>55</v>
      </c>
      <c r="K2659">
        <v>1010.38</v>
      </c>
      <c r="L2659">
        <v>55570.79</v>
      </c>
      <c r="M2659">
        <v>34588.730000000003</v>
      </c>
      <c r="N2659">
        <v>4135.2</v>
      </c>
      <c r="O2659">
        <v>1546.95</v>
      </c>
      <c r="P2659">
        <v>1660.21</v>
      </c>
      <c r="Q2659">
        <v>379.9</v>
      </c>
      <c r="R2659">
        <v>3574.88</v>
      </c>
      <c r="S2659">
        <v>1042.3499999999999</v>
      </c>
      <c r="T2659">
        <v>46928.22</v>
      </c>
      <c r="U2659">
        <v>20982.06</v>
      </c>
      <c r="V2659">
        <v>8642.57</v>
      </c>
      <c r="W2659">
        <v>8388.61</v>
      </c>
      <c r="X2659">
        <v>60038.36</v>
      </c>
      <c r="Y2659">
        <v>46840.72</v>
      </c>
    </row>
    <row r="2660" spans="1:25" x14ac:dyDescent="0.25">
      <c r="A2660" t="s">
        <v>2716</v>
      </c>
      <c r="B2660" s="1">
        <v>45676</v>
      </c>
      <c r="C2660">
        <v>2025</v>
      </c>
      <c r="D2660">
        <v>1</v>
      </c>
      <c r="E2660" t="s">
        <v>26</v>
      </c>
      <c r="F2660" t="s">
        <v>27</v>
      </c>
      <c r="G2660" t="s">
        <v>35</v>
      </c>
      <c r="H2660" t="s">
        <v>29</v>
      </c>
      <c r="I2660" t="s">
        <v>39</v>
      </c>
      <c r="J2660">
        <v>33</v>
      </c>
      <c r="K2660">
        <v>1245.46</v>
      </c>
      <c r="L2660">
        <v>41100.22</v>
      </c>
      <c r="M2660">
        <v>21615.53</v>
      </c>
      <c r="N2660">
        <v>3482.16</v>
      </c>
      <c r="O2660">
        <v>1264.72</v>
      </c>
      <c r="P2660">
        <v>983.99</v>
      </c>
      <c r="Q2660">
        <v>408.57</v>
      </c>
      <c r="R2660">
        <v>1100.77</v>
      </c>
      <c r="S2660">
        <v>1013.47</v>
      </c>
      <c r="T2660">
        <v>29869.21</v>
      </c>
      <c r="U2660">
        <v>19484.689999999999</v>
      </c>
      <c r="V2660">
        <v>11231.01</v>
      </c>
      <c r="W2660">
        <v>10218.56</v>
      </c>
      <c r="X2660">
        <v>38959.94</v>
      </c>
      <c r="Y2660">
        <v>30235.47</v>
      </c>
    </row>
    <row r="2661" spans="1:25" x14ac:dyDescent="0.25">
      <c r="A2661" t="s">
        <v>2717</v>
      </c>
      <c r="B2661" s="1">
        <v>45676</v>
      </c>
      <c r="C2661">
        <v>2025</v>
      </c>
      <c r="D2661">
        <v>1</v>
      </c>
      <c r="E2661" t="s">
        <v>26</v>
      </c>
      <c r="F2661" t="s">
        <v>27</v>
      </c>
      <c r="G2661" t="s">
        <v>28</v>
      </c>
      <c r="H2661" t="s">
        <v>29</v>
      </c>
      <c r="I2661" t="s">
        <v>37</v>
      </c>
      <c r="J2661">
        <v>91</v>
      </c>
      <c r="K2661">
        <v>973.11</v>
      </c>
      <c r="L2661">
        <v>88552.65</v>
      </c>
      <c r="M2661">
        <v>52323.72</v>
      </c>
      <c r="N2661">
        <v>7749.99</v>
      </c>
      <c r="O2661">
        <v>3173.48</v>
      </c>
      <c r="P2661">
        <v>1975.07</v>
      </c>
      <c r="Q2661">
        <v>652.76</v>
      </c>
      <c r="R2661">
        <v>4427.4399999999996</v>
      </c>
      <c r="S2661">
        <v>1751.8</v>
      </c>
      <c r="T2661">
        <v>72054.240000000005</v>
      </c>
      <c r="U2661">
        <v>36228.93</v>
      </c>
      <c r="V2661">
        <v>16498.400000000001</v>
      </c>
      <c r="W2661">
        <v>14962.74</v>
      </c>
      <c r="X2661">
        <v>89685.56</v>
      </c>
      <c r="Y2661">
        <v>67183.95</v>
      </c>
    </row>
    <row r="2662" spans="1:25" x14ac:dyDescent="0.25">
      <c r="A2662" t="s">
        <v>2718</v>
      </c>
      <c r="B2662" s="1">
        <v>45677</v>
      </c>
      <c r="C2662">
        <v>2025</v>
      </c>
      <c r="D2662">
        <v>1</v>
      </c>
      <c r="E2662" t="s">
        <v>26</v>
      </c>
      <c r="F2662" t="s">
        <v>27</v>
      </c>
      <c r="G2662" t="s">
        <v>28</v>
      </c>
      <c r="H2662" t="s">
        <v>29</v>
      </c>
      <c r="I2662" t="s">
        <v>33</v>
      </c>
      <c r="J2662">
        <v>47</v>
      </c>
      <c r="K2662">
        <v>1787.22</v>
      </c>
      <c r="L2662">
        <v>83999.44</v>
      </c>
      <c r="M2662">
        <v>44540.29</v>
      </c>
      <c r="N2662">
        <v>8515.31</v>
      </c>
      <c r="O2662">
        <v>2105.19</v>
      </c>
      <c r="P2662">
        <v>1817.76</v>
      </c>
      <c r="Q2662">
        <v>801.34</v>
      </c>
      <c r="R2662">
        <v>2449.2800000000002</v>
      </c>
      <c r="S2662">
        <v>1823.69</v>
      </c>
      <c r="T2662">
        <v>62052.87</v>
      </c>
      <c r="U2662">
        <v>39459.15</v>
      </c>
      <c r="V2662">
        <v>21946.57</v>
      </c>
      <c r="W2662">
        <v>19815.45</v>
      </c>
      <c r="X2662">
        <v>90254.39</v>
      </c>
      <c r="Y2662">
        <v>63401.8</v>
      </c>
    </row>
    <row r="2663" spans="1:25" x14ac:dyDescent="0.25">
      <c r="A2663" t="s">
        <v>2719</v>
      </c>
      <c r="B2663" s="1">
        <v>45677</v>
      </c>
      <c r="C2663">
        <v>2025</v>
      </c>
      <c r="D2663">
        <v>1</v>
      </c>
      <c r="E2663" t="s">
        <v>26</v>
      </c>
      <c r="F2663" t="s">
        <v>27</v>
      </c>
      <c r="G2663" t="s">
        <v>55</v>
      </c>
      <c r="H2663" t="s">
        <v>36</v>
      </c>
      <c r="I2663" t="s">
        <v>56</v>
      </c>
      <c r="J2663">
        <v>37</v>
      </c>
      <c r="K2663">
        <v>1280.27</v>
      </c>
      <c r="L2663">
        <v>47370.03</v>
      </c>
      <c r="M2663">
        <v>25839.73</v>
      </c>
      <c r="N2663">
        <v>4437.95</v>
      </c>
      <c r="O2663">
        <v>3430.81</v>
      </c>
      <c r="P2663">
        <v>1819.52</v>
      </c>
      <c r="Q2663">
        <v>345.39</v>
      </c>
      <c r="R2663">
        <v>1399.67</v>
      </c>
      <c r="S2663">
        <v>825.91</v>
      </c>
      <c r="T2663">
        <v>38098.97</v>
      </c>
      <c r="U2663">
        <v>21530.3</v>
      </c>
      <c r="V2663">
        <v>9271.06</v>
      </c>
      <c r="W2663">
        <v>9176.7199999999993</v>
      </c>
      <c r="X2663">
        <v>50665.63</v>
      </c>
      <c r="Y2663">
        <v>35957.94</v>
      </c>
    </row>
    <row r="2664" spans="1:25" x14ac:dyDescent="0.25">
      <c r="A2664" t="s">
        <v>2720</v>
      </c>
      <c r="B2664" s="1">
        <v>45677</v>
      </c>
      <c r="C2664">
        <v>2025</v>
      </c>
      <c r="D2664">
        <v>1</v>
      </c>
      <c r="E2664" t="s">
        <v>26</v>
      </c>
      <c r="F2664" t="s">
        <v>27</v>
      </c>
      <c r="G2664" t="s">
        <v>28</v>
      </c>
      <c r="H2664" t="s">
        <v>32</v>
      </c>
      <c r="I2664" t="s">
        <v>39</v>
      </c>
      <c r="J2664">
        <v>46</v>
      </c>
      <c r="K2664">
        <v>1432.38</v>
      </c>
      <c r="L2664">
        <v>65889.7</v>
      </c>
      <c r="M2664">
        <v>32207.52</v>
      </c>
      <c r="N2664">
        <v>5612.89</v>
      </c>
      <c r="O2664">
        <v>2825.56</v>
      </c>
      <c r="P2664">
        <v>1943.76</v>
      </c>
      <c r="Q2664">
        <v>417.42</v>
      </c>
      <c r="R2664">
        <v>2396.35</v>
      </c>
      <c r="S2664">
        <v>1419.97</v>
      </c>
      <c r="T2664">
        <v>46823.46</v>
      </c>
      <c r="U2664">
        <v>33682.18</v>
      </c>
      <c r="V2664">
        <v>19066.240000000002</v>
      </c>
      <c r="W2664">
        <v>18750.169999999998</v>
      </c>
      <c r="X2664">
        <v>62130.66</v>
      </c>
      <c r="Y2664">
        <v>45980.32</v>
      </c>
    </row>
    <row r="2665" spans="1:25" x14ac:dyDescent="0.25">
      <c r="A2665" t="s">
        <v>2721</v>
      </c>
      <c r="B2665" s="1">
        <v>45677</v>
      </c>
      <c r="C2665">
        <v>2025</v>
      </c>
      <c r="D2665">
        <v>1</v>
      </c>
      <c r="E2665" t="s">
        <v>26</v>
      </c>
      <c r="F2665" t="s">
        <v>27</v>
      </c>
      <c r="G2665" t="s">
        <v>28</v>
      </c>
      <c r="H2665" t="s">
        <v>58</v>
      </c>
      <c r="I2665" t="s">
        <v>39</v>
      </c>
      <c r="J2665">
        <v>61</v>
      </c>
      <c r="K2665">
        <v>832.77</v>
      </c>
      <c r="L2665">
        <v>50799.19</v>
      </c>
      <c r="M2665">
        <v>30706.23</v>
      </c>
      <c r="N2665">
        <v>4327.82</v>
      </c>
      <c r="O2665">
        <v>2786.83</v>
      </c>
      <c r="P2665">
        <v>2242.37</v>
      </c>
      <c r="Q2665">
        <v>467.96</v>
      </c>
      <c r="R2665">
        <v>1276.54</v>
      </c>
      <c r="S2665">
        <v>894.59</v>
      </c>
      <c r="T2665">
        <v>42702.33</v>
      </c>
      <c r="U2665">
        <v>20092.95</v>
      </c>
      <c r="V2665">
        <v>8096.86</v>
      </c>
      <c r="W2665">
        <v>8016.19</v>
      </c>
      <c r="X2665">
        <v>51564.95</v>
      </c>
      <c r="Y2665">
        <v>42184.46</v>
      </c>
    </row>
    <row r="2666" spans="1:25" x14ac:dyDescent="0.25">
      <c r="A2666" t="s">
        <v>2722</v>
      </c>
      <c r="B2666" s="1">
        <v>45677</v>
      </c>
      <c r="C2666">
        <v>2025</v>
      </c>
      <c r="D2666">
        <v>1</v>
      </c>
      <c r="E2666" t="s">
        <v>26</v>
      </c>
      <c r="F2666" t="s">
        <v>27</v>
      </c>
      <c r="G2666" t="s">
        <v>44</v>
      </c>
      <c r="H2666" t="s">
        <v>36</v>
      </c>
      <c r="I2666" t="s">
        <v>65</v>
      </c>
      <c r="J2666">
        <v>37</v>
      </c>
      <c r="K2666">
        <v>1738.84</v>
      </c>
      <c r="L2666">
        <v>64337.25</v>
      </c>
      <c r="M2666">
        <v>36391.449999999997</v>
      </c>
      <c r="N2666">
        <v>6004.64</v>
      </c>
      <c r="O2666">
        <v>1813.21</v>
      </c>
      <c r="P2666">
        <v>2565.44</v>
      </c>
      <c r="Q2666">
        <v>577.78</v>
      </c>
      <c r="R2666">
        <v>2965.65</v>
      </c>
      <c r="S2666">
        <v>1021.58</v>
      </c>
      <c r="T2666">
        <v>51339.75</v>
      </c>
      <c r="U2666">
        <v>27945.8</v>
      </c>
      <c r="V2666">
        <v>12997.5</v>
      </c>
      <c r="W2666">
        <v>12140.68</v>
      </c>
      <c r="X2666">
        <v>70002.73</v>
      </c>
      <c r="Y2666">
        <v>53563.62</v>
      </c>
    </row>
    <row r="2667" spans="1:25" x14ac:dyDescent="0.25">
      <c r="A2667" t="s">
        <v>2723</v>
      </c>
      <c r="B2667" s="1">
        <v>45678</v>
      </c>
      <c r="C2667">
        <v>2025</v>
      </c>
      <c r="D2667">
        <v>1</v>
      </c>
      <c r="E2667" t="s">
        <v>26</v>
      </c>
      <c r="F2667" t="s">
        <v>27</v>
      </c>
      <c r="G2667" t="s">
        <v>55</v>
      </c>
      <c r="H2667" t="s">
        <v>36</v>
      </c>
      <c r="I2667" t="s">
        <v>30</v>
      </c>
      <c r="J2667">
        <v>126</v>
      </c>
      <c r="K2667">
        <v>873.89</v>
      </c>
      <c r="L2667">
        <v>110110.29</v>
      </c>
      <c r="M2667">
        <v>59366</v>
      </c>
      <c r="N2667">
        <v>12258.43</v>
      </c>
      <c r="O2667">
        <v>6863.27</v>
      </c>
      <c r="P2667">
        <v>4195.22</v>
      </c>
      <c r="Q2667">
        <v>1580.62</v>
      </c>
      <c r="R2667">
        <v>3780.18</v>
      </c>
      <c r="S2667">
        <v>1536.8</v>
      </c>
      <c r="T2667">
        <v>89580.52</v>
      </c>
      <c r="U2667">
        <v>50744.29</v>
      </c>
      <c r="V2667">
        <v>20529.77</v>
      </c>
      <c r="W2667">
        <v>20281.91</v>
      </c>
      <c r="X2667">
        <v>119757.13</v>
      </c>
      <c r="Y2667">
        <v>94963.7</v>
      </c>
    </row>
    <row r="2668" spans="1:25" x14ac:dyDescent="0.25">
      <c r="A2668" t="s">
        <v>2724</v>
      </c>
      <c r="B2668" s="1">
        <v>45678</v>
      </c>
      <c r="C2668">
        <v>2025</v>
      </c>
      <c r="D2668">
        <v>1</v>
      </c>
      <c r="E2668" t="s">
        <v>26</v>
      </c>
      <c r="F2668" t="s">
        <v>27</v>
      </c>
      <c r="G2668" t="s">
        <v>35</v>
      </c>
      <c r="H2668" t="s">
        <v>32</v>
      </c>
      <c r="I2668" t="s">
        <v>56</v>
      </c>
      <c r="J2668">
        <v>18</v>
      </c>
      <c r="K2668">
        <v>1557.21</v>
      </c>
      <c r="L2668">
        <v>28029.85</v>
      </c>
      <c r="M2668">
        <v>16129.01</v>
      </c>
      <c r="N2668">
        <v>2029.2</v>
      </c>
      <c r="O2668">
        <v>1346.33</v>
      </c>
      <c r="P2668">
        <v>1012.74</v>
      </c>
      <c r="Q2668">
        <v>419.55</v>
      </c>
      <c r="R2668">
        <v>1427.2</v>
      </c>
      <c r="S2668">
        <v>402.17</v>
      </c>
      <c r="T2668">
        <v>22766.19</v>
      </c>
      <c r="U2668">
        <v>11900.84</v>
      </c>
      <c r="V2668">
        <v>5263.66</v>
      </c>
      <c r="W2668">
        <v>4795.26</v>
      </c>
      <c r="X2668">
        <v>29835.91</v>
      </c>
      <c r="Y2668">
        <v>21605.63</v>
      </c>
    </row>
    <row r="2669" spans="1:25" x14ac:dyDescent="0.25">
      <c r="A2669" t="s">
        <v>2725</v>
      </c>
      <c r="B2669" s="1">
        <v>45678</v>
      </c>
      <c r="C2669">
        <v>2025</v>
      </c>
      <c r="D2669">
        <v>1</v>
      </c>
      <c r="E2669" t="s">
        <v>26</v>
      </c>
      <c r="F2669" t="s">
        <v>27</v>
      </c>
      <c r="G2669" t="s">
        <v>28</v>
      </c>
      <c r="H2669" t="s">
        <v>29</v>
      </c>
      <c r="I2669" t="s">
        <v>65</v>
      </c>
      <c r="J2669">
        <v>81</v>
      </c>
      <c r="K2669">
        <v>834.47</v>
      </c>
      <c r="L2669">
        <v>67592.039999999994</v>
      </c>
      <c r="M2669">
        <v>39798.239999999998</v>
      </c>
      <c r="N2669">
        <v>8513.67</v>
      </c>
      <c r="O2669">
        <v>2182</v>
      </c>
      <c r="P2669">
        <v>1153.52</v>
      </c>
      <c r="Q2669">
        <v>1162.44</v>
      </c>
      <c r="R2669">
        <v>2419.4299999999998</v>
      </c>
      <c r="S2669">
        <v>1371.28</v>
      </c>
      <c r="T2669">
        <v>56600.59</v>
      </c>
      <c r="U2669">
        <v>27793.8</v>
      </c>
      <c r="V2669">
        <v>10991.45</v>
      </c>
      <c r="W2669">
        <v>9767.41</v>
      </c>
      <c r="X2669">
        <v>70679.850000000006</v>
      </c>
      <c r="Y2669">
        <v>57410.239999999998</v>
      </c>
    </row>
    <row r="2670" spans="1:25" x14ac:dyDescent="0.25">
      <c r="A2670" t="s">
        <v>2726</v>
      </c>
      <c r="B2670" s="1">
        <v>45679</v>
      </c>
      <c r="C2670">
        <v>2025</v>
      </c>
      <c r="D2670">
        <v>1</v>
      </c>
      <c r="E2670" t="s">
        <v>26</v>
      </c>
      <c r="F2670" t="s">
        <v>27</v>
      </c>
      <c r="G2670" t="s">
        <v>28</v>
      </c>
      <c r="H2670" t="s">
        <v>53</v>
      </c>
      <c r="I2670" t="s">
        <v>45</v>
      </c>
      <c r="J2670">
        <v>27</v>
      </c>
      <c r="K2670">
        <v>1206.96</v>
      </c>
      <c r="L2670">
        <v>32587.9</v>
      </c>
      <c r="M2670">
        <v>17658.55</v>
      </c>
      <c r="N2670">
        <v>3414.68</v>
      </c>
      <c r="O2670">
        <v>1584.34</v>
      </c>
      <c r="P2670">
        <v>749.07</v>
      </c>
      <c r="Q2670">
        <v>519.30999999999995</v>
      </c>
      <c r="R2670">
        <v>967.24</v>
      </c>
      <c r="S2670">
        <v>271.08999999999997</v>
      </c>
      <c r="T2670">
        <v>25164.29</v>
      </c>
      <c r="U2670">
        <v>14929.35</v>
      </c>
      <c r="V2670">
        <v>7423.61</v>
      </c>
      <c r="W2670">
        <v>7083.68</v>
      </c>
      <c r="X2670">
        <v>34837.879999999997</v>
      </c>
      <c r="Y2670">
        <v>26509.25</v>
      </c>
    </row>
    <row r="2671" spans="1:25" x14ac:dyDescent="0.25">
      <c r="A2671" t="s">
        <v>2727</v>
      </c>
      <c r="B2671" s="1">
        <v>45679</v>
      </c>
      <c r="C2671">
        <v>2025</v>
      </c>
      <c r="D2671">
        <v>1</v>
      </c>
      <c r="E2671" t="s">
        <v>26</v>
      </c>
      <c r="F2671" t="s">
        <v>27</v>
      </c>
      <c r="G2671" t="s">
        <v>28</v>
      </c>
      <c r="H2671" t="s">
        <v>29</v>
      </c>
      <c r="I2671" t="s">
        <v>65</v>
      </c>
      <c r="J2671">
        <v>69</v>
      </c>
      <c r="K2671">
        <v>959.36</v>
      </c>
      <c r="L2671">
        <v>66196.149999999994</v>
      </c>
      <c r="M2671">
        <v>38704.870000000003</v>
      </c>
      <c r="N2671">
        <v>5985.88</v>
      </c>
      <c r="O2671">
        <v>4846.78</v>
      </c>
      <c r="P2671">
        <v>2149.1</v>
      </c>
      <c r="Q2671">
        <v>667.2</v>
      </c>
      <c r="R2671">
        <v>2363.08</v>
      </c>
      <c r="S2671">
        <v>1231.6099999999999</v>
      </c>
      <c r="T2671">
        <v>55948.53</v>
      </c>
      <c r="U2671">
        <v>27491.279999999999</v>
      </c>
      <c r="V2671">
        <v>10247.629999999999</v>
      </c>
      <c r="W2671">
        <v>10292.049999999999</v>
      </c>
      <c r="X2671">
        <v>65852.13</v>
      </c>
      <c r="Y2671">
        <v>56206.68</v>
      </c>
    </row>
    <row r="2672" spans="1:25" x14ac:dyDescent="0.25">
      <c r="A2672" t="s">
        <v>2728</v>
      </c>
      <c r="B2672" s="1">
        <v>45679</v>
      </c>
      <c r="C2672">
        <v>2025</v>
      </c>
      <c r="D2672">
        <v>1</v>
      </c>
      <c r="E2672" t="s">
        <v>26</v>
      </c>
      <c r="F2672" t="s">
        <v>27</v>
      </c>
      <c r="G2672" t="s">
        <v>55</v>
      </c>
      <c r="H2672" t="s">
        <v>58</v>
      </c>
      <c r="I2672" t="s">
        <v>33</v>
      </c>
      <c r="J2672">
        <v>71</v>
      </c>
      <c r="K2672">
        <v>883.07</v>
      </c>
      <c r="L2672">
        <v>62697.97</v>
      </c>
      <c r="M2672">
        <v>30585.52</v>
      </c>
      <c r="N2672">
        <v>6669.49</v>
      </c>
      <c r="O2672">
        <v>2106.88</v>
      </c>
      <c r="P2672">
        <v>979.35</v>
      </c>
      <c r="Q2672">
        <v>860.98</v>
      </c>
      <c r="R2672">
        <v>3517.75</v>
      </c>
      <c r="S2672">
        <v>872.88</v>
      </c>
      <c r="T2672">
        <v>45592.84</v>
      </c>
      <c r="U2672">
        <v>32112.45</v>
      </c>
      <c r="V2672">
        <v>17105.13</v>
      </c>
      <c r="W2672">
        <v>17192.07</v>
      </c>
      <c r="X2672">
        <v>62763.58</v>
      </c>
      <c r="Y2672">
        <v>44203.58</v>
      </c>
    </row>
    <row r="2673" spans="1:25" x14ac:dyDescent="0.25">
      <c r="A2673" t="s">
        <v>2729</v>
      </c>
      <c r="B2673" s="1">
        <v>45679</v>
      </c>
      <c r="C2673">
        <v>2025</v>
      </c>
      <c r="D2673">
        <v>1</v>
      </c>
      <c r="E2673" t="s">
        <v>26</v>
      </c>
      <c r="F2673" t="s">
        <v>27</v>
      </c>
      <c r="G2673" t="s">
        <v>35</v>
      </c>
      <c r="H2673" t="s">
        <v>32</v>
      </c>
      <c r="I2673" t="s">
        <v>50</v>
      </c>
      <c r="J2673">
        <v>46</v>
      </c>
      <c r="K2673">
        <v>1460.12</v>
      </c>
      <c r="L2673">
        <v>67165.440000000002</v>
      </c>
      <c r="M2673">
        <v>39058.699999999997</v>
      </c>
      <c r="N2673">
        <v>6576.33</v>
      </c>
      <c r="O2673">
        <v>2962.08</v>
      </c>
      <c r="P2673">
        <v>2917.92</v>
      </c>
      <c r="Q2673">
        <v>1195.3599999999999</v>
      </c>
      <c r="R2673">
        <v>2975.82</v>
      </c>
      <c r="S2673">
        <v>757.33</v>
      </c>
      <c r="T2673">
        <v>56443.53</v>
      </c>
      <c r="U2673">
        <v>28106.74</v>
      </c>
      <c r="V2673">
        <v>10721.91</v>
      </c>
      <c r="W2673">
        <v>9873.4</v>
      </c>
      <c r="X2673">
        <v>64390.34</v>
      </c>
      <c r="Y2673">
        <v>56881.77</v>
      </c>
    </row>
    <row r="2674" spans="1:25" x14ac:dyDescent="0.25">
      <c r="A2674" t="s">
        <v>2730</v>
      </c>
      <c r="B2674" s="1">
        <v>45680</v>
      </c>
      <c r="C2674">
        <v>2025</v>
      </c>
      <c r="D2674">
        <v>1</v>
      </c>
      <c r="E2674" t="s">
        <v>26</v>
      </c>
      <c r="F2674" t="s">
        <v>27</v>
      </c>
      <c r="G2674" t="s">
        <v>35</v>
      </c>
      <c r="H2674" t="s">
        <v>32</v>
      </c>
      <c r="I2674" t="s">
        <v>33</v>
      </c>
      <c r="J2674">
        <v>67</v>
      </c>
      <c r="K2674">
        <v>1234.23</v>
      </c>
      <c r="L2674">
        <v>82693.350000000006</v>
      </c>
      <c r="M2674">
        <v>40748.199999999997</v>
      </c>
      <c r="N2674">
        <v>9653.3700000000008</v>
      </c>
      <c r="O2674">
        <v>5287.36</v>
      </c>
      <c r="P2674">
        <v>2273.8200000000002</v>
      </c>
      <c r="Q2674">
        <v>641.55999999999995</v>
      </c>
      <c r="R2674">
        <v>5051.28</v>
      </c>
      <c r="S2674">
        <v>1491.15</v>
      </c>
      <c r="T2674">
        <v>65146.73</v>
      </c>
      <c r="U2674">
        <v>41945.15</v>
      </c>
      <c r="V2674">
        <v>17546.62</v>
      </c>
      <c r="W2674">
        <v>16838.009999999998</v>
      </c>
      <c r="X2674">
        <v>80869.84</v>
      </c>
      <c r="Y2674">
        <v>71640.88</v>
      </c>
    </row>
    <row r="2675" spans="1:25" x14ac:dyDescent="0.25">
      <c r="A2675" t="s">
        <v>2731</v>
      </c>
      <c r="B2675" s="1">
        <v>45680</v>
      </c>
      <c r="C2675">
        <v>2025</v>
      </c>
      <c r="D2675">
        <v>1</v>
      </c>
      <c r="E2675" t="s">
        <v>26</v>
      </c>
      <c r="F2675" t="s">
        <v>27</v>
      </c>
      <c r="G2675" t="s">
        <v>44</v>
      </c>
      <c r="H2675" t="s">
        <v>53</v>
      </c>
      <c r="I2675" t="s">
        <v>39</v>
      </c>
      <c r="J2675">
        <v>31</v>
      </c>
      <c r="K2675">
        <v>1101.8499999999999</v>
      </c>
      <c r="L2675">
        <v>34157.4</v>
      </c>
      <c r="M2675">
        <v>19045.29</v>
      </c>
      <c r="N2675">
        <v>2846</v>
      </c>
      <c r="O2675">
        <v>1033.78</v>
      </c>
      <c r="P2675">
        <v>647.09</v>
      </c>
      <c r="Q2675">
        <v>218.24</v>
      </c>
      <c r="R2675">
        <v>2099.69</v>
      </c>
      <c r="S2675">
        <v>533.08000000000004</v>
      </c>
      <c r="T2675">
        <v>26423.18</v>
      </c>
      <c r="U2675">
        <v>15112.1</v>
      </c>
      <c r="V2675">
        <v>7734.22</v>
      </c>
      <c r="W2675">
        <v>7052.34</v>
      </c>
      <c r="X2675">
        <v>37369.06</v>
      </c>
      <c r="Y2675">
        <v>27327.21</v>
      </c>
    </row>
    <row r="2676" spans="1:25" x14ac:dyDescent="0.25">
      <c r="A2676" t="s">
        <v>2732</v>
      </c>
      <c r="B2676" s="1">
        <v>45680</v>
      </c>
      <c r="C2676">
        <v>2025</v>
      </c>
      <c r="D2676">
        <v>1</v>
      </c>
      <c r="E2676" t="s">
        <v>26</v>
      </c>
      <c r="F2676" t="s">
        <v>27</v>
      </c>
      <c r="G2676" t="s">
        <v>28</v>
      </c>
      <c r="H2676" t="s">
        <v>29</v>
      </c>
      <c r="I2676" t="s">
        <v>65</v>
      </c>
      <c r="J2676">
        <v>75</v>
      </c>
      <c r="K2676">
        <v>903.48</v>
      </c>
      <c r="L2676">
        <v>67760.94</v>
      </c>
      <c r="M2676">
        <v>41894.230000000003</v>
      </c>
      <c r="N2676">
        <v>7855.35</v>
      </c>
      <c r="O2676">
        <v>4741.37</v>
      </c>
      <c r="P2676">
        <v>2800.67</v>
      </c>
      <c r="Q2676">
        <v>800.11</v>
      </c>
      <c r="R2676">
        <v>1994.75</v>
      </c>
      <c r="S2676">
        <v>975.09</v>
      </c>
      <c r="T2676">
        <v>61061.57</v>
      </c>
      <c r="U2676">
        <v>25866.71</v>
      </c>
      <c r="V2676">
        <v>6699.37</v>
      </c>
      <c r="W2676">
        <v>5929.32</v>
      </c>
      <c r="X2676">
        <v>74718.899999999994</v>
      </c>
      <c r="Y2676">
        <v>57080.82</v>
      </c>
    </row>
    <row r="2677" spans="1:25" x14ac:dyDescent="0.25">
      <c r="A2677" t="s">
        <v>2733</v>
      </c>
      <c r="B2677" s="1">
        <v>45680</v>
      </c>
      <c r="C2677">
        <v>2025</v>
      </c>
      <c r="D2677">
        <v>1</v>
      </c>
      <c r="E2677" t="s">
        <v>26</v>
      </c>
      <c r="F2677" t="s">
        <v>27</v>
      </c>
      <c r="G2677" t="s">
        <v>28</v>
      </c>
      <c r="H2677" t="s">
        <v>58</v>
      </c>
      <c r="I2677" t="s">
        <v>50</v>
      </c>
      <c r="J2677">
        <v>58</v>
      </c>
      <c r="K2677">
        <v>945.31</v>
      </c>
      <c r="L2677">
        <v>54828.08</v>
      </c>
      <c r="M2677">
        <v>34898.76</v>
      </c>
      <c r="N2677">
        <v>5199.97</v>
      </c>
      <c r="O2677">
        <v>3032.21</v>
      </c>
      <c r="P2677">
        <v>836.57</v>
      </c>
      <c r="Q2677">
        <v>482.72</v>
      </c>
      <c r="R2677">
        <v>1660.01</v>
      </c>
      <c r="S2677">
        <v>1364.54</v>
      </c>
      <c r="T2677">
        <v>47474.78</v>
      </c>
      <c r="U2677">
        <v>19929.32</v>
      </c>
      <c r="V2677">
        <v>7353.29</v>
      </c>
      <c r="W2677">
        <v>6575.62</v>
      </c>
      <c r="X2677">
        <v>51630.58</v>
      </c>
      <c r="Y2677">
        <v>49623.26</v>
      </c>
    </row>
    <row r="2678" spans="1:25" x14ac:dyDescent="0.25">
      <c r="A2678" t="s">
        <v>2734</v>
      </c>
      <c r="B2678" s="1">
        <v>45681</v>
      </c>
      <c r="C2678">
        <v>2025</v>
      </c>
      <c r="D2678">
        <v>1</v>
      </c>
      <c r="E2678" t="s">
        <v>26</v>
      </c>
      <c r="F2678" t="s">
        <v>27</v>
      </c>
      <c r="G2678" t="s">
        <v>44</v>
      </c>
      <c r="H2678" t="s">
        <v>53</v>
      </c>
      <c r="I2678" t="s">
        <v>39</v>
      </c>
      <c r="J2678">
        <v>27</v>
      </c>
      <c r="K2678">
        <v>1546.63</v>
      </c>
      <c r="L2678">
        <v>41758.94</v>
      </c>
      <c r="M2678">
        <v>25938.71</v>
      </c>
      <c r="N2678">
        <v>4316.2</v>
      </c>
      <c r="O2678">
        <v>2430.66</v>
      </c>
      <c r="P2678">
        <v>1396.04</v>
      </c>
      <c r="Q2678">
        <v>692.02</v>
      </c>
      <c r="R2678">
        <v>1285.32</v>
      </c>
      <c r="S2678">
        <v>874.36</v>
      </c>
      <c r="T2678">
        <v>36933.31</v>
      </c>
      <c r="U2678">
        <v>15820.24</v>
      </c>
      <c r="V2678">
        <v>4825.63</v>
      </c>
      <c r="W2678">
        <v>4539.74</v>
      </c>
      <c r="X2678">
        <v>43425.94</v>
      </c>
      <c r="Y2678">
        <v>37760.449999999997</v>
      </c>
    </row>
    <row r="2679" spans="1:25" x14ac:dyDescent="0.25">
      <c r="A2679" t="s">
        <v>2735</v>
      </c>
      <c r="B2679" s="1">
        <v>45681</v>
      </c>
      <c r="C2679">
        <v>2025</v>
      </c>
      <c r="D2679">
        <v>1</v>
      </c>
      <c r="E2679" t="s">
        <v>26</v>
      </c>
      <c r="F2679" t="s">
        <v>27</v>
      </c>
      <c r="G2679" t="s">
        <v>55</v>
      </c>
      <c r="H2679" t="s">
        <v>29</v>
      </c>
      <c r="I2679" t="s">
        <v>37</v>
      </c>
      <c r="J2679">
        <v>67</v>
      </c>
      <c r="K2679">
        <v>934.6</v>
      </c>
      <c r="L2679">
        <v>62618.31</v>
      </c>
      <c r="M2679">
        <v>39081.01</v>
      </c>
      <c r="N2679">
        <v>7298.23</v>
      </c>
      <c r="O2679">
        <v>3819.47</v>
      </c>
      <c r="P2679">
        <v>2167.96</v>
      </c>
      <c r="Q2679">
        <v>922.08</v>
      </c>
      <c r="R2679">
        <v>2054.37</v>
      </c>
      <c r="S2679">
        <v>1371.02</v>
      </c>
      <c r="T2679">
        <v>56714.13</v>
      </c>
      <c r="U2679">
        <v>23537.3</v>
      </c>
      <c r="V2679">
        <v>5904.18</v>
      </c>
      <c r="W2679">
        <v>5827.64</v>
      </c>
      <c r="X2679">
        <v>63615.82</v>
      </c>
      <c r="Y2679">
        <v>55577.96</v>
      </c>
    </row>
    <row r="2680" spans="1:25" x14ac:dyDescent="0.25">
      <c r="A2680" t="s">
        <v>2736</v>
      </c>
      <c r="B2680" s="1">
        <v>45681</v>
      </c>
      <c r="C2680">
        <v>2025</v>
      </c>
      <c r="D2680">
        <v>1</v>
      </c>
      <c r="E2680" t="s">
        <v>26</v>
      </c>
      <c r="F2680" t="s">
        <v>27</v>
      </c>
      <c r="G2680" t="s">
        <v>35</v>
      </c>
      <c r="H2680" t="s">
        <v>36</v>
      </c>
      <c r="I2680" t="s">
        <v>56</v>
      </c>
      <c r="J2680">
        <v>32</v>
      </c>
      <c r="K2680">
        <v>1170.33</v>
      </c>
      <c r="L2680">
        <v>37450.42</v>
      </c>
      <c r="M2680">
        <v>22869.07</v>
      </c>
      <c r="N2680">
        <v>2886.37</v>
      </c>
      <c r="O2680">
        <v>2120.0500000000002</v>
      </c>
      <c r="P2680">
        <v>804.55</v>
      </c>
      <c r="Q2680">
        <v>537.14</v>
      </c>
      <c r="R2680">
        <v>2227.0500000000002</v>
      </c>
      <c r="S2680">
        <v>436.7</v>
      </c>
      <c r="T2680">
        <v>31880.93</v>
      </c>
      <c r="U2680">
        <v>14581.35</v>
      </c>
      <c r="V2680">
        <v>5569.48</v>
      </c>
      <c r="W2680">
        <v>5309.83</v>
      </c>
      <c r="X2680">
        <v>39756.18</v>
      </c>
      <c r="Y2680">
        <v>33586.42</v>
      </c>
    </row>
    <row r="2681" spans="1:25" x14ac:dyDescent="0.25">
      <c r="A2681" t="s">
        <v>2737</v>
      </c>
      <c r="B2681" s="1">
        <v>45682</v>
      </c>
      <c r="C2681">
        <v>2025</v>
      </c>
      <c r="D2681">
        <v>1</v>
      </c>
      <c r="E2681" t="s">
        <v>26</v>
      </c>
      <c r="F2681" t="s">
        <v>27</v>
      </c>
      <c r="G2681" t="s">
        <v>35</v>
      </c>
      <c r="H2681" t="s">
        <v>32</v>
      </c>
      <c r="I2681" t="s">
        <v>65</v>
      </c>
      <c r="J2681">
        <v>44</v>
      </c>
      <c r="K2681">
        <v>1659.87</v>
      </c>
      <c r="L2681">
        <v>73034.09</v>
      </c>
      <c r="M2681">
        <v>42473.03</v>
      </c>
      <c r="N2681">
        <v>8261.7999999999993</v>
      </c>
      <c r="O2681">
        <v>4205.6400000000003</v>
      </c>
      <c r="P2681">
        <v>1195.82</v>
      </c>
      <c r="Q2681">
        <v>1061.1400000000001</v>
      </c>
      <c r="R2681">
        <v>4350.05</v>
      </c>
      <c r="S2681">
        <v>1746.27</v>
      </c>
      <c r="T2681">
        <v>63293.760000000002</v>
      </c>
      <c r="U2681">
        <v>30561.05</v>
      </c>
      <c r="V2681">
        <v>9740.32</v>
      </c>
      <c r="W2681">
        <v>9592.75</v>
      </c>
      <c r="X2681">
        <v>78844.039999999994</v>
      </c>
      <c r="Y2681">
        <v>67128.33</v>
      </c>
    </row>
    <row r="2682" spans="1:25" x14ac:dyDescent="0.25">
      <c r="A2682" t="s">
        <v>2738</v>
      </c>
      <c r="B2682" s="1">
        <v>45683</v>
      </c>
      <c r="C2682">
        <v>2025</v>
      </c>
      <c r="D2682">
        <v>1</v>
      </c>
      <c r="E2682" t="s">
        <v>26</v>
      </c>
      <c r="F2682" t="s">
        <v>27</v>
      </c>
      <c r="G2682" t="s">
        <v>55</v>
      </c>
      <c r="H2682" t="s">
        <v>58</v>
      </c>
      <c r="I2682" t="s">
        <v>37</v>
      </c>
      <c r="J2682">
        <v>68</v>
      </c>
      <c r="K2682">
        <v>1030.3900000000001</v>
      </c>
      <c r="L2682">
        <v>70066.55</v>
      </c>
      <c r="M2682">
        <v>34498.97</v>
      </c>
      <c r="N2682">
        <v>8395.7199999999993</v>
      </c>
      <c r="O2682">
        <v>2944.68</v>
      </c>
      <c r="P2682">
        <v>1293.8599999999999</v>
      </c>
      <c r="Q2682">
        <v>1027.3900000000001</v>
      </c>
      <c r="R2682">
        <v>3100.7</v>
      </c>
      <c r="S2682">
        <v>985.41</v>
      </c>
      <c r="T2682">
        <v>52246.73</v>
      </c>
      <c r="U2682">
        <v>35567.58</v>
      </c>
      <c r="V2682">
        <v>17819.82</v>
      </c>
      <c r="W2682">
        <v>16440.22</v>
      </c>
      <c r="X2682">
        <v>72542.740000000005</v>
      </c>
      <c r="Y2682">
        <v>52418.77</v>
      </c>
    </row>
    <row r="2683" spans="1:25" x14ac:dyDescent="0.25">
      <c r="A2683" t="s">
        <v>2739</v>
      </c>
      <c r="B2683" s="1">
        <v>45683</v>
      </c>
      <c r="C2683">
        <v>2025</v>
      </c>
      <c r="D2683">
        <v>1</v>
      </c>
      <c r="E2683" t="s">
        <v>26</v>
      </c>
      <c r="F2683" t="s">
        <v>27</v>
      </c>
      <c r="G2683" t="s">
        <v>28</v>
      </c>
      <c r="H2683" t="s">
        <v>29</v>
      </c>
      <c r="I2683" t="s">
        <v>39</v>
      </c>
      <c r="J2683">
        <v>33</v>
      </c>
      <c r="K2683">
        <v>1678.27</v>
      </c>
      <c r="L2683">
        <v>55382.879999999997</v>
      </c>
      <c r="M2683">
        <v>35328.71</v>
      </c>
      <c r="N2683">
        <v>5475.48</v>
      </c>
      <c r="O2683">
        <v>3379.26</v>
      </c>
      <c r="P2683">
        <v>2136.02</v>
      </c>
      <c r="Q2683">
        <v>879.24</v>
      </c>
      <c r="R2683">
        <v>2889.04</v>
      </c>
      <c r="S2683">
        <v>985.83</v>
      </c>
      <c r="T2683">
        <v>51073.58</v>
      </c>
      <c r="U2683">
        <v>20054.169999999998</v>
      </c>
      <c r="V2683">
        <v>4309.3</v>
      </c>
      <c r="W2683">
        <v>3882.31</v>
      </c>
      <c r="X2683">
        <v>61375.07</v>
      </c>
      <c r="Y2683">
        <v>48049.53</v>
      </c>
    </row>
    <row r="2684" spans="1:25" x14ac:dyDescent="0.25">
      <c r="A2684" t="s">
        <v>2740</v>
      </c>
      <c r="B2684" s="1">
        <v>45684</v>
      </c>
      <c r="C2684">
        <v>2025</v>
      </c>
      <c r="D2684">
        <v>1</v>
      </c>
      <c r="E2684" t="s">
        <v>26</v>
      </c>
      <c r="F2684" t="s">
        <v>27</v>
      </c>
      <c r="G2684" t="s">
        <v>28</v>
      </c>
      <c r="H2684" t="s">
        <v>53</v>
      </c>
      <c r="I2684" t="s">
        <v>56</v>
      </c>
      <c r="J2684">
        <v>39</v>
      </c>
      <c r="K2684">
        <v>1051.3699999999999</v>
      </c>
      <c r="L2684">
        <v>41003.39</v>
      </c>
      <c r="M2684">
        <v>24007.919999999998</v>
      </c>
      <c r="N2684">
        <v>3990.04</v>
      </c>
      <c r="O2684">
        <v>3043.54</v>
      </c>
      <c r="P2684">
        <v>1415.48</v>
      </c>
      <c r="Q2684">
        <v>617.52</v>
      </c>
      <c r="R2684">
        <v>1955.74</v>
      </c>
      <c r="S2684">
        <v>649.5</v>
      </c>
      <c r="T2684">
        <v>35679.74</v>
      </c>
      <c r="U2684">
        <v>16995.47</v>
      </c>
      <c r="V2684">
        <v>5323.65</v>
      </c>
      <c r="W2684">
        <v>4974.75</v>
      </c>
      <c r="X2684">
        <v>42149.599999999999</v>
      </c>
      <c r="Y2684">
        <v>35128.21</v>
      </c>
    </row>
    <row r="2685" spans="1:25" x14ac:dyDescent="0.25">
      <c r="A2685" t="s">
        <v>2741</v>
      </c>
      <c r="B2685" s="1">
        <v>45684</v>
      </c>
      <c r="C2685">
        <v>2025</v>
      </c>
      <c r="D2685">
        <v>1</v>
      </c>
      <c r="E2685" t="s">
        <v>26</v>
      </c>
      <c r="F2685" t="s">
        <v>27</v>
      </c>
      <c r="G2685" t="s">
        <v>28</v>
      </c>
      <c r="H2685" t="s">
        <v>32</v>
      </c>
      <c r="I2685" t="s">
        <v>56</v>
      </c>
      <c r="J2685">
        <v>33</v>
      </c>
      <c r="K2685">
        <v>1701.96</v>
      </c>
      <c r="L2685">
        <v>56164.62</v>
      </c>
      <c r="M2685">
        <v>31185.81</v>
      </c>
      <c r="N2685">
        <v>5924.78</v>
      </c>
      <c r="O2685">
        <v>2342.75</v>
      </c>
      <c r="P2685">
        <v>1221.52</v>
      </c>
      <c r="Q2685">
        <v>957.99</v>
      </c>
      <c r="R2685">
        <v>2089.7800000000002</v>
      </c>
      <c r="S2685">
        <v>1111.67</v>
      </c>
      <c r="T2685">
        <v>44834.31</v>
      </c>
      <c r="U2685">
        <v>24978.81</v>
      </c>
      <c r="V2685">
        <v>11330.31</v>
      </c>
      <c r="W2685">
        <v>10831.24</v>
      </c>
      <c r="X2685">
        <v>58585.63</v>
      </c>
      <c r="Y2685">
        <v>45431.9</v>
      </c>
    </row>
    <row r="2686" spans="1:25" x14ac:dyDescent="0.25">
      <c r="A2686" t="s">
        <v>2742</v>
      </c>
      <c r="B2686" s="1">
        <v>45684</v>
      </c>
      <c r="C2686">
        <v>2025</v>
      </c>
      <c r="D2686">
        <v>1</v>
      </c>
      <c r="E2686" t="s">
        <v>26</v>
      </c>
      <c r="F2686" t="s">
        <v>27</v>
      </c>
      <c r="G2686" t="s">
        <v>44</v>
      </c>
      <c r="H2686" t="s">
        <v>29</v>
      </c>
      <c r="I2686" t="s">
        <v>56</v>
      </c>
      <c r="J2686">
        <v>39</v>
      </c>
      <c r="K2686">
        <v>1003.47</v>
      </c>
      <c r="L2686">
        <v>39135.32</v>
      </c>
      <c r="M2686">
        <v>21745.3</v>
      </c>
      <c r="N2686">
        <v>3690.88</v>
      </c>
      <c r="O2686">
        <v>1157.49</v>
      </c>
      <c r="P2686">
        <v>657.48</v>
      </c>
      <c r="Q2686">
        <v>693.89</v>
      </c>
      <c r="R2686">
        <v>1622.57</v>
      </c>
      <c r="S2686">
        <v>550.14</v>
      </c>
      <c r="T2686">
        <v>30117.75</v>
      </c>
      <c r="U2686">
        <v>17390.02</v>
      </c>
      <c r="V2686">
        <v>9017.57</v>
      </c>
      <c r="W2686">
        <v>8301.9699999999993</v>
      </c>
      <c r="X2686">
        <v>36951.46</v>
      </c>
      <c r="Y2686">
        <v>29496.58</v>
      </c>
    </row>
    <row r="2687" spans="1:25" x14ac:dyDescent="0.25">
      <c r="A2687" t="s">
        <v>2743</v>
      </c>
      <c r="B2687" s="1">
        <v>45684</v>
      </c>
      <c r="C2687">
        <v>2025</v>
      </c>
      <c r="D2687">
        <v>1</v>
      </c>
      <c r="E2687" t="s">
        <v>26</v>
      </c>
      <c r="F2687" t="s">
        <v>27</v>
      </c>
      <c r="G2687" t="s">
        <v>44</v>
      </c>
      <c r="H2687" t="s">
        <v>53</v>
      </c>
      <c r="I2687" t="s">
        <v>33</v>
      </c>
      <c r="J2687">
        <v>64</v>
      </c>
      <c r="K2687">
        <v>1122.94</v>
      </c>
      <c r="L2687">
        <v>71868.44</v>
      </c>
      <c r="M2687">
        <v>46097.760000000002</v>
      </c>
      <c r="N2687">
        <v>9240.6</v>
      </c>
      <c r="O2687">
        <v>4862.29</v>
      </c>
      <c r="P2687">
        <v>1313.05</v>
      </c>
      <c r="Q2687">
        <v>750.88</v>
      </c>
      <c r="R2687">
        <v>1982.77</v>
      </c>
      <c r="S2687">
        <v>1526.78</v>
      </c>
      <c r="T2687">
        <v>65774.13</v>
      </c>
      <c r="U2687">
        <v>25770.69</v>
      </c>
      <c r="V2687">
        <v>6094.32</v>
      </c>
      <c r="W2687">
        <v>5534.44</v>
      </c>
      <c r="X2687">
        <v>68242.31</v>
      </c>
      <c r="Y2687">
        <v>66246.559999999998</v>
      </c>
    </row>
    <row r="2688" spans="1:25" x14ac:dyDescent="0.25">
      <c r="A2688" t="s">
        <v>2744</v>
      </c>
      <c r="B2688" s="1">
        <v>45684</v>
      </c>
      <c r="C2688">
        <v>2025</v>
      </c>
      <c r="D2688">
        <v>1</v>
      </c>
      <c r="E2688" t="s">
        <v>26</v>
      </c>
      <c r="F2688" t="s">
        <v>27</v>
      </c>
      <c r="G2688" t="s">
        <v>44</v>
      </c>
      <c r="H2688" t="s">
        <v>36</v>
      </c>
      <c r="I2688" t="s">
        <v>45</v>
      </c>
      <c r="J2688">
        <v>38</v>
      </c>
      <c r="K2688">
        <v>1144.75</v>
      </c>
      <c r="L2688">
        <v>43500.47</v>
      </c>
      <c r="M2688">
        <v>28750.36</v>
      </c>
      <c r="N2688">
        <v>4204.05</v>
      </c>
      <c r="O2688">
        <v>1441.71</v>
      </c>
      <c r="P2688">
        <v>1194.5999999999999</v>
      </c>
      <c r="Q2688">
        <v>384.73</v>
      </c>
      <c r="R2688">
        <v>1734.94</v>
      </c>
      <c r="S2688">
        <v>817.55</v>
      </c>
      <c r="T2688">
        <v>38527.949999999997</v>
      </c>
      <c r="U2688">
        <v>14750.11</v>
      </c>
      <c r="V2688">
        <v>4972.53</v>
      </c>
      <c r="W2688">
        <v>4543.67</v>
      </c>
      <c r="X2688">
        <v>43502.85</v>
      </c>
      <c r="Y2688">
        <v>37424.58</v>
      </c>
    </row>
    <row r="2689" spans="1:25" x14ac:dyDescent="0.25">
      <c r="A2689" t="s">
        <v>2745</v>
      </c>
      <c r="B2689" s="1">
        <v>45684</v>
      </c>
      <c r="C2689">
        <v>2025</v>
      </c>
      <c r="D2689">
        <v>1</v>
      </c>
      <c r="E2689" t="s">
        <v>26</v>
      </c>
      <c r="F2689" t="s">
        <v>27</v>
      </c>
      <c r="G2689" t="s">
        <v>28</v>
      </c>
      <c r="H2689" t="s">
        <v>36</v>
      </c>
      <c r="I2689" t="s">
        <v>33</v>
      </c>
      <c r="J2689">
        <v>48</v>
      </c>
      <c r="K2689">
        <v>1690.37</v>
      </c>
      <c r="L2689">
        <v>81137.58</v>
      </c>
      <c r="M2689">
        <v>48949.33</v>
      </c>
      <c r="N2689">
        <v>10307.14</v>
      </c>
      <c r="O2689">
        <v>4621.4799999999996</v>
      </c>
      <c r="P2689">
        <v>1514.3</v>
      </c>
      <c r="Q2689">
        <v>606.42999999999995</v>
      </c>
      <c r="R2689">
        <v>5187.49</v>
      </c>
      <c r="S2689">
        <v>878.35</v>
      </c>
      <c r="T2689">
        <v>72064.509999999995</v>
      </c>
      <c r="U2689">
        <v>32188.25</v>
      </c>
      <c r="V2689">
        <v>9073.06</v>
      </c>
      <c r="W2689">
        <v>8139.07</v>
      </c>
      <c r="X2689">
        <v>84593.84</v>
      </c>
      <c r="Y2689">
        <v>75852.61</v>
      </c>
    </row>
    <row r="2690" spans="1:25" x14ac:dyDescent="0.25">
      <c r="A2690" t="s">
        <v>2746</v>
      </c>
      <c r="B2690" s="1">
        <v>45685</v>
      </c>
      <c r="C2690">
        <v>2025</v>
      </c>
      <c r="D2690">
        <v>1</v>
      </c>
      <c r="E2690" t="s">
        <v>26</v>
      </c>
      <c r="F2690" t="s">
        <v>27</v>
      </c>
      <c r="G2690" t="s">
        <v>44</v>
      </c>
      <c r="H2690" t="s">
        <v>36</v>
      </c>
      <c r="I2690" t="s">
        <v>65</v>
      </c>
      <c r="J2690">
        <v>58</v>
      </c>
      <c r="K2690">
        <v>964.38</v>
      </c>
      <c r="L2690">
        <v>55934</v>
      </c>
      <c r="M2690">
        <v>29178.66</v>
      </c>
      <c r="N2690">
        <v>4649.54</v>
      </c>
      <c r="O2690">
        <v>3262.65</v>
      </c>
      <c r="P2690">
        <v>1269.99</v>
      </c>
      <c r="Q2690">
        <v>681.78</v>
      </c>
      <c r="R2690">
        <v>3172.31</v>
      </c>
      <c r="S2690">
        <v>1186.4100000000001</v>
      </c>
      <c r="T2690">
        <v>43401.34</v>
      </c>
      <c r="U2690">
        <v>26755.34</v>
      </c>
      <c r="V2690">
        <v>12532.66</v>
      </c>
      <c r="W2690">
        <v>11764.18</v>
      </c>
      <c r="X2690">
        <v>61198.8</v>
      </c>
      <c r="Y2690">
        <v>45825.56</v>
      </c>
    </row>
    <row r="2691" spans="1:25" x14ac:dyDescent="0.25">
      <c r="A2691" t="s">
        <v>2747</v>
      </c>
      <c r="B2691" s="1">
        <v>45685</v>
      </c>
      <c r="C2691">
        <v>2025</v>
      </c>
      <c r="D2691">
        <v>1</v>
      </c>
      <c r="E2691" t="s">
        <v>26</v>
      </c>
      <c r="F2691" t="s">
        <v>27</v>
      </c>
      <c r="G2691" t="s">
        <v>35</v>
      </c>
      <c r="H2691" t="s">
        <v>36</v>
      </c>
      <c r="I2691" t="s">
        <v>50</v>
      </c>
      <c r="J2691">
        <v>24</v>
      </c>
      <c r="K2691">
        <v>1730.75</v>
      </c>
      <c r="L2691">
        <v>41538.03</v>
      </c>
      <c r="M2691">
        <v>27722.35</v>
      </c>
      <c r="N2691">
        <v>3663.36</v>
      </c>
      <c r="O2691">
        <v>3072.66</v>
      </c>
      <c r="P2691">
        <v>1756.48</v>
      </c>
      <c r="Q2691">
        <v>679.09</v>
      </c>
      <c r="R2691">
        <v>1148.7</v>
      </c>
      <c r="S2691">
        <v>806.24</v>
      </c>
      <c r="T2691">
        <v>38848.879999999997</v>
      </c>
      <c r="U2691">
        <v>13815.68</v>
      </c>
      <c r="V2691">
        <v>2689.15</v>
      </c>
      <c r="W2691">
        <v>2716.94</v>
      </c>
      <c r="X2691">
        <v>42412.639999999999</v>
      </c>
      <c r="Y2691">
        <v>37020.85</v>
      </c>
    </row>
    <row r="2692" spans="1:25" x14ac:dyDescent="0.25">
      <c r="A2692" t="s">
        <v>2748</v>
      </c>
      <c r="B2692" s="1">
        <v>45685</v>
      </c>
      <c r="C2692">
        <v>2025</v>
      </c>
      <c r="D2692">
        <v>1</v>
      </c>
      <c r="E2692" t="s">
        <v>26</v>
      </c>
      <c r="F2692" t="s">
        <v>27</v>
      </c>
      <c r="G2692" t="s">
        <v>28</v>
      </c>
      <c r="H2692" t="s">
        <v>32</v>
      </c>
      <c r="I2692" t="s">
        <v>37</v>
      </c>
      <c r="J2692">
        <v>60</v>
      </c>
      <c r="K2692">
        <v>1081.4000000000001</v>
      </c>
      <c r="L2692">
        <v>64884</v>
      </c>
      <c r="M2692">
        <v>39937.370000000003</v>
      </c>
      <c r="N2692">
        <v>5198.37</v>
      </c>
      <c r="O2692">
        <v>1907.67</v>
      </c>
      <c r="P2692">
        <v>1558.27</v>
      </c>
      <c r="Q2692">
        <v>1063.27</v>
      </c>
      <c r="R2692">
        <v>2345.33</v>
      </c>
      <c r="S2692">
        <v>581.30999999999995</v>
      </c>
      <c r="T2692">
        <v>52591.6</v>
      </c>
      <c r="U2692">
        <v>24946.62</v>
      </c>
      <c r="V2692">
        <v>12292.4</v>
      </c>
      <c r="W2692">
        <v>11530.92</v>
      </c>
      <c r="X2692">
        <v>70497.86</v>
      </c>
      <c r="Y2692">
        <v>56050.52</v>
      </c>
    </row>
    <row r="2693" spans="1:25" x14ac:dyDescent="0.25">
      <c r="A2693" t="s">
        <v>2749</v>
      </c>
      <c r="B2693" s="1">
        <v>45685</v>
      </c>
      <c r="C2693">
        <v>2025</v>
      </c>
      <c r="D2693">
        <v>1</v>
      </c>
      <c r="E2693" t="s">
        <v>26</v>
      </c>
      <c r="F2693" t="s">
        <v>27</v>
      </c>
      <c r="G2693" t="s">
        <v>28</v>
      </c>
      <c r="H2693" t="s">
        <v>32</v>
      </c>
      <c r="I2693" t="s">
        <v>45</v>
      </c>
      <c r="J2693">
        <v>71</v>
      </c>
      <c r="K2693">
        <v>821.42</v>
      </c>
      <c r="L2693">
        <v>58320.85</v>
      </c>
      <c r="M2693">
        <v>34077.199999999997</v>
      </c>
      <c r="N2693">
        <v>6241.68</v>
      </c>
      <c r="O2693">
        <v>1881.63</v>
      </c>
      <c r="P2693">
        <v>1555.71</v>
      </c>
      <c r="Q2693">
        <v>317.29000000000002</v>
      </c>
      <c r="R2693">
        <v>2557.4499999999998</v>
      </c>
      <c r="S2693">
        <v>825.88</v>
      </c>
      <c r="T2693">
        <v>47456.83</v>
      </c>
      <c r="U2693">
        <v>24243.65</v>
      </c>
      <c r="V2693">
        <v>10864.02</v>
      </c>
      <c r="W2693">
        <v>10644.3</v>
      </c>
      <c r="X2693">
        <v>59510.27</v>
      </c>
      <c r="Y2693">
        <v>50167.41</v>
      </c>
    </row>
    <row r="2694" spans="1:25" x14ac:dyDescent="0.25">
      <c r="A2694" t="s">
        <v>2750</v>
      </c>
      <c r="B2694" s="1">
        <v>45685</v>
      </c>
      <c r="C2694">
        <v>2025</v>
      </c>
      <c r="D2694">
        <v>1</v>
      </c>
      <c r="E2694" t="s">
        <v>26</v>
      </c>
      <c r="F2694" t="s">
        <v>27</v>
      </c>
      <c r="G2694" t="s">
        <v>28</v>
      </c>
      <c r="H2694" t="s">
        <v>36</v>
      </c>
      <c r="I2694" t="s">
        <v>56</v>
      </c>
      <c r="J2694">
        <v>37</v>
      </c>
      <c r="K2694">
        <v>897.17</v>
      </c>
      <c r="L2694">
        <v>33195.160000000003</v>
      </c>
      <c r="M2694">
        <v>22382.86</v>
      </c>
      <c r="N2694">
        <v>3815.41</v>
      </c>
      <c r="O2694">
        <v>1237.29</v>
      </c>
      <c r="P2694">
        <v>1042.1300000000001</v>
      </c>
      <c r="Q2694">
        <v>506.15</v>
      </c>
      <c r="R2694">
        <v>2072.92</v>
      </c>
      <c r="S2694">
        <v>530.99</v>
      </c>
      <c r="T2694">
        <v>31587.75</v>
      </c>
      <c r="U2694">
        <v>10812.3</v>
      </c>
      <c r="V2694">
        <v>1607.41</v>
      </c>
      <c r="W2694">
        <v>1418.78</v>
      </c>
      <c r="X2694">
        <v>31324.23</v>
      </c>
      <c r="Y2694">
        <v>34670.75</v>
      </c>
    </row>
    <row r="2695" spans="1:25" x14ac:dyDescent="0.25">
      <c r="A2695" t="s">
        <v>2751</v>
      </c>
      <c r="B2695" s="1">
        <v>45685</v>
      </c>
      <c r="C2695">
        <v>2025</v>
      </c>
      <c r="D2695">
        <v>1</v>
      </c>
      <c r="E2695" t="s">
        <v>26</v>
      </c>
      <c r="F2695" t="s">
        <v>27</v>
      </c>
      <c r="G2695" t="s">
        <v>28</v>
      </c>
      <c r="H2695" t="s">
        <v>32</v>
      </c>
      <c r="I2695" t="s">
        <v>30</v>
      </c>
      <c r="J2695">
        <v>171</v>
      </c>
      <c r="K2695">
        <v>829.43</v>
      </c>
      <c r="L2695">
        <v>141833.04</v>
      </c>
      <c r="M2695">
        <v>70948.350000000006</v>
      </c>
      <c r="N2695">
        <v>15059.99</v>
      </c>
      <c r="O2695">
        <v>9178.94</v>
      </c>
      <c r="P2695">
        <v>2678.44</v>
      </c>
      <c r="Q2695">
        <v>1641.51</v>
      </c>
      <c r="R2695">
        <v>5702.47</v>
      </c>
      <c r="S2695">
        <v>3239.86</v>
      </c>
      <c r="T2695">
        <v>108449.57</v>
      </c>
      <c r="U2695">
        <v>70884.69</v>
      </c>
      <c r="V2695">
        <v>33383.480000000003</v>
      </c>
      <c r="W2695">
        <v>33307.160000000003</v>
      </c>
      <c r="X2695">
        <v>147007.1</v>
      </c>
      <c r="Y2695">
        <v>108957.22</v>
      </c>
    </row>
    <row r="2696" spans="1:25" x14ac:dyDescent="0.25">
      <c r="A2696" t="s">
        <v>2752</v>
      </c>
      <c r="B2696" s="1">
        <v>45685</v>
      </c>
      <c r="C2696">
        <v>2025</v>
      </c>
      <c r="D2696">
        <v>1</v>
      </c>
      <c r="E2696" t="s">
        <v>26</v>
      </c>
      <c r="F2696" t="s">
        <v>27</v>
      </c>
      <c r="G2696" t="s">
        <v>55</v>
      </c>
      <c r="H2696" t="s">
        <v>53</v>
      </c>
      <c r="I2696" t="s">
        <v>33</v>
      </c>
      <c r="J2696">
        <v>57</v>
      </c>
      <c r="K2696">
        <v>1512.36</v>
      </c>
      <c r="L2696">
        <v>86204.79</v>
      </c>
      <c r="M2696">
        <v>50743.199999999997</v>
      </c>
      <c r="N2696">
        <v>8163.36</v>
      </c>
      <c r="O2696">
        <v>5315.53</v>
      </c>
      <c r="P2696">
        <v>2427.2399999999998</v>
      </c>
      <c r="Q2696">
        <v>1332.48</v>
      </c>
      <c r="R2696">
        <v>3071.02</v>
      </c>
      <c r="S2696">
        <v>1875.28</v>
      </c>
      <c r="T2696">
        <v>72928.12</v>
      </c>
      <c r="U2696">
        <v>35461.58</v>
      </c>
      <c r="V2696">
        <v>13276.67</v>
      </c>
      <c r="W2696">
        <v>12619.73</v>
      </c>
      <c r="X2696">
        <v>86729.17</v>
      </c>
      <c r="Y2696">
        <v>70710</v>
      </c>
    </row>
    <row r="2697" spans="1:25" x14ac:dyDescent="0.25">
      <c r="A2697" t="s">
        <v>2753</v>
      </c>
      <c r="B2697" s="1">
        <v>45686</v>
      </c>
      <c r="C2697">
        <v>2025</v>
      </c>
      <c r="D2697">
        <v>1</v>
      </c>
      <c r="E2697" t="s">
        <v>26</v>
      </c>
      <c r="F2697" t="s">
        <v>27</v>
      </c>
      <c r="G2697" t="s">
        <v>35</v>
      </c>
      <c r="H2697" t="s">
        <v>36</v>
      </c>
      <c r="I2697" t="s">
        <v>39</v>
      </c>
      <c r="J2697">
        <v>35</v>
      </c>
      <c r="K2697">
        <v>833.39</v>
      </c>
      <c r="L2697">
        <v>29168.77</v>
      </c>
      <c r="M2697">
        <v>15677.38</v>
      </c>
      <c r="N2697">
        <v>2198.29</v>
      </c>
      <c r="O2697">
        <v>909.37</v>
      </c>
      <c r="P2697">
        <v>1268.56</v>
      </c>
      <c r="Q2697">
        <v>257.31</v>
      </c>
      <c r="R2697">
        <v>1059.0899999999999</v>
      </c>
      <c r="S2697">
        <v>388.95</v>
      </c>
      <c r="T2697">
        <v>21758.95</v>
      </c>
      <c r="U2697">
        <v>13491.39</v>
      </c>
      <c r="V2697">
        <v>7409.81</v>
      </c>
      <c r="W2697">
        <v>6775.08</v>
      </c>
      <c r="X2697">
        <v>29646.58</v>
      </c>
      <c r="Y2697">
        <v>21956.95</v>
      </c>
    </row>
    <row r="2698" spans="1:25" x14ac:dyDescent="0.25">
      <c r="A2698" t="s">
        <v>2754</v>
      </c>
      <c r="B2698" s="1">
        <v>45687</v>
      </c>
      <c r="C2698">
        <v>2025</v>
      </c>
      <c r="D2698">
        <v>1</v>
      </c>
      <c r="E2698" t="s">
        <v>26</v>
      </c>
      <c r="F2698" t="s">
        <v>27</v>
      </c>
      <c r="G2698" t="s">
        <v>28</v>
      </c>
      <c r="H2698" t="s">
        <v>29</v>
      </c>
      <c r="I2698" t="s">
        <v>45</v>
      </c>
      <c r="J2698">
        <v>42</v>
      </c>
      <c r="K2698">
        <v>1254.1300000000001</v>
      </c>
      <c r="L2698">
        <v>52673.65</v>
      </c>
      <c r="M2698">
        <v>29670.62</v>
      </c>
      <c r="N2698">
        <v>6275.91</v>
      </c>
      <c r="O2698">
        <v>3209.23</v>
      </c>
      <c r="P2698">
        <v>1874.39</v>
      </c>
      <c r="Q2698">
        <v>918</v>
      </c>
      <c r="R2698">
        <v>3210.54</v>
      </c>
      <c r="S2698">
        <v>437.14</v>
      </c>
      <c r="T2698">
        <v>45595.83</v>
      </c>
      <c r="U2698">
        <v>23003.03</v>
      </c>
      <c r="V2698">
        <v>7077.82</v>
      </c>
      <c r="W2698">
        <v>6988.32</v>
      </c>
      <c r="X2698">
        <v>57422.79</v>
      </c>
      <c r="Y2698">
        <v>43746.26</v>
      </c>
    </row>
    <row r="2699" spans="1:25" x14ac:dyDescent="0.25">
      <c r="A2699" t="s">
        <v>2755</v>
      </c>
      <c r="B2699" s="1">
        <v>45687</v>
      </c>
      <c r="C2699">
        <v>2025</v>
      </c>
      <c r="D2699">
        <v>1</v>
      </c>
      <c r="E2699" t="s">
        <v>26</v>
      </c>
      <c r="F2699" t="s">
        <v>27</v>
      </c>
      <c r="G2699" t="s">
        <v>28</v>
      </c>
      <c r="H2699" t="s">
        <v>36</v>
      </c>
      <c r="I2699" t="s">
        <v>37</v>
      </c>
      <c r="J2699">
        <v>65</v>
      </c>
      <c r="K2699">
        <v>1229.3</v>
      </c>
      <c r="L2699">
        <v>79904.399999999994</v>
      </c>
      <c r="M2699">
        <v>49076.61</v>
      </c>
      <c r="N2699">
        <v>7567.58</v>
      </c>
      <c r="O2699">
        <v>5507.78</v>
      </c>
      <c r="P2699">
        <v>1524.09</v>
      </c>
      <c r="Q2699">
        <v>1186.8499999999999</v>
      </c>
      <c r="R2699">
        <v>2566.63</v>
      </c>
      <c r="S2699">
        <v>1978.22</v>
      </c>
      <c r="T2699">
        <v>69407.759999999995</v>
      </c>
      <c r="U2699">
        <v>30827.79</v>
      </c>
      <c r="V2699">
        <v>10496.64</v>
      </c>
      <c r="W2699">
        <v>10450.709999999999</v>
      </c>
      <c r="X2699">
        <v>73542.8</v>
      </c>
      <c r="Y2699">
        <v>72460.070000000007</v>
      </c>
    </row>
    <row r="2700" spans="1:25" x14ac:dyDescent="0.25">
      <c r="A2700" t="s">
        <v>2756</v>
      </c>
      <c r="B2700" s="1">
        <v>45687</v>
      </c>
      <c r="C2700">
        <v>2025</v>
      </c>
      <c r="D2700">
        <v>1</v>
      </c>
      <c r="E2700" t="s">
        <v>26</v>
      </c>
      <c r="F2700" t="s">
        <v>27</v>
      </c>
      <c r="G2700" t="s">
        <v>55</v>
      </c>
      <c r="H2700" t="s">
        <v>29</v>
      </c>
      <c r="I2700" t="s">
        <v>65</v>
      </c>
      <c r="J2700">
        <v>47</v>
      </c>
      <c r="K2700">
        <v>1429.16</v>
      </c>
      <c r="L2700">
        <v>67170.559999999998</v>
      </c>
      <c r="M2700">
        <v>38324.39</v>
      </c>
      <c r="N2700">
        <v>6029.25</v>
      </c>
      <c r="O2700">
        <v>4895.96</v>
      </c>
      <c r="P2700">
        <v>2971.88</v>
      </c>
      <c r="Q2700">
        <v>346.53</v>
      </c>
      <c r="R2700">
        <v>4143.4799999999996</v>
      </c>
      <c r="S2700">
        <v>622.34</v>
      </c>
      <c r="T2700">
        <v>57333.83</v>
      </c>
      <c r="U2700">
        <v>28846.17</v>
      </c>
      <c r="V2700">
        <v>9836.74</v>
      </c>
      <c r="W2700">
        <v>8832.02</v>
      </c>
      <c r="X2700">
        <v>65209.73</v>
      </c>
      <c r="Y2700">
        <v>56083.77</v>
      </c>
    </row>
    <row r="2701" spans="1:25" x14ac:dyDescent="0.25">
      <c r="A2701" t="s">
        <v>2757</v>
      </c>
      <c r="B2701" s="1">
        <v>45687</v>
      </c>
      <c r="C2701">
        <v>2025</v>
      </c>
      <c r="D2701">
        <v>1</v>
      </c>
      <c r="E2701" t="s">
        <v>26</v>
      </c>
      <c r="F2701" t="s">
        <v>27</v>
      </c>
      <c r="G2701" t="s">
        <v>28</v>
      </c>
      <c r="H2701" t="s">
        <v>58</v>
      </c>
      <c r="I2701" t="s">
        <v>30</v>
      </c>
      <c r="J2701">
        <v>105</v>
      </c>
      <c r="K2701">
        <v>862.8</v>
      </c>
      <c r="L2701">
        <v>90593.84</v>
      </c>
      <c r="M2701">
        <v>57273.47</v>
      </c>
      <c r="N2701">
        <v>8136.93</v>
      </c>
      <c r="O2701">
        <v>3341.57</v>
      </c>
      <c r="P2701">
        <v>2458.4</v>
      </c>
      <c r="Q2701">
        <v>790.67</v>
      </c>
      <c r="R2701">
        <v>4761.54</v>
      </c>
      <c r="S2701">
        <v>1842.23</v>
      </c>
      <c r="T2701">
        <v>78604.81</v>
      </c>
      <c r="U2701">
        <v>33320.370000000003</v>
      </c>
      <c r="V2701">
        <v>11989.03</v>
      </c>
      <c r="W2701">
        <v>10950.07</v>
      </c>
      <c r="X2701">
        <v>88139.49</v>
      </c>
      <c r="Y2701">
        <v>86273.91</v>
      </c>
    </row>
    <row r="2702" spans="1:25" x14ac:dyDescent="0.25">
      <c r="A2702" t="s">
        <v>2758</v>
      </c>
      <c r="B2702" s="1">
        <v>45687</v>
      </c>
      <c r="C2702">
        <v>2025</v>
      </c>
      <c r="D2702">
        <v>1</v>
      </c>
      <c r="E2702" t="s">
        <v>26</v>
      </c>
      <c r="F2702" t="s">
        <v>27</v>
      </c>
      <c r="G2702" t="s">
        <v>35</v>
      </c>
      <c r="H2702" t="s">
        <v>32</v>
      </c>
      <c r="I2702" t="s">
        <v>56</v>
      </c>
      <c r="J2702">
        <v>34</v>
      </c>
      <c r="K2702">
        <v>1128.6099999999999</v>
      </c>
      <c r="L2702">
        <v>38372.6</v>
      </c>
      <c r="M2702">
        <v>25760.77</v>
      </c>
      <c r="N2702">
        <v>4044.27</v>
      </c>
      <c r="O2702">
        <v>1910.13</v>
      </c>
      <c r="P2702">
        <v>1067.8499999999999</v>
      </c>
      <c r="Q2702">
        <v>237.74</v>
      </c>
      <c r="R2702">
        <v>1156.32</v>
      </c>
      <c r="S2702">
        <v>693</v>
      </c>
      <c r="T2702">
        <v>34870.07</v>
      </c>
      <c r="U2702">
        <v>12611.83</v>
      </c>
      <c r="V2702">
        <v>3502.53</v>
      </c>
      <c r="W2702">
        <v>3495.77</v>
      </c>
      <c r="X2702">
        <v>41547.85</v>
      </c>
      <c r="Y2702">
        <v>34898.26</v>
      </c>
    </row>
    <row r="2703" spans="1:25" x14ac:dyDescent="0.25">
      <c r="A2703" t="s">
        <v>2759</v>
      </c>
      <c r="B2703" s="1">
        <v>45687</v>
      </c>
      <c r="C2703">
        <v>2025</v>
      </c>
      <c r="D2703">
        <v>1</v>
      </c>
      <c r="E2703" t="s">
        <v>26</v>
      </c>
      <c r="F2703" t="s">
        <v>27</v>
      </c>
      <c r="G2703" t="s">
        <v>28</v>
      </c>
      <c r="H2703" t="s">
        <v>36</v>
      </c>
      <c r="I2703" t="s">
        <v>39</v>
      </c>
      <c r="J2703">
        <v>28</v>
      </c>
      <c r="K2703">
        <v>1442.93</v>
      </c>
      <c r="L2703">
        <v>40401.949999999997</v>
      </c>
      <c r="M2703">
        <v>19756.28</v>
      </c>
      <c r="N2703">
        <v>3437.8</v>
      </c>
      <c r="O2703">
        <v>2261.06</v>
      </c>
      <c r="P2703">
        <v>662.53</v>
      </c>
      <c r="Q2703">
        <v>291.5</v>
      </c>
      <c r="R2703">
        <v>2090.54</v>
      </c>
      <c r="S2703">
        <v>952.61</v>
      </c>
      <c r="T2703">
        <v>29452.32</v>
      </c>
      <c r="U2703">
        <v>20645.669999999998</v>
      </c>
      <c r="V2703">
        <v>10949.63</v>
      </c>
      <c r="W2703">
        <v>10795.04</v>
      </c>
      <c r="X2703">
        <v>43816.92</v>
      </c>
      <c r="Y2703">
        <v>29718.03</v>
      </c>
    </row>
    <row r="2704" spans="1:25" x14ac:dyDescent="0.25">
      <c r="A2704" t="s">
        <v>2760</v>
      </c>
      <c r="B2704" s="1">
        <v>45687</v>
      </c>
      <c r="C2704">
        <v>2025</v>
      </c>
      <c r="D2704">
        <v>1</v>
      </c>
      <c r="E2704" t="s">
        <v>26</v>
      </c>
      <c r="F2704" t="s">
        <v>27</v>
      </c>
      <c r="G2704" t="s">
        <v>35</v>
      </c>
      <c r="H2704" t="s">
        <v>29</v>
      </c>
      <c r="I2704" t="s">
        <v>65</v>
      </c>
      <c r="J2704">
        <v>33</v>
      </c>
      <c r="K2704">
        <v>1772.83</v>
      </c>
      <c r="L2704">
        <v>58503.47</v>
      </c>
      <c r="M2704">
        <v>37141.410000000003</v>
      </c>
      <c r="N2704">
        <v>7509.08</v>
      </c>
      <c r="O2704">
        <v>2802.42</v>
      </c>
      <c r="P2704">
        <v>968.03</v>
      </c>
      <c r="Q2704">
        <v>489.64</v>
      </c>
      <c r="R2704">
        <v>3666.2</v>
      </c>
      <c r="S2704">
        <v>650.23</v>
      </c>
      <c r="T2704">
        <v>53227.01</v>
      </c>
      <c r="U2704">
        <v>21362.06</v>
      </c>
      <c r="V2704">
        <v>5276.46</v>
      </c>
      <c r="W2704">
        <v>5154.38</v>
      </c>
      <c r="X2704">
        <v>55037.599999999999</v>
      </c>
      <c r="Y2704">
        <v>58008.959999999999</v>
      </c>
    </row>
    <row r="2705" spans="1:25" x14ac:dyDescent="0.25">
      <c r="A2705" t="s">
        <v>2761</v>
      </c>
      <c r="B2705" s="1">
        <v>45688</v>
      </c>
      <c r="C2705">
        <v>2025</v>
      </c>
      <c r="D2705">
        <v>1</v>
      </c>
      <c r="E2705" t="s">
        <v>26</v>
      </c>
      <c r="F2705" t="s">
        <v>27</v>
      </c>
      <c r="G2705" t="s">
        <v>28</v>
      </c>
      <c r="H2705" t="s">
        <v>32</v>
      </c>
      <c r="I2705" t="s">
        <v>56</v>
      </c>
      <c r="J2705">
        <v>38</v>
      </c>
      <c r="K2705">
        <v>1286.52</v>
      </c>
      <c r="L2705">
        <v>48887.87</v>
      </c>
      <c r="M2705">
        <v>29089.94</v>
      </c>
      <c r="N2705">
        <v>5910.56</v>
      </c>
      <c r="O2705">
        <v>3061</v>
      </c>
      <c r="P2705">
        <v>1081.3699999999999</v>
      </c>
      <c r="Q2705">
        <v>724.17</v>
      </c>
      <c r="R2705">
        <v>1580.51</v>
      </c>
      <c r="S2705">
        <v>809.97</v>
      </c>
      <c r="T2705">
        <v>42257.52</v>
      </c>
      <c r="U2705">
        <v>19797.93</v>
      </c>
      <c r="V2705">
        <v>6630.35</v>
      </c>
      <c r="W2705">
        <v>5876.02</v>
      </c>
      <c r="X2705">
        <v>49061.52</v>
      </c>
      <c r="Y2705">
        <v>39708.21</v>
      </c>
    </row>
    <row r="2706" spans="1:25" x14ac:dyDescent="0.25">
      <c r="A2706" t="s">
        <v>2762</v>
      </c>
      <c r="B2706" s="1">
        <v>45688</v>
      </c>
      <c r="C2706">
        <v>2025</v>
      </c>
      <c r="D2706">
        <v>1</v>
      </c>
      <c r="E2706" t="s">
        <v>26</v>
      </c>
      <c r="F2706" t="s">
        <v>27</v>
      </c>
      <c r="G2706" t="s">
        <v>35</v>
      </c>
      <c r="H2706" t="s">
        <v>32</v>
      </c>
      <c r="I2706" t="s">
        <v>37</v>
      </c>
      <c r="J2706">
        <v>44</v>
      </c>
      <c r="K2706">
        <v>1633.61</v>
      </c>
      <c r="L2706">
        <v>71878.77</v>
      </c>
      <c r="M2706">
        <v>41944.38</v>
      </c>
      <c r="N2706">
        <v>5113.3500000000004</v>
      </c>
      <c r="O2706">
        <v>3288.36</v>
      </c>
      <c r="P2706">
        <v>1443.52</v>
      </c>
      <c r="Q2706">
        <v>1277.8399999999999</v>
      </c>
      <c r="R2706">
        <v>4541.8900000000003</v>
      </c>
      <c r="S2706">
        <v>607.11</v>
      </c>
      <c r="T2706">
        <v>58216.45</v>
      </c>
      <c r="U2706">
        <v>29934.39</v>
      </c>
      <c r="V2706">
        <v>13662.32</v>
      </c>
      <c r="W2706">
        <v>13785.31</v>
      </c>
      <c r="X2706">
        <v>71684.58</v>
      </c>
      <c r="Y2706">
        <v>59186.11</v>
      </c>
    </row>
    <row r="2707" spans="1:25" x14ac:dyDescent="0.25">
      <c r="A2707" t="s">
        <v>2763</v>
      </c>
      <c r="B2707" s="1">
        <v>45688</v>
      </c>
      <c r="C2707">
        <v>2025</v>
      </c>
      <c r="D2707">
        <v>1</v>
      </c>
      <c r="E2707" t="s">
        <v>26</v>
      </c>
      <c r="F2707" t="s">
        <v>27</v>
      </c>
      <c r="G2707" t="s">
        <v>44</v>
      </c>
      <c r="H2707" t="s">
        <v>58</v>
      </c>
      <c r="I2707" t="s">
        <v>56</v>
      </c>
      <c r="J2707">
        <v>19</v>
      </c>
      <c r="K2707">
        <v>1198.17</v>
      </c>
      <c r="L2707">
        <v>22765.18</v>
      </c>
      <c r="M2707">
        <v>11789.43</v>
      </c>
      <c r="N2707">
        <v>2116.36</v>
      </c>
      <c r="O2707">
        <v>995.08</v>
      </c>
      <c r="P2707">
        <v>646.66</v>
      </c>
      <c r="Q2707">
        <v>324.91000000000003</v>
      </c>
      <c r="R2707">
        <v>587.74</v>
      </c>
      <c r="S2707">
        <v>337.53</v>
      </c>
      <c r="T2707">
        <v>16797.71</v>
      </c>
      <c r="U2707">
        <v>10975.75</v>
      </c>
      <c r="V2707">
        <v>5967.47</v>
      </c>
      <c r="W2707">
        <v>5801.61</v>
      </c>
      <c r="X2707">
        <v>21115.62</v>
      </c>
      <c r="Y2707">
        <v>17981.310000000001</v>
      </c>
    </row>
    <row r="2708" spans="1:25" x14ac:dyDescent="0.25">
      <c r="A2708" t="s">
        <v>2764</v>
      </c>
      <c r="B2708" s="1">
        <v>45688</v>
      </c>
      <c r="C2708">
        <v>2025</v>
      </c>
      <c r="D2708">
        <v>1</v>
      </c>
      <c r="E2708" t="s">
        <v>26</v>
      </c>
      <c r="F2708" t="s">
        <v>27</v>
      </c>
      <c r="G2708" t="s">
        <v>28</v>
      </c>
      <c r="H2708" t="s">
        <v>32</v>
      </c>
      <c r="I2708" t="s">
        <v>50</v>
      </c>
      <c r="J2708">
        <v>51</v>
      </c>
      <c r="K2708">
        <v>1235.8399999999999</v>
      </c>
      <c r="L2708">
        <v>63027.65</v>
      </c>
      <c r="M2708">
        <v>39839.230000000003</v>
      </c>
      <c r="N2708">
        <v>4790.67</v>
      </c>
      <c r="O2708">
        <v>3202.23</v>
      </c>
      <c r="P2708">
        <v>2176.08</v>
      </c>
      <c r="Q2708">
        <v>437.77</v>
      </c>
      <c r="R2708">
        <v>1745.87</v>
      </c>
      <c r="S2708">
        <v>1428.47</v>
      </c>
      <c r="T2708">
        <v>53620.32</v>
      </c>
      <c r="U2708">
        <v>23188.42</v>
      </c>
      <c r="V2708">
        <v>9407.33</v>
      </c>
      <c r="W2708">
        <v>8518.27</v>
      </c>
      <c r="X2708">
        <v>67034.39</v>
      </c>
      <c r="Y2708">
        <v>51145.98</v>
      </c>
    </row>
    <row r="2709" spans="1:25" x14ac:dyDescent="0.25">
      <c r="A2709" t="s">
        <v>2765</v>
      </c>
      <c r="B2709" s="1">
        <v>45689</v>
      </c>
      <c r="C2709">
        <v>2025</v>
      </c>
      <c r="D2709">
        <v>2</v>
      </c>
      <c r="E2709" t="s">
        <v>161</v>
      </c>
      <c r="F2709" t="s">
        <v>27</v>
      </c>
      <c r="G2709" t="s">
        <v>28</v>
      </c>
      <c r="H2709" t="s">
        <v>32</v>
      </c>
      <c r="I2709" t="s">
        <v>37</v>
      </c>
      <c r="J2709">
        <v>47</v>
      </c>
      <c r="K2709">
        <v>1616.78</v>
      </c>
      <c r="L2709">
        <v>75988.429999999993</v>
      </c>
      <c r="M2709">
        <v>51091.26</v>
      </c>
      <c r="N2709">
        <v>9215.44</v>
      </c>
      <c r="O2709">
        <v>5694.38</v>
      </c>
      <c r="P2709">
        <v>2790.86</v>
      </c>
      <c r="Q2709">
        <v>1338.41</v>
      </c>
      <c r="R2709">
        <v>3930.9</v>
      </c>
      <c r="S2709">
        <v>1350.65</v>
      </c>
      <c r="T2709">
        <v>75411.91</v>
      </c>
      <c r="U2709">
        <v>24897.17</v>
      </c>
      <c r="V2709">
        <v>576.52</v>
      </c>
      <c r="W2709">
        <v>514.52</v>
      </c>
      <c r="X2709">
        <v>81139.679999999993</v>
      </c>
      <c r="Y2709">
        <v>75170.320000000007</v>
      </c>
    </row>
    <row r="2710" spans="1:25" x14ac:dyDescent="0.25">
      <c r="A2710" t="s">
        <v>2766</v>
      </c>
      <c r="B2710" s="1">
        <v>45689</v>
      </c>
      <c r="C2710">
        <v>2025</v>
      </c>
      <c r="D2710">
        <v>2</v>
      </c>
      <c r="E2710" t="s">
        <v>161</v>
      </c>
      <c r="F2710" t="s">
        <v>27</v>
      </c>
      <c r="G2710" t="s">
        <v>55</v>
      </c>
      <c r="H2710" t="s">
        <v>32</v>
      </c>
      <c r="I2710" t="s">
        <v>30</v>
      </c>
      <c r="J2710">
        <v>162</v>
      </c>
      <c r="K2710">
        <v>825.23</v>
      </c>
      <c r="L2710">
        <v>133687.15</v>
      </c>
      <c r="M2710">
        <v>85322.5</v>
      </c>
      <c r="N2710">
        <v>10729.77</v>
      </c>
      <c r="O2710">
        <v>4988.57</v>
      </c>
      <c r="P2710">
        <v>5720.87</v>
      </c>
      <c r="Q2710">
        <v>1508.39</v>
      </c>
      <c r="R2710">
        <v>6696.99</v>
      </c>
      <c r="S2710">
        <v>2261.1799999999998</v>
      </c>
      <c r="T2710">
        <v>117228.26</v>
      </c>
      <c r="U2710">
        <v>48364.65</v>
      </c>
      <c r="V2710">
        <v>16458.89</v>
      </c>
      <c r="W2710">
        <v>15753.63</v>
      </c>
      <c r="X2710">
        <v>133180.35</v>
      </c>
      <c r="Y2710">
        <v>119431.49</v>
      </c>
    </row>
    <row r="2711" spans="1:25" x14ac:dyDescent="0.25">
      <c r="A2711" t="s">
        <v>2767</v>
      </c>
      <c r="B2711" s="1">
        <v>45689</v>
      </c>
      <c r="C2711">
        <v>2025</v>
      </c>
      <c r="D2711">
        <v>2</v>
      </c>
      <c r="E2711" t="s">
        <v>161</v>
      </c>
      <c r="F2711" t="s">
        <v>27</v>
      </c>
      <c r="G2711" t="s">
        <v>55</v>
      </c>
      <c r="H2711" t="s">
        <v>36</v>
      </c>
      <c r="I2711" t="s">
        <v>37</v>
      </c>
      <c r="J2711">
        <v>53</v>
      </c>
      <c r="K2711">
        <v>1458.26</v>
      </c>
      <c r="L2711">
        <v>77287.600000000006</v>
      </c>
      <c r="M2711">
        <v>43880.59</v>
      </c>
      <c r="N2711">
        <v>8443.8799999999992</v>
      </c>
      <c r="O2711">
        <v>2267.9699999999998</v>
      </c>
      <c r="P2711">
        <v>2137.15</v>
      </c>
      <c r="Q2711">
        <v>816.55</v>
      </c>
      <c r="R2711">
        <v>3227.32</v>
      </c>
      <c r="S2711">
        <v>1472.54</v>
      </c>
      <c r="T2711">
        <v>62245.98</v>
      </c>
      <c r="U2711">
        <v>33407.01</v>
      </c>
      <c r="V2711">
        <v>15041.62</v>
      </c>
      <c r="W2711">
        <v>13339.08</v>
      </c>
      <c r="X2711">
        <v>82157.789999999994</v>
      </c>
      <c r="Y2711">
        <v>61941.22</v>
      </c>
    </row>
    <row r="2712" spans="1:25" x14ac:dyDescent="0.25">
      <c r="A2712" t="s">
        <v>2768</v>
      </c>
      <c r="B2712" s="1">
        <v>45689</v>
      </c>
      <c r="C2712">
        <v>2025</v>
      </c>
      <c r="D2712">
        <v>2</v>
      </c>
      <c r="E2712" t="s">
        <v>161</v>
      </c>
      <c r="F2712" t="s">
        <v>27</v>
      </c>
      <c r="G2712" t="s">
        <v>44</v>
      </c>
      <c r="H2712" t="s">
        <v>32</v>
      </c>
      <c r="I2712" t="s">
        <v>45</v>
      </c>
      <c r="J2712">
        <v>71</v>
      </c>
      <c r="K2712">
        <v>897.44</v>
      </c>
      <c r="L2712">
        <v>63718.16</v>
      </c>
      <c r="M2712">
        <v>42583.360000000001</v>
      </c>
      <c r="N2712">
        <v>6689.99</v>
      </c>
      <c r="O2712">
        <v>3041.77</v>
      </c>
      <c r="P2712">
        <v>1407.02</v>
      </c>
      <c r="Q2712">
        <v>1116.23</v>
      </c>
      <c r="R2712">
        <v>2711.8</v>
      </c>
      <c r="S2712">
        <v>1387.18</v>
      </c>
      <c r="T2712">
        <v>58937.37</v>
      </c>
      <c r="U2712">
        <v>21134.799999999999</v>
      </c>
      <c r="V2712">
        <v>4780.79</v>
      </c>
      <c r="W2712">
        <v>4429.43</v>
      </c>
      <c r="X2712">
        <v>59760.29</v>
      </c>
      <c r="Y2712">
        <v>60885.65</v>
      </c>
    </row>
    <row r="2713" spans="1:25" x14ac:dyDescent="0.25">
      <c r="A2713" t="s">
        <v>2769</v>
      </c>
      <c r="B2713" s="1">
        <v>45689</v>
      </c>
      <c r="C2713">
        <v>2025</v>
      </c>
      <c r="D2713">
        <v>2</v>
      </c>
      <c r="E2713" t="s">
        <v>161</v>
      </c>
      <c r="F2713" t="s">
        <v>27</v>
      </c>
      <c r="G2713" t="s">
        <v>35</v>
      </c>
      <c r="H2713" t="s">
        <v>36</v>
      </c>
      <c r="I2713" t="s">
        <v>33</v>
      </c>
      <c r="J2713">
        <v>47</v>
      </c>
      <c r="K2713">
        <v>1261.21</v>
      </c>
      <c r="L2713">
        <v>59276.85</v>
      </c>
      <c r="M2713">
        <v>32348.92</v>
      </c>
      <c r="N2713">
        <v>6134.31</v>
      </c>
      <c r="O2713">
        <v>1911.38</v>
      </c>
      <c r="P2713">
        <v>2446.1</v>
      </c>
      <c r="Q2713">
        <v>944.11</v>
      </c>
      <c r="R2713">
        <v>3710.13</v>
      </c>
      <c r="S2713">
        <v>1114.46</v>
      </c>
      <c r="T2713">
        <v>48609.42</v>
      </c>
      <c r="U2713">
        <v>26927.93</v>
      </c>
      <c r="V2713">
        <v>10667.43</v>
      </c>
      <c r="W2713">
        <v>9730.9500000000007</v>
      </c>
      <c r="X2713">
        <v>64712.93</v>
      </c>
      <c r="Y2713">
        <v>52300.55</v>
      </c>
    </row>
    <row r="2714" spans="1:25" x14ac:dyDescent="0.25">
      <c r="A2714" t="s">
        <v>2770</v>
      </c>
      <c r="B2714" s="1">
        <v>45689</v>
      </c>
      <c r="C2714">
        <v>2025</v>
      </c>
      <c r="D2714">
        <v>2</v>
      </c>
      <c r="E2714" t="s">
        <v>161</v>
      </c>
      <c r="F2714" t="s">
        <v>27</v>
      </c>
      <c r="G2714" t="s">
        <v>28</v>
      </c>
      <c r="H2714" t="s">
        <v>32</v>
      </c>
      <c r="I2714" t="s">
        <v>33</v>
      </c>
      <c r="J2714">
        <v>76</v>
      </c>
      <c r="K2714">
        <v>1231.58</v>
      </c>
      <c r="L2714">
        <v>93599.85</v>
      </c>
      <c r="M2714">
        <v>58956.65</v>
      </c>
      <c r="N2714">
        <v>9631.32</v>
      </c>
      <c r="O2714">
        <v>5775.95</v>
      </c>
      <c r="P2714">
        <v>3400.36</v>
      </c>
      <c r="Q2714">
        <v>1271.53</v>
      </c>
      <c r="R2714">
        <v>5736.54</v>
      </c>
      <c r="S2714">
        <v>1164.8900000000001</v>
      </c>
      <c r="T2714">
        <v>85937.23</v>
      </c>
      <c r="U2714">
        <v>34643.199999999997</v>
      </c>
      <c r="V2714">
        <v>7662.61</v>
      </c>
      <c r="W2714">
        <v>6971.78</v>
      </c>
      <c r="X2714">
        <v>91332.55</v>
      </c>
      <c r="Y2714">
        <v>92030.55</v>
      </c>
    </row>
    <row r="2715" spans="1:25" x14ac:dyDescent="0.25">
      <c r="A2715" t="s">
        <v>2771</v>
      </c>
      <c r="B2715" s="1">
        <v>45689</v>
      </c>
      <c r="C2715">
        <v>2025</v>
      </c>
      <c r="D2715">
        <v>2</v>
      </c>
      <c r="E2715" t="s">
        <v>161</v>
      </c>
      <c r="F2715" t="s">
        <v>27</v>
      </c>
      <c r="G2715" t="s">
        <v>35</v>
      </c>
      <c r="H2715" t="s">
        <v>29</v>
      </c>
      <c r="I2715" t="s">
        <v>30</v>
      </c>
      <c r="J2715">
        <v>77</v>
      </c>
      <c r="K2715">
        <v>1102.6600000000001</v>
      </c>
      <c r="L2715">
        <v>84904.82</v>
      </c>
      <c r="M2715">
        <v>47817.07</v>
      </c>
      <c r="N2715">
        <v>10169.450000000001</v>
      </c>
      <c r="O2715">
        <v>2750.05</v>
      </c>
      <c r="P2715">
        <v>3816.36</v>
      </c>
      <c r="Q2715">
        <v>496.27</v>
      </c>
      <c r="R2715">
        <v>4785.8100000000004</v>
      </c>
      <c r="S2715">
        <v>841.28</v>
      </c>
      <c r="T2715">
        <v>70676.289999999994</v>
      </c>
      <c r="U2715">
        <v>37087.75</v>
      </c>
      <c r="V2715">
        <v>14228.52</v>
      </c>
      <c r="W2715">
        <v>14007.18</v>
      </c>
      <c r="X2715">
        <v>93992.87</v>
      </c>
      <c r="Y2715">
        <v>75095.25</v>
      </c>
    </row>
    <row r="2716" spans="1:25" x14ac:dyDescent="0.25">
      <c r="A2716" t="s">
        <v>2772</v>
      </c>
      <c r="B2716" s="1">
        <v>45689</v>
      </c>
      <c r="C2716">
        <v>2025</v>
      </c>
      <c r="D2716">
        <v>2</v>
      </c>
      <c r="E2716" t="s">
        <v>161</v>
      </c>
      <c r="F2716" t="s">
        <v>27</v>
      </c>
      <c r="G2716" t="s">
        <v>28</v>
      </c>
      <c r="H2716" t="s">
        <v>32</v>
      </c>
      <c r="I2716" t="s">
        <v>56</v>
      </c>
      <c r="J2716">
        <v>39</v>
      </c>
      <c r="K2716">
        <v>1056.3399999999999</v>
      </c>
      <c r="L2716">
        <v>41197.21</v>
      </c>
      <c r="M2716">
        <v>19786.73</v>
      </c>
      <c r="N2716">
        <v>4701.8500000000004</v>
      </c>
      <c r="O2716">
        <v>2643.41</v>
      </c>
      <c r="P2716">
        <v>1825.94</v>
      </c>
      <c r="Q2716">
        <v>447.53</v>
      </c>
      <c r="R2716">
        <v>1292.76</v>
      </c>
      <c r="S2716">
        <v>564.35</v>
      </c>
      <c r="T2716">
        <v>31262.58</v>
      </c>
      <c r="U2716">
        <v>21410.48</v>
      </c>
      <c r="V2716">
        <v>9934.6299999999992</v>
      </c>
      <c r="W2716">
        <v>10023.969999999999</v>
      </c>
      <c r="X2716">
        <v>44547.12</v>
      </c>
      <c r="Y2716">
        <v>33066.239999999998</v>
      </c>
    </row>
    <row r="2717" spans="1:25" x14ac:dyDescent="0.25">
      <c r="A2717" t="s">
        <v>2773</v>
      </c>
      <c r="B2717" s="1">
        <v>45690</v>
      </c>
      <c r="C2717">
        <v>2025</v>
      </c>
      <c r="D2717">
        <v>2</v>
      </c>
      <c r="E2717" t="s">
        <v>161</v>
      </c>
      <c r="F2717" t="s">
        <v>27</v>
      </c>
      <c r="G2717" t="s">
        <v>35</v>
      </c>
      <c r="H2717" t="s">
        <v>32</v>
      </c>
      <c r="I2717" t="s">
        <v>45</v>
      </c>
      <c r="J2717">
        <v>43</v>
      </c>
      <c r="K2717">
        <v>1368.06</v>
      </c>
      <c r="L2717">
        <v>58826.400000000001</v>
      </c>
      <c r="M2717">
        <v>39109.620000000003</v>
      </c>
      <c r="N2717">
        <v>7481.32</v>
      </c>
      <c r="O2717">
        <v>2993.25</v>
      </c>
      <c r="P2717">
        <v>970.83</v>
      </c>
      <c r="Q2717">
        <v>512.07000000000005</v>
      </c>
      <c r="R2717">
        <v>2100.02</v>
      </c>
      <c r="S2717">
        <v>663.34</v>
      </c>
      <c r="T2717">
        <v>53830.44</v>
      </c>
      <c r="U2717">
        <v>19716.78</v>
      </c>
      <c r="V2717">
        <v>4995.95</v>
      </c>
      <c r="W2717">
        <v>4611.3100000000004</v>
      </c>
      <c r="X2717">
        <v>61360.05</v>
      </c>
      <c r="Y2717">
        <v>54791.54</v>
      </c>
    </row>
    <row r="2718" spans="1:25" x14ac:dyDescent="0.25">
      <c r="A2718" t="s">
        <v>2774</v>
      </c>
      <c r="B2718" s="1">
        <v>45690</v>
      </c>
      <c r="C2718">
        <v>2025</v>
      </c>
      <c r="D2718">
        <v>2</v>
      </c>
      <c r="E2718" t="s">
        <v>161</v>
      </c>
      <c r="F2718" t="s">
        <v>27</v>
      </c>
      <c r="G2718" t="s">
        <v>28</v>
      </c>
      <c r="H2718" t="s">
        <v>32</v>
      </c>
      <c r="I2718" t="s">
        <v>50</v>
      </c>
      <c r="J2718">
        <v>45</v>
      </c>
      <c r="K2718">
        <v>1215.31</v>
      </c>
      <c r="L2718">
        <v>54689.06</v>
      </c>
      <c r="M2718">
        <v>30686.18</v>
      </c>
      <c r="N2718">
        <v>4872.6000000000004</v>
      </c>
      <c r="O2718">
        <v>3605.56</v>
      </c>
      <c r="P2718">
        <v>1792.82</v>
      </c>
      <c r="Q2718">
        <v>465.56</v>
      </c>
      <c r="R2718">
        <v>2139.36</v>
      </c>
      <c r="S2718">
        <v>829.75</v>
      </c>
      <c r="T2718">
        <v>44391.839999999997</v>
      </c>
      <c r="U2718">
        <v>24002.880000000001</v>
      </c>
      <c r="V2718">
        <v>10297.23</v>
      </c>
      <c r="W2718">
        <v>10265.31</v>
      </c>
      <c r="X2718">
        <v>57440.61</v>
      </c>
      <c r="Y2718">
        <v>42931.54</v>
      </c>
    </row>
    <row r="2719" spans="1:25" x14ac:dyDescent="0.25">
      <c r="A2719" t="s">
        <v>2775</v>
      </c>
      <c r="B2719" s="1">
        <v>45690</v>
      </c>
      <c r="C2719">
        <v>2025</v>
      </c>
      <c r="D2719">
        <v>2</v>
      </c>
      <c r="E2719" t="s">
        <v>161</v>
      </c>
      <c r="F2719" t="s">
        <v>27</v>
      </c>
      <c r="G2719" t="s">
        <v>55</v>
      </c>
      <c r="H2719" t="s">
        <v>36</v>
      </c>
      <c r="I2719" t="s">
        <v>30</v>
      </c>
      <c r="J2719">
        <v>106</v>
      </c>
      <c r="K2719">
        <v>945.57</v>
      </c>
      <c r="L2719">
        <v>100230.08</v>
      </c>
      <c r="M2719">
        <v>60834.54</v>
      </c>
      <c r="N2719">
        <v>12391.43</v>
      </c>
      <c r="O2719">
        <v>7095.8</v>
      </c>
      <c r="P2719">
        <v>3916.9</v>
      </c>
      <c r="Q2719">
        <v>1368.19</v>
      </c>
      <c r="R2719">
        <v>4256.3599999999997</v>
      </c>
      <c r="S2719">
        <v>2219.41</v>
      </c>
      <c r="T2719">
        <v>92082.63</v>
      </c>
      <c r="U2719">
        <v>39395.54</v>
      </c>
      <c r="V2719">
        <v>8147.45</v>
      </c>
      <c r="W2719">
        <v>7229.81</v>
      </c>
      <c r="X2719">
        <v>96299.43</v>
      </c>
      <c r="Y2719">
        <v>87409.94</v>
      </c>
    </row>
    <row r="2720" spans="1:25" x14ac:dyDescent="0.25">
      <c r="A2720" t="s">
        <v>2776</v>
      </c>
      <c r="B2720" s="1">
        <v>45690</v>
      </c>
      <c r="C2720">
        <v>2025</v>
      </c>
      <c r="D2720">
        <v>2</v>
      </c>
      <c r="E2720" t="s">
        <v>161</v>
      </c>
      <c r="F2720" t="s">
        <v>27</v>
      </c>
      <c r="G2720" t="s">
        <v>28</v>
      </c>
      <c r="H2720" t="s">
        <v>29</v>
      </c>
      <c r="I2720" t="s">
        <v>50</v>
      </c>
      <c r="J2720">
        <v>44</v>
      </c>
      <c r="K2720">
        <v>1434.13</v>
      </c>
      <c r="L2720">
        <v>63101.919999999998</v>
      </c>
      <c r="M2720">
        <v>37543.79</v>
      </c>
      <c r="N2720">
        <v>6369.87</v>
      </c>
      <c r="O2720">
        <v>2828.64</v>
      </c>
      <c r="P2720">
        <v>1575.72</v>
      </c>
      <c r="Q2720">
        <v>600.61</v>
      </c>
      <c r="R2720">
        <v>1620.06</v>
      </c>
      <c r="S2720">
        <v>745.8</v>
      </c>
      <c r="T2720">
        <v>51284.49</v>
      </c>
      <c r="U2720">
        <v>25558.13</v>
      </c>
      <c r="V2720">
        <v>11817.43</v>
      </c>
      <c r="W2720">
        <v>11911.58</v>
      </c>
      <c r="X2720">
        <v>65868.89</v>
      </c>
      <c r="Y2720">
        <v>54876.03</v>
      </c>
    </row>
    <row r="2721" spans="1:25" x14ac:dyDescent="0.25">
      <c r="A2721" t="s">
        <v>2777</v>
      </c>
      <c r="B2721" s="1">
        <v>45690</v>
      </c>
      <c r="C2721">
        <v>2025</v>
      </c>
      <c r="D2721">
        <v>2</v>
      </c>
      <c r="E2721" t="s">
        <v>161</v>
      </c>
      <c r="F2721" t="s">
        <v>27</v>
      </c>
      <c r="G2721" t="s">
        <v>35</v>
      </c>
      <c r="H2721" t="s">
        <v>36</v>
      </c>
      <c r="I2721" t="s">
        <v>33</v>
      </c>
      <c r="J2721">
        <v>49</v>
      </c>
      <c r="K2721">
        <v>982.53</v>
      </c>
      <c r="L2721">
        <v>48144.03</v>
      </c>
      <c r="M2721">
        <v>27044.68</v>
      </c>
      <c r="N2721">
        <v>5985.97</v>
      </c>
      <c r="O2721">
        <v>2080.4699999999998</v>
      </c>
      <c r="P2721">
        <v>2108.17</v>
      </c>
      <c r="Q2721">
        <v>539.51</v>
      </c>
      <c r="R2721">
        <v>2928.49</v>
      </c>
      <c r="S2721">
        <v>987.99</v>
      </c>
      <c r="T2721">
        <v>41675.29</v>
      </c>
      <c r="U2721">
        <v>21099.35</v>
      </c>
      <c r="V2721">
        <v>6468.74</v>
      </c>
      <c r="W2721">
        <v>6292.34</v>
      </c>
      <c r="X2721">
        <v>53412.05</v>
      </c>
      <c r="Y2721">
        <v>42940.24</v>
      </c>
    </row>
    <row r="2722" spans="1:25" x14ac:dyDescent="0.25">
      <c r="A2722" t="s">
        <v>2778</v>
      </c>
      <c r="B2722" s="1">
        <v>45692</v>
      </c>
      <c r="C2722">
        <v>2025</v>
      </c>
      <c r="D2722">
        <v>2</v>
      </c>
      <c r="E2722" t="s">
        <v>161</v>
      </c>
      <c r="F2722" t="s">
        <v>27</v>
      </c>
      <c r="G2722" t="s">
        <v>28</v>
      </c>
      <c r="H2722" t="s">
        <v>36</v>
      </c>
      <c r="I2722" t="s">
        <v>39</v>
      </c>
      <c r="J2722">
        <v>30</v>
      </c>
      <c r="K2722">
        <v>1535.01</v>
      </c>
      <c r="L2722">
        <v>46050.27</v>
      </c>
      <c r="M2722">
        <v>22893.4</v>
      </c>
      <c r="N2722">
        <v>4805.51</v>
      </c>
      <c r="O2722">
        <v>1751.02</v>
      </c>
      <c r="P2722">
        <v>1155.5</v>
      </c>
      <c r="Q2722">
        <v>354.63</v>
      </c>
      <c r="R2722">
        <v>2207.14</v>
      </c>
      <c r="S2722">
        <v>1103.3499999999999</v>
      </c>
      <c r="T2722">
        <v>34270.550000000003</v>
      </c>
      <c r="U2722">
        <v>23156.87</v>
      </c>
      <c r="V2722">
        <v>11779.72</v>
      </c>
      <c r="W2722">
        <v>10800.66</v>
      </c>
      <c r="X2722">
        <v>46882.5</v>
      </c>
      <c r="Y2722">
        <v>35154.79</v>
      </c>
    </row>
    <row r="2723" spans="1:25" x14ac:dyDescent="0.25">
      <c r="A2723" t="s">
        <v>2779</v>
      </c>
      <c r="B2723" s="1">
        <v>45692</v>
      </c>
      <c r="C2723">
        <v>2025</v>
      </c>
      <c r="D2723">
        <v>2</v>
      </c>
      <c r="E2723" t="s">
        <v>161</v>
      </c>
      <c r="F2723" t="s">
        <v>27</v>
      </c>
      <c r="G2723" t="s">
        <v>28</v>
      </c>
      <c r="H2723" t="s">
        <v>36</v>
      </c>
      <c r="I2723" t="s">
        <v>65</v>
      </c>
      <c r="J2723">
        <v>39</v>
      </c>
      <c r="K2723">
        <v>1246.8800000000001</v>
      </c>
      <c r="L2723">
        <v>48628.46</v>
      </c>
      <c r="M2723">
        <v>28912.21</v>
      </c>
      <c r="N2723">
        <v>5161.5600000000004</v>
      </c>
      <c r="O2723">
        <v>2571.73</v>
      </c>
      <c r="P2723">
        <v>1018.09</v>
      </c>
      <c r="Q2723">
        <v>340.86</v>
      </c>
      <c r="R2723">
        <v>2214.4699999999998</v>
      </c>
      <c r="S2723">
        <v>499.14</v>
      </c>
      <c r="T2723">
        <v>40718.07</v>
      </c>
      <c r="U2723">
        <v>19716.25</v>
      </c>
      <c r="V2723">
        <v>7910.39</v>
      </c>
      <c r="W2723">
        <v>7337.71</v>
      </c>
      <c r="X2723">
        <v>50956.33</v>
      </c>
      <c r="Y2723">
        <v>42400.53</v>
      </c>
    </row>
    <row r="2724" spans="1:25" x14ac:dyDescent="0.25">
      <c r="A2724" t="s">
        <v>2780</v>
      </c>
      <c r="B2724" s="1">
        <v>45693</v>
      </c>
      <c r="C2724">
        <v>2025</v>
      </c>
      <c r="D2724">
        <v>2</v>
      </c>
      <c r="E2724" t="s">
        <v>161</v>
      </c>
      <c r="F2724" t="s">
        <v>27</v>
      </c>
      <c r="G2724" t="s">
        <v>35</v>
      </c>
      <c r="H2724" t="s">
        <v>29</v>
      </c>
      <c r="I2724" t="s">
        <v>56</v>
      </c>
      <c r="J2724">
        <v>27</v>
      </c>
      <c r="K2724">
        <v>915.49</v>
      </c>
      <c r="L2724">
        <v>24718.3</v>
      </c>
      <c r="M2724">
        <v>16401.169999999998</v>
      </c>
      <c r="N2724">
        <v>1980.39</v>
      </c>
      <c r="O2724">
        <v>1819.66</v>
      </c>
      <c r="P2724">
        <v>1039</v>
      </c>
      <c r="Q2724">
        <v>139.79</v>
      </c>
      <c r="R2724">
        <v>1071.22</v>
      </c>
      <c r="S2724">
        <v>309.45999999999998</v>
      </c>
      <c r="T2724">
        <v>22760.69</v>
      </c>
      <c r="U2724">
        <v>8317.1200000000008</v>
      </c>
      <c r="V2724">
        <v>1957.61</v>
      </c>
      <c r="W2724">
        <v>1800.07</v>
      </c>
      <c r="X2724">
        <v>24846.82</v>
      </c>
      <c r="Y2724">
        <v>22797.58</v>
      </c>
    </row>
    <row r="2725" spans="1:25" x14ac:dyDescent="0.25">
      <c r="A2725" t="s">
        <v>2781</v>
      </c>
      <c r="B2725" s="1">
        <v>45693</v>
      </c>
      <c r="C2725">
        <v>2025</v>
      </c>
      <c r="D2725">
        <v>2</v>
      </c>
      <c r="E2725" t="s">
        <v>161</v>
      </c>
      <c r="F2725" t="s">
        <v>27</v>
      </c>
      <c r="G2725" t="s">
        <v>55</v>
      </c>
      <c r="H2725" t="s">
        <v>36</v>
      </c>
      <c r="I2725" t="s">
        <v>56</v>
      </c>
      <c r="J2725">
        <v>26</v>
      </c>
      <c r="K2725">
        <v>1546.79</v>
      </c>
      <c r="L2725">
        <v>40216.5</v>
      </c>
      <c r="M2725">
        <v>25389.72</v>
      </c>
      <c r="N2725">
        <v>4763.3999999999996</v>
      </c>
      <c r="O2725">
        <v>1844.79</v>
      </c>
      <c r="P2725">
        <v>819.34</v>
      </c>
      <c r="Q2725">
        <v>240.32</v>
      </c>
      <c r="R2725">
        <v>2063.2399999999998</v>
      </c>
      <c r="S2725">
        <v>473.48</v>
      </c>
      <c r="T2725">
        <v>35594.28</v>
      </c>
      <c r="U2725">
        <v>14826.78</v>
      </c>
      <c r="V2725">
        <v>4622.21</v>
      </c>
      <c r="W2725">
        <v>4683.6099999999997</v>
      </c>
      <c r="X2725">
        <v>37818.980000000003</v>
      </c>
      <c r="Y2725">
        <v>37014.76</v>
      </c>
    </row>
    <row r="2726" spans="1:25" x14ac:dyDescent="0.25">
      <c r="A2726" t="s">
        <v>2782</v>
      </c>
      <c r="B2726" s="1">
        <v>45693</v>
      </c>
      <c r="C2726">
        <v>2025</v>
      </c>
      <c r="D2726">
        <v>2</v>
      </c>
      <c r="E2726" t="s">
        <v>161</v>
      </c>
      <c r="F2726" t="s">
        <v>27</v>
      </c>
      <c r="G2726" t="s">
        <v>28</v>
      </c>
      <c r="H2726" t="s">
        <v>32</v>
      </c>
      <c r="I2726" t="s">
        <v>56</v>
      </c>
      <c r="J2726">
        <v>23</v>
      </c>
      <c r="K2726">
        <v>1495.25</v>
      </c>
      <c r="L2726">
        <v>34390.78</v>
      </c>
      <c r="M2726">
        <v>21525.68</v>
      </c>
      <c r="N2726">
        <v>3016.8</v>
      </c>
      <c r="O2726">
        <v>2136.92</v>
      </c>
      <c r="P2726">
        <v>1514.75</v>
      </c>
      <c r="Q2726">
        <v>264.87</v>
      </c>
      <c r="R2726">
        <v>2068.52</v>
      </c>
      <c r="S2726">
        <v>713.69</v>
      </c>
      <c r="T2726">
        <v>31241.22</v>
      </c>
      <c r="U2726">
        <v>12865.1</v>
      </c>
      <c r="V2726">
        <v>3149.55</v>
      </c>
      <c r="W2726">
        <v>2837.58</v>
      </c>
      <c r="X2726">
        <v>34384.269999999997</v>
      </c>
      <c r="Y2726">
        <v>33182.9</v>
      </c>
    </row>
    <row r="2727" spans="1:25" x14ac:dyDescent="0.25">
      <c r="A2727" t="s">
        <v>2783</v>
      </c>
      <c r="B2727" s="1">
        <v>45693</v>
      </c>
      <c r="C2727">
        <v>2025</v>
      </c>
      <c r="D2727">
        <v>2</v>
      </c>
      <c r="E2727" t="s">
        <v>161</v>
      </c>
      <c r="F2727" t="s">
        <v>27</v>
      </c>
      <c r="G2727" t="s">
        <v>28</v>
      </c>
      <c r="H2727" t="s">
        <v>53</v>
      </c>
      <c r="I2727" t="s">
        <v>65</v>
      </c>
      <c r="J2727">
        <v>40</v>
      </c>
      <c r="K2727">
        <v>1565.53</v>
      </c>
      <c r="L2727">
        <v>62621.38</v>
      </c>
      <c r="M2727">
        <v>33215.120000000003</v>
      </c>
      <c r="N2727">
        <v>4829.32</v>
      </c>
      <c r="O2727">
        <v>4694.03</v>
      </c>
      <c r="P2727">
        <v>2072.69</v>
      </c>
      <c r="Q2727">
        <v>895.14</v>
      </c>
      <c r="R2727">
        <v>3602.15</v>
      </c>
      <c r="S2727">
        <v>1001.95</v>
      </c>
      <c r="T2727">
        <v>50310.400000000001</v>
      </c>
      <c r="U2727">
        <v>29406.26</v>
      </c>
      <c r="V2727">
        <v>12310.97</v>
      </c>
      <c r="W2727">
        <v>11502.26</v>
      </c>
      <c r="X2727">
        <v>59513.48</v>
      </c>
      <c r="Y2727">
        <v>54148.15</v>
      </c>
    </row>
    <row r="2728" spans="1:25" x14ac:dyDescent="0.25">
      <c r="A2728" t="s">
        <v>2784</v>
      </c>
      <c r="B2728" s="1">
        <v>45693</v>
      </c>
      <c r="C2728">
        <v>2025</v>
      </c>
      <c r="D2728">
        <v>2</v>
      </c>
      <c r="E2728" t="s">
        <v>161</v>
      </c>
      <c r="F2728" t="s">
        <v>27</v>
      </c>
      <c r="G2728" t="s">
        <v>35</v>
      </c>
      <c r="H2728" t="s">
        <v>36</v>
      </c>
      <c r="I2728" t="s">
        <v>37</v>
      </c>
      <c r="J2728">
        <v>71</v>
      </c>
      <c r="K2728">
        <v>973.94</v>
      </c>
      <c r="L2728">
        <v>69149.84</v>
      </c>
      <c r="M2728">
        <v>39146.61</v>
      </c>
      <c r="N2728">
        <v>7718.8</v>
      </c>
      <c r="O2728">
        <v>3960.04</v>
      </c>
      <c r="P2728">
        <v>1192.02</v>
      </c>
      <c r="Q2728">
        <v>1206.76</v>
      </c>
      <c r="R2728">
        <v>3959.32</v>
      </c>
      <c r="S2728">
        <v>849.04</v>
      </c>
      <c r="T2728">
        <v>58032.59</v>
      </c>
      <c r="U2728">
        <v>30003.23</v>
      </c>
      <c r="V2728">
        <v>11117.25</v>
      </c>
      <c r="W2728">
        <v>11041.29</v>
      </c>
      <c r="X2728">
        <v>74659.02</v>
      </c>
      <c r="Y2728">
        <v>63103.91</v>
      </c>
    </row>
    <row r="2729" spans="1:25" x14ac:dyDescent="0.25">
      <c r="A2729" t="s">
        <v>2785</v>
      </c>
      <c r="B2729" s="1">
        <v>45694</v>
      </c>
      <c r="C2729">
        <v>2025</v>
      </c>
      <c r="D2729">
        <v>2</v>
      </c>
      <c r="E2729" t="s">
        <v>161</v>
      </c>
      <c r="F2729" t="s">
        <v>27</v>
      </c>
      <c r="G2729" t="s">
        <v>55</v>
      </c>
      <c r="H2729" t="s">
        <v>58</v>
      </c>
      <c r="I2729" t="s">
        <v>50</v>
      </c>
      <c r="J2729">
        <v>43</v>
      </c>
      <c r="K2729">
        <v>886.52</v>
      </c>
      <c r="L2729">
        <v>38120.339999999997</v>
      </c>
      <c r="M2729">
        <v>23631.61</v>
      </c>
      <c r="N2729">
        <v>2992.76</v>
      </c>
      <c r="O2729">
        <v>1737.17</v>
      </c>
      <c r="P2729">
        <v>1594.92</v>
      </c>
      <c r="Q2729">
        <v>255.35</v>
      </c>
      <c r="R2729">
        <v>1168.4000000000001</v>
      </c>
      <c r="S2729">
        <v>721.6</v>
      </c>
      <c r="T2729">
        <v>32101.8</v>
      </c>
      <c r="U2729">
        <v>14488.74</v>
      </c>
      <c r="V2729">
        <v>6018.54</v>
      </c>
      <c r="W2729">
        <v>5880.47</v>
      </c>
      <c r="X2729">
        <v>42163.75</v>
      </c>
      <c r="Y2729">
        <v>30729.31</v>
      </c>
    </row>
    <row r="2730" spans="1:25" x14ac:dyDescent="0.25">
      <c r="A2730" t="s">
        <v>2786</v>
      </c>
      <c r="B2730" s="1">
        <v>45695</v>
      </c>
      <c r="C2730">
        <v>2025</v>
      </c>
      <c r="D2730">
        <v>2</v>
      </c>
      <c r="E2730" t="s">
        <v>161</v>
      </c>
      <c r="F2730" t="s">
        <v>27</v>
      </c>
      <c r="G2730" t="s">
        <v>35</v>
      </c>
      <c r="H2730" t="s">
        <v>32</v>
      </c>
      <c r="I2730" t="s">
        <v>65</v>
      </c>
      <c r="J2730">
        <v>50</v>
      </c>
      <c r="K2730">
        <v>1584.31</v>
      </c>
      <c r="L2730">
        <v>79215.41</v>
      </c>
      <c r="M2730">
        <v>41404.54</v>
      </c>
      <c r="N2730">
        <v>6747.25</v>
      </c>
      <c r="O2730">
        <v>3092.14</v>
      </c>
      <c r="P2730">
        <v>1563.12</v>
      </c>
      <c r="Q2730">
        <v>1312.73</v>
      </c>
      <c r="R2730">
        <v>3663.24</v>
      </c>
      <c r="S2730">
        <v>1446.94</v>
      </c>
      <c r="T2730">
        <v>59229.96</v>
      </c>
      <c r="U2730">
        <v>37810.870000000003</v>
      </c>
      <c r="V2730">
        <v>19985.45</v>
      </c>
      <c r="W2730">
        <v>17742.259999999998</v>
      </c>
      <c r="X2730">
        <v>81432.929999999993</v>
      </c>
      <c r="Y2730">
        <v>59721.7</v>
      </c>
    </row>
    <row r="2731" spans="1:25" x14ac:dyDescent="0.25">
      <c r="A2731" t="s">
        <v>2787</v>
      </c>
      <c r="B2731" s="1">
        <v>45695</v>
      </c>
      <c r="C2731">
        <v>2025</v>
      </c>
      <c r="D2731">
        <v>2</v>
      </c>
      <c r="E2731" t="s">
        <v>161</v>
      </c>
      <c r="F2731" t="s">
        <v>27</v>
      </c>
      <c r="G2731" t="s">
        <v>35</v>
      </c>
      <c r="H2731" t="s">
        <v>32</v>
      </c>
      <c r="I2731" t="s">
        <v>33</v>
      </c>
      <c r="J2731">
        <v>59</v>
      </c>
      <c r="K2731">
        <v>1328.01</v>
      </c>
      <c r="L2731">
        <v>78352.570000000007</v>
      </c>
      <c r="M2731">
        <v>42879.26</v>
      </c>
      <c r="N2731">
        <v>9162.6200000000008</v>
      </c>
      <c r="O2731">
        <v>2500.2600000000002</v>
      </c>
      <c r="P2731">
        <v>2101.7399999999998</v>
      </c>
      <c r="Q2731">
        <v>873.58</v>
      </c>
      <c r="R2731">
        <v>3916.5</v>
      </c>
      <c r="S2731">
        <v>1342.93</v>
      </c>
      <c r="T2731">
        <v>62776.89</v>
      </c>
      <c r="U2731">
        <v>35473.31</v>
      </c>
      <c r="V2731">
        <v>15575.68</v>
      </c>
      <c r="W2731">
        <v>15517.67</v>
      </c>
      <c r="X2731">
        <v>74481.94</v>
      </c>
      <c r="Y2731">
        <v>66090.75</v>
      </c>
    </row>
    <row r="2732" spans="1:25" x14ac:dyDescent="0.25">
      <c r="A2732" t="s">
        <v>2788</v>
      </c>
      <c r="B2732" s="1">
        <v>45695</v>
      </c>
      <c r="C2732">
        <v>2025</v>
      </c>
      <c r="D2732">
        <v>2</v>
      </c>
      <c r="E2732" t="s">
        <v>161</v>
      </c>
      <c r="F2732" t="s">
        <v>27</v>
      </c>
      <c r="G2732" t="s">
        <v>44</v>
      </c>
      <c r="H2732" t="s">
        <v>32</v>
      </c>
      <c r="I2732" t="s">
        <v>45</v>
      </c>
      <c r="J2732">
        <v>51</v>
      </c>
      <c r="K2732">
        <v>888.27</v>
      </c>
      <c r="L2732">
        <v>45301.78</v>
      </c>
      <c r="M2732">
        <v>22488.66</v>
      </c>
      <c r="N2732">
        <v>3945.11</v>
      </c>
      <c r="O2732">
        <v>3378.81</v>
      </c>
      <c r="P2732">
        <v>1552.13</v>
      </c>
      <c r="Q2732">
        <v>791.07</v>
      </c>
      <c r="R2732">
        <v>2273.2800000000002</v>
      </c>
      <c r="S2732">
        <v>1116.04</v>
      </c>
      <c r="T2732">
        <v>35545.1</v>
      </c>
      <c r="U2732">
        <v>22813.119999999999</v>
      </c>
      <c r="V2732">
        <v>9756.68</v>
      </c>
      <c r="W2732">
        <v>9032.68</v>
      </c>
      <c r="X2732">
        <v>48203.39</v>
      </c>
      <c r="Y2732">
        <v>33486.89</v>
      </c>
    </row>
    <row r="2733" spans="1:25" x14ac:dyDescent="0.25">
      <c r="A2733" t="s">
        <v>2789</v>
      </c>
      <c r="B2733" s="1">
        <v>45696</v>
      </c>
      <c r="C2733">
        <v>2025</v>
      </c>
      <c r="D2733">
        <v>2</v>
      </c>
      <c r="E2733" t="s">
        <v>161</v>
      </c>
      <c r="F2733" t="s">
        <v>27</v>
      </c>
      <c r="G2733" t="s">
        <v>44</v>
      </c>
      <c r="H2733" t="s">
        <v>32</v>
      </c>
      <c r="I2733" t="s">
        <v>50</v>
      </c>
      <c r="J2733">
        <v>38</v>
      </c>
      <c r="K2733">
        <v>1344.94</v>
      </c>
      <c r="L2733">
        <v>51107.76</v>
      </c>
      <c r="M2733">
        <v>32819.46</v>
      </c>
      <c r="N2733">
        <v>3880.66</v>
      </c>
      <c r="O2733">
        <v>2701.57</v>
      </c>
      <c r="P2733">
        <v>970.29</v>
      </c>
      <c r="Q2733">
        <v>479.49</v>
      </c>
      <c r="R2733">
        <v>3229.33</v>
      </c>
      <c r="S2733">
        <v>915.89</v>
      </c>
      <c r="T2733">
        <v>44996.69</v>
      </c>
      <c r="U2733">
        <v>18288.3</v>
      </c>
      <c r="V2733">
        <v>6111.07</v>
      </c>
      <c r="W2733">
        <v>5577.17</v>
      </c>
      <c r="X2733">
        <v>51435.91</v>
      </c>
      <c r="Y2733">
        <v>45630.73</v>
      </c>
    </row>
    <row r="2734" spans="1:25" x14ac:dyDescent="0.25">
      <c r="A2734" t="s">
        <v>2790</v>
      </c>
      <c r="B2734" s="1">
        <v>45696</v>
      </c>
      <c r="C2734">
        <v>2025</v>
      </c>
      <c r="D2734">
        <v>2</v>
      </c>
      <c r="E2734" t="s">
        <v>161</v>
      </c>
      <c r="F2734" t="s">
        <v>27</v>
      </c>
      <c r="G2734" t="s">
        <v>35</v>
      </c>
      <c r="H2734" t="s">
        <v>36</v>
      </c>
      <c r="I2734" t="s">
        <v>45</v>
      </c>
      <c r="J2734">
        <v>26</v>
      </c>
      <c r="K2734">
        <v>1344.12</v>
      </c>
      <c r="L2734">
        <v>34947.18</v>
      </c>
      <c r="M2734">
        <v>20161.29</v>
      </c>
      <c r="N2734">
        <v>4469.1099999999997</v>
      </c>
      <c r="O2734">
        <v>2411.69</v>
      </c>
      <c r="P2734">
        <v>1535.44</v>
      </c>
      <c r="Q2734">
        <v>559.01</v>
      </c>
      <c r="R2734">
        <v>1622.03</v>
      </c>
      <c r="S2734">
        <v>348.69</v>
      </c>
      <c r="T2734">
        <v>31107.27</v>
      </c>
      <c r="U2734">
        <v>14785.89</v>
      </c>
      <c r="V2734">
        <v>3839.92</v>
      </c>
      <c r="W2734">
        <v>3503.78</v>
      </c>
      <c r="X2734">
        <v>38091.89</v>
      </c>
      <c r="Y2734">
        <v>29080.61</v>
      </c>
    </row>
    <row r="2735" spans="1:25" x14ac:dyDescent="0.25">
      <c r="A2735" t="s">
        <v>2791</v>
      </c>
      <c r="B2735" s="1">
        <v>45696</v>
      </c>
      <c r="C2735">
        <v>2025</v>
      </c>
      <c r="D2735">
        <v>2</v>
      </c>
      <c r="E2735" t="s">
        <v>161</v>
      </c>
      <c r="F2735" t="s">
        <v>27</v>
      </c>
      <c r="G2735" t="s">
        <v>55</v>
      </c>
      <c r="H2735" t="s">
        <v>36</v>
      </c>
      <c r="I2735" t="s">
        <v>56</v>
      </c>
      <c r="J2735">
        <v>27</v>
      </c>
      <c r="K2735">
        <v>1737.39</v>
      </c>
      <c r="L2735">
        <v>46909.48</v>
      </c>
      <c r="M2735">
        <v>30231.06</v>
      </c>
      <c r="N2735">
        <v>5843.78</v>
      </c>
      <c r="O2735">
        <v>1433.26</v>
      </c>
      <c r="P2735">
        <v>1658.06</v>
      </c>
      <c r="Q2735">
        <v>703.59</v>
      </c>
      <c r="R2735">
        <v>2426.2199999999998</v>
      </c>
      <c r="S2735">
        <v>392.92</v>
      </c>
      <c r="T2735">
        <v>42688.89</v>
      </c>
      <c r="U2735">
        <v>16678.419999999998</v>
      </c>
      <c r="V2735">
        <v>4220.59</v>
      </c>
      <c r="W2735">
        <v>3846.38</v>
      </c>
      <c r="X2735">
        <v>50242.8</v>
      </c>
      <c r="Y2735">
        <v>43344.35</v>
      </c>
    </row>
    <row r="2736" spans="1:25" x14ac:dyDescent="0.25">
      <c r="A2736" t="s">
        <v>2792</v>
      </c>
      <c r="B2736" s="1">
        <v>45696</v>
      </c>
      <c r="C2736">
        <v>2025</v>
      </c>
      <c r="D2736">
        <v>2</v>
      </c>
      <c r="E2736" t="s">
        <v>161</v>
      </c>
      <c r="F2736" t="s">
        <v>27</v>
      </c>
      <c r="G2736" t="s">
        <v>28</v>
      </c>
      <c r="H2736" t="s">
        <v>29</v>
      </c>
      <c r="I2736" t="s">
        <v>33</v>
      </c>
      <c r="J2736">
        <v>42</v>
      </c>
      <c r="K2736">
        <v>1568.13</v>
      </c>
      <c r="L2736">
        <v>65861.490000000005</v>
      </c>
      <c r="M2736">
        <v>32751.26</v>
      </c>
      <c r="N2736">
        <v>5855.43</v>
      </c>
      <c r="O2736">
        <v>1853.8</v>
      </c>
      <c r="P2736">
        <v>2414.0500000000002</v>
      </c>
      <c r="Q2736">
        <v>774.98</v>
      </c>
      <c r="R2736">
        <v>2442.36</v>
      </c>
      <c r="S2736">
        <v>1421.51</v>
      </c>
      <c r="T2736">
        <v>47513.38</v>
      </c>
      <c r="U2736">
        <v>33110.22</v>
      </c>
      <c r="V2736">
        <v>18348.11</v>
      </c>
      <c r="W2736">
        <v>16871.13</v>
      </c>
      <c r="X2736">
        <v>71122.31</v>
      </c>
      <c r="Y2736">
        <v>44741.49</v>
      </c>
    </row>
    <row r="2737" spans="1:25" x14ac:dyDescent="0.25">
      <c r="A2737" t="s">
        <v>2793</v>
      </c>
      <c r="B2737" s="1">
        <v>45696</v>
      </c>
      <c r="C2737">
        <v>2025</v>
      </c>
      <c r="D2737">
        <v>2</v>
      </c>
      <c r="E2737" t="s">
        <v>161</v>
      </c>
      <c r="F2737" t="s">
        <v>27</v>
      </c>
      <c r="G2737" t="s">
        <v>35</v>
      </c>
      <c r="H2737" t="s">
        <v>32</v>
      </c>
      <c r="I2737" t="s">
        <v>33</v>
      </c>
      <c r="J2737">
        <v>49</v>
      </c>
      <c r="K2737">
        <v>1460.14</v>
      </c>
      <c r="L2737">
        <v>71547.02</v>
      </c>
      <c r="M2737">
        <v>38015.410000000003</v>
      </c>
      <c r="N2737">
        <v>5740.65</v>
      </c>
      <c r="O2737">
        <v>2958.92</v>
      </c>
      <c r="P2737">
        <v>1772.56</v>
      </c>
      <c r="Q2737">
        <v>867.89</v>
      </c>
      <c r="R2737">
        <v>2271.5300000000002</v>
      </c>
      <c r="S2737">
        <v>1049.21</v>
      </c>
      <c r="T2737">
        <v>52676.17</v>
      </c>
      <c r="U2737">
        <v>33531.620000000003</v>
      </c>
      <c r="V2737">
        <v>18870.849999999999</v>
      </c>
      <c r="W2737">
        <v>18351.8</v>
      </c>
      <c r="X2737">
        <v>68915.66</v>
      </c>
      <c r="Y2737">
        <v>55882.239999999998</v>
      </c>
    </row>
    <row r="2738" spans="1:25" x14ac:dyDescent="0.25">
      <c r="A2738" t="s">
        <v>2794</v>
      </c>
      <c r="B2738" s="1">
        <v>45696</v>
      </c>
      <c r="C2738">
        <v>2025</v>
      </c>
      <c r="D2738">
        <v>2</v>
      </c>
      <c r="E2738" t="s">
        <v>161</v>
      </c>
      <c r="F2738" t="s">
        <v>27</v>
      </c>
      <c r="G2738" t="s">
        <v>28</v>
      </c>
      <c r="H2738" t="s">
        <v>32</v>
      </c>
      <c r="I2738" t="s">
        <v>50</v>
      </c>
      <c r="J2738">
        <v>72</v>
      </c>
      <c r="K2738">
        <v>861.65</v>
      </c>
      <c r="L2738">
        <v>62038.7</v>
      </c>
      <c r="M2738">
        <v>34978.39</v>
      </c>
      <c r="N2738">
        <v>6875.75</v>
      </c>
      <c r="O2738">
        <v>4006.59</v>
      </c>
      <c r="P2738">
        <v>1663.53</v>
      </c>
      <c r="Q2738">
        <v>933.98</v>
      </c>
      <c r="R2738">
        <v>2301.13</v>
      </c>
      <c r="S2738">
        <v>819.76</v>
      </c>
      <c r="T2738">
        <v>51579.13</v>
      </c>
      <c r="U2738">
        <v>27060.31</v>
      </c>
      <c r="V2738">
        <v>10459.57</v>
      </c>
      <c r="W2738">
        <v>9754.35</v>
      </c>
      <c r="X2738">
        <v>62343.89</v>
      </c>
      <c r="Y2738">
        <v>51057.760000000002</v>
      </c>
    </row>
    <row r="2739" spans="1:25" x14ac:dyDescent="0.25">
      <c r="A2739" t="s">
        <v>2795</v>
      </c>
      <c r="B2739" s="1">
        <v>45696</v>
      </c>
      <c r="C2739">
        <v>2025</v>
      </c>
      <c r="D2739">
        <v>2</v>
      </c>
      <c r="E2739" t="s">
        <v>161</v>
      </c>
      <c r="F2739" t="s">
        <v>27</v>
      </c>
      <c r="G2739" t="s">
        <v>35</v>
      </c>
      <c r="H2739" t="s">
        <v>53</v>
      </c>
      <c r="I2739" t="s">
        <v>50</v>
      </c>
      <c r="J2739">
        <v>29</v>
      </c>
      <c r="K2739">
        <v>1550.68</v>
      </c>
      <c r="L2739">
        <v>44969.7</v>
      </c>
      <c r="M2739">
        <v>26702.560000000001</v>
      </c>
      <c r="N2739">
        <v>4163.84</v>
      </c>
      <c r="O2739">
        <v>2621.76</v>
      </c>
      <c r="P2739">
        <v>1580.76</v>
      </c>
      <c r="Q2739">
        <v>664.91</v>
      </c>
      <c r="R2739">
        <v>1797.85</v>
      </c>
      <c r="S2739">
        <v>715.13</v>
      </c>
      <c r="T2739">
        <v>38246.81</v>
      </c>
      <c r="U2739">
        <v>18267.14</v>
      </c>
      <c r="V2739">
        <v>6722.89</v>
      </c>
      <c r="W2739">
        <v>6696.69</v>
      </c>
      <c r="X2739">
        <v>42902.39</v>
      </c>
      <c r="Y2739">
        <v>37857.24</v>
      </c>
    </row>
    <row r="2740" spans="1:25" x14ac:dyDescent="0.25">
      <c r="A2740" t="s">
        <v>2796</v>
      </c>
      <c r="B2740" s="1">
        <v>45697</v>
      </c>
      <c r="C2740">
        <v>2025</v>
      </c>
      <c r="D2740">
        <v>2</v>
      </c>
      <c r="E2740" t="s">
        <v>161</v>
      </c>
      <c r="F2740" t="s">
        <v>27</v>
      </c>
      <c r="G2740" t="s">
        <v>44</v>
      </c>
      <c r="H2740" t="s">
        <v>36</v>
      </c>
      <c r="I2740" t="s">
        <v>56</v>
      </c>
      <c r="J2740">
        <v>25</v>
      </c>
      <c r="K2740">
        <v>1407.54</v>
      </c>
      <c r="L2740">
        <v>35188.53</v>
      </c>
      <c r="M2740">
        <v>19748.439999999999</v>
      </c>
      <c r="N2740">
        <v>3447.19</v>
      </c>
      <c r="O2740">
        <v>1986.49</v>
      </c>
      <c r="P2740">
        <v>1337.37</v>
      </c>
      <c r="Q2740">
        <v>386.8</v>
      </c>
      <c r="R2740">
        <v>1435.44</v>
      </c>
      <c r="S2740">
        <v>549.32000000000005</v>
      </c>
      <c r="T2740">
        <v>28891.06</v>
      </c>
      <c r="U2740">
        <v>15440.1</v>
      </c>
      <c r="V2740">
        <v>6297.47</v>
      </c>
      <c r="W2740">
        <v>6347.26</v>
      </c>
      <c r="X2740">
        <v>39118.660000000003</v>
      </c>
      <c r="Y2740">
        <v>27829.41</v>
      </c>
    </row>
    <row r="2741" spans="1:25" x14ac:dyDescent="0.25">
      <c r="A2741" t="s">
        <v>2797</v>
      </c>
      <c r="B2741" s="1">
        <v>45697</v>
      </c>
      <c r="C2741">
        <v>2025</v>
      </c>
      <c r="D2741">
        <v>2</v>
      </c>
      <c r="E2741" t="s">
        <v>161</v>
      </c>
      <c r="F2741" t="s">
        <v>27</v>
      </c>
      <c r="G2741" t="s">
        <v>35</v>
      </c>
      <c r="H2741" t="s">
        <v>36</v>
      </c>
      <c r="I2741" t="s">
        <v>65</v>
      </c>
      <c r="J2741">
        <v>36</v>
      </c>
      <c r="K2741">
        <v>1627.49</v>
      </c>
      <c r="L2741">
        <v>58589.64</v>
      </c>
      <c r="M2741">
        <v>39593.870000000003</v>
      </c>
      <c r="N2741">
        <v>5072.67</v>
      </c>
      <c r="O2741">
        <v>4210.88</v>
      </c>
      <c r="P2741">
        <v>2007.35</v>
      </c>
      <c r="Q2741">
        <v>601.64</v>
      </c>
      <c r="R2741">
        <v>2277.39</v>
      </c>
      <c r="S2741">
        <v>1215.3599999999999</v>
      </c>
      <c r="T2741">
        <v>54979.15</v>
      </c>
      <c r="U2741">
        <v>18995.759999999998</v>
      </c>
      <c r="V2741">
        <v>3610.49</v>
      </c>
      <c r="W2741">
        <v>3213.26</v>
      </c>
      <c r="X2741">
        <v>62420.56</v>
      </c>
      <c r="Y2741">
        <v>52229.62</v>
      </c>
    </row>
    <row r="2742" spans="1:25" x14ac:dyDescent="0.25">
      <c r="A2742" t="s">
        <v>2798</v>
      </c>
      <c r="B2742" s="1">
        <v>45697</v>
      </c>
      <c r="C2742">
        <v>2025</v>
      </c>
      <c r="D2742">
        <v>2</v>
      </c>
      <c r="E2742" t="s">
        <v>161</v>
      </c>
      <c r="F2742" t="s">
        <v>27</v>
      </c>
      <c r="G2742" t="s">
        <v>55</v>
      </c>
      <c r="H2742" t="s">
        <v>32</v>
      </c>
      <c r="I2742" t="s">
        <v>37</v>
      </c>
      <c r="J2742">
        <v>88</v>
      </c>
      <c r="K2742">
        <v>1233.6199999999999</v>
      </c>
      <c r="L2742">
        <v>108558.66</v>
      </c>
      <c r="M2742">
        <v>67627.210000000006</v>
      </c>
      <c r="N2742">
        <v>10982.38</v>
      </c>
      <c r="O2742">
        <v>3963.63</v>
      </c>
      <c r="P2742">
        <v>2341.4899999999998</v>
      </c>
      <c r="Q2742">
        <v>814.9</v>
      </c>
      <c r="R2742">
        <v>3862.46</v>
      </c>
      <c r="S2742">
        <v>1958.4</v>
      </c>
      <c r="T2742">
        <v>91550.47</v>
      </c>
      <c r="U2742">
        <v>40931.449999999997</v>
      </c>
      <c r="V2742">
        <v>17008.189999999999</v>
      </c>
      <c r="W2742">
        <v>15042.62</v>
      </c>
      <c r="X2742">
        <v>108516.33</v>
      </c>
      <c r="Y2742">
        <v>85159.18</v>
      </c>
    </row>
    <row r="2743" spans="1:25" x14ac:dyDescent="0.25">
      <c r="A2743" t="s">
        <v>2799</v>
      </c>
      <c r="B2743" s="1">
        <v>45698</v>
      </c>
      <c r="C2743">
        <v>2025</v>
      </c>
      <c r="D2743">
        <v>2</v>
      </c>
      <c r="E2743" t="s">
        <v>161</v>
      </c>
      <c r="F2743" t="s">
        <v>27</v>
      </c>
      <c r="G2743" t="s">
        <v>44</v>
      </c>
      <c r="H2743" t="s">
        <v>32</v>
      </c>
      <c r="I2743" t="s">
        <v>39</v>
      </c>
      <c r="J2743">
        <v>30</v>
      </c>
      <c r="K2743">
        <v>1788.49</v>
      </c>
      <c r="L2743">
        <v>53654.74</v>
      </c>
      <c r="M2743">
        <v>29816.66</v>
      </c>
      <c r="N2743">
        <v>6485.71</v>
      </c>
      <c r="O2743">
        <v>2547.19</v>
      </c>
      <c r="P2743">
        <v>1318.04</v>
      </c>
      <c r="Q2743">
        <v>529.26</v>
      </c>
      <c r="R2743">
        <v>1733.32</v>
      </c>
      <c r="S2743">
        <v>956.71</v>
      </c>
      <c r="T2743">
        <v>43386.879999999997</v>
      </c>
      <c r="U2743">
        <v>23838.09</v>
      </c>
      <c r="V2743">
        <v>10267.86</v>
      </c>
      <c r="W2743">
        <v>9318.58</v>
      </c>
      <c r="X2743">
        <v>59738.29</v>
      </c>
      <c r="Y2743">
        <v>41518.07</v>
      </c>
    </row>
    <row r="2744" spans="1:25" x14ac:dyDescent="0.25">
      <c r="A2744" t="s">
        <v>2800</v>
      </c>
      <c r="B2744" s="1">
        <v>45698</v>
      </c>
      <c r="C2744">
        <v>2025</v>
      </c>
      <c r="D2744">
        <v>2</v>
      </c>
      <c r="E2744" t="s">
        <v>161</v>
      </c>
      <c r="F2744" t="s">
        <v>27</v>
      </c>
      <c r="G2744" t="s">
        <v>55</v>
      </c>
      <c r="H2744" t="s">
        <v>32</v>
      </c>
      <c r="I2744" t="s">
        <v>45</v>
      </c>
      <c r="J2744">
        <v>51</v>
      </c>
      <c r="K2744">
        <v>1056.55</v>
      </c>
      <c r="L2744">
        <v>53883.839999999997</v>
      </c>
      <c r="M2744">
        <v>26160.46</v>
      </c>
      <c r="N2744">
        <v>5806.03</v>
      </c>
      <c r="O2744">
        <v>1913.43</v>
      </c>
      <c r="P2744">
        <v>1692.98</v>
      </c>
      <c r="Q2744">
        <v>736.78</v>
      </c>
      <c r="R2744">
        <v>2087.21</v>
      </c>
      <c r="S2744">
        <v>458.68</v>
      </c>
      <c r="T2744">
        <v>38855.57</v>
      </c>
      <c r="U2744">
        <v>27723.39</v>
      </c>
      <c r="V2744">
        <v>15028.28</v>
      </c>
      <c r="W2744">
        <v>13838.87</v>
      </c>
      <c r="X2744">
        <v>59679.83</v>
      </c>
      <c r="Y2744">
        <v>36897.85</v>
      </c>
    </row>
    <row r="2745" spans="1:25" x14ac:dyDescent="0.25">
      <c r="A2745" t="s">
        <v>2801</v>
      </c>
      <c r="B2745" s="1">
        <v>45698</v>
      </c>
      <c r="C2745">
        <v>2025</v>
      </c>
      <c r="D2745">
        <v>2</v>
      </c>
      <c r="E2745" t="s">
        <v>161</v>
      </c>
      <c r="F2745" t="s">
        <v>27</v>
      </c>
      <c r="G2745" t="s">
        <v>55</v>
      </c>
      <c r="H2745" t="s">
        <v>29</v>
      </c>
      <c r="I2745" t="s">
        <v>30</v>
      </c>
      <c r="J2745">
        <v>120</v>
      </c>
      <c r="K2745">
        <v>856.42</v>
      </c>
      <c r="L2745">
        <v>102770.63</v>
      </c>
      <c r="M2745">
        <v>57292.63</v>
      </c>
      <c r="N2745">
        <v>7640.18</v>
      </c>
      <c r="O2745">
        <v>3519.98</v>
      </c>
      <c r="P2745">
        <v>4279.26</v>
      </c>
      <c r="Q2745">
        <v>624.29999999999995</v>
      </c>
      <c r="R2745">
        <v>4352.88</v>
      </c>
      <c r="S2745">
        <v>978.86</v>
      </c>
      <c r="T2745">
        <v>78688.08</v>
      </c>
      <c r="U2745">
        <v>45478</v>
      </c>
      <c r="V2745">
        <v>24082.55</v>
      </c>
      <c r="W2745">
        <v>24126.29</v>
      </c>
      <c r="X2745">
        <v>107172.44</v>
      </c>
      <c r="Y2745">
        <v>84530.98</v>
      </c>
    </row>
    <row r="2746" spans="1:25" x14ac:dyDescent="0.25">
      <c r="A2746" t="s">
        <v>2802</v>
      </c>
      <c r="B2746" s="1">
        <v>45698</v>
      </c>
      <c r="C2746">
        <v>2025</v>
      </c>
      <c r="D2746">
        <v>2</v>
      </c>
      <c r="E2746" t="s">
        <v>161</v>
      </c>
      <c r="F2746" t="s">
        <v>27</v>
      </c>
      <c r="G2746" t="s">
        <v>28</v>
      </c>
      <c r="H2746" t="s">
        <v>32</v>
      </c>
      <c r="I2746" t="s">
        <v>65</v>
      </c>
      <c r="J2746">
        <v>50</v>
      </c>
      <c r="K2746">
        <v>1274.8599999999999</v>
      </c>
      <c r="L2746">
        <v>63743.06</v>
      </c>
      <c r="M2746">
        <v>38547.550000000003</v>
      </c>
      <c r="N2746">
        <v>7697.64</v>
      </c>
      <c r="O2746">
        <v>3072.83</v>
      </c>
      <c r="P2746">
        <v>2793.96</v>
      </c>
      <c r="Q2746">
        <v>891.56</v>
      </c>
      <c r="R2746">
        <v>3241.78</v>
      </c>
      <c r="S2746">
        <v>1085.6400000000001</v>
      </c>
      <c r="T2746">
        <v>57330.97</v>
      </c>
      <c r="U2746">
        <v>25195.5</v>
      </c>
      <c r="V2746">
        <v>6412.09</v>
      </c>
      <c r="W2746">
        <v>6444.39</v>
      </c>
      <c r="X2746">
        <v>64792.07</v>
      </c>
      <c r="Y2746">
        <v>54510.67</v>
      </c>
    </row>
    <row r="2747" spans="1:25" x14ac:dyDescent="0.25">
      <c r="A2747" t="s">
        <v>2803</v>
      </c>
      <c r="B2747" s="1">
        <v>45699</v>
      </c>
      <c r="C2747">
        <v>2025</v>
      </c>
      <c r="D2747">
        <v>2</v>
      </c>
      <c r="E2747" t="s">
        <v>161</v>
      </c>
      <c r="F2747" t="s">
        <v>27</v>
      </c>
      <c r="G2747" t="s">
        <v>44</v>
      </c>
      <c r="H2747" t="s">
        <v>36</v>
      </c>
      <c r="I2747" t="s">
        <v>50</v>
      </c>
      <c r="J2747">
        <v>24</v>
      </c>
      <c r="K2747">
        <v>1678.37</v>
      </c>
      <c r="L2747">
        <v>40280.89</v>
      </c>
      <c r="M2747">
        <v>27101.99</v>
      </c>
      <c r="N2747">
        <v>4682.8999999999996</v>
      </c>
      <c r="O2747">
        <v>2295.06</v>
      </c>
      <c r="P2747">
        <v>1757.92</v>
      </c>
      <c r="Q2747">
        <v>652.07000000000005</v>
      </c>
      <c r="R2747">
        <v>1889.06</v>
      </c>
      <c r="S2747">
        <v>897.18</v>
      </c>
      <c r="T2747">
        <v>39276.17</v>
      </c>
      <c r="U2747">
        <v>13178.9</v>
      </c>
      <c r="V2747">
        <v>1004.72</v>
      </c>
      <c r="W2747">
        <v>889.86</v>
      </c>
      <c r="X2747">
        <v>41340.04</v>
      </c>
      <c r="Y2747">
        <v>40179.07</v>
      </c>
    </row>
    <row r="2748" spans="1:25" x14ac:dyDescent="0.25">
      <c r="A2748" t="s">
        <v>2804</v>
      </c>
      <c r="B2748" s="1">
        <v>45700</v>
      </c>
      <c r="C2748">
        <v>2025</v>
      </c>
      <c r="D2748">
        <v>2</v>
      </c>
      <c r="E2748" t="s">
        <v>161</v>
      </c>
      <c r="F2748" t="s">
        <v>27</v>
      </c>
      <c r="G2748" t="s">
        <v>55</v>
      </c>
      <c r="H2748" t="s">
        <v>36</v>
      </c>
      <c r="I2748" t="s">
        <v>33</v>
      </c>
      <c r="J2748">
        <v>63</v>
      </c>
      <c r="K2748">
        <v>1293.6600000000001</v>
      </c>
      <c r="L2748">
        <v>81500.66</v>
      </c>
      <c r="M2748">
        <v>53549.07</v>
      </c>
      <c r="N2748">
        <v>10192.41</v>
      </c>
      <c r="O2748">
        <v>2176.23</v>
      </c>
      <c r="P2748">
        <v>3372.37</v>
      </c>
      <c r="Q2748">
        <v>433.63</v>
      </c>
      <c r="R2748">
        <v>5011.3100000000004</v>
      </c>
      <c r="S2748">
        <v>1193.2</v>
      </c>
      <c r="T2748">
        <v>75928.22</v>
      </c>
      <c r="U2748">
        <v>27951.58</v>
      </c>
      <c r="V2748">
        <v>5572.43</v>
      </c>
      <c r="W2748">
        <v>5203.8100000000004</v>
      </c>
      <c r="X2748">
        <v>76357.77</v>
      </c>
      <c r="Y2748">
        <v>73035.320000000007</v>
      </c>
    </row>
    <row r="2749" spans="1:25" x14ac:dyDescent="0.25">
      <c r="A2749" t="s">
        <v>2805</v>
      </c>
      <c r="B2749" s="1">
        <v>45700</v>
      </c>
      <c r="C2749">
        <v>2025</v>
      </c>
      <c r="D2749">
        <v>2</v>
      </c>
      <c r="E2749" t="s">
        <v>161</v>
      </c>
      <c r="F2749" t="s">
        <v>27</v>
      </c>
      <c r="G2749" t="s">
        <v>44</v>
      </c>
      <c r="H2749" t="s">
        <v>36</v>
      </c>
      <c r="I2749" t="s">
        <v>45</v>
      </c>
      <c r="J2749">
        <v>41</v>
      </c>
      <c r="K2749">
        <v>891.22</v>
      </c>
      <c r="L2749">
        <v>36539.89</v>
      </c>
      <c r="M2749">
        <v>21009.85</v>
      </c>
      <c r="N2749">
        <v>4661.38</v>
      </c>
      <c r="O2749">
        <v>2307.9899999999998</v>
      </c>
      <c r="P2749">
        <v>1598.58</v>
      </c>
      <c r="Q2749">
        <v>303.63</v>
      </c>
      <c r="R2749">
        <v>1824.78</v>
      </c>
      <c r="S2749">
        <v>860.69</v>
      </c>
      <c r="T2749">
        <v>32566.89</v>
      </c>
      <c r="U2749">
        <v>15530.05</v>
      </c>
      <c r="V2749">
        <v>3973</v>
      </c>
      <c r="W2749">
        <v>3581.02</v>
      </c>
      <c r="X2749">
        <v>39956.49</v>
      </c>
      <c r="Y2749">
        <v>31064.55</v>
      </c>
    </row>
    <row r="2750" spans="1:25" x14ac:dyDescent="0.25">
      <c r="A2750" t="s">
        <v>2806</v>
      </c>
      <c r="B2750" s="1">
        <v>45700</v>
      </c>
      <c r="C2750">
        <v>2025</v>
      </c>
      <c r="D2750">
        <v>2</v>
      </c>
      <c r="E2750" t="s">
        <v>161</v>
      </c>
      <c r="F2750" t="s">
        <v>27</v>
      </c>
      <c r="G2750" t="s">
        <v>28</v>
      </c>
      <c r="H2750" t="s">
        <v>36</v>
      </c>
      <c r="I2750" t="s">
        <v>45</v>
      </c>
      <c r="J2750">
        <v>33</v>
      </c>
      <c r="K2750">
        <v>1534.14</v>
      </c>
      <c r="L2750">
        <v>50626.73</v>
      </c>
      <c r="M2750">
        <v>28924.73</v>
      </c>
      <c r="N2750">
        <v>4186.17</v>
      </c>
      <c r="O2750">
        <v>1614.6</v>
      </c>
      <c r="P2750">
        <v>1605.35</v>
      </c>
      <c r="Q2750">
        <v>717.37</v>
      </c>
      <c r="R2750">
        <v>2826.17</v>
      </c>
      <c r="S2750">
        <v>1054.1199999999999</v>
      </c>
      <c r="T2750">
        <v>40928.51</v>
      </c>
      <c r="U2750">
        <v>21702</v>
      </c>
      <c r="V2750">
        <v>9698.2199999999993</v>
      </c>
      <c r="W2750">
        <v>8677.2099999999991</v>
      </c>
      <c r="X2750">
        <v>50603.45</v>
      </c>
      <c r="Y2750">
        <v>39408.53</v>
      </c>
    </row>
    <row r="2751" spans="1:25" x14ac:dyDescent="0.25">
      <c r="A2751" t="s">
        <v>2807</v>
      </c>
      <c r="B2751" s="1">
        <v>45701</v>
      </c>
      <c r="C2751">
        <v>2025</v>
      </c>
      <c r="D2751">
        <v>2</v>
      </c>
      <c r="E2751" t="s">
        <v>161</v>
      </c>
      <c r="F2751" t="s">
        <v>27</v>
      </c>
      <c r="G2751" t="s">
        <v>44</v>
      </c>
      <c r="H2751" t="s">
        <v>36</v>
      </c>
      <c r="I2751" t="s">
        <v>33</v>
      </c>
      <c r="J2751">
        <v>37</v>
      </c>
      <c r="K2751">
        <v>1603.45</v>
      </c>
      <c r="L2751">
        <v>59327.71</v>
      </c>
      <c r="M2751">
        <v>29594.32</v>
      </c>
      <c r="N2751">
        <v>4315.8599999999997</v>
      </c>
      <c r="O2751">
        <v>2570.5500000000002</v>
      </c>
      <c r="P2751">
        <v>2119.64</v>
      </c>
      <c r="Q2751">
        <v>422.35</v>
      </c>
      <c r="R2751">
        <v>3390.26</v>
      </c>
      <c r="S2751">
        <v>493.22</v>
      </c>
      <c r="T2751">
        <v>42906.18</v>
      </c>
      <c r="U2751">
        <v>29733.39</v>
      </c>
      <c r="V2751">
        <v>16421.52</v>
      </c>
      <c r="W2751">
        <v>16075.86</v>
      </c>
      <c r="X2751">
        <v>62420.14</v>
      </c>
      <c r="Y2751">
        <v>46057.77</v>
      </c>
    </row>
    <row r="2752" spans="1:25" x14ac:dyDescent="0.25">
      <c r="A2752" t="s">
        <v>2808</v>
      </c>
      <c r="B2752" s="1">
        <v>45701</v>
      </c>
      <c r="C2752">
        <v>2025</v>
      </c>
      <c r="D2752">
        <v>2</v>
      </c>
      <c r="E2752" t="s">
        <v>161</v>
      </c>
      <c r="F2752" t="s">
        <v>27</v>
      </c>
      <c r="G2752" t="s">
        <v>44</v>
      </c>
      <c r="H2752" t="s">
        <v>58</v>
      </c>
      <c r="I2752" t="s">
        <v>33</v>
      </c>
      <c r="J2752">
        <v>68</v>
      </c>
      <c r="K2752">
        <v>1118.29</v>
      </c>
      <c r="L2752">
        <v>76043.8</v>
      </c>
      <c r="M2752">
        <v>41508.07</v>
      </c>
      <c r="N2752">
        <v>6072.89</v>
      </c>
      <c r="O2752">
        <v>4318.8100000000004</v>
      </c>
      <c r="P2752">
        <v>2340.6</v>
      </c>
      <c r="Q2752">
        <v>1093.18</v>
      </c>
      <c r="R2752">
        <v>2554.94</v>
      </c>
      <c r="S2752">
        <v>1468.7</v>
      </c>
      <c r="T2752">
        <v>59357.18</v>
      </c>
      <c r="U2752">
        <v>34535.730000000003</v>
      </c>
      <c r="V2752">
        <v>16686.62</v>
      </c>
      <c r="W2752">
        <v>16620.689999999999</v>
      </c>
      <c r="X2752">
        <v>82602.009999999995</v>
      </c>
      <c r="Y2752">
        <v>55931.21</v>
      </c>
    </row>
    <row r="2753" spans="1:25" x14ac:dyDescent="0.25">
      <c r="A2753" t="s">
        <v>2809</v>
      </c>
      <c r="B2753" s="1">
        <v>45702</v>
      </c>
      <c r="C2753">
        <v>2025</v>
      </c>
      <c r="D2753">
        <v>2</v>
      </c>
      <c r="E2753" t="s">
        <v>161</v>
      </c>
      <c r="F2753" t="s">
        <v>27</v>
      </c>
      <c r="G2753" t="s">
        <v>35</v>
      </c>
      <c r="H2753" t="s">
        <v>32</v>
      </c>
      <c r="I2753" t="s">
        <v>30</v>
      </c>
      <c r="J2753">
        <v>58</v>
      </c>
      <c r="K2753">
        <v>1419.76</v>
      </c>
      <c r="L2753">
        <v>82345.86</v>
      </c>
      <c r="M2753">
        <v>44332.34</v>
      </c>
      <c r="N2753">
        <v>6948.75</v>
      </c>
      <c r="O2753">
        <v>5865.73</v>
      </c>
      <c r="P2753">
        <v>2128.35</v>
      </c>
      <c r="Q2753">
        <v>891.31</v>
      </c>
      <c r="R2753">
        <v>4584.54</v>
      </c>
      <c r="S2753">
        <v>1442.49</v>
      </c>
      <c r="T2753">
        <v>66193.5</v>
      </c>
      <c r="U2753">
        <v>38013.53</v>
      </c>
      <c r="V2753">
        <v>16152.36</v>
      </c>
      <c r="W2753">
        <v>15068.19</v>
      </c>
      <c r="X2753">
        <v>87300.36</v>
      </c>
      <c r="Y2753">
        <v>63050.09</v>
      </c>
    </row>
    <row r="2754" spans="1:25" x14ac:dyDescent="0.25">
      <c r="A2754" t="s">
        <v>2810</v>
      </c>
      <c r="B2754" s="1">
        <v>45702</v>
      </c>
      <c r="C2754">
        <v>2025</v>
      </c>
      <c r="D2754">
        <v>2</v>
      </c>
      <c r="E2754" t="s">
        <v>161</v>
      </c>
      <c r="F2754" t="s">
        <v>27</v>
      </c>
      <c r="G2754" t="s">
        <v>28</v>
      </c>
      <c r="H2754" t="s">
        <v>36</v>
      </c>
      <c r="I2754" t="s">
        <v>33</v>
      </c>
      <c r="J2754">
        <v>61</v>
      </c>
      <c r="K2754">
        <v>1097.53</v>
      </c>
      <c r="L2754">
        <v>66949.259999999995</v>
      </c>
      <c r="M2754">
        <v>38817.74</v>
      </c>
      <c r="N2754">
        <v>5374.78</v>
      </c>
      <c r="O2754">
        <v>4106.71</v>
      </c>
      <c r="P2754">
        <v>1544.16</v>
      </c>
      <c r="Q2754">
        <v>1102.8399999999999</v>
      </c>
      <c r="R2754">
        <v>2540.59</v>
      </c>
      <c r="S2754">
        <v>876.97</v>
      </c>
      <c r="T2754">
        <v>54363.78</v>
      </c>
      <c r="U2754">
        <v>28131.52</v>
      </c>
      <c r="V2754">
        <v>12585.48</v>
      </c>
      <c r="W2754">
        <v>11387.3</v>
      </c>
      <c r="X2754">
        <v>70057.19</v>
      </c>
      <c r="Y2754">
        <v>55887.839999999997</v>
      </c>
    </row>
    <row r="2755" spans="1:25" x14ac:dyDescent="0.25">
      <c r="A2755" t="s">
        <v>2811</v>
      </c>
      <c r="B2755" s="1">
        <v>45702</v>
      </c>
      <c r="C2755">
        <v>2025</v>
      </c>
      <c r="D2755">
        <v>2</v>
      </c>
      <c r="E2755" t="s">
        <v>161</v>
      </c>
      <c r="F2755" t="s">
        <v>27</v>
      </c>
      <c r="G2755" t="s">
        <v>28</v>
      </c>
      <c r="H2755" t="s">
        <v>58</v>
      </c>
      <c r="I2755" t="s">
        <v>33</v>
      </c>
      <c r="J2755">
        <v>43</v>
      </c>
      <c r="K2755">
        <v>1764.21</v>
      </c>
      <c r="L2755">
        <v>75861.16</v>
      </c>
      <c r="M2755">
        <v>48530.21</v>
      </c>
      <c r="N2755">
        <v>9435.9500000000007</v>
      </c>
      <c r="O2755">
        <v>3539.51</v>
      </c>
      <c r="P2755">
        <v>3059.35</v>
      </c>
      <c r="Q2755">
        <v>568.21</v>
      </c>
      <c r="R2755">
        <v>1935.98</v>
      </c>
      <c r="S2755">
        <v>701.01</v>
      </c>
      <c r="T2755">
        <v>67770.210000000006</v>
      </c>
      <c r="U2755">
        <v>27330.94</v>
      </c>
      <c r="V2755">
        <v>8090.94</v>
      </c>
      <c r="W2755">
        <v>7554</v>
      </c>
      <c r="X2755">
        <v>83384.91</v>
      </c>
      <c r="Y2755">
        <v>68620.17</v>
      </c>
    </row>
    <row r="2756" spans="1:25" x14ac:dyDescent="0.25">
      <c r="A2756" t="s">
        <v>2812</v>
      </c>
      <c r="B2756" s="1">
        <v>45702</v>
      </c>
      <c r="C2756">
        <v>2025</v>
      </c>
      <c r="D2756">
        <v>2</v>
      </c>
      <c r="E2756" t="s">
        <v>161</v>
      </c>
      <c r="F2756" t="s">
        <v>27</v>
      </c>
      <c r="G2756" t="s">
        <v>28</v>
      </c>
      <c r="H2756" t="s">
        <v>32</v>
      </c>
      <c r="I2756" t="s">
        <v>45</v>
      </c>
      <c r="J2756">
        <v>28</v>
      </c>
      <c r="K2756">
        <v>1576.41</v>
      </c>
      <c r="L2756">
        <v>44139.54</v>
      </c>
      <c r="M2756">
        <v>28611.75</v>
      </c>
      <c r="N2756">
        <v>3712.04</v>
      </c>
      <c r="O2756">
        <v>2218.35</v>
      </c>
      <c r="P2756">
        <v>1218.07</v>
      </c>
      <c r="Q2756">
        <v>757.17</v>
      </c>
      <c r="R2756">
        <v>1338.36</v>
      </c>
      <c r="S2756">
        <v>659.67</v>
      </c>
      <c r="T2756">
        <v>38515.42</v>
      </c>
      <c r="U2756">
        <v>15527.79</v>
      </c>
      <c r="V2756">
        <v>5624.13</v>
      </c>
      <c r="W2756">
        <v>5646.03</v>
      </c>
      <c r="X2756">
        <v>48488.9</v>
      </c>
      <c r="Y2756">
        <v>36716.980000000003</v>
      </c>
    </row>
    <row r="2757" spans="1:25" x14ac:dyDescent="0.25">
      <c r="A2757" t="s">
        <v>2813</v>
      </c>
      <c r="B2757" s="1">
        <v>45702</v>
      </c>
      <c r="C2757">
        <v>2025</v>
      </c>
      <c r="D2757">
        <v>2</v>
      </c>
      <c r="E2757" t="s">
        <v>161</v>
      </c>
      <c r="F2757" t="s">
        <v>27</v>
      </c>
      <c r="G2757" t="s">
        <v>55</v>
      </c>
      <c r="H2757" t="s">
        <v>32</v>
      </c>
      <c r="I2757" t="s">
        <v>33</v>
      </c>
      <c r="J2757">
        <v>110</v>
      </c>
      <c r="K2757">
        <v>1043.1199999999999</v>
      </c>
      <c r="L2757">
        <v>114743.45</v>
      </c>
      <c r="M2757">
        <v>56628.99</v>
      </c>
      <c r="N2757">
        <v>10518.95</v>
      </c>
      <c r="O2757">
        <v>7640.13</v>
      </c>
      <c r="P2757">
        <v>5076.26</v>
      </c>
      <c r="Q2757">
        <v>1969.43</v>
      </c>
      <c r="R2757">
        <v>7390.31</v>
      </c>
      <c r="S2757">
        <v>1044.01</v>
      </c>
      <c r="T2757">
        <v>90268.07</v>
      </c>
      <c r="U2757">
        <v>58114.46</v>
      </c>
      <c r="V2757">
        <v>24475.38</v>
      </c>
      <c r="W2757">
        <v>23047.65</v>
      </c>
      <c r="X2757">
        <v>122067.65</v>
      </c>
      <c r="Y2757">
        <v>85409.33</v>
      </c>
    </row>
    <row r="2758" spans="1:25" x14ac:dyDescent="0.25">
      <c r="A2758" t="s">
        <v>2814</v>
      </c>
      <c r="B2758" s="1">
        <v>45702</v>
      </c>
      <c r="C2758">
        <v>2025</v>
      </c>
      <c r="D2758">
        <v>2</v>
      </c>
      <c r="E2758" t="s">
        <v>161</v>
      </c>
      <c r="F2758" t="s">
        <v>27</v>
      </c>
      <c r="G2758" t="s">
        <v>44</v>
      </c>
      <c r="H2758" t="s">
        <v>32</v>
      </c>
      <c r="I2758" t="s">
        <v>33</v>
      </c>
      <c r="J2758">
        <v>66</v>
      </c>
      <c r="K2758">
        <v>1222.56</v>
      </c>
      <c r="L2758">
        <v>80689</v>
      </c>
      <c r="M2758">
        <v>53274.32</v>
      </c>
      <c r="N2758">
        <v>8943.32</v>
      </c>
      <c r="O2758">
        <v>3438.88</v>
      </c>
      <c r="P2758">
        <v>3419.56</v>
      </c>
      <c r="Q2758">
        <v>1208.23</v>
      </c>
      <c r="R2758">
        <v>3681.47</v>
      </c>
      <c r="S2758">
        <v>749</v>
      </c>
      <c r="T2758">
        <v>74714.77</v>
      </c>
      <c r="U2758">
        <v>27414.68</v>
      </c>
      <c r="V2758">
        <v>5974.23</v>
      </c>
      <c r="W2758">
        <v>5850.03</v>
      </c>
      <c r="X2758">
        <v>86909.69</v>
      </c>
      <c r="Y2758">
        <v>77514.41</v>
      </c>
    </row>
    <row r="2759" spans="1:25" x14ac:dyDescent="0.25">
      <c r="A2759" t="s">
        <v>2815</v>
      </c>
      <c r="B2759" s="1">
        <v>45702</v>
      </c>
      <c r="C2759">
        <v>2025</v>
      </c>
      <c r="D2759">
        <v>2</v>
      </c>
      <c r="E2759" t="s">
        <v>161</v>
      </c>
      <c r="F2759" t="s">
        <v>27</v>
      </c>
      <c r="G2759" t="s">
        <v>35</v>
      </c>
      <c r="H2759" t="s">
        <v>36</v>
      </c>
      <c r="I2759" t="s">
        <v>39</v>
      </c>
      <c r="J2759">
        <v>26</v>
      </c>
      <c r="K2759">
        <v>1320.05</v>
      </c>
      <c r="L2759">
        <v>34321.279999999999</v>
      </c>
      <c r="M2759">
        <v>20499.09</v>
      </c>
      <c r="N2759">
        <v>3398.54</v>
      </c>
      <c r="O2759">
        <v>2503.0700000000002</v>
      </c>
      <c r="P2759">
        <v>1418.36</v>
      </c>
      <c r="Q2759">
        <v>591.02</v>
      </c>
      <c r="R2759">
        <v>1666.21</v>
      </c>
      <c r="S2759">
        <v>296.2</v>
      </c>
      <c r="T2759">
        <v>30372.49</v>
      </c>
      <c r="U2759">
        <v>13822.19</v>
      </c>
      <c r="V2759">
        <v>3948.78</v>
      </c>
      <c r="W2759">
        <v>4009.77</v>
      </c>
      <c r="X2759">
        <v>33603.06</v>
      </c>
      <c r="Y2759">
        <v>30923.84</v>
      </c>
    </row>
    <row r="2760" spans="1:25" x14ac:dyDescent="0.25">
      <c r="A2760" t="s">
        <v>2816</v>
      </c>
      <c r="B2760" s="1">
        <v>45703</v>
      </c>
      <c r="C2760">
        <v>2025</v>
      </c>
      <c r="D2760">
        <v>2</v>
      </c>
      <c r="E2760" t="s">
        <v>161</v>
      </c>
      <c r="F2760" t="s">
        <v>27</v>
      </c>
      <c r="G2760" t="s">
        <v>28</v>
      </c>
      <c r="H2760" t="s">
        <v>36</v>
      </c>
      <c r="I2760" t="s">
        <v>56</v>
      </c>
      <c r="J2760">
        <v>36</v>
      </c>
      <c r="K2760">
        <v>909.16</v>
      </c>
      <c r="L2760">
        <v>32729.82</v>
      </c>
      <c r="M2760">
        <v>17514.89</v>
      </c>
      <c r="N2760">
        <v>2914.83</v>
      </c>
      <c r="O2760">
        <v>1471.5</v>
      </c>
      <c r="P2760">
        <v>1325.1</v>
      </c>
      <c r="Q2760">
        <v>212.62</v>
      </c>
      <c r="R2760">
        <v>1726.4</v>
      </c>
      <c r="S2760">
        <v>798.94</v>
      </c>
      <c r="T2760">
        <v>25964.28</v>
      </c>
      <c r="U2760">
        <v>15214.94</v>
      </c>
      <c r="V2760">
        <v>6765.55</v>
      </c>
      <c r="W2760">
        <v>6561.07</v>
      </c>
      <c r="X2760">
        <v>32516.83</v>
      </c>
      <c r="Y2760">
        <v>26960.32</v>
      </c>
    </row>
    <row r="2761" spans="1:25" x14ac:dyDescent="0.25">
      <c r="A2761" t="s">
        <v>2817</v>
      </c>
      <c r="B2761" s="1">
        <v>45703</v>
      </c>
      <c r="C2761">
        <v>2025</v>
      </c>
      <c r="D2761">
        <v>2</v>
      </c>
      <c r="E2761" t="s">
        <v>161</v>
      </c>
      <c r="F2761" t="s">
        <v>27</v>
      </c>
      <c r="G2761" t="s">
        <v>28</v>
      </c>
      <c r="H2761" t="s">
        <v>32</v>
      </c>
      <c r="I2761" t="s">
        <v>56</v>
      </c>
      <c r="J2761">
        <v>39</v>
      </c>
      <c r="K2761">
        <v>1296.22</v>
      </c>
      <c r="L2761">
        <v>50552.75</v>
      </c>
      <c r="M2761">
        <v>24980.880000000001</v>
      </c>
      <c r="N2761">
        <v>4331.5</v>
      </c>
      <c r="O2761">
        <v>3685.29</v>
      </c>
      <c r="P2761">
        <v>1590.51</v>
      </c>
      <c r="Q2761">
        <v>658.12</v>
      </c>
      <c r="R2761">
        <v>1860.44</v>
      </c>
      <c r="S2761">
        <v>1027.73</v>
      </c>
      <c r="T2761">
        <v>38134.480000000003</v>
      </c>
      <c r="U2761">
        <v>25571.87</v>
      </c>
      <c r="V2761">
        <v>12418.28</v>
      </c>
      <c r="W2761">
        <v>12206.77</v>
      </c>
      <c r="X2761">
        <v>51212.800000000003</v>
      </c>
      <c r="Y2761">
        <v>35611.11</v>
      </c>
    </row>
    <row r="2762" spans="1:25" x14ac:dyDescent="0.25">
      <c r="A2762" t="s">
        <v>2818</v>
      </c>
      <c r="B2762" s="1">
        <v>45703</v>
      </c>
      <c r="C2762">
        <v>2025</v>
      </c>
      <c r="D2762">
        <v>2</v>
      </c>
      <c r="E2762" t="s">
        <v>161</v>
      </c>
      <c r="F2762" t="s">
        <v>27</v>
      </c>
      <c r="G2762" t="s">
        <v>44</v>
      </c>
      <c r="H2762" t="s">
        <v>29</v>
      </c>
      <c r="I2762" t="s">
        <v>37</v>
      </c>
      <c r="J2762">
        <v>73</v>
      </c>
      <c r="K2762">
        <v>885.3</v>
      </c>
      <c r="L2762">
        <v>64626.8</v>
      </c>
      <c r="M2762">
        <v>43034.26</v>
      </c>
      <c r="N2762">
        <v>5858.79</v>
      </c>
      <c r="O2762">
        <v>4814.8100000000004</v>
      </c>
      <c r="P2762">
        <v>1137.46</v>
      </c>
      <c r="Q2762">
        <v>1032.44</v>
      </c>
      <c r="R2762">
        <v>1834.85</v>
      </c>
      <c r="S2762">
        <v>1548.46</v>
      </c>
      <c r="T2762">
        <v>59261.06</v>
      </c>
      <c r="U2762">
        <v>21592.54</v>
      </c>
      <c r="V2762">
        <v>5365.75</v>
      </c>
      <c r="W2762">
        <v>4807.26</v>
      </c>
      <c r="X2762">
        <v>63050.55</v>
      </c>
      <c r="Y2762">
        <v>64485</v>
      </c>
    </row>
    <row r="2763" spans="1:25" x14ac:dyDescent="0.25">
      <c r="A2763" t="s">
        <v>2819</v>
      </c>
      <c r="B2763" s="1">
        <v>45704</v>
      </c>
      <c r="C2763">
        <v>2025</v>
      </c>
      <c r="D2763">
        <v>2</v>
      </c>
      <c r="E2763" t="s">
        <v>161</v>
      </c>
      <c r="F2763" t="s">
        <v>27</v>
      </c>
      <c r="G2763" t="s">
        <v>28</v>
      </c>
      <c r="H2763" t="s">
        <v>32</v>
      </c>
      <c r="I2763" t="s">
        <v>30</v>
      </c>
      <c r="J2763">
        <v>98</v>
      </c>
      <c r="K2763">
        <v>1304.1099999999999</v>
      </c>
      <c r="L2763">
        <v>127803.06</v>
      </c>
      <c r="M2763">
        <v>69059.22</v>
      </c>
      <c r="N2763">
        <v>14955.31</v>
      </c>
      <c r="O2763">
        <v>6218.4</v>
      </c>
      <c r="P2763">
        <v>5568.82</v>
      </c>
      <c r="Q2763">
        <v>1200.3</v>
      </c>
      <c r="R2763">
        <v>6758.83</v>
      </c>
      <c r="S2763">
        <v>2110.7199999999998</v>
      </c>
      <c r="T2763">
        <v>105871.6</v>
      </c>
      <c r="U2763">
        <v>58743.83</v>
      </c>
      <c r="V2763">
        <v>21931.45</v>
      </c>
      <c r="W2763">
        <v>20825.689999999999</v>
      </c>
      <c r="X2763">
        <v>122788.34</v>
      </c>
      <c r="Y2763">
        <v>114575.89</v>
      </c>
    </row>
    <row r="2764" spans="1:25" x14ac:dyDescent="0.25">
      <c r="A2764" t="s">
        <v>2820</v>
      </c>
      <c r="B2764" s="1">
        <v>45704</v>
      </c>
      <c r="C2764">
        <v>2025</v>
      </c>
      <c r="D2764">
        <v>2</v>
      </c>
      <c r="E2764" t="s">
        <v>161</v>
      </c>
      <c r="F2764" t="s">
        <v>27</v>
      </c>
      <c r="G2764" t="s">
        <v>28</v>
      </c>
      <c r="H2764" t="s">
        <v>32</v>
      </c>
      <c r="I2764" t="s">
        <v>39</v>
      </c>
      <c r="J2764">
        <v>47</v>
      </c>
      <c r="K2764">
        <v>846.18</v>
      </c>
      <c r="L2764">
        <v>39770.300000000003</v>
      </c>
      <c r="M2764">
        <v>19801.22</v>
      </c>
      <c r="N2764">
        <v>4866.92</v>
      </c>
      <c r="O2764">
        <v>2824.83</v>
      </c>
      <c r="P2764">
        <v>1171.03</v>
      </c>
      <c r="Q2764">
        <v>585.16</v>
      </c>
      <c r="R2764">
        <v>2033.75</v>
      </c>
      <c r="S2764">
        <v>657.63</v>
      </c>
      <c r="T2764">
        <v>31940.54</v>
      </c>
      <c r="U2764">
        <v>19969.080000000002</v>
      </c>
      <c r="V2764">
        <v>7829.75</v>
      </c>
      <c r="W2764">
        <v>7263.12</v>
      </c>
      <c r="X2764">
        <v>36679.339999999997</v>
      </c>
      <c r="Y2764">
        <v>31204.85</v>
      </c>
    </row>
    <row r="2765" spans="1:25" x14ac:dyDescent="0.25">
      <c r="A2765" t="s">
        <v>2821</v>
      </c>
      <c r="B2765" s="1">
        <v>45704</v>
      </c>
      <c r="C2765">
        <v>2025</v>
      </c>
      <c r="D2765">
        <v>2</v>
      </c>
      <c r="E2765" t="s">
        <v>161</v>
      </c>
      <c r="F2765" t="s">
        <v>27</v>
      </c>
      <c r="G2765" t="s">
        <v>28</v>
      </c>
      <c r="H2765" t="s">
        <v>32</v>
      </c>
      <c r="I2765" t="s">
        <v>39</v>
      </c>
      <c r="J2765">
        <v>43</v>
      </c>
      <c r="K2765">
        <v>1506.16</v>
      </c>
      <c r="L2765">
        <v>64765.08</v>
      </c>
      <c r="M2765">
        <v>35085.22</v>
      </c>
      <c r="N2765">
        <v>5312.78</v>
      </c>
      <c r="O2765">
        <v>4491.93</v>
      </c>
      <c r="P2765">
        <v>2548.79</v>
      </c>
      <c r="Q2765">
        <v>684.15</v>
      </c>
      <c r="R2765">
        <v>2032.3</v>
      </c>
      <c r="S2765">
        <v>689.95</v>
      </c>
      <c r="T2765">
        <v>50845.11</v>
      </c>
      <c r="U2765">
        <v>29679.86</v>
      </c>
      <c r="V2765">
        <v>13919.97</v>
      </c>
      <c r="W2765">
        <v>13936</v>
      </c>
      <c r="X2765">
        <v>59627.66</v>
      </c>
      <c r="Y2765">
        <v>49561.56</v>
      </c>
    </row>
    <row r="2766" spans="1:25" x14ac:dyDescent="0.25">
      <c r="A2766" t="s">
        <v>2822</v>
      </c>
      <c r="B2766" s="1">
        <v>45704</v>
      </c>
      <c r="C2766">
        <v>2025</v>
      </c>
      <c r="D2766">
        <v>2</v>
      </c>
      <c r="E2766" t="s">
        <v>161</v>
      </c>
      <c r="F2766" t="s">
        <v>27</v>
      </c>
      <c r="G2766" t="s">
        <v>55</v>
      </c>
      <c r="H2766" t="s">
        <v>32</v>
      </c>
      <c r="I2766" t="s">
        <v>30</v>
      </c>
      <c r="J2766">
        <v>98</v>
      </c>
      <c r="K2766">
        <v>1460.43</v>
      </c>
      <c r="L2766">
        <v>143122.6</v>
      </c>
      <c r="M2766">
        <v>96802.240000000005</v>
      </c>
      <c r="N2766">
        <v>14281.87</v>
      </c>
      <c r="O2766">
        <v>7724.15</v>
      </c>
      <c r="P2766">
        <v>5714.78</v>
      </c>
      <c r="Q2766">
        <v>1018.47</v>
      </c>
      <c r="R2766">
        <v>5869.74</v>
      </c>
      <c r="S2766">
        <v>2606.35</v>
      </c>
      <c r="T2766">
        <v>134017.60999999999</v>
      </c>
      <c r="U2766">
        <v>46320.36</v>
      </c>
      <c r="V2766">
        <v>9104.99</v>
      </c>
      <c r="W2766">
        <v>9200.69</v>
      </c>
      <c r="X2766">
        <v>149723.5</v>
      </c>
      <c r="Y2766">
        <v>125315.55</v>
      </c>
    </row>
    <row r="2767" spans="1:25" x14ac:dyDescent="0.25">
      <c r="A2767" t="s">
        <v>2823</v>
      </c>
      <c r="B2767" s="1">
        <v>45705</v>
      </c>
      <c r="C2767">
        <v>2025</v>
      </c>
      <c r="D2767">
        <v>2</v>
      </c>
      <c r="E2767" t="s">
        <v>161</v>
      </c>
      <c r="F2767" t="s">
        <v>27</v>
      </c>
      <c r="G2767" t="s">
        <v>28</v>
      </c>
      <c r="H2767" t="s">
        <v>36</v>
      </c>
      <c r="I2767" t="s">
        <v>56</v>
      </c>
      <c r="J2767">
        <v>25</v>
      </c>
      <c r="K2767">
        <v>1194.3599999999999</v>
      </c>
      <c r="L2767">
        <v>29859.08</v>
      </c>
      <c r="M2767">
        <v>20019.89</v>
      </c>
      <c r="N2767">
        <v>3549.47</v>
      </c>
      <c r="O2767">
        <v>2179.66</v>
      </c>
      <c r="P2767">
        <v>1034.05</v>
      </c>
      <c r="Q2767">
        <v>177.6</v>
      </c>
      <c r="R2767">
        <v>1544.55</v>
      </c>
      <c r="S2767">
        <v>422.38</v>
      </c>
      <c r="T2767">
        <v>28927.599999999999</v>
      </c>
      <c r="U2767">
        <v>9839.19</v>
      </c>
      <c r="V2767">
        <v>931.48</v>
      </c>
      <c r="W2767">
        <v>836.74</v>
      </c>
      <c r="X2767">
        <v>33336.46</v>
      </c>
      <c r="Y2767">
        <v>29858.34</v>
      </c>
    </row>
    <row r="2768" spans="1:25" x14ac:dyDescent="0.25">
      <c r="A2768" t="s">
        <v>2824</v>
      </c>
      <c r="B2768" s="1">
        <v>45705</v>
      </c>
      <c r="C2768">
        <v>2025</v>
      </c>
      <c r="D2768">
        <v>2</v>
      </c>
      <c r="E2768" t="s">
        <v>161</v>
      </c>
      <c r="F2768" t="s">
        <v>27</v>
      </c>
      <c r="G2768" t="s">
        <v>55</v>
      </c>
      <c r="H2768" t="s">
        <v>53</v>
      </c>
      <c r="I2768" t="s">
        <v>45</v>
      </c>
      <c r="J2768">
        <v>40</v>
      </c>
      <c r="K2768">
        <v>857</v>
      </c>
      <c r="L2768">
        <v>34279.85</v>
      </c>
      <c r="M2768">
        <v>21643.47</v>
      </c>
      <c r="N2768">
        <v>3344.81</v>
      </c>
      <c r="O2768">
        <v>1766.13</v>
      </c>
      <c r="P2768">
        <v>697.26</v>
      </c>
      <c r="Q2768">
        <v>458.36</v>
      </c>
      <c r="R2768">
        <v>1685.13</v>
      </c>
      <c r="S2768">
        <v>653.55999999999995</v>
      </c>
      <c r="T2768">
        <v>30248.720000000001</v>
      </c>
      <c r="U2768">
        <v>12636.38</v>
      </c>
      <c r="V2768">
        <v>4031.13</v>
      </c>
      <c r="W2768">
        <v>4050.81</v>
      </c>
      <c r="X2768">
        <v>33867.06</v>
      </c>
      <c r="Y2768">
        <v>31773.46</v>
      </c>
    </row>
    <row r="2769" spans="1:25" x14ac:dyDescent="0.25">
      <c r="A2769" t="s">
        <v>2825</v>
      </c>
      <c r="B2769" s="1">
        <v>45705</v>
      </c>
      <c r="C2769">
        <v>2025</v>
      </c>
      <c r="D2769">
        <v>2</v>
      </c>
      <c r="E2769" t="s">
        <v>161</v>
      </c>
      <c r="F2769" t="s">
        <v>27</v>
      </c>
      <c r="G2769" t="s">
        <v>28</v>
      </c>
      <c r="H2769" t="s">
        <v>53</v>
      </c>
      <c r="I2769" t="s">
        <v>56</v>
      </c>
      <c r="J2769">
        <v>14</v>
      </c>
      <c r="K2769">
        <v>1730.48</v>
      </c>
      <c r="L2769">
        <v>24226.69</v>
      </c>
      <c r="M2769">
        <v>15138.79</v>
      </c>
      <c r="N2769">
        <v>2932.15</v>
      </c>
      <c r="O2769">
        <v>747.13</v>
      </c>
      <c r="P2769">
        <v>1023.05</v>
      </c>
      <c r="Q2769">
        <v>399.74</v>
      </c>
      <c r="R2769">
        <v>800.31</v>
      </c>
      <c r="S2769">
        <v>524.76</v>
      </c>
      <c r="T2769">
        <v>21565.94</v>
      </c>
      <c r="U2769">
        <v>9087.9</v>
      </c>
      <c r="V2769">
        <v>2660.75</v>
      </c>
      <c r="W2769">
        <v>2705.41</v>
      </c>
      <c r="X2769">
        <v>26490.14</v>
      </c>
      <c r="Y2769">
        <v>20410.98</v>
      </c>
    </row>
    <row r="2770" spans="1:25" x14ac:dyDescent="0.25">
      <c r="A2770" t="s">
        <v>2826</v>
      </c>
      <c r="B2770" s="1">
        <v>45705</v>
      </c>
      <c r="C2770">
        <v>2025</v>
      </c>
      <c r="D2770">
        <v>2</v>
      </c>
      <c r="E2770" t="s">
        <v>161</v>
      </c>
      <c r="F2770" t="s">
        <v>27</v>
      </c>
      <c r="G2770" t="s">
        <v>35</v>
      </c>
      <c r="H2770" t="s">
        <v>36</v>
      </c>
      <c r="I2770" t="s">
        <v>30</v>
      </c>
      <c r="J2770">
        <v>58</v>
      </c>
      <c r="K2770">
        <v>1132.77</v>
      </c>
      <c r="L2770">
        <v>65700.44</v>
      </c>
      <c r="M2770">
        <v>43848.07</v>
      </c>
      <c r="N2770">
        <v>7708.1</v>
      </c>
      <c r="O2770">
        <v>4922.5200000000004</v>
      </c>
      <c r="P2770">
        <v>1129.92</v>
      </c>
      <c r="Q2770">
        <v>689.18</v>
      </c>
      <c r="R2770">
        <v>3293.59</v>
      </c>
      <c r="S2770">
        <v>1234.71</v>
      </c>
      <c r="T2770">
        <v>62826.09</v>
      </c>
      <c r="U2770">
        <v>21852.38</v>
      </c>
      <c r="V2770">
        <v>2874.35</v>
      </c>
      <c r="W2770">
        <v>2914.06</v>
      </c>
      <c r="X2770">
        <v>66375.149999999994</v>
      </c>
      <c r="Y2770">
        <v>64741.5</v>
      </c>
    </row>
    <row r="2771" spans="1:25" x14ac:dyDescent="0.25">
      <c r="A2771" t="s">
        <v>2827</v>
      </c>
      <c r="B2771" s="1">
        <v>45705</v>
      </c>
      <c r="C2771">
        <v>2025</v>
      </c>
      <c r="D2771">
        <v>2</v>
      </c>
      <c r="E2771" t="s">
        <v>161</v>
      </c>
      <c r="F2771" t="s">
        <v>27</v>
      </c>
      <c r="G2771" t="s">
        <v>55</v>
      </c>
      <c r="H2771" t="s">
        <v>29</v>
      </c>
      <c r="I2771" t="s">
        <v>33</v>
      </c>
      <c r="J2771">
        <v>83</v>
      </c>
      <c r="K2771">
        <v>1250.01</v>
      </c>
      <c r="L2771">
        <v>103750.73</v>
      </c>
      <c r="M2771">
        <v>50414.93</v>
      </c>
      <c r="N2771">
        <v>8095.47</v>
      </c>
      <c r="O2771">
        <v>3978.16</v>
      </c>
      <c r="P2771">
        <v>3558.81</v>
      </c>
      <c r="Q2771">
        <v>1506.23</v>
      </c>
      <c r="R2771">
        <v>2605.14</v>
      </c>
      <c r="S2771">
        <v>2255.89</v>
      </c>
      <c r="T2771">
        <v>72414.63</v>
      </c>
      <c r="U2771">
        <v>53335.81</v>
      </c>
      <c r="V2771">
        <v>31336.11</v>
      </c>
      <c r="W2771">
        <v>31956.09</v>
      </c>
      <c r="X2771">
        <v>106609.56</v>
      </c>
      <c r="Y2771">
        <v>71258.02</v>
      </c>
    </row>
    <row r="2772" spans="1:25" x14ac:dyDescent="0.25">
      <c r="A2772" t="s">
        <v>2828</v>
      </c>
      <c r="B2772" s="1">
        <v>45706</v>
      </c>
      <c r="C2772">
        <v>2025</v>
      </c>
      <c r="D2772">
        <v>2</v>
      </c>
      <c r="E2772" t="s">
        <v>161</v>
      </c>
      <c r="F2772" t="s">
        <v>27</v>
      </c>
      <c r="G2772" t="s">
        <v>28</v>
      </c>
      <c r="H2772" t="s">
        <v>29</v>
      </c>
      <c r="I2772" t="s">
        <v>33</v>
      </c>
      <c r="J2772">
        <v>69</v>
      </c>
      <c r="K2772">
        <v>1132.43</v>
      </c>
      <c r="L2772">
        <v>78137.38</v>
      </c>
      <c r="M2772">
        <v>50427.97</v>
      </c>
      <c r="N2772">
        <v>9985.7000000000007</v>
      </c>
      <c r="O2772">
        <v>5456.64</v>
      </c>
      <c r="P2772">
        <v>1748.76</v>
      </c>
      <c r="Q2772">
        <v>652.35</v>
      </c>
      <c r="R2772">
        <v>3143.95</v>
      </c>
      <c r="S2772">
        <v>1009.37</v>
      </c>
      <c r="T2772">
        <v>72424.73</v>
      </c>
      <c r="U2772">
        <v>27709.41</v>
      </c>
      <c r="V2772">
        <v>5712.65</v>
      </c>
      <c r="W2772">
        <v>5797.99</v>
      </c>
      <c r="X2772">
        <v>78339.009999999995</v>
      </c>
      <c r="Y2772">
        <v>70485.009999999995</v>
      </c>
    </row>
    <row r="2773" spans="1:25" x14ac:dyDescent="0.25">
      <c r="A2773" t="s">
        <v>2829</v>
      </c>
      <c r="B2773" s="1">
        <v>45706</v>
      </c>
      <c r="C2773">
        <v>2025</v>
      </c>
      <c r="D2773">
        <v>2</v>
      </c>
      <c r="E2773" t="s">
        <v>161</v>
      </c>
      <c r="F2773" t="s">
        <v>27</v>
      </c>
      <c r="G2773" t="s">
        <v>28</v>
      </c>
      <c r="H2773" t="s">
        <v>32</v>
      </c>
      <c r="I2773" t="s">
        <v>45</v>
      </c>
      <c r="J2773">
        <v>70</v>
      </c>
      <c r="K2773">
        <v>985.53</v>
      </c>
      <c r="L2773">
        <v>68987.28</v>
      </c>
      <c r="M2773">
        <v>42491.49</v>
      </c>
      <c r="N2773">
        <v>7900.1</v>
      </c>
      <c r="O2773">
        <v>3402.17</v>
      </c>
      <c r="P2773">
        <v>1268.78</v>
      </c>
      <c r="Q2773">
        <v>1068.02</v>
      </c>
      <c r="R2773">
        <v>1967.48</v>
      </c>
      <c r="S2773">
        <v>969.51</v>
      </c>
      <c r="T2773">
        <v>59067.55</v>
      </c>
      <c r="U2773">
        <v>26495.79</v>
      </c>
      <c r="V2773">
        <v>9919.73</v>
      </c>
      <c r="W2773">
        <v>8766.16</v>
      </c>
      <c r="X2773">
        <v>76372.39</v>
      </c>
      <c r="Y2773">
        <v>55908.78</v>
      </c>
    </row>
    <row r="2774" spans="1:25" x14ac:dyDescent="0.25">
      <c r="A2774" t="s">
        <v>2830</v>
      </c>
      <c r="B2774" s="1">
        <v>45706</v>
      </c>
      <c r="C2774">
        <v>2025</v>
      </c>
      <c r="D2774">
        <v>2</v>
      </c>
      <c r="E2774" t="s">
        <v>161</v>
      </c>
      <c r="F2774" t="s">
        <v>27</v>
      </c>
      <c r="G2774" t="s">
        <v>44</v>
      </c>
      <c r="H2774" t="s">
        <v>32</v>
      </c>
      <c r="I2774" t="s">
        <v>56</v>
      </c>
      <c r="J2774">
        <v>27</v>
      </c>
      <c r="K2774">
        <v>1233.5</v>
      </c>
      <c r="L2774">
        <v>33304.379999999997</v>
      </c>
      <c r="M2774">
        <v>19747.009999999998</v>
      </c>
      <c r="N2774">
        <v>2385.6799999999998</v>
      </c>
      <c r="O2774">
        <v>1138.33</v>
      </c>
      <c r="P2774">
        <v>985.93</v>
      </c>
      <c r="Q2774">
        <v>367.88</v>
      </c>
      <c r="R2774">
        <v>949.24</v>
      </c>
      <c r="S2774">
        <v>491.49</v>
      </c>
      <c r="T2774">
        <v>26065.55</v>
      </c>
      <c r="U2774">
        <v>13557.37</v>
      </c>
      <c r="V2774">
        <v>7238.83</v>
      </c>
      <c r="W2774">
        <v>7137.74</v>
      </c>
      <c r="X2774">
        <v>36484.83</v>
      </c>
      <c r="Y2774">
        <v>26236.560000000001</v>
      </c>
    </row>
    <row r="2775" spans="1:25" x14ac:dyDescent="0.25">
      <c r="A2775" t="s">
        <v>2831</v>
      </c>
      <c r="B2775" s="1">
        <v>45706</v>
      </c>
      <c r="C2775">
        <v>2025</v>
      </c>
      <c r="D2775">
        <v>2</v>
      </c>
      <c r="E2775" t="s">
        <v>161</v>
      </c>
      <c r="F2775" t="s">
        <v>27</v>
      </c>
      <c r="G2775" t="s">
        <v>55</v>
      </c>
      <c r="H2775" t="s">
        <v>32</v>
      </c>
      <c r="I2775" t="s">
        <v>56</v>
      </c>
      <c r="J2775">
        <v>26</v>
      </c>
      <c r="K2775">
        <v>1569.16</v>
      </c>
      <c r="L2775">
        <v>40798.21</v>
      </c>
      <c r="M2775">
        <v>27315.03</v>
      </c>
      <c r="N2775">
        <v>3677.45</v>
      </c>
      <c r="O2775">
        <v>2194.4</v>
      </c>
      <c r="P2775">
        <v>1449.7</v>
      </c>
      <c r="Q2775">
        <v>217.04</v>
      </c>
      <c r="R2775">
        <v>2054.9499999999998</v>
      </c>
      <c r="S2775">
        <v>912.16</v>
      </c>
      <c r="T2775">
        <v>37820.730000000003</v>
      </c>
      <c r="U2775">
        <v>13483.18</v>
      </c>
      <c r="V2775">
        <v>2977.48</v>
      </c>
      <c r="W2775">
        <v>2665.88</v>
      </c>
      <c r="X2775">
        <v>43717.1</v>
      </c>
      <c r="Y2775">
        <v>35532.21</v>
      </c>
    </row>
    <row r="2776" spans="1:25" x14ac:dyDescent="0.25">
      <c r="A2776" t="s">
        <v>2832</v>
      </c>
      <c r="B2776" s="1">
        <v>45706</v>
      </c>
      <c r="C2776">
        <v>2025</v>
      </c>
      <c r="D2776">
        <v>2</v>
      </c>
      <c r="E2776" t="s">
        <v>161</v>
      </c>
      <c r="F2776" t="s">
        <v>27</v>
      </c>
      <c r="G2776" t="s">
        <v>35</v>
      </c>
      <c r="H2776" t="s">
        <v>53</v>
      </c>
      <c r="I2776" t="s">
        <v>39</v>
      </c>
      <c r="J2776">
        <v>30</v>
      </c>
      <c r="K2776">
        <v>931.32</v>
      </c>
      <c r="L2776">
        <v>27939.58</v>
      </c>
      <c r="M2776">
        <v>16924.96</v>
      </c>
      <c r="N2776">
        <v>2664.5</v>
      </c>
      <c r="O2776">
        <v>1873.49</v>
      </c>
      <c r="P2776">
        <v>465.02</v>
      </c>
      <c r="Q2776">
        <v>366.28</v>
      </c>
      <c r="R2776">
        <v>1460.14</v>
      </c>
      <c r="S2776">
        <v>500.96</v>
      </c>
      <c r="T2776">
        <v>24255.33</v>
      </c>
      <c r="U2776">
        <v>11014.63</v>
      </c>
      <c r="V2776">
        <v>3684.25</v>
      </c>
      <c r="W2776">
        <v>3251.42</v>
      </c>
      <c r="X2776">
        <v>26193.25</v>
      </c>
      <c r="Y2776">
        <v>24405.99</v>
      </c>
    </row>
    <row r="2777" spans="1:25" x14ac:dyDescent="0.25">
      <c r="A2777" t="s">
        <v>2833</v>
      </c>
      <c r="B2777" s="1">
        <v>45707</v>
      </c>
      <c r="C2777">
        <v>2025</v>
      </c>
      <c r="D2777">
        <v>2</v>
      </c>
      <c r="E2777" t="s">
        <v>161</v>
      </c>
      <c r="F2777" t="s">
        <v>27</v>
      </c>
      <c r="G2777" t="s">
        <v>28</v>
      </c>
      <c r="H2777" t="s">
        <v>32</v>
      </c>
      <c r="I2777" t="s">
        <v>39</v>
      </c>
      <c r="J2777">
        <v>23</v>
      </c>
      <c r="K2777">
        <v>1772.76</v>
      </c>
      <c r="L2777">
        <v>40773.449999999997</v>
      </c>
      <c r="M2777">
        <v>22642.83</v>
      </c>
      <c r="N2777">
        <v>3978.28</v>
      </c>
      <c r="O2777">
        <v>1993.07</v>
      </c>
      <c r="P2777">
        <v>1756.31</v>
      </c>
      <c r="Q2777">
        <v>298.12</v>
      </c>
      <c r="R2777">
        <v>1270.52</v>
      </c>
      <c r="S2777">
        <v>867.48</v>
      </c>
      <c r="T2777">
        <v>32806.6</v>
      </c>
      <c r="U2777">
        <v>18130.63</v>
      </c>
      <c r="V2777">
        <v>7966.85</v>
      </c>
      <c r="W2777">
        <v>7514.94</v>
      </c>
      <c r="X2777">
        <v>42517.18</v>
      </c>
      <c r="Y2777">
        <v>30543.74</v>
      </c>
    </row>
    <row r="2778" spans="1:25" x14ac:dyDescent="0.25">
      <c r="A2778" t="s">
        <v>2834</v>
      </c>
      <c r="B2778" s="1">
        <v>45707</v>
      </c>
      <c r="C2778">
        <v>2025</v>
      </c>
      <c r="D2778">
        <v>2</v>
      </c>
      <c r="E2778" t="s">
        <v>161</v>
      </c>
      <c r="F2778" t="s">
        <v>27</v>
      </c>
      <c r="G2778" t="s">
        <v>44</v>
      </c>
      <c r="H2778" t="s">
        <v>58</v>
      </c>
      <c r="I2778" t="s">
        <v>33</v>
      </c>
      <c r="J2778">
        <v>51</v>
      </c>
      <c r="K2778">
        <v>1595.44</v>
      </c>
      <c r="L2778">
        <v>81367.25</v>
      </c>
      <c r="M2778">
        <v>51457.36</v>
      </c>
      <c r="N2778">
        <v>7972.08</v>
      </c>
      <c r="O2778">
        <v>3204.85</v>
      </c>
      <c r="P2778">
        <v>2276.81</v>
      </c>
      <c r="Q2778">
        <v>605.12</v>
      </c>
      <c r="R2778">
        <v>5008.01</v>
      </c>
      <c r="S2778">
        <v>1100.57</v>
      </c>
      <c r="T2778">
        <v>71624.81</v>
      </c>
      <c r="U2778">
        <v>29909.89</v>
      </c>
      <c r="V2778">
        <v>9742.4500000000007</v>
      </c>
      <c r="W2778">
        <v>9846.64</v>
      </c>
      <c r="X2778">
        <v>79159.149999999994</v>
      </c>
      <c r="Y2778">
        <v>78548.02</v>
      </c>
    </row>
    <row r="2779" spans="1:25" x14ac:dyDescent="0.25">
      <c r="A2779" t="s">
        <v>2835</v>
      </c>
      <c r="B2779" s="1">
        <v>45707</v>
      </c>
      <c r="C2779">
        <v>2025</v>
      </c>
      <c r="D2779">
        <v>2</v>
      </c>
      <c r="E2779" t="s">
        <v>161</v>
      </c>
      <c r="F2779" t="s">
        <v>27</v>
      </c>
      <c r="G2779" t="s">
        <v>55</v>
      </c>
      <c r="H2779" t="s">
        <v>53</v>
      </c>
      <c r="I2779" t="s">
        <v>56</v>
      </c>
      <c r="J2779">
        <v>31</v>
      </c>
      <c r="K2779">
        <v>861.76</v>
      </c>
      <c r="L2779">
        <v>26714.62</v>
      </c>
      <c r="M2779">
        <v>14756.99</v>
      </c>
      <c r="N2779">
        <v>2391.67</v>
      </c>
      <c r="O2779">
        <v>724.27</v>
      </c>
      <c r="P2779">
        <v>488.55</v>
      </c>
      <c r="Q2779">
        <v>140.69999999999999</v>
      </c>
      <c r="R2779">
        <v>970.47</v>
      </c>
      <c r="S2779">
        <v>314.10000000000002</v>
      </c>
      <c r="T2779">
        <v>19786.740000000002</v>
      </c>
      <c r="U2779">
        <v>11957.63</v>
      </c>
      <c r="V2779">
        <v>6927.88</v>
      </c>
      <c r="W2779">
        <v>6357.03</v>
      </c>
      <c r="X2779">
        <v>25652.720000000001</v>
      </c>
      <c r="Y2779">
        <v>18640.34</v>
      </c>
    </row>
    <row r="2780" spans="1:25" x14ac:dyDescent="0.25">
      <c r="A2780" t="s">
        <v>2836</v>
      </c>
      <c r="B2780" s="1">
        <v>45707</v>
      </c>
      <c r="C2780">
        <v>2025</v>
      </c>
      <c r="D2780">
        <v>2</v>
      </c>
      <c r="E2780" t="s">
        <v>161</v>
      </c>
      <c r="F2780" t="s">
        <v>27</v>
      </c>
      <c r="G2780" t="s">
        <v>35</v>
      </c>
      <c r="H2780" t="s">
        <v>58</v>
      </c>
      <c r="I2780" t="s">
        <v>65</v>
      </c>
      <c r="J2780">
        <v>43</v>
      </c>
      <c r="K2780">
        <v>1308.3499999999999</v>
      </c>
      <c r="L2780">
        <v>56259.22</v>
      </c>
      <c r="M2780">
        <v>32192.27</v>
      </c>
      <c r="N2780">
        <v>5240.1499999999996</v>
      </c>
      <c r="O2780">
        <v>2319.75</v>
      </c>
      <c r="P2780">
        <v>967.73</v>
      </c>
      <c r="Q2780">
        <v>323.67</v>
      </c>
      <c r="R2780">
        <v>2187.98</v>
      </c>
      <c r="S2780">
        <v>1406.42</v>
      </c>
      <c r="T2780">
        <v>44637.97</v>
      </c>
      <c r="U2780">
        <v>24066.959999999999</v>
      </c>
      <c r="V2780">
        <v>11621.25</v>
      </c>
      <c r="W2780">
        <v>10976.26</v>
      </c>
      <c r="X2780">
        <v>54438.9</v>
      </c>
      <c r="Y2780">
        <v>43898.25</v>
      </c>
    </row>
    <row r="2781" spans="1:25" x14ac:dyDescent="0.25">
      <c r="A2781" t="s">
        <v>2837</v>
      </c>
      <c r="B2781" s="1">
        <v>45707</v>
      </c>
      <c r="C2781">
        <v>2025</v>
      </c>
      <c r="D2781">
        <v>2</v>
      </c>
      <c r="E2781" t="s">
        <v>161</v>
      </c>
      <c r="F2781" t="s">
        <v>27</v>
      </c>
      <c r="G2781" t="s">
        <v>28</v>
      </c>
      <c r="H2781" t="s">
        <v>36</v>
      </c>
      <c r="I2781" t="s">
        <v>45</v>
      </c>
      <c r="J2781">
        <v>40</v>
      </c>
      <c r="K2781">
        <v>869.78</v>
      </c>
      <c r="L2781">
        <v>34791.269999999997</v>
      </c>
      <c r="M2781">
        <v>17255.46</v>
      </c>
      <c r="N2781">
        <v>2582.4699999999998</v>
      </c>
      <c r="O2781">
        <v>1439.79</v>
      </c>
      <c r="P2781">
        <v>803.75</v>
      </c>
      <c r="Q2781">
        <v>236.16</v>
      </c>
      <c r="R2781">
        <v>2242.37</v>
      </c>
      <c r="S2781">
        <v>812.41</v>
      </c>
      <c r="T2781">
        <v>25372.400000000001</v>
      </c>
      <c r="U2781">
        <v>17535.82</v>
      </c>
      <c r="V2781">
        <v>9418.8700000000008</v>
      </c>
      <c r="W2781">
        <v>8396.08</v>
      </c>
      <c r="X2781">
        <v>38577.9</v>
      </c>
      <c r="Y2781">
        <v>26608.41</v>
      </c>
    </row>
    <row r="2782" spans="1:25" x14ac:dyDescent="0.25">
      <c r="A2782" t="s">
        <v>2838</v>
      </c>
      <c r="B2782" s="1">
        <v>45707</v>
      </c>
      <c r="C2782">
        <v>2025</v>
      </c>
      <c r="D2782">
        <v>2</v>
      </c>
      <c r="E2782" t="s">
        <v>161</v>
      </c>
      <c r="F2782" t="s">
        <v>27</v>
      </c>
      <c r="G2782" t="s">
        <v>28</v>
      </c>
      <c r="H2782" t="s">
        <v>32</v>
      </c>
      <c r="I2782" t="s">
        <v>50</v>
      </c>
      <c r="J2782">
        <v>41</v>
      </c>
      <c r="K2782">
        <v>1764.59</v>
      </c>
      <c r="L2782">
        <v>72348.27</v>
      </c>
      <c r="M2782">
        <v>35324.120000000003</v>
      </c>
      <c r="N2782">
        <v>5224.63</v>
      </c>
      <c r="O2782">
        <v>3780.8</v>
      </c>
      <c r="P2782">
        <v>2272.8000000000002</v>
      </c>
      <c r="Q2782">
        <v>841.86</v>
      </c>
      <c r="R2782">
        <v>1897.79</v>
      </c>
      <c r="S2782">
        <v>1045.53</v>
      </c>
      <c r="T2782">
        <v>50387.53</v>
      </c>
      <c r="U2782">
        <v>37024.15</v>
      </c>
      <c r="V2782">
        <v>21960.74</v>
      </c>
      <c r="W2782">
        <v>20748.48</v>
      </c>
      <c r="X2782">
        <v>70171.14</v>
      </c>
      <c r="Y2782">
        <v>53184.33</v>
      </c>
    </row>
    <row r="2783" spans="1:25" x14ac:dyDescent="0.25">
      <c r="A2783" t="s">
        <v>2839</v>
      </c>
      <c r="B2783" s="1">
        <v>45707</v>
      </c>
      <c r="C2783">
        <v>2025</v>
      </c>
      <c r="D2783">
        <v>2</v>
      </c>
      <c r="E2783" t="s">
        <v>161</v>
      </c>
      <c r="F2783" t="s">
        <v>27</v>
      </c>
      <c r="G2783" t="s">
        <v>35</v>
      </c>
      <c r="H2783" t="s">
        <v>32</v>
      </c>
      <c r="I2783" t="s">
        <v>37</v>
      </c>
      <c r="J2783">
        <v>52</v>
      </c>
      <c r="K2783">
        <v>1279.08</v>
      </c>
      <c r="L2783">
        <v>66512.259999999995</v>
      </c>
      <c r="M2783">
        <v>32987.1</v>
      </c>
      <c r="N2783">
        <v>5503.84</v>
      </c>
      <c r="O2783">
        <v>2615.88</v>
      </c>
      <c r="P2783">
        <v>1654.38</v>
      </c>
      <c r="Q2783">
        <v>810.86</v>
      </c>
      <c r="R2783">
        <v>1916.41</v>
      </c>
      <c r="S2783">
        <v>645.04</v>
      </c>
      <c r="T2783">
        <v>46133.51</v>
      </c>
      <c r="U2783">
        <v>33525.160000000003</v>
      </c>
      <c r="V2783">
        <v>20378.75</v>
      </c>
      <c r="W2783">
        <v>20226.89</v>
      </c>
      <c r="X2783">
        <v>71380.67</v>
      </c>
      <c r="Y2783">
        <v>43865.01</v>
      </c>
    </row>
    <row r="2784" spans="1:25" x14ac:dyDescent="0.25">
      <c r="A2784" t="s">
        <v>2840</v>
      </c>
      <c r="B2784" s="1">
        <v>45707</v>
      </c>
      <c r="C2784">
        <v>2025</v>
      </c>
      <c r="D2784">
        <v>2</v>
      </c>
      <c r="E2784" t="s">
        <v>161</v>
      </c>
      <c r="F2784" t="s">
        <v>27</v>
      </c>
      <c r="G2784" t="s">
        <v>44</v>
      </c>
      <c r="H2784" t="s">
        <v>36</v>
      </c>
      <c r="I2784" t="s">
        <v>39</v>
      </c>
      <c r="J2784">
        <v>18</v>
      </c>
      <c r="K2784">
        <v>1600.89</v>
      </c>
      <c r="L2784">
        <v>28816.11</v>
      </c>
      <c r="M2784">
        <v>18691.919999999998</v>
      </c>
      <c r="N2784">
        <v>2665.44</v>
      </c>
      <c r="O2784">
        <v>1198.75</v>
      </c>
      <c r="P2784">
        <v>1016.79</v>
      </c>
      <c r="Q2784">
        <v>285.73</v>
      </c>
      <c r="R2784">
        <v>1444.8</v>
      </c>
      <c r="S2784">
        <v>337.93</v>
      </c>
      <c r="T2784">
        <v>25641.35</v>
      </c>
      <c r="U2784">
        <v>10124.19</v>
      </c>
      <c r="V2784">
        <v>3174.75</v>
      </c>
      <c r="W2784">
        <v>3091.94</v>
      </c>
      <c r="X2784">
        <v>29872.37</v>
      </c>
      <c r="Y2784">
        <v>27451.57</v>
      </c>
    </row>
    <row r="2785" spans="1:25" x14ac:dyDescent="0.25">
      <c r="A2785" t="s">
        <v>2841</v>
      </c>
      <c r="B2785" s="1">
        <v>45708</v>
      </c>
      <c r="C2785">
        <v>2025</v>
      </c>
      <c r="D2785">
        <v>2</v>
      </c>
      <c r="E2785" t="s">
        <v>161</v>
      </c>
      <c r="F2785" t="s">
        <v>27</v>
      </c>
      <c r="G2785" t="s">
        <v>28</v>
      </c>
      <c r="H2785" t="s">
        <v>53</v>
      </c>
      <c r="I2785" t="s">
        <v>45</v>
      </c>
      <c r="J2785">
        <v>31</v>
      </c>
      <c r="K2785">
        <v>1298.5899999999999</v>
      </c>
      <c r="L2785">
        <v>40256.21</v>
      </c>
      <c r="M2785">
        <v>21163.27</v>
      </c>
      <c r="N2785">
        <v>3892.66</v>
      </c>
      <c r="O2785">
        <v>1056.26</v>
      </c>
      <c r="P2785">
        <v>741.66</v>
      </c>
      <c r="Q2785">
        <v>642.37</v>
      </c>
      <c r="R2785">
        <v>1740.53</v>
      </c>
      <c r="S2785">
        <v>440.41</v>
      </c>
      <c r="T2785">
        <v>29677.16</v>
      </c>
      <c r="U2785">
        <v>19092.939999999999</v>
      </c>
      <c r="V2785">
        <v>10579.05</v>
      </c>
      <c r="W2785">
        <v>9952.06</v>
      </c>
      <c r="X2785">
        <v>38400.800000000003</v>
      </c>
      <c r="Y2785">
        <v>27619.58</v>
      </c>
    </row>
    <row r="2786" spans="1:25" x14ac:dyDescent="0.25">
      <c r="A2786" t="s">
        <v>2842</v>
      </c>
      <c r="B2786" s="1">
        <v>45709</v>
      </c>
      <c r="C2786">
        <v>2025</v>
      </c>
      <c r="D2786">
        <v>2</v>
      </c>
      <c r="E2786" t="s">
        <v>161</v>
      </c>
      <c r="F2786" t="s">
        <v>27</v>
      </c>
      <c r="G2786" t="s">
        <v>44</v>
      </c>
      <c r="H2786" t="s">
        <v>29</v>
      </c>
      <c r="I2786" t="s">
        <v>30</v>
      </c>
      <c r="J2786">
        <v>61</v>
      </c>
      <c r="K2786">
        <v>1711.66</v>
      </c>
      <c r="L2786">
        <v>104411.23</v>
      </c>
      <c r="M2786">
        <v>52029.25</v>
      </c>
      <c r="N2786">
        <v>7499.19</v>
      </c>
      <c r="O2786">
        <v>6972.82</v>
      </c>
      <c r="P2786">
        <v>3391.82</v>
      </c>
      <c r="Q2786">
        <v>968.56</v>
      </c>
      <c r="R2786">
        <v>4521.18</v>
      </c>
      <c r="S2786">
        <v>2248.0300000000002</v>
      </c>
      <c r="T2786">
        <v>77630.86</v>
      </c>
      <c r="U2786">
        <v>52381.98</v>
      </c>
      <c r="V2786">
        <v>26780.38</v>
      </c>
      <c r="W2786">
        <v>26271.15</v>
      </c>
      <c r="X2786">
        <v>105662.95</v>
      </c>
      <c r="Y2786">
        <v>72279.55</v>
      </c>
    </row>
    <row r="2787" spans="1:25" x14ac:dyDescent="0.25">
      <c r="A2787" t="s">
        <v>2843</v>
      </c>
      <c r="B2787" s="1">
        <v>45709</v>
      </c>
      <c r="C2787">
        <v>2025</v>
      </c>
      <c r="D2787">
        <v>2</v>
      </c>
      <c r="E2787" t="s">
        <v>161</v>
      </c>
      <c r="F2787" t="s">
        <v>27</v>
      </c>
      <c r="G2787" t="s">
        <v>35</v>
      </c>
      <c r="H2787" t="s">
        <v>36</v>
      </c>
      <c r="I2787" t="s">
        <v>56</v>
      </c>
      <c r="J2787">
        <v>17</v>
      </c>
      <c r="K2787">
        <v>1759.83</v>
      </c>
      <c r="L2787">
        <v>29917.1</v>
      </c>
      <c r="M2787">
        <v>18360.240000000002</v>
      </c>
      <c r="N2787">
        <v>2715.28</v>
      </c>
      <c r="O2787">
        <v>1066.28</v>
      </c>
      <c r="P2787">
        <v>520.85</v>
      </c>
      <c r="Q2787">
        <v>461.94</v>
      </c>
      <c r="R2787">
        <v>976.12</v>
      </c>
      <c r="S2787">
        <v>504.71</v>
      </c>
      <c r="T2787">
        <v>24605.42</v>
      </c>
      <c r="U2787">
        <v>11556.85</v>
      </c>
      <c r="V2787">
        <v>5311.68</v>
      </c>
      <c r="W2787">
        <v>5059.8900000000003</v>
      </c>
      <c r="X2787">
        <v>33000.65</v>
      </c>
      <c r="Y2787">
        <v>25614.78</v>
      </c>
    </row>
    <row r="2788" spans="1:25" x14ac:dyDescent="0.25">
      <c r="A2788" t="s">
        <v>2844</v>
      </c>
      <c r="B2788" s="1">
        <v>45709</v>
      </c>
      <c r="C2788">
        <v>2025</v>
      </c>
      <c r="D2788">
        <v>2</v>
      </c>
      <c r="E2788" t="s">
        <v>161</v>
      </c>
      <c r="F2788" t="s">
        <v>27</v>
      </c>
      <c r="G2788" t="s">
        <v>28</v>
      </c>
      <c r="H2788" t="s">
        <v>58</v>
      </c>
      <c r="I2788" t="s">
        <v>56</v>
      </c>
      <c r="J2788">
        <v>23</v>
      </c>
      <c r="K2788">
        <v>1651.04</v>
      </c>
      <c r="L2788">
        <v>37973.839999999997</v>
      </c>
      <c r="M2788">
        <v>24466.57</v>
      </c>
      <c r="N2788">
        <v>3202.2</v>
      </c>
      <c r="O2788">
        <v>1401.98</v>
      </c>
      <c r="P2788">
        <v>605.32000000000005</v>
      </c>
      <c r="Q2788">
        <v>301.04000000000002</v>
      </c>
      <c r="R2788">
        <v>2463.6</v>
      </c>
      <c r="S2788">
        <v>805.93</v>
      </c>
      <c r="T2788">
        <v>33246.639999999999</v>
      </c>
      <c r="U2788">
        <v>13507.27</v>
      </c>
      <c r="V2788">
        <v>4727.2</v>
      </c>
      <c r="W2788">
        <v>4444.5</v>
      </c>
      <c r="X2788">
        <v>40548.94</v>
      </c>
      <c r="Y2788">
        <v>32205.84</v>
      </c>
    </row>
    <row r="2789" spans="1:25" x14ac:dyDescent="0.25">
      <c r="A2789" t="s">
        <v>2845</v>
      </c>
      <c r="B2789" s="1">
        <v>45710</v>
      </c>
      <c r="C2789">
        <v>2025</v>
      </c>
      <c r="D2789">
        <v>2</v>
      </c>
      <c r="E2789" t="s">
        <v>161</v>
      </c>
      <c r="F2789" t="s">
        <v>27</v>
      </c>
      <c r="G2789" t="s">
        <v>35</v>
      </c>
      <c r="H2789" t="s">
        <v>36</v>
      </c>
      <c r="I2789" t="s">
        <v>45</v>
      </c>
      <c r="J2789">
        <v>26</v>
      </c>
      <c r="K2789">
        <v>1578.59</v>
      </c>
      <c r="L2789">
        <v>41043.24</v>
      </c>
      <c r="M2789">
        <v>20279.64</v>
      </c>
      <c r="N2789">
        <v>5130.24</v>
      </c>
      <c r="O2789">
        <v>2199.1</v>
      </c>
      <c r="P2789">
        <v>932.19</v>
      </c>
      <c r="Q2789">
        <v>398.94</v>
      </c>
      <c r="R2789">
        <v>1695.29</v>
      </c>
      <c r="S2789">
        <v>899.36</v>
      </c>
      <c r="T2789">
        <v>31534.78</v>
      </c>
      <c r="U2789">
        <v>20763.59</v>
      </c>
      <c r="V2789">
        <v>9508.4599999999991</v>
      </c>
      <c r="W2789">
        <v>9406.7199999999993</v>
      </c>
      <c r="X2789">
        <v>44303.87</v>
      </c>
      <c r="Y2789">
        <v>30811.74</v>
      </c>
    </row>
    <row r="2790" spans="1:25" x14ac:dyDescent="0.25">
      <c r="A2790" t="s">
        <v>2846</v>
      </c>
      <c r="B2790" s="1">
        <v>45710</v>
      </c>
      <c r="C2790">
        <v>2025</v>
      </c>
      <c r="D2790">
        <v>2</v>
      </c>
      <c r="E2790" t="s">
        <v>161</v>
      </c>
      <c r="F2790" t="s">
        <v>27</v>
      </c>
      <c r="G2790" t="s">
        <v>55</v>
      </c>
      <c r="H2790" t="s">
        <v>53</v>
      </c>
      <c r="I2790" t="s">
        <v>33</v>
      </c>
      <c r="J2790">
        <v>48</v>
      </c>
      <c r="K2790">
        <v>1337.43</v>
      </c>
      <c r="L2790">
        <v>64196.56</v>
      </c>
      <c r="M2790">
        <v>42871.199999999997</v>
      </c>
      <c r="N2790">
        <v>6491.61</v>
      </c>
      <c r="O2790">
        <v>3060.49</v>
      </c>
      <c r="P2790">
        <v>1128.17</v>
      </c>
      <c r="Q2790">
        <v>742.26</v>
      </c>
      <c r="R2790">
        <v>2067.63</v>
      </c>
      <c r="S2790">
        <v>535.61</v>
      </c>
      <c r="T2790">
        <v>56896.959999999999</v>
      </c>
      <c r="U2790">
        <v>21325.360000000001</v>
      </c>
      <c r="V2790">
        <v>7299.6</v>
      </c>
      <c r="W2790">
        <v>7261.76</v>
      </c>
      <c r="X2790">
        <v>70793.22</v>
      </c>
      <c r="Y2790">
        <v>60291.03</v>
      </c>
    </row>
    <row r="2791" spans="1:25" x14ac:dyDescent="0.25">
      <c r="A2791" t="s">
        <v>2847</v>
      </c>
      <c r="B2791" s="1">
        <v>45710</v>
      </c>
      <c r="C2791">
        <v>2025</v>
      </c>
      <c r="D2791">
        <v>2</v>
      </c>
      <c r="E2791" t="s">
        <v>161</v>
      </c>
      <c r="F2791" t="s">
        <v>27</v>
      </c>
      <c r="G2791" t="s">
        <v>44</v>
      </c>
      <c r="H2791" t="s">
        <v>36</v>
      </c>
      <c r="I2791" t="s">
        <v>33</v>
      </c>
      <c r="J2791">
        <v>95</v>
      </c>
      <c r="K2791">
        <v>900.93</v>
      </c>
      <c r="L2791">
        <v>85588.15</v>
      </c>
      <c r="M2791">
        <v>47077.88</v>
      </c>
      <c r="N2791">
        <v>7138</v>
      </c>
      <c r="O2791">
        <v>4678.79</v>
      </c>
      <c r="P2791">
        <v>1479.12</v>
      </c>
      <c r="Q2791">
        <v>1381.19</v>
      </c>
      <c r="R2791">
        <v>4899.13</v>
      </c>
      <c r="S2791">
        <v>756.17</v>
      </c>
      <c r="T2791">
        <v>67410.289999999994</v>
      </c>
      <c r="U2791">
        <v>38510.269999999997</v>
      </c>
      <c r="V2791">
        <v>18177.86</v>
      </c>
      <c r="W2791">
        <v>18315.47</v>
      </c>
      <c r="X2791">
        <v>90005.39</v>
      </c>
      <c r="Y2791">
        <v>65527.01</v>
      </c>
    </row>
    <row r="2792" spans="1:25" x14ac:dyDescent="0.25">
      <c r="A2792" t="s">
        <v>2848</v>
      </c>
      <c r="B2792" s="1">
        <v>45711</v>
      </c>
      <c r="C2792">
        <v>2025</v>
      </c>
      <c r="D2792">
        <v>2</v>
      </c>
      <c r="E2792" t="s">
        <v>161</v>
      </c>
      <c r="F2792" t="s">
        <v>27</v>
      </c>
      <c r="G2792" t="s">
        <v>44</v>
      </c>
      <c r="H2792" t="s">
        <v>36</v>
      </c>
      <c r="I2792" t="s">
        <v>30</v>
      </c>
      <c r="J2792">
        <v>52</v>
      </c>
      <c r="K2792">
        <v>1745.84</v>
      </c>
      <c r="L2792">
        <v>90783.74</v>
      </c>
      <c r="M2792">
        <v>52041.75</v>
      </c>
      <c r="N2792">
        <v>11545.9</v>
      </c>
      <c r="O2792">
        <v>3603.09</v>
      </c>
      <c r="P2792">
        <v>1365.68</v>
      </c>
      <c r="Q2792">
        <v>1012.48</v>
      </c>
      <c r="R2792">
        <v>2761.85</v>
      </c>
      <c r="S2792">
        <v>1074.75</v>
      </c>
      <c r="T2792">
        <v>73405.490000000005</v>
      </c>
      <c r="U2792">
        <v>38742</v>
      </c>
      <c r="V2792">
        <v>17378.25</v>
      </c>
      <c r="W2792">
        <v>15593.14</v>
      </c>
      <c r="X2792">
        <v>99139.74</v>
      </c>
      <c r="Y2792">
        <v>73551.740000000005</v>
      </c>
    </row>
    <row r="2793" spans="1:25" x14ac:dyDescent="0.25">
      <c r="A2793" t="s">
        <v>2849</v>
      </c>
      <c r="B2793" s="1">
        <v>45711</v>
      </c>
      <c r="C2793">
        <v>2025</v>
      </c>
      <c r="D2793">
        <v>2</v>
      </c>
      <c r="E2793" t="s">
        <v>161</v>
      </c>
      <c r="F2793" t="s">
        <v>27</v>
      </c>
      <c r="G2793" t="s">
        <v>28</v>
      </c>
      <c r="H2793" t="s">
        <v>53</v>
      </c>
      <c r="I2793" t="s">
        <v>30</v>
      </c>
      <c r="J2793">
        <v>38</v>
      </c>
      <c r="K2793">
        <v>1693.78</v>
      </c>
      <c r="L2793">
        <v>64363.53</v>
      </c>
      <c r="M2793">
        <v>33734.519999999997</v>
      </c>
      <c r="N2793">
        <v>7654.28</v>
      </c>
      <c r="O2793">
        <v>2592.9699999999998</v>
      </c>
      <c r="P2793">
        <v>1762.79</v>
      </c>
      <c r="Q2793">
        <v>583.15</v>
      </c>
      <c r="R2793">
        <v>4050.01</v>
      </c>
      <c r="S2793">
        <v>916.97</v>
      </c>
      <c r="T2793">
        <v>51294.68</v>
      </c>
      <c r="U2793">
        <v>30629.01</v>
      </c>
      <c r="V2793">
        <v>13068.85</v>
      </c>
      <c r="W2793">
        <v>12452.61</v>
      </c>
      <c r="X2793">
        <v>60099.65</v>
      </c>
      <c r="Y2793">
        <v>53975.02</v>
      </c>
    </row>
    <row r="2794" spans="1:25" x14ac:dyDescent="0.25">
      <c r="A2794" t="s">
        <v>2850</v>
      </c>
      <c r="B2794" s="1">
        <v>45711</v>
      </c>
      <c r="C2794">
        <v>2025</v>
      </c>
      <c r="D2794">
        <v>2</v>
      </c>
      <c r="E2794" t="s">
        <v>161</v>
      </c>
      <c r="F2794" t="s">
        <v>27</v>
      </c>
      <c r="G2794" t="s">
        <v>35</v>
      </c>
      <c r="H2794" t="s">
        <v>36</v>
      </c>
      <c r="I2794" t="s">
        <v>39</v>
      </c>
      <c r="J2794">
        <v>33</v>
      </c>
      <c r="K2794">
        <v>1314.39</v>
      </c>
      <c r="L2794">
        <v>43374.879999999997</v>
      </c>
      <c r="M2794">
        <v>27141.13</v>
      </c>
      <c r="N2794">
        <v>3271.31</v>
      </c>
      <c r="O2794">
        <v>1313.81</v>
      </c>
      <c r="P2794">
        <v>1059.29</v>
      </c>
      <c r="Q2794">
        <v>671.48</v>
      </c>
      <c r="R2794">
        <v>1934.64</v>
      </c>
      <c r="S2794">
        <v>730.8</v>
      </c>
      <c r="T2794">
        <v>36122.449999999997</v>
      </c>
      <c r="U2794">
        <v>16233.75</v>
      </c>
      <c r="V2794">
        <v>7252.43</v>
      </c>
      <c r="W2794">
        <v>7002.05</v>
      </c>
      <c r="X2794">
        <v>43494.13</v>
      </c>
      <c r="Y2794">
        <v>36350.230000000003</v>
      </c>
    </row>
    <row r="2795" spans="1:25" x14ac:dyDescent="0.25">
      <c r="A2795" t="s">
        <v>2851</v>
      </c>
      <c r="B2795" s="1">
        <v>45711</v>
      </c>
      <c r="C2795">
        <v>2025</v>
      </c>
      <c r="D2795">
        <v>2</v>
      </c>
      <c r="E2795" t="s">
        <v>161</v>
      </c>
      <c r="F2795" t="s">
        <v>27</v>
      </c>
      <c r="G2795" t="s">
        <v>28</v>
      </c>
      <c r="H2795" t="s">
        <v>29</v>
      </c>
      <c r="I2795" t="s">
        <v>30</v>
      </c>
      <c r="J2795">
        <v>58</v>
      </c>
      <c r="K2795">
        <v>1417.13</v>
      </c>
      <c r="L2795">
        <v>82193.81</v>
      </c>
      <c r="M2795">
        <v>55082.44</v>
      </c>
      <c r="N2795">
        <v>10056.58</v>
      </c>
      <c r="O2795">
        <v>5984.12</v>
      </c>
      <c r="P2795">
        <v>3160.11</v>
      </c>
      <c r="Q2795">
        <v>921.05</v>
      </c>
      <c r="R2795">
        <v>3327.9</v>
      </c>
      <c r="S2795">
        <v>951.34</v>
      </c>
      <c r="T2795">
        <v>79483.55</v>
      </c>
      <c r="U2795">
        <v>27111.37</v>
      </c>
      <c r="V2795">
        <v>2710.26</v>
      </c>
      <c r="W2795">
        <v>2733.06</v>
      </c>
      <c r="X2795">
        <v>86179.44</v>
      </c>
      <c r="Y2795">
        <v>74367.81</v>
      </c>
    </row>
    <row r="2796" spans="1:25" x14ac:dyDescent="0.25">
      <c r="A2796" t="s">
        <v>2852</v>
      </c>
      <c r="B2796" s="1">
        <v>45711</v>
      </c>
      <c r="C2796">
        <v>2025</v>
      </c>
      <c r="D2796">
        <v>2</v>
      </c>
      <c r="E2796" t="s">
        <v>161</v>
      </c>
      <c r="F2796" t="s">
        <v>27</v>
      </c>
      <c r="G2796" t="s">
        <v>35</v>
      </c>
      <c r="H2796" t="s">
        <v>36</v>
      </c>
      <c r="I2796" t="s">
        <v>56</v>
      </c>
      <c r="J2796">
        <v>17</v>
      </c>
      <c r="K2796">
        <v>1788.33</v>
      </c>
      <c r="L2796">
        <v>30401.67</v>
      </c>
      <c r="M2796">
        <v>15239.96</v>
      </c>
      <c r="N2796">
        <v>3592.51</v>
      </c>
      <c r="O2796">
        <v>1928.37</v>
      </c>
      <c r="P2796">
        <v>1099.21</v>
      </c>
      <c r="Q2796">
        <v>345.43</v>
      </c>
      <c r="R2796">
        <v>856.58</v>
      </c>
      <c r="S2796">
        <v>631.21</v>
      </c>
      <c r="T2796">
        <v>23693.27</v>
      </c>
      <c r="U2796">
        <v>15161.72</v>
      </c>
      <c r="V2796">
        <v>6708.41</v>
      </c>
      <c r="W2796">
        <v>6137.54</v>
      </c>
      <c r="X2796">
        <v>29595.17</v>
      </c>
      <c r="Y2796">
        <v>22669.439999999999</v>
      </c>
    </row>
    <row r="2797" spans="1:25" x14ac:dyDescent="0.25">
      <c r="A2797" t="s">
        <v>2853</v>
      </c>
      <c r="B2797" s="1">
        <v>45712</v>
      </c>
      <c r="C2797">
        <v>2025</v>
      </c>
      <c r="D2797">
        <v>2</v>
      </c>
      <c r="E2797" t="s">
        <v>161</v>
      </c>
      <c r="F2797" t="s">
        <v>27</v>
      </c>
      <c r="G2797" t="s">
        <v>28</v>
      </c>
      <c r="H2797" t="s">
        <v>53</v>
      </c>
      <c r="I2797" t="s">
        <v>39</v>
      </c>
      <c r="J2797">
        <v>55</v>
      </c>
      <c r="K2797">
        <v>839.88</v>
      </c>
      <c r="L2797">
        <v>46193.32</v>
      </c>
      <c r="M2797">
        <v>27527.47</v>
      </c>
      <c r="N2797">
        <v>3526.1</v>
      </c>
      <c r="O2797">
        <v>2205.48</v>
      </c>
      <c r="P2797">
        <v>909.65</v>
      </c>
      <c r="Q2797">
        <v>780.97</v>
      </c>
      <c r="R2797">
        <v>1644.05</v>
      </c>
      <c r="S2797">
        <v>401.87</v>
      </c>
      <c r="T2797">
        <v>36995.589999999997</v>
      </c>
      <c r="U2797">
        <v>18665.849999999999</v>
      </c>
      <c r="V2797">
        <v>9197.73</v>
      </c>
      <c r="W2797">
        <v>9252.19</v>
      </c>
      <c r="X2797">
        <v>43513.53</v>
      </c>
      <c r="Y2797">
        <v>40391.730000000003</v>
      </c>
    </row>
    <row r="2798" spans="1:25" x14ac:dyDescent="0.25">
      <c r="A2798" t="s">
        <v>2854</v>
      </c>
      <c r="B2798" s="1">
        <v>45713</v>
      </c>
      <c r="C2798">
        <v>2025</v>
      </c>
      <c r="D2798">
        <v>2</v>
      </c>
      <c r="E2798" t="s">
        <v>161</v>
      </c>
      <c r="F2798" t="s">
        <v>27</v>
      </c>
      <c r="G2798" t="s">
        <v>28</v>
      </c>
      <c r="H2798" t="s">
        <v>36</v>
      </c>
      <c r="I2798" t="s">
        <v>50</v>
      </c>
      <c r="J2798">
        <v>32</v>
      </c>
      <c r="K2798">
        <v>1455.73</v>
      </c>
      <c r="L2798">
        <v>46583.42</v>
      </c>
      <c r="M2798">
        <v>29664.63</v>
      </c>
      <c r="N2798">
        <v>4165.96</v>
      </c>
      <c r="O2798">
        <v>2362.21</v>
      </c>
      <c r="P2798">
        <v>1071.69</v>
      </c>
      <c r="Q2798">
        <v>585.32000000000005</v>
      </c>
      <c r="R2798">
        <v>2280.23</v>
      </c>
      <c r="S2798">
        <v>873.66</v>
      </c>
      <c r="T2798">
        <v>41003.69</v>
      </c>
      <c r="U2798">
        <v>16918.79</v>
      </c>
      <c r="V2798">
        <v>5579.73</v>
      </c>
      <c r="W2798">
        <v>5644.59</v>
      </c>
      <c r="X2798">
        <v>48902.080000000002</v>
      </c>
      <c r="Y2798">
        <v>43687.96</v>
      </c>
    </row>
    <row r="2799" spans="1:25" x14ac:dyDescent="0.25">
      <c r="A2799" t="s">
        <v>2855</v>
      </c>
      <c r="B2799" s="1">
        <v>45713</v>
      </c>
      <c r="C2799">
        <v>2025</v>
      </c>
      <c r="D2799">
        <v>2</v>
      </c>
      <c r="E2799" t="s">
        <v>161</v>
      </c>
      <c r="F2799" t="s">
        <v>27</v>
      </c>
      <c r="G2799" t="s">
        <v>28</v>
      </c>
      <c r="H2799" t="s">
        <v>32</v>
      </c>
      <c r="I2799" t="s">
        <v>45</v>
      </c>
      <c r="J2799">
        <v>40</v>
      </c>
      <c r="K2799">
        <v>1191.1600000000001</v>
      </c>
      <c r="L2799">
        <v>47646.27</v>
      </c>
      <c r="M2799">
        <v>27092.639999999999</v>
      </c>
      <c r="N2799">
        <v>4978.72</v>
      </c>
      <c r="O2799">
        <v>2970.27</v>
      </c>
      <c r="P2799">
        <v>844.1</v>
      </c>
      <c r="Q2799">
        <v>508.93</v>
      </c>
      <c r="R2799">
        <v>1268.03</v>
      </c>
      <c r="S2799">
        <v>529.35</v>
      </c>
      <c r="T2799">
        <v>38192.050000000003</v>
      </c>
      <c r="U2799">
        <v>20553.63</v>
      </c>
      <c r="V2799">
        <v>9454.23</v>
      </c>
      <c r="W2799">
        <v>8867.99</v>
      </c>
      <c r="X2799">
        <v>48882.720000000001</v>
      </c>
      <c r="Y2799">
        <v>35539.870000000003</v>
      </c>
    </row>
    <row r="2800" spans="1:25" x14ac:dyDescent="0.25">
      <c r="A2800" t="s">
        <v>2856</v>
      </c>
      <c r="B2800" s="1">
        <v>45713</v>
      </c>
      <c r="C2800">
        <v>2025</v>
      </c>
      <c r="D2800">
        <v>2</v>
      </c>
      <c r="E2800" t="s">
        <v>161</v>
      </c>
      <c r="F2800" t="s">
        <v>27</v>
      </c>
      <c r="G2800" t="s">
        <v>28</v>
      </c>
      <c r="H2800" t="s">
        <v>53</v>
      </c>
      <c r="I2800" t="s">
        <v>56</v>
      </c>
      <c r="J2800">
        <v>26</v>
      </c>
      <c r="K2800">
        <v>1437.42</v>
      </c>
      <c r="L2800">
        <v>37372.86</v>
      </c>
      <c r="M2800">
        <v>20272.02</v>
      </c>
      <c r="N2800">
        <v>3998.65</v>
      </c>
      <c r="O2800">
        <v>2117.9899999999998</v>
      </c>
      <c r="P2800">
        <v>1293.5899999999999</v>
      </c>
      <c r="Q2800">
        <v>621.51</v>
      </c>
      <c r="R2800">
        <v>1650.15</v>
      </c>
      <c r="S2800">
        <v>761.3</v>
      </c>
      <c r="T2800">
        <v>30715.21</v>
      </c>
      <c r="U2800">
        <v>17100.849999999999</v>
      </c>
      <c r="V2800">
        <v>6657.65</v>
      </c>
      <c r="W2800">
        <v>5930.76</v>
      </c>
      <c r="X2800">
        <v>39980.410000000003</v>
      </c>
      <c r="Y2800">
        <v>32622.14</v>
      </c>
    </row>
    <row r="2801" spans="1:25" x14ac:dyDescent="0.25">
      <c r="A2801" t="s">
        <v>2857</v>
      </c>
      <c r="B2801" s="1">
        <v>45715</v>
      </c>
      <c r="C2801">
        <v>2025</v>
      </c>
      <c r="D2801">
        <v>2</v>
      </c>
      <c r="E2801" t="s">
        <v>161</v>
      </c>
      <c r="F2801" t="s">
        <v>27</v>
      </c>
      <c r="G2801" t="s">
        <v>28</v>
      </c>
      <c r="H2801" t="s">
        <v>32</v>
      </c>
      <c r="I2801" t="s">
        <v>65</v>
      </c>
      <c r="J2801">
        <v>43</v>
      </c>
      <c r="K2801">
        <v>1780.23</v>
      </c>
      <c r="L2801">
        <v>76549.850000000006</v>
      </c>
      <c r="M2801">
        <v>43021.35</v>
      </c>
      <c r="N2801">
        <v>9595.02</v>
      </c>
      <c r="O2801">
        <v>5007.63</v>
      </c>
      <c r="P2801">
        <v>1447.3</v>
      </c>
      <c r="Q2801">
        <v>1008.46</v>
      </c>
      <c r="R2801">
        <v>4133.12</v>
      </c>
      <c r="S2801">
        <v>1428.49</v>
      </c>
      <c r="T2801">
        <v>65641.350000000006</v>
      </c>
      <c r="U2801">
        <v>33528.51</v>
      </c>
      <c r="V2801">
        <v>10908.5</v>
      </c>
      <c r="W2801">
        <v>10597.79</v>
      </c>
      <c r="X2801">
        <v>75410.37</v>
      </c>
      <c r="Y2801">
        <v>65011.56</v>
      </c>
    </row>
    <row r="2802" spans="1:25" x14ac:dyDescent="0.25">
      <c r="A2802" t="s">
        <v>2858</v>
      </c>
      <c r="B2802" s="1">
        <v>45715</v>
      </c>
      <c r="C2802">
        <v>2025</v>
      </c>
      <c r="D2802">
        <v>2</v>
      </c>
      <c r="E2802" t="s">
        <v>161</v>
      </c>
      <c r="F2802" t="s">
        <v>27</v>
      </c>
      <c r="G2802" t="s">
        <v>44</v>
      </c>
      <c r="H2802" t="s">
        <v>29</v>
      </c>
      <c r="I2802" t="s">
        <v>50</v>
      </c>
      <c r="J2802">
        <v>32</v>
      </c>
      <c r="K2802">
        <v>1602.12</v>
      </c>
      <c r="L2802">
        <v>51267.96</v>
      </c>
      <c r="M2802">
        <v>25860.38</v>
      </c>
      <c r="N2802">
        <v>4719.1099999999997</v>
      </c>
      <c r="O2802">
        <v>2631.45</v>
      </c>
      <c r="P2802">
        <v>1025.1400000000001</v>
      </c>
      <c r="Q2802">
        <v>343.01</v>
      </c>
      <c r="R2802">
        <v>3285.13</v>
      </c>
      <c r="S2802">
        <v>540.63</v>
      </c>
      <c r="T2802">
        <v>38404.85</v>
      </c>
      <c r="U2802">
        <v>25407.59</v>
      </c>
      <c r="V2802">
        <v>12863.11</v>
      </c>
      <c r="W2802">
        <v>11705.47</v>
      </c>
      <c r="X2802">
        <v>56835.31</v>
      </c>
      <c r="Y2802">
        <v>42172.72</v>
      </c>
    </row>
    <row r="2803" spans="1:25" x14ac:dyDescent="0.25">
      <c r="A2803" t="s">
        <v>2859</v>
      </c>
      <c r="B2803" s="1">
        <v>45716</v>
      </c>
      <c r="C2803">
        <v>2025</v>
      </c>
      <c r="D2803">
        <v>2</v>
      </c>
      <c r="E2803" t="s">
        <v>161</v>
      </c>
      <c r="F2803" t="s">
        <v>27</v>
      </c>
      <c r="G2803" t="s">
        <v>44</v>
      </c>
      <c r="H2803" t="s">
        <v>29</v>
      </c>
      <c r="I2803" t="s">
        <v>33</v>
      </c>
      <c r="J2803">
        <v>36</v>
      </c>
      <c r="K2803">
        <v>1535.33</v>
      </c>
      <c r="L2803">
        <v>55272.02</v>
      </c>
      <c r="M2803">
        <v>34797.32</v>
      </c>
      <c r="N2803">
        <v>5406.41</v>
      </c>
      <c r="O2803">
        <v>3494.65</v>
      </c>
      <c r="P2803">
        <v>1358.78</v>
      </c>
      <c r="Q2803">
        <v>438.89</v>
      </c>
      <c r="R2803">
        <v>3005.27</v>
      </c>
      <c r="S2803">
        <v>792.88</v>
      </c>
      <c r="T2803">
        <v>49294.2</v>
      </c>
      <c r="U2803">
        <v>20474.7</v>
      </c>
      <c r="V2803">
        <v>5977.82</v>
      </c>
      <c r="W2803">
        <v>5586.98</v>
      </c>
      <c r="X2803">
        <v>61314.53</v>
      </c>
      <c r="Y2803">
        <v>51179.46</v>
      </c>
    </row>
    <row r="2804" spans="1:25" x14ac:dyDescent="0.25">
      <c r="A2804" t="s">
        <v>2860</v>
      </c>
      <c r="B2804" s="1">
        <v>45716</v>
      </c>
      <c r="C2804">
        <v>2025</v>
      </c>
      <c r="D2804">
        <v>2</v>
      </c>
      <c r="E2804" t="s">
        <v>161</v>
      </c>
      <c r="F2804" t="s">
        <v>27</v>
      </c>
      <c r="G2804" t="s">
        <v>55</v>
      </c>
      <c r="H2804" t="s">
        <v>36</v>
      </c>
      <c r="I2804" t="s">
        <v>39</v>
      </c>
      <c r="J2804">
        <v>32</v>
      </c>
      <c r="K2804">
        <v>1163.33</v>
      </c>
      <c r="L2804">
        <v>37226.480000000003</v>
      </c>
      <c r="M2804">
        <v>23476.81</v>
      </c>
      <c r="N2804">
        <v>3142.79</v>
      </c>
      <c r="O2804">
        <v>1479.67</v>
      </c>
      <c r="P2804">
        <v>1360.6</v>
      </c>
      <c r="Q2804">
        <v>396.28</v>
      </c>
      <c r="R2804">
        <v>2399.4</v>
      </c>
      <c r="S2804">
        <v>652.09</v>
      </c>
      <c r="T2804">
        <v>32907.64</v>
      </c>
      <c r="U2804">
        <v>13749.67</v>
      </c>
      <c r="V2804">
        <v>4318.84</v>
      </c>
      <c r="W2804">
        <v>4006.72</v>
      </c>
      <c r="X2804">
        <v>40304.32</v>
      </c>
      <c r="Y2804">
        <v>33448.35</v>
      </c>
    </row>
    <row r="2805" spans="1:25" x14ac:dyDescent="0.25">
      <c r="A2805" t="s">
        <v>2861</v>
      </c>
      <c r="B2805" s="1">
        <v>45716</v>
      </c>
      <c r="C2805">
        <v>2025</v>
      </c>
      <c r="D2805">
        <v>2</v>
      </c>
      <c r="E2805" t="s">
        <v>161</v>
      </c>
      <c r="F2805" t="s">
        <v>27</v>
      </c>
      <c r="G2805" t="s">
        <v>28</v>
      </c>
      <c r="H2805" t="s">
        <v>32</v>
      </c>
      <c r="I2805" t="s">
        <v>39</v>
      </c>
      <c r="J2805">
        <v>59</v>
      </c>
      <c r="K2805">
        <v>855.22</v>
      </c>
      <c r="L2805">
        <v>50458.17</v>
      </c>
      <c r="M2805">
        <v>28064.33</v>
      </c>
      <c r="N2805">
        <v>5591.1</v>
      </c>
      <c r="O2805">
        <v>2882.11</v>
      </c>
      <c r="P2805">
        <v>1225.3399999999999</v>
      </c>
      <c r="Q2805">
        <v>709.7</v>
      </c>
      <c r="R2805">
        <v>1362.73</v>
      </c>
      <c r="S2805">
        <v>1018.67</v>
      </c>
      <c r="T2805">
        <v>40853.99</v>
      </c>
      <c r="U2805">
        <v>22393.84</v>
      </c>
      <c r="V2805">
        <v>9604.18</v>
      </c>
      <c r="W2805">
        <v>9737.2800000000007</v>
      </c>
      <c r="X2805">
        <v>47153.49</v>
      </c>
      <c r="Y2805">
        <v>41600.79</v>
      </c>
    </row>
    <row r="2806" spans="1:25" x14ac:dyDescent="0.25">
      <c r="A2806" t="s">
        <v>2862</v>
      </c>
      <c r="B2806" s="1">
        <v>45716</v>
      </c>
      <c r="C2806">
        <v>2025</v>
      </c>
      <c r="D2806">
        <v>2</v>
      </c>
      <c r="E2806" t="s">
        <v>161</v>
      </c>
      <c r="F2806" t="s">
        <v>27</v>
      </c>
      <c r="G2806" t="s">
        <v>55</v>
      </c>
      <c r="H2806" t="s">
        <v>32</v>
      </c>
      <c r="I2806" t="s">
        <v>37</v>
      </c>
      <c r="J2806">
        <v>71</v>
      </c>
      <c r="K2806">
        <v>942.49</v>
      </c>
      <c r="L2806">
        <v>66917.02</v>
      </c>
      <c r="M2806">
        <v>34693.699999999997</v>
      </c>
      <c r="N2806">
        <v>8494.27</v>
      </c>
      <c r="O2806">
        <v>2399.1999999999998</v>
      </c>
      <c r="P2806">
        <v>2995.02</v>
      </c>
      <c r="Q2806">
        <v>340.81</v>
      </c>
      <c r="R2806">
        <v>2303.86</v>
      </c>
      <c r="S2806">
        <v>1584.5</v>
      </c>
      <c r="T2806">
        <v>52811.35</v>
      </c>
      <c r="U2806">
        <v>32223.32</v>
      </c>
      <c r="V2806">
        <v>14105.67</v>
      </c>
      <c r="W2806">
        <v>12938.89</v>
      </c>
      <c r="X2806">
        <v>70467.399999999994</v>
      </c>
      <c r="Y2806">
        <v>55103.41</v>
      </c>
    </row>
    <row r="2807" spans="1:25" x14ac:dyDescent="0.25">
      <c r="A2807" t="s">
        <v>2863</v>
      </c>
      <c r="B2807" s="1">
        <v>45716</v>
      </c>
      <c r="C2807">
        <v>2025</v>
      </c>
      <c r="D2807">
        <v>2</v>
      </c>
      <c r="E2807" t="s">
        <v>161</v>
      </c>
      <c r="F2807" t="s">
        <v>27</v>
      </c>
      <c r="G2807" t="s">
        <v>28</v>
      </c>
      <c r="H2807" t="s">
        <v>32</v>
      </c>
      <c r="I2807" t="s">
        <v>33</v>
      </c>
      <c r="J2807">
        <v>98</v>
      </c>
      <c r="K2807">
        <v>1218.47</v>
      </c>
      <c r="L2807">
        <v>119410.25</v>
      </c>
      <c r="M2807">
        <v>75835.47</v>
      </c>
      <c r="N2807">
        <v>8468.6200000000008</v>
      </c>
      <c r="O2807">
        <v>5791.62</v>
      </c>
      <c r="P2807">
        <v>5104.33</v>
      </c>
      <c r="Q2807">
        <v>666.1</v>
      </c>
      <c r="R2807">
        <v>4549.03</v>
      </c>
      <c r="S2807">
        <v>1595.22</v>
      </c>
      <c r="T2807">
        <v>102010.39</v>
      </c>
      <c r="U2807">
        <v>43574.78</v>
      </c>
      <c r="V2807">
        <v>17399.86</v>
      </c>
      <c r="W2807">
        <v>16381.82</v>
      </c>
      <c r="X2807">
        <v>130869.4</v>
      </c>
      <c r="Y2807">
        <v>107122.72</v>
      </c>
    </row>
    <row r="2808" spans="1:25" x14ac:dyDescent="0.25">
      <c r="A2808" t="s">
        <v>2864</v>
      </c>
      <c r="B2808" s="1">
        <v>45717</v>
      </c>
      <c r="C2808">
        <v>2025</v>
      </c>
      <c r="D2808">
        <v>3</v>
      </c>
      <c r="E2808" t="s">
        <v>260</v>
      </c>
      <c r="F2808" t="s">
        <v>27</v>
      </c>
      <c r="G2808" t="s">
        <v>35</v>
      </c>
      <c r="H2808" t="s">
        <v>32</v>
      </c>
      <c r="I2808" t="s">
        <v>39</v>
      </c>
      <c r="J2808">
        <v>35</v>
      </c>
      <c r="K2808">
        <v>1006.2</v>
      </c>
      <c r="L2808">
        <v>35216.99</v>
      </c>
      <c r="M2808">
        <v>18641.95</v>
      </c>
      <c r="N2808">
        <v>4044.34</v>
      </c>
      <c r="O2808">
        <v>1279.55</v>
      </c>
      <c r="P2808">
        <v>1335.11</v>
      </c>
      <c r="Q2808">
        <v>444.21</v>
      </c>
      <c r="R2808">
        <v>1826.42</v>
      </c>
      <c r="S2808">
        <v>458.79</v>
      </c>
      <c r="T2808">
        <v>28030.36</v>
      </c>
      <c r="U2808">
        <v>16575.04</v>
      </c>
      <c r="V2808">
        <v>7186.63</v>
      </c>
      <c r="W2808">
        <v>6368.73</v>
      </c>
      <c r="X2808">
        <v>39142.11</v>
      </c>
      <c r="Y2808">
        <v>30167.759999999998</v>
      </c>
    </row>
    <row r="2809" spans="1:25" x14ac:dyDescent="0.25">
      <c r="A2809" t="s">
        <v>2865</v>
      </c>
      <c r="B2809" s="1">
        <v>45717</v>
      </c>
      <c r="C2809">
        <v>2025</v>
      </c>
      <c r="D2809">
        <v>3</v>
      </c>
      <c r="E2809" t="s">
        <v>260</v>
      </c>
      <c r="F2809" t="s">
        <v>27</v>
      </c>
      <c r="G2809" t="s">
        <v>35</v>
      </c>
      <c r="H2809" t="s">
        <v>53</v>
      </c>
      <c r="I2809" t="s">
        <v>50</v>
      </c>
      <c r="J2809">
        <v>36</v>
      </c>
      <c r="K2809">
        <v>1330.34</v>
      </c>
      <c r="L2809">
        <v>47892.25</v>
      </c>
      <c r="M2809">
        <v>28533.91</v>
      </c>
      <c r="N2809">
        <v>5288.58</v>
      </c>
      <c r="O2809">
        <v>2252.87</v>
      </c>
      <c r="P2809">
        <v>911.78</v>
      </c>
      <c r="Q2809">
        <v>506.7</v>
      </c>
      <c r="R2809">
        <v>2144.15</v>
      </c>
      <c r="S2809">
        <v>615.6</v>
      </c>
      <c r="T2809">
        <v>40253.599999999999</v>
      </c>
      <c r="U2809">
        <v>19358.34</v>
      </c>
      <c r="V2809">
        <v>7638.65</v>
      </c>
      <c r="W2809">
        <v>7354.88</v>
      </c>
      <c r="X2809">
        <v>53007.06</v>
      </c>
      <c r="Y2809">
        <v>39954.11</v>
      </c>
    </row>
    <row r="2810" spans="1:25" x14ac:dyDescent="0.25">
      <c r="A2810" t="s">
        <v>2866</v>
      </c>
      <c r="B2810" s="1">
        <v>45717</v>
      </c>
      <c r="C2810">
        <v>2025</v>
      </c>
      <c r="D2810">
        <v>3</v>
      </c>
      <c r="E2810" t="s">
        <v>260</v>
      </c>
      <c r="F2810" t="s">
        <v>27</v>
      </c>
      <c r="G2810" t="s">
        <v>35</v>
      </c>
      <c r="H2810" t="s">
        <v>58</v>
      </c>
      <c r="I2810" t="s">
        <v>50</v>
      </c>
      <c r="J2810">
        <v>52</v>
      </c>
      <c r="K2810">
        <v>956.4</v>
      </c>
      <c r="L2810">
        <v>49733.02</v>
      </c>
      <c r="M2810">
        <v>29846.67</v>
      </c>
      <c r="N2810">
        <v>4014.38</v>
      </c>
      <c r="O2810">
        <v>3165.33</v>
      </c>
      <c r="P2810">
        <v>1702.3</v>
      </c>
      <c r="Q2810">
        <v>727.41</v>
      </c>
      <c r="R2810">
        <v>1603.77</v>
      </c>
      <c r="S2810">
        <v>435.75</v>
      </c>
      <c r="T2810">
        <v>41495.599999999999</v>
      </c>
      <c r="U2810">
        <v>19886.36</v>
      </c>
      <c r="V2810">
        <v>8237.43</v>
      </c>
      <c r="W2810">
        <v>8175.27</v>
      </c>
      <c r="X2810">
        <v>46985.93</v>
      </c>
      <c r="Y2810">
        <v>44227.26</v>
      </c>
    </row>
    <row r="2811" spans="1:25" x14ac:dyDescent="0.25">
      <c r="A2811" t="s">
        <v>2867</v>
      </c>
      <c r="B2811" s="1">
        <v>45718</v>
      </c>
      <c r="C2811">
        <v>2025</v>
      </c>
      <c r="D2811">
        <v>3</v>
      </c>
      <c r="E2811" t="s">
        <v>260</v>
      </c>
      <c r="F2811" t="s">
        <v>27</v>
      </c>
      <c r="G2811" t="s">
        <v>55</v>
      </c>
      <c r="H2811" t="s">
        <v>53</v>
      </c>
      <c r="I2811" t="s">
        <v>65</v>
      </c>
      <c r="J2811">
        <v>70</v>
      </c>
      <c r="K2811">
        <v>855.7</v>
      </c>
      <c r="L2811">
        <v>59899.28</v>
      </c>
      <c r="M2811">
        <v>35935.269999999997</v>
      </c>
      <c r="N2811">
        <v>7508.9</v>
      </c>
      <c r="O2811">
        <v>2280.31</v>
      </c>
      <c r="P2811">
        <v>2410.06</v>
      </c>
      <c r="Q2811">
        <v>428.8</v>
      </c>
      <c r="R2811">
        <v>1919.53</v>
      </c>
      <c r="S2811">
        <v>1067.98</v>
      </c>
      <c r="T2811">
        <v>51550.85</v>
      </c>
      <c r="U2811">
        <v>23964.01</v>
      </c>
      <c r="V2811">
        <v>8348.43</v>
      </c>
      <c r="W2811">
        <v>8013.32</v>
      </c>
      <c r="X2811">
        <v>57375.98</v>
      </c>
      <c r="Y2811">
        <v>52252.54</v>
      </c>
    </row>
    <row r="2812" spans="1:25" x14ac:dyDescent="0.25">
      <c r="A2812" t="s">
        <v>2868</v>
      </c>
      <c r="B2812" s="1">
        <v>45718</v>
      </c>
      <c r="C2812">
        <v>2025</v>
      </c>
      <c r="D2812">
        <v>3</v>
      </c>
      <c r="E2812" t="s">
        <v>260</v>
      </c>
      <c r="F2812" t="s">
        <v>27</v>
      </c>
      <c r="G2812" t="s">
        <v>28</v>
      </c>
      <c r="H2812" t="s">
        <v>32</v>
      </c>
      <c r="I2812" t="s">
        <v>39</v>
      </c>
      <c r="J2812">
        <v>39</v>
      </c>
      <c r="K2812">
        <v>1327.8</v>
      </c>
      <c r="L2812">
        <v>51784.3</v>
      </c>
      <c r="M2812">
        <v>31674.400000000001</v>
      </c>
      <c r="N2812">
        <v>3980.13</v>
      </c>
      <c r="O2812">
        <v>2202.61</v>
      </c>
      <c r="P2812">
        <v>1424.75</v>
      </c>
      <c r="Q2812">
        <v>645.49</v>
      </c>
      <c r="R2812">
        <v>1331.65</v>
      </c>
      <c r="S2812">
        <v>774.27</v>
      </c>
      <c r="T2812">
        <v>42033.31</v>
      </c>
      <c r="U2812">
        <v>20109.91</v>
      </c>
      <c r="V2812">
        <v>9751</v>
      </c>
      <c r="W2812">
        <v>9351.92</v>
      </c>
      <c r="X2812">
        <v>50408.21</v>
      </c>
      <c r="Y2812">
        <v>41007.79</v>
      </c>
    </row>
    <row r="2813" spans="1:25" x14ac:dyDescent="0.25">
      <c r="A2813" t="s">
        <v>2869</v>
      </c>
      <c r="B2813" s="1">
        <v>45718</v>
      </c>
      <c r="C2813">
        <v>2025</v>
      </c>
      <c r="D2813">
        <v>3</v>
      </c>
      <c r="E2813" t="s">
        <v>260</v>
      </c>
      <c r="F2813" t="s">
        <v>27</v>
      </c>
      <c r="G2813" t="s">
        <v>35</v>
      </c>
      <c r="H2813" t="s">
        <v>36</v>
      </c>
      <c r="I2813" t="s">
        <v>39</v>
      </c>
      <c r="J2813">
        <v>30</v>
      </c>
      <c r="K2813">
        <v>1372.39</v>
      </c>
      <c r="L2813">
        <v>41171.730000000003</v>
      </c>
      <c r="M2813">
        <v>23753.64</v>
      </c>
      <c r="N2813">
        <v>3836.82</v>
      </c>
      <c r="O2813">
        <v>2041.73</v>
      </c>
      <c r="P2813">
        <v>897.8</v>
      </c>
      <c r="Q2813">
        <v>221.04</v>
      </c>
      <c r="R2813">
        <v>2357.85</v>
      </c>
      <c r="S2813">
        <v>873.55</v>
      </c>
      <c r="T2813">
        <v>33982.43</v>
      </c>
      <c r="U2813">
        <v>17418.09</v>
      </c>
      <c r="V2813">
        <v>7189.3</v>
      </c>
      <c r="W2813">
        <v>7070.55</v>
      </c>
      <c r="X2813">
        <v>43741.75</v>
      </c>
      <c r="Y2813">
        <v>32414.19</v>
      </c>
    </row>
    <row r="2814" spans="1:25" x14ac:dyDescent="0.25">
      <c r="A2814" t="s">
        <v>2870</v>
      </c>
      <c r="B2814" s="1">
        <v>45718</v>
      </c>
      <c r="C2814">
        <v>2025</v>
      </c>
      <c r="D2814">
        <v>3</v>
      </c>
      <c r="E2814" t="s">
        <v>260</v>
      </c>
      <c r="F2814" t="s">
        <v>27</v>
      </c>
      <c r="G2814" t="s">
        <v>28</v>
      </c>
      <c r="H2814" t="s">
        <v>36</v>
      </c>
      <c r="I2814" t="s">
        <v>30</v>
      </c>
      <c r="J2814">
        <v>75</v>
      </c>
      <c r="K2814">
        <v>1520.69</v>
      </c>
      <c r="L2814">
        <v>114051.9</v>
      </c>
      <c r="M2814">
        <v>57781.98</v>
      </c>
      <c r="N2814">
        <v>8623.6200000000008</v>
      </c>
      <c r="O2814">
        <v>5936.57</v>
      </c>
      <c r="P2814">
        <v>1729.2</v>
      </c>
      <c r="Q2814">
        <v>978.57</v>
      </c>
      <c r="R2814">
        <v>4735.87</v>
      </c>
      <c r="S2814">
        <v>2409.52</v>
      </c>
      <c r="T2814">
        <v>82195.33</v>
      </c>
      <c r="U2814">
        <v>56269.919999999998</v>
      </c>
      <c r="V2814">
        <v>31856.57</v>
      </c>
      <c r="W2814">
        <v>29194.32</v>
      </c>
      <c r="X2814">
        <v>122400.83</v>
      </c>
      <c r="Y2814">
        <v>79131.64</v>
      </c>
    </row>
    <row r="2815" spans="1:25" x14ac:dyDescent="0.25">
      <c r="A2815" t="s">
        <v>2871</v>
      </c>
      <c r="B2815" s="1">
        <v>45719</v>
      </c>
      <c r="C2815">
        <v>2025</v>
      </c>
      <c r="D2815">
        <v>3</v>
      </c>
      <c r="E2815" t="s">
        <v>260</v>
      </c>
      <c r="F2815" t="s">
        <v>27</v>
      </c>
      <c r="G2815" t="s">
        <v>28</v>
      </c>
      <c r="H2815" t="s">
        <v>32</v>
      </c>
      <c r="I2815" t="s">
        <v>56</v>
      </c>
      <c r="J2815">
        <v>33</v>
      </c>
      <c r="K2815">
        <v>1111.6500000000001</v>
      </c>
      <c r="L2815">
        <v>36684.449999999997</v>
      </c>
      <c r="M2815">
        <v>20048.650000000001</v>
      </c>
      <c r="N2815">
        <v>3196.47</v>
      </c>
      <c r="O2815">
        <v>1237.7</v>
      </c>
      <c r="P2815">
        <v>1494.2</v>
      </c>
      <c r="Q2815">
        <v>296.68</v>
      </c>
      <c r="R2815">
        <v>2107.38</v>
      </c>
      <c r="S2815">
        <v>329.19</v>
      </c>
      <c r="T2815">
        <v>28710.27</v>
      </c>
      <c r="U2815">
        <v>16635.79</v>
      </c>
      <c r="V2815">
        <v>7974.17</v>
      </c>
      <c r="W2815">
        <v>7931.04</v>
      </c>
      <c r="X2815">
        <v>36655</v>
      </c>
      <c r="Y2815">
        <v>30204.09</v>
      </c>
    </row>
    <row r="2816" spans="1:25" x14ac:dyDescent="0.25">
      <c r="A2816" t="s">
        <v>2872</v>
      </c>
      <c r="B2816" s="1">
        <v>45719</v>
      </c>
      <c r="C2816">
        <v>2025</v>
      </c>
      <c r="D2816">
        <v>3</v>
      </c>
      <c r="E2816" t="s">
        <v>260</v>
      </c>
      <c r="F2816" t="s">
        <v>27</v>
      </c>
      <c r="G2816" t="s">
        <v>44</v>
      </c>
      <c r="H2816" t="s">
        <v>36</v>
      </c>
      <c r="I2816" t="s">
        <v>39</v>
      </c>
      <c r="J2816">
        <v>39</v>
      </c>
      <c r="K2816">
        <v>896.48</v>
      </c>
      <c r="L2816">
        <v>34962.660000000003</v>
      </c>
      <c r="M2816">
        <v>17592.509999999998</v>
      </c>
      <c r="N2816">
        <v>3652.31</v>
      </c>
      <c r="O2816">
        <v>1951.51</v>
      </c>
      <c r="P2816">
        <v>792.62</v>
      </c>
      <c r="Q2816">
        <v>241.11</v>
      </c>
      <c r="R2816">
        <v>1792.88</v>
      </c>
      <c r="S2816">
        <v>611.14</v>
      </c>
      <c r="T2816">
        <v>26634.07</v>
      </c>
      <c r="U2816">
        <v>17370.150000000001</v>
      </c>
      <c r="V2816">
        <v>8328.58</v>
      </c>
      <c r="W2816">
        <v>8411.51</v>
      </c>
      <c r="X2816">
        <v>33841.230000000003</v>
      </c>
      <c r="Y2816">
        <v>26579.72</v>
      </c>
    </row>
    <row r="2817" spans="1:25" x14ac:dyDescent="0.25">
      <c r="A2817" t="s">
        <v>2873</v>
      </c>
      <c r="B2817" s="1">
        <v>45719</v>
      </c>
      <c r="C2817">
        <v>2025</v>
      </c>
      <c r="D2817">
        <v>3</v>
      </c>
      <c r="E2817" t="s">
        <v>260</v>
      </c>
      <c r="F2817" t="s">
        <v>27</v>
      </c>
      <c r="G2817" t="s">
        <v>28</v>
      </c>
      <c r="H2817" t="s">
        <v>36</v>
      </c>
      <c r="I2817" t="s">
        <v>37</v>
      </c>
      <c r="J2817">
        <v>51</v>
      </c>
      <c r="K2817">
        <v>1228.5899999999999</v>
      </c>
      <c r="L2817">
        <v>62658.16</v>
      </c>
      <c r="M2817">
        <v>39423.480000000003</v>
      </c>
      <c r="N2817">
        <v>5767.27</v>
      </c>
      <c r="O2817">
        <v>1644.84</v>
      </c>
      <c r="P2817">
        <v>1530.96</v>
      </c>
      <c r="Q2817">
        <v>849.89</v>
      </c>
      <c r="R2817">
        <v>2087.11</v>
      </c>
      <c r="S2817">
        <v>942.86</v>
      </c>
      <c r="T2817">
        <v>52246.42</v>
      </c>
      <c r="U2817">
        <v>23234.68</v>
      </c>
      <c r="V2817">
        <v>10411.75</v>
      </c>
      <c r="W2817">
        <v>10485.32</v>
      </c>
      <c r="X2817">
        <v>65236.58</v>
      </c>
      <c r="Y2817">
        <v>49842.11</v>
      </c>
    </row>
    <row r="2818" spans="1:25" x14ac:dyDescent="0.25">
      <c r="A2818" t="s">
        <v>2874</v>
      </c>
      <c r="B2818" s="1">
        <v>45719</v>
      </c>
      <c r="C2818">
        <v>2025</v>
      </c>
      <c r="D2818">
        <v>3</v>
      </c>
      <c r="E2818" t="s">
        <v>260</v>
      </c>
      <c r="F2818" t="s">
        <v>27</v>
      </c>
      <c r="G2818" t="s">
        <v>44</v>
      </c>
      <c r="H2818" t="s">
        <v>32</v>
      </c>
      <c r="I2818" t="s">
        <v>50</v>
      </c>
      <c r="J2818">
        <v>47</v>
      </c>
      <c r="K2818">
        <v>1007.22</v>
      </c>
      <c r="L2818">
        <v>47339.33</v>
      </c>
      <c r="M2818">
        <v>32112.31</v>
      </c>
      <c r="N2818">
        <v>5506.54</v>
      </c>
      <c r="O2818">
        <v>3174.17</v>
      </c>
      <c r="P2818">
        <v>800.37</v>
      </c>
      <c r="Q2818">
        <v>653.13</v>
      </c>
      <c r="R2818">
        <v>1826.04</v>
      </c>
      <c r="S2818">
        <v>590.11</v>
      </c>
      <c r="T2818">
        <v>44662.68</v>
      </c>
      <c r="U2818">
        <v>15227.01</v>
      </c>
      <c r="V2818">
        <v>2676.65</v>
      </c>
      <c r="W2818">
        <v>2555.86</v>
      </c>
      <c r="X2818">
        <v>48679.97</v>
      </c>
      <c r="Y2818">
        <v>45365.79</v>
      </c>
    </row>
    <row r="2819" spans="1:25" x14ac:dyDescent="0.25">
      <c r="A2819" t="s">
        <v>2875</v>
      </c>
      <c r="B2819" s="1">
        <v>45720</v>
      </c>
      <c r="C2819">
        <v>2025</v>
      </c>
      <c r="D2819">
        <v>3</v>
      </c>
      <c r="E2819" t="s">
        <v>260</v>
      </c>
      <c r="F2819" t="s">
        <v>27</v>
      </c>
      <c r="G2819" t="s">
        <v>35</v>
      </c>
      <c r="H2819" t="s">
        <v>58</v>
      </c>
      <c r="I2819" t="s">
        <v>56</v>
      </c>
      <c r="J2819">
        <v>27</v>
      </c>
      <c r="K2819">
        <v>1248.57</v>
      </c>
      <c r="L2819">
        <v>33711.49</v>
      </c>
      <c r="M2819">
        <v>19824.47</v>
      </c>
      <c r="N2819">
        <v>4288.84</v>
      </c>
      <c r="O2819">
        <v>1241.0899999999999</v>
      </c>
      <c r="P2819">
        <v>1205.0899999999999</v>
      </c>
      <c r="Q2819">
        <v>221.75</v>
      </c>
      <c r="R2819">
        <v>1699.22</v>
      </c>
      <c r="S2819">
        <v>498</v>
      </c>
      <c r="T2819">
        <v>28978.46</v>
      </c>
      <c r="U2819">
        <v>13887.02</v>
      </c>
      <c r="V2819">
        <v>4733.03</v>
      </c>
      <c r="W2819">
        <v>4800.8599999999997</v>
      </c>
      <c r="X2819">
        <v>32344.27</v>
      </c>
      <c r="Y2819">
        <v>28402.77</v>
      </c>
    </row>
    <row r="2820" spans="1:25" x14ac:dyDescent="0.25">
      <c r="A2820" t="s">
        <v>2876</v>
      </c>
      <c r="B2820" s="1">
        <v>45720</v>
      </c>
      <c r="C2820">
        <v>2025</v>
      </c>
      <c r="D2820">
        <v>3</v>
      </c>
      <c r="E2820" t="s">
        <v>260</v>
      </c>
      <c r="F2820" t="s">
        <v>27</v>
      </c>
      <c r="G2820" t="s">
        <v>44</v>
      </c>
      <c r="H2820" t="s">
        <v>36</v>
      </c>
      <c r="I2820" t="s">
        <v>56</v>
      </c>
      <c r="J2820">
        <v>34</v>
      </c>
      <c r="K2820">
        <v>1004.17</v>
      </c>
      <c r="L2820">
        <v>34141.64</v>
      </c>
      <c r="M2820">
        <v>22221.16</v>
      </c>
      <c r="N2820">
        <v>2756.99</v>
      </c>
      <c r="O2820">
        <v>1988.51</v>
      </c>
      <c r="P2820">
        <v>1196.23</v>
      </c>
      <c r="Q2820">
        <v>240.54</v>
      </c>
      <c r="R2820">
        <v>1974.09</v>
      </c>
      <c r="S2820">
        <v>402.42</v>
      </c>
      <c r="T2820">
        <v>30779.94</v>
      </c>
      <c r="U2820">
        <v>11920.48</v>
      </c>
      <c r="V2820">
        <v>3361.7</v>
      </c>
      <c r="W2820">
        <v>3382.28</v>
      </c>
      <c r="X2820">
        <v>36619.22</v>
      </c>
      <c r="Y2820">
        <v>32088.86</v>
      </c>
    </row>
    <row r="2821" spans="1:25" x14ac:dyDescent="0.25">
      <c r="A2821" t="s">
        <v>2877</v>
      </c>
      <c r="B2821" s="1">
        <v>45720</v>
      </c>
      <c r="C2821">
        <v>2025</v>
      </c>
      <c r="D2821">
        <v>3</v>
      </c>
      <c r="E2821" t="s">
        <v>260</v>
      </c>
      <c r="F2821" t="s">
        <v>27</v>
      </c>
      <c r="G2821" t="s">
        <v>28</v>
      </c>
      <c r="H2821" t="s">
        <v>32</v>
      </c>
      <c r="I2821" t="s">
        <v>33</v>
      </c>
      <c r="J2821">
        <v>63</v>
      </c>
      <c r="K2821">
        <v>1753.48</v>
      </c>
      <c r="L2821">
        <v>110468.93</v>
      </c>
      <c r="M2821">
        <v>60669.91</v>
      </c>
      <c r="N2821">
        <v>12344.69</v>
      </c>
      <c r="O2821">
        <v>4417.2700000000004</v>
      </c>
      <c r="P2821">
        <v>3786.85</v>
      </c>
      <c r="Q2821">
        <v>1025.3599999999999</v>
      </c>
      <c r="R2821">
        <v>5257.74</v>
      </c>
      <c r="S2821">
        <v>1572.82</v>
      </c>
      <c r="T2821">
        <v>89074.63</v>
      </c>
      <c r="U2821">
        <v>49799.01</v>
      </c>
      <c r="V2821">
        <v>21394.29</v>
      </c>
      <c r="W2821">
        <v>21072.080000000002</v>
      </c>
      <c r="X2821">
        <v>113170.75</v>
      </c>
      <c r="Y2821">
        <v>90895.64</v>
      </c>
    </row>
    <row r="2822" spans="1:25" x14ac:dyDescent="0.25">
      <c r="A2822" t="s">
        <v>2878</v>
      </c>
      <c r="B2822" s="1">
        <v>45720</v>
      </c>
      <c r="C2822">
        <v>2025</v>
      </c>
      <c r="D2822">
        <v>3</v>
      </c>
      <c r="E2822" t="s">
        <v>260</v>
      </c>
      <c r="F2822" t="s">
        <v>27</v>
      </c>
      <c r="G2822" t="s">
        <v>55</v>
      </c>
      <c r="H2822" t="s">
        <v>32</v>
      </c>
      <c r="I2822" t="s">
        <v>39</v>
      </c>
      <c r="J2822">
        <v>30</v>
      </c>
      <c r="K2822">
        <v>1702.3</v>
      </c>
      <c r="L2822">
        <v>51068.97</v>
      </c>
      <c r="M2822">
        <v>25758.93</v>
      </c>
      <c r="N2822">
        <v>4416.8599999999997</v>
      </c>
      <c r="O2822">
        <v>2806.75</v>
      </c>
      <c r="P2822">
        <v>1418.51</v>
      </c>
      <c r="Q2822">
        <v>493.1</v>
      </c>
      <c r="R2822">
        <v>1637.35</v>
      </c>
      <c r="S2822">
        <v>801.01</v>
      </c>
      <c r="T2822">
        <v>37332.51</v>
      </c>
      <c r="U2822">
        <v>25310.04</v>
      </c>
      <c r="V2822">
        <v>13736.46</v>
      </c>
      <c r="W2822">
        <v>13014.85</v>
      </c>
      <c r="X2822">
        <v>56232.25</v>
      </c>
      <c r="Y2822">
        <v>39999.25</v>
      </c>
    </row>
    <row r="2823" spans="1:25" x14ac:dyDescent="0.25">
      <c r="A2823" t="s">
        <v>2879</v>
      </c>
      <c r="B2823" s="1">
        <v>45720</v>
      </c>
      <c r="C2823">
        <v>2025</v>
      </c>
      <c r="D2823">
        <v>3</v>
      </c>
      <c r="E2823" t="s">
        <v>260</v>
      </c>
      <c r="F2823" t="s">
        <v>27</v>
      </c>
      <c r="G2823" t="s">
        <v>28</v>
      </c>
      <c r="H2823" t="s">
        <v>53</v>
      </c>
      <c r="I2823" t="s">
        <v>65</v>
      </c>
      <c r="J2823">
        <v>49</v>
      </c>
      <c r="K2823">
        <v>906.4</v>
      </c>
      <c r="L2823">
        <v>44413.38</v>
      </c>
      <c r="M2823">
        <v>22925.57</v>
      </c>
      <c r="N2823">
        <v>4357.45</v>
      </c>
      <c r="O2823">
        <v>1580.3</v>
      </c>
      <c r="P2823">
        <v>1058.6600000000001</v>
      </c>
      <c r="Q2823">
        <v>414.43</v>
      </c>
      <c r="R2823">
        <v>1701.4</v>
      </c>
      <c r="S2823">
        <v>636.64</v>
      </c>
      <c r="T2823">
        <v>32674.45</v>
      </c>
      <c r="U2823">
        <v>21487.81</v>
      </c>
      <c r="V2823">
        <v>11738.93</v>
      </c>
      <c r="W2823">
        <v>10451.02</v>
      </c>
      <c r="X2823">
        <v>49674.86</v>
      </c>
      <c r="Y2823">
        <v>32779.07</v>
      </c>
    </row>
    <row r="2824" spans="1:25" x14ac:dyDescent="0.25">
      <c r="A2824" t="s">
        <v>2880</v>
      </c>
      <c r="B2824" s="1">
        <v>45720</v>
      </c>
      <c r="C2824">
        <v>2025</v>
      </c>
      <c r="D2824">
        <v>3</v>
      </c>
      <c r="E2824" t="s">
        <v>260</v>
      </c>
      <c r="F2824" t="s">
        <v>27</v>
      </c>
      <c r="G2824" t="s">
        <v>35</v>
      </c>
      <c r="H2824" t="s">
        <v>53</v>
      </c>
      <c r="I2824" t="s">
        <v>39</v>
      </c>
      <c r="J2824">
        <v>15</v>
      </c>
      <c r="K2824">
        <v>1707.4</v>
      </c>
      <c r="L2824">
        <v>25610.97</v>
      </c>
      <c r="M2824">
        <v>16446.04</v>
      </c>
      <c r="N2824">
        <v>2249.81</v>
      </c>
      <c r="O2824">
        <v>1677.3</v>
      </c>
      <c r="P2824">
        <v>603.14</v>
      </c>
      <c r="Q2824">
        <v>350.92</v>
      </c>
      <c r="R2824">
        <v>1130.01</v>
      </c>
      <c r="S2824">
        <v>413.97</v>
      </c>
      <c r="T2824">
        <v>22871.18</v>
      </c>
      <c r="U2824">
        <v>9164.93</v>
      </c>
      <c r="V2824">
        <v>2739.79</v>
      </c>
      <c r="W2824">
        <v>2734.76</v>
      </c>
      <c r="X2824">
        <v>25109.119999999999</v>
      </c>
      <c r="Y2824">
        <v>24177.35</v>
      </c>
    </row>
    <row r="2825" spans="1:25" x14ac:dyDescent="0.25">
      <c r="A2825" t="s">
        <v>2881</v>
      </c>
      <c r="B2825" s="1">
        <v>45720</v>
      </c>
      <c r="C2825">
        <v>2025</v>
      </c>
      <c r="D2825">
        <v>3</v>
      </c>
      <c r="E2825" t="s">
        <v>260</v>
      </c>
      <c r="F2825" t="s">
        <v>27</v>
      </c>
      <c r="G2825" t="s">
        <v>28</v>
      </c>
      <c r="H2825" t="s">
        <v>32</v>
      </c>
      <c r="I2825" t="s">
        <v>45</v>
      </c>
      <c r="J2825">
        <v>61</v>
      </c>
      <c r="K2825">
        <v>997.29</v>
      </c>
      <c r="L2825">
        <v>60834.76</v>
      </c>
      <c r="M2825">
        <v>35175.07</v>
      </c>
      <c r="N2825">
        <v>6213.03</v>
      </c>
      <c r="O2825">
        <v>2968.03</v>
      </c>
      <c r="P2825">
        <v>2244.35</v>
      </c>
      <c r="Q2825">
        <v>706.05</v>
      </c>
      <c r="R2825">
        <v>3317</v>
      </c>
      <c r="S2825">
        <v>663.95</v>
      </c>
      <c r="T2825">
        <v>51287.48</v>
      </c>
      <c r="U2825">
        <v>25659.69</v>
      </c>
      <c r="V2825">
        <v>9547.2800000000007</v>
      </c>
      <c r="W2825">
        <v>9584.25</v>
      </c>
      <c r="X2825">
        <v>66414.84</v>
      </c>
      <c r="Y2825">
        <v>47858.14</v>
      </c>
    </row>
    <row r="2826" spans="1:25" x14ac:dyDescent="0.25">
      <c r="A2826" t="s">
        <v>2882</v>
      </c>
      <c r="B2826" s="1">
        <v>45721</v>
      </c>
      <c r="C2826">
        <v>2025</v>
      </c>
      <c r="D2826">
        <v>3</v>
      </c>
      <c r="E2826" t="s">
        <v>260</v>
      </c>
      <c r="F2826" t="s">
        <v>27</v>
      </c>
      <c r="G2826" t="s">
        <v>55</v>
      </c>
      <c r="H2826" t="s">
        <v>58</v>
      </c>
      <c r="I2826" t="s">
        <v>39</v>
      </c>
      <c r="J2826">
        <v>39</v>
      </c>
      <c r="K2826">
        <v>1335.47</v>
      </c>
      <c r="L2826">
        <v>52083.34</v>
      </c>
      <c r="M2826">
        <v>27141.56</v>
      </c>
      <c r="N2826">
        <v>4887.2</v>
      </c>
      <c r="O2826">
        <v>1638.08</v>
      </c>
      <c r="P2826">
        <v>1527.38</v>
      </c>
      <c r="Q2826">
        <v>865.58</v>
      </c>
      <c r="R2826">
        <v>2083.8200000000002</v>
      </c>
      <c r="S2826">
        <v>776.75</v>
      </c>
      <c r="T2826">
        <v>38920.370000000003</v>
      </c>
      <c r="U2826">
        <v>24941.78</v>
      </c>
      <c r="V2826">
        <v>13162.97</v>
      </c>
      <c r="W2826">
        <v>13212.85</v>
      </c>
      <c r="X2826">
        <v>49682.66</v>
      </c>
      <c r="Y2826">
        <v>36471.39</v>
      </c>
    </row>
    <row r="2827" spans="1:25" x14ac:dyDescent="0.25">
      <c r="A2827" t="s">
        <v>2883</v>
      </c>
      <c r="B2827" s="1">
        <v>45721</v>
      </c>
      <c r="C2827">
        <v>2025</v>
      </c>
      <c r="D2827">
        <v>3</v>
      </c>
      <c r="E2827" t="s">
        <v>260</v>
      </c>
      <c r="F2827" t="s">
        <v>27</v>
      </c>
      <c r="G2827" t="s">
        <v>44</v>
      </c>
      <c r="H2827" t="s">
        <v>58</v>
      </c>
      <c r="I2827" t="s">
        <v>30</v>
      </c>
      <c r="J2827">
        <v>53</v>
      </c>
      <c r="K2827">
        <v>1112.06</v>
      </c>
      <c r="L2827">
        <v>58939.3</v>
      </c>
      <c r="M2827">
        <v>39971.83</v>
      </c>
      <c r="N2827">
        <v>5093.38</v>
      </c>
      <c r="O2827">
        <v>2141</v>
      </c>
      <c r="P2827">
        <v>2650.07</v>
      </c>
      <c r="Q2827">
        <v>851.06</v>
      </c>
      <c r="R2827">
        <v>3411.53</v>
      </c>
      <c r="S2827">
        <v>879.06</v>
      </c>
      <c r="T2827">
        <v>54997.93</v>
      </c>
      <c r="U2827">
        <v>18967.47</v>
      </c>
      <c r="V2827">
        <v>3941.37</v>
      </c>
      <c r="W2827">
        <v>3827.34</v>
      </c>
      <c r="X2827">
        <v>65950.350000000006</v>
      </c>
      <c r="Y2827">
        <v>59632.97</v>
      </c>
    </row>
    <row r="2828" spans="1:25" x14ac:dyDescent="0.25">
      <c r="A2828" t="s">
        <v>2884</v>
      </c>
      <c r="B2828" s="1">
        <v>45721</v>
      </c>
      <c r="C2828">
        <v>2025</v>
      </c>
      <c r="D2828">
        <v>3</v>
      </c>
      <c r="E2828" t="s">
        <v>260</v>
      </c>
      <c r="F2828" t="s">
        <v>27</v>
      </c>
      <c r="G2828" t="s">
        <v>55</v>
      </c>
      <c r="H2828" t="s">
        <v>32</v>
      </c>
      <c r="I2828" t="s">
        <v>37</v>
      </c>
      <c r="J2828">
        <v>69</v>
      </c>
      <c r="K2828">
        <v>1401.35</v>
      </c>
      <c r="L2828">
        <v>96692.98</v>
      </c>
      <c r="M2828">
        <v>57285.47</v>
      </c>
      <c r="N2828">
        <v>9322.25</v>
      </c>
      <c r="O2828">
        <v>5411.68</v>
      </c>
      <c r="P2828">
        <v>2045.38</v>
      </c>
      <c r="Q2828">
        <v>972.7</v>
      </c>
      <c r="R2828">
        <v>5752.19</v>
      </c>
      <c r="S2828">
        <v>983.03</v>
      </c>
      <c r="T2828">
        <v>81772.69</v>
      </c>
      <c r="U2828">
        <v>39407.51</v>
      </c>
      <c r="V2828">
        <v>14920.29</v>
      </c>
      <c r="W2828">
        <v>15205.7</v>
      </c>
      <c r="X2828">
        <v>89524.21</v>
      </c>
      <c r="Y2828">
        <v>81682.63</v>
      </c>
    </row>
    <row r="2829" spans="1:25" x14ac:dyDescent="0.25">
      <c r="A2829" t="s">
        <v>2885</v>
      </c>
      <c r="B2829" s="1">
        <v>45722</v>
      </c>
      <c r="C2829">
        <v>2025</v>
      </c>
      <c r="D2829">
        <v>3</v>
      </c>
      <c r="E2829" t="s">
        <v>260</v>
      </c>
      <c r="F2829" t="s">
        <v>27</v>
      </c>
      <c r="G2829" t="s">
        <v>28</v>
      </c>
      <c r="H2829" t="s">
        <v>58</v>
      </c>
      <c r="I2829" t="s">
        <v>33</v>
      </c>
      <c r="J2829">
        <v>44</v>
      </c>
      <c r="K2829">
        <v>1254.58</v>
      </c>
      <c r="L2829">
        <v>55201.58</v>
      </c>
      <c r="M2829">
        <v>35557.42</v>
      </c>
      <c r="N2829">
        <v>5695.98</v>
      </c>
      <c r="O2829">
        <v>2536.04</v>
      </c>
      <c r="P2829">
        <v>2010.09</v>
      </c>
      <c r="Q2829">
        <v>981.96</v>
      </c>
      <c r="R2829">
        <v>2370.9899999999998</v>
      </c>
      <c r="S2829">
        <v>1298.27</v>
      </c>
      <c r="T2829">
        <v>50450.74</v>
      </c>
      <c r="U2829">
        <v>19644.169999999998</v>
      </c>
      <c r="V2829">
        <v>4750.84</v>
      </c>
      <c r="W2829">
        <v>4513.2</v>
      </c>
      <c r="X2829">
        <v>51109.64</v>
      </c>
      <c r="Y2829">
        <v>49510.55</v>
      </c>
    </row>
    <row r="2830" spans="1:25" x14ac:dyDescent="0.25">
      <c r="A2830" t="s">
        <v>2886</v>
      </c>
      <c r="B2830" s="1">
        <v>45722</v>
      </c>
      <c r="C2830">
        <v>2025</v>
      </c>
      <c r="D2830">
        <v>3</v>
      </c>
      <c r="E2830" t="s">
        <v>260</v>
      </c>
      <c r="F2830" t="s">
        <v>27</v>
      </c>
      <c r="G2830" t="s">
        <v>44</v>
      </c>
      <c r="H2830" t="s">
        <v>29</v>
      </c>
      <c r="I2830" t="s">
        <v>39</v>
      </c>
      <c r="J2830">
        <v>29</v>
      </c>
      <c r="K2830">
        <v>1749.39</v>
      </c>
      <c r="L2830">
        <v>50732.43</v>
      </c>
      <c r="M2830">
        <v>32513.82</v>
      </c>
      <c r="N2830">
        <v>5257.26</v>
      </c>
      <c r="O2830">
        <v>1886.23</v>
      </c>
      <c r="P2830">
        <v>1613.4</v>
      </c>
      <c r="Q2830">
        <v>657.29</v>
      </c>
      <c r="R2830">
        <v>2067.6</v>
      </c>
      <c r="S2830">
        <v>524.5</v>
      </c>
      <c r="T2830">
        <v>44520.1</v>
      </c>
      <c r="U2830">
        <v>18218.61</v>
      </c>
      <c r="V2830">
        <v>6212.33</v>
      </c>
      <c r="W2830">
        <v>5795.79</v>
      </c>
      <c r="X2830">
        <v>55264.27</v>
      </c>
      <c r="Y2830">
        <v>48532.46</v>
      </c>
    </row>
    <row r="2831" spans="1:25" x14ac:dyDescent="0.25">
      <c r="A2831" t="s">
        <v>2887</v>
      </c>
      <c r="B2831" s="1">
        <v>45722</v>
      </c>
      <c r="C2831">
        <v>2025</v>
      </c>
      <c r="D2831">
        <v>3</v>
      </c>
      <c r="E2831" t="s">
        <v>260</v>
      </c>
      <c r="F2831" t="s">
        <v>27</v>
      </c>
      <c r="G2831" t="s">
        <v>44</v>
      </c>
      <c r="H2831" t="s">
        <v>29</v>
      </c>
      <c r="I2831" t="s">
        <v>33</v>
      </c>
      <c r="J2831">
        <v>39</v>
      </c>
      <c r="K2831">
        <v>1694.1</v>
      </c>
      <c r="L2831">
        <v>66069.789999999994</v>
      </c>
      <c r="M2831">
        <v>39355.79</v>
      </c>
      <c r="N2831">
        <v>7961.92</v>
      </c>
      <c r="O2831">
        <v>3229.87</v>
      </c>
      <c r="P2831">
        <v>1172.6099999999999</v>
      </c>
      <c r="Q2831">
        <v>566.69000000000005</v>
      </c>
      <c r="R2831">
        <v>4081.92</v>
      </c>
      <c r="S2831">
        <v>1458.6</v>
      </c>
      <c r="T2831">
        <v>57827.38</v>
      </c>
      <c r="U2831">
        <v>26714</v>
      </c>
      <c r="V2831">
        <v>8242.41</v>
      </c>
      <c r="W2831">
        <v>7363.12</v>
      </c>
      <c r="X2831">
        <v>71712.39</v>
      </c>
      <c r="Y2831">
        <v>60401.56</v>
      </c>
    </row>
    <row r="2832" spans="1:25" x14ac:dyDescent="0.25">
      <c r="A2832" t="s">
        <v>2888</v>
      </c>
      <c r="B2832" s="1">
        <v>45722</v>
      </c>
      <c r="C2832">
        <v>2025</v>
      </c>
      <c r="D2832">
        <v>3</v>
      </c>
      <c r="E2832" t="s">
        <v>260</v>
      </c>
      <c r="F2832" t="s">
        <v>27</v>
      </c>
      <c r="G2832" t="s">
        <v>28</v>
      </c>
      <c r="H2832" t="s">
        <v>29</v>
      </c>
      <c r="I2832" t="s">
        <v>33</v>
      </c>
      <c r="J2832">
        <v>64</v>
      </c>
      <c r="K2832">
        <v>1550.04</v>
      </c>
      <c r="L2832">
        <v>99202.62</v>
      </c>
      <c r="M2832">
        <v>67205.7</v>
      </c>
      <c r="N2832">
        <v>10278.469999999999</v>
      </c>
      <c r="O2832">
        <v>5514.57</v>
      </c>
      <c r="P2832">
        <v>4265</v>
      </c>
      <c r="Q2832">
        <v>1128.43</v>
      </c>
      <c r="R2832">
        <v>2825.41</v>
      </c>
      <c r="S2832">
        <v>1514.11</v>
      </c>
      <c r="T2832">
        <v>92731.69</v>
      </c>
      <c r="U2832">
        <v>31996.92</v>
      </c>
      <c r="V2832">
        <v>6470.93</v>
      </c>
      <c r="W2832">
        <v>5853.25</v>
      </c>
      <c r="X2832">
        <v>97159.32</v>
      </c>
      <c r="Y2832">
        <v>88966.62</v>
      </c>
    </row>
    <row r="2833" spans="1:25" x14ac:dyDescent="0.25">
      <c r="A2833" t="s">
        <v>2889</v>
      </c>
      <c r="B2833" s="1">
        <v>45723</v>
      </c>
      <c r="C2833">
        <v>2025</v>
      </c>
      <c r="D2833">
        <v>3</v>
      </c>
      <c r="E2833" t="s">
        <v>260</v>
      </c>
      <c r="F2833" t="s">
        <v>27</v>
      </c>
      <c r="G2833" t="s">
        <v>44</v>
      </c>
      <c r="H2833" t="s">
        <v>53</v>
      </c>
      <c r="I2833" t="s">
        <v>30</v>
      </c>
      <c r="J2833">
        <v>38</v>
      </c>
      <c r="K2833">
        <v>1776.1</v>
      </c>
      <c r="L2833">
        <v>67491.899999999994</v>
      </c>
      <c r="M2833">
        <v>40562.97</v>
      </c>
      <c r="N2833">
        <v>8575.91</v>
      </c>
      <c r="O2833">
        <v>1977.1</v>
      </c>
      <c r="P2833">
        <v>1861.61</v>
      </c>
      <c r="Q2833">
        <v>1134.3800000000001</v>
      </c>
      <c r="R2833">
        <v>4266.26</v>
      </c>
      <c r="S2833">
        <v>807.16</v>
      </c>
      <c r="T2833">
        <v>59185.38</v>
      </c>
      <c r="U2833">
        <v>26928.94</v>
      </c>
      <c r="V2833">
        <v>8306.5300000000007</v>
      </c>
      <c r="W2833">
        <v>8317.86</v>
      </c>
      <c r="X2833">
        <v>69094.67</v>
      </c>
      <c r="Y2833">
        <v>55615.22</v>
      </c>
    </row>
    <row r="2834" spans="1:25" x14ac:dyDescent="0.25">
      <c r="A2834" t="s">
        <v>2890</v>
      </c>
      <c r="B2834" s="1">
        <v>45723</v>
      </c>
      <c r="C2834">
        <v>2025</v>
      </c>
      <c r="D2834">
        <v>3</v>
      </c>
      <c r="E2834" t="s">
        <v>260</v>
      </c>
      <c r="F2834" t="s">
        <v>27</v>
      </c>
      <c r="G2834" t="s">
        <v>55</v>
      </c>
      <c r="H2834" t="s">
        <v>53</v>
      </c>
      <c r="I2834" t="s">
        <v>45</v>
      </c>
      <c r="J2834">
        <v>39</v>
      </c>
      <c r="K2834">
        <v>1240.4000000000001</v>
      </c>
      <c r="L2834">
        <v>48375.74</v>
      </c>
      <c r="M2834">
        <v>23313.02</v>
      </c>
      <c r="N2834">
        <v>5333.09</v>
      </c>
      <c r="O2834">
        <v>1558.62</v>
      </c>
      <c r="P2834">
        <v>1023.44</v>
      </c>
      <c r="Q2834">
        <v>576.95000000000005</v>
      </c>
      <c r="R2834">
        <v>1388.73</v>
      </c>
      <c r="S2834">
        <v>985.99</v>
      </c>
      <c r="T2834">
        <v>34179.83</v>
      </c>
      <c r="U2834">
        <v>25062.720000000001</v>
      </c>
      <c r="V2834">
        <v>14195.91</v>
      </c>
      <c r="W2834">
        <v>13709.55</v>
      </c>
      <c r="X2834">
        <v>46178.25</v>
      </c>
      <c r="Y2834">
        <v>33283.9</v>
      </c>
    </row>
    <row r="2835" spans="1:25" x14ac:dyDescent="0.25">
      <c r="A2835" t="s">
        <v>2891</v>
      </c>
      <c r="B2835" s="1">
        <v>45723</v>
      </c>
      <c r="C2835">
        <v>2025</v>
      </c>
      <c r="D2835">
        <v>3</v>
      </c>
      <c r="E2835" t="s">
        <v>260</v>
      </c>
      <c r="F2835" t="s">
        <v>27</v>
      </c>
      <c r="G2835" t="s">
        <v>35</v>
      </c>
      <c r="H2835" t="s">
        <v>32</v>
      </c>
      <c r="I2835" t="s">
        <v>37</v>
      </c>
      <c r="J2835">
        <v>40</v>
      </c>
      <c r="K2835">
        <v>1554.11</v>
      </c>
      <c r="L2835">
        <v>62164.41</v>
      </c>
      <c r="M2835">
        <v>35044.230000000003</v>
      </c>
      <c r="N2835">
        <v>8004.42</v>
      </c>
      <c r="O2835">
        <v>2320.12</v>
      </c>
      <c r="P2835">
        <v>2597.81</v>
      </c>
      <c r="Q2835">
        <v>949.67</v>
      </c>
      <c r="R2835">
        <v>3669.92</v>
      </c>
      <c r="S2835">
        <v>822.36</v>
      </c>
      <c r="T2835">
        <v>53408.53</v>
      </c>
      <c r="U2835">
        <v>27120.18</v>
      </c>
      <c r="V2835">
        <v>8755.8799999999992</v>
      </c>
      <c r="W2835">
        <v>7734.62</v>
      </c>
      <c r="X2835">
        <v>69419.69</v>
      </c>
      <c r="Y2835">
        <v>55720.66</v>
      </c>
    </row>
    <row r="2836" spans="1:25" x14ac:dyDescent="0.25">
      <c r="A2836" t="s">
        <v>2892</v>
      </c>
      <c r="B2836" s="1">
        <v>45723</v>
      </c>
      <c r="C2836">
        <v>2025</v>
      </c>
      <c r="D2836">
        <v>3</v>
      </c>
      <c r="E2836" t="s">
        <v>260</v>
      </c>
      <c r="F2836" t="s">
        <v>27</v>
      </c>
      <c r="G2836" t="s">
        <v>28</v>
      </c>
      <c r="H2836" t="s">
        <v>29</v>
      </c>
      <c r="I2836" t="s">
        <v>39</v>
      </c>
      <c r="J2836">
        <v>51</v>
      </c>
      <c r="K2836">
        <v>1093.67</v>
      </c>
      <c r="L2836">
        <v>55777.41</v>
      </c>
      <c r="M2836">
        <v>30112.22</v>
      </c>
      <c r="N2836">
        <v>7177.23</v>
      </c>
      <c r="O2836">
        <v>2900.78</v>
      </c>
      <c r="P2836">
        <v>2025.76</v>
      </c>
      <c r="Q2836">
        <v>955.89</v>
      </c>
      <c r="R2836">
        <v>1735.99</v>
      </c>
      <c r="S2836">
        <v>809.28</v>
      </c>
      <c r="T2836">
        <v>45717.16</v>
      </c>
      <c r="U2836">
        <v>25665.19</v>
      </c>
      <c r="V2836">
        <v>10060.25</v>
      </c>
      <c r="W2836">
        <v>9311.84</v>
      </c>
      <c r="X2836">
        <v>57029.4</v>
      </c>
      <c r="Y2836">
        <v>50271.57</v>
      </c>
    </row>
    <row r="2837" spans="1:25" x14ac:dyDescent="0.25">
      <c r="A2837" t="s">
        <v>2893</v>
      </c>
      <c r="B2837" s="1">
        <v>45723</v>
      </c>
      <c r="C2837">
        <v>2025</v>
      </c>
      <c r="D2837">
        <v>3</v>
      </c>
      <c r="E2837" t="s">
        <v>260</v>
      </c>
      <c r="F2837" t="s">
        <v>27</v>
      </c>
      <c r="G2837" t="s">
        <v>55</v>
      </c>
      <c r="H2837" t="s">
        <v>36</v>
      </c>
      <c r="I2837" t="s">
        <v>30</v>
      </c>
      <c r="J2837">
        <v>78</v>
      </c>
      <c r="K2837">
        <v>1134</v>
      </c>
      <c r="L2837">
        <v>88451.78</v>
      </c>
      <c r="M2837">
        <v>46650.91</v>
      </c>
      <c r="N2837">
        <v>8084.9</v>
      </c>
      <c r="O2837">
        <v>3953</v>
      </c>
      <c r="P2837">
        <v>3114.48</v>
      </c>
      <c r="Q2837">
        <v>1220.5899999999999</v>
      </c>
      <c r="R2837">
        <v>2237.7399999999998</v>
      </c>
      <c r="S2837">
        <v>1707.84</v>
      </c>
      <c r="T2837">
        <v>66969.47</v>
      </c>
      <c r="U2837">
        <v>41800.870000000003</v>
      </c>
      <c r="V2837">
        <v>21482.32</v>
      </c>
      <c r="W2837">
        <v>21794.31</v>
      </c>
      <c r="X2837">
        <v>89865.83</v>
      </c>
      <c r="Y2837">
        <v>64016.5</v>
      </c>
    </row>
    <row r="2838" spans="1:25" x14ac:dyDescent="0.25">
      <c r="A2838" t="s">
        <v>2894</v>
      </c>
      <c r="B2838" s="1">
        <v>45724</v>
      </c>
      <c r="C2838">
        <v>2025</v>
      </c>
      <c r="D2838">
        <v>3</v>
      </c>
      <c r="E2838" t="s">
        <v>260</v>
      </c>
      <c r="F2838" t="s">
        <v>27</v>
      </c>
      <c r="G2838" t="s">
        <v>44</v>
      </c>
      <c r="H2838" t="s">
        <v>32</v>
      </c>
      <c r="I2838" t="s">
        <v>33</v>
      </c>
      <c r="J2838">
        <v>44</v>
      </c>
      <c r="K2838">
        <v>1567.45</v>
      </c>
      <c r="L2838">
        <v>68967.62</v>
      </c>
      <c r="M2838">
        <v>34280.339999999997</v>
      </c>
      <c r="N2838">
        <v>8869.0499999999993</v>
      </c>
      <c r="O2838">
        <v>4828.28</v>
      </c>
      <c r="P2838">
        <v>1173.49</v>
      </c>
      <c r="Q2838">
        <v>1060.1300000000001</v>
      </c>
      <c r="R2838">
        <v>4177.78</v>
      </c>
      <c r="S2838">
        <v>1465.94</v>
      </c>
      <c r="T2838">
        <v>55855.02</v>
      </c>
      <c r="U2838">
        <v>34687.269999999997</v>
      </c>
      <c r="V2838">
        <v>13112.6</v>
      </c>
      <c r="W2838">
        <v>12638.56</v>
      </c>
      <c r="X2838">
        <v>69220.289999999994</v>
      </c>
      <c r="Y2838">
        <v>53855.88</v>
      </c>
    </row>
    <row r="2839" spans="1:25" x14ac:dyDescent="0.25">
      <c r="A2839" t="s">
        <v>2895</v>
      </c>
      <c r="B2839" s="1">
        <v>45724</v>
      </c>
      <c r="C2839">
        <v>2025</v>
      </c>
      <c r="D2839">
        <v>3</v>
      </c>
      <c r="E2839" t="s">
        <v>260</v>
      </c>
      <c r="F2839" t="s">
        <v>27</v>
      </c>
      <c r="G2839" t="s">
        <v>35</v>
      </c>
      <c r="H2839" t="s">
        <v>36</v>
      </c>
      <c r="I2839" t="s">
        <v>50</v>
      </c>
      <c r="J2839">
        <v>21</v>
      </c>
      <c r="K2839">
        <v>1587.94</v>
      </c>
      <c r="L2839">
        <v>33346.79</v>
      </c>
      <c r="M2839">
        <v>21137.4</v>
      </c>
      <c r="N2839">
        <v>4088.88</v>
      </c>
      <c r="O2839">
        <v>2091.02</v>
      </c>
      <c r="P2839">
        <v>546.23</v>
      </c>
      <c r="Q2839">
        <v>537.91</v>
      </c>
      <c r="R2839">
        <v>1583.84</v>
      </c>
      <c r="S2839">
        <v>538.13</v>
      </c>
      <c r="T2839">
        <v>30523.41</v>
      </c>
      <c r="U2839">
        <v>12209.39</v>
      </c>
      <c r="V2839">
        <v>2823.38</v>
      </c>
      <c r="W2839">
        <v>2683.79</v>
      </c>
      <c r="X2839">
        <v>34866.43</v>
      </c>
      <c r="Y2839">
        <v>29445.93</v>
      </c>
    </row>
    <row r="2840" spans="1:25" x14ac:dyDescent="0.25">
      <c r="A2840" t="s">
        <v>2896</v>
      </c>
      <c r="B2840" s="1">
        <v>45724</v>
      </c>
      <c r="C2840">
        <v>2025</v>
      </c>
      <c r="D2840">
        <v>3</v>
      </c>
      <c r="E2840" t="s">
        <v>260</v>
      </c>
      <c r="F2840" t="s">
        <v>27</v>
      </c>
      <c r="G2840" t="s">
        <v>35</v>
      </c>
      <c r="H2840" t="s">
        <v>29</v>
      </c>
      <c r="I2840" t="s">
        <v>65</v>
      </c>
      <c r="J2840">
        <v>52</v>
      </c>
      <c r="K2840">
        <v>845.02</v>
      </c>
      <c r="L2840">
        <v>43940.83</v>
      </c>
      <c r="M2840">
        <v>26428.28</v>
      </c>
      <c r="N2840">
        <v>4701.34</v>
      </c>
      <c r="O2840">
        <v>1779.81</v>
      </c>
      <c r="P2840">
        <v>1068.52</v>
      </c>
      <c r="Q2840">
        <v>658.28</v>
      </c>
      <c r="R2840">
        <v>1534.33</v>
      </c>
      <c r="S2840">
        <v>698.89</v>
      </c>
      <c r="T2840">
        <v>36869.449999999997</v>
      </c>
      <c r="U2840">
        <v>17512.54</v>
      </c>
      <c r="V2840">
        <v>7071.38</v>
      </c>
      <c r="W2840">
        <v>6483.89</v>
      </c>
      <c r="X2840">
        <v>46790.68</v>
      </c>
      <c r="Y2840">
        <v>35944.639999999999</v>
      </c>
    </row>
    <row r="2841" spans="1:25" x14ac:dyDescent="0.25">
      <c r="A2841" t="s">
        <v>2897</v>
      </c>
      <c r="B2841" s="1">
        <v>45724</v>
      </c>
      <c r="C2841">
        <v>2025</v>
      </c>
      <c r="D2841">
        <v>3</v>
      </c>
      <c r="E2841" t="s">
        <v>260</v>
      </c>
      <c r="F2841" t="s">
        <v>27</v>
      </c>
      <c r="G2841" t="s">
        <v>55</v>
      </c>
      <c r="H2841" t="s">
        <v>58</v>
      </c>
      <c r="I2841" t="s">
        <v>39</v>
      </c>
      <c r="J2841">
        <v>27</v>
      </c>
      <c r="K2841">
        <v>1666.11</v>
      </c>
      <c r="L2841">
        <v>44984.87</v>
      </c>
      <c r="M2841">
        <v>24513.99</v>
      </c>
      <c r="N2841">
        <v>4573.8900000000003</v>
      </c>
      <c r="O2841">
        <v>2001.91</v>
      </c>
      <c r="P2841">
        <v>1060.19</v>
      </c>
      <c r="Q2841">
        <v>336.24</v>
      </c>
      <c r="R2841">
        <v>2482.79</v>
      </c>
      <c r="S2841">
        <v>682.25</v>
      </c>
      <c r="T2841">
        <v>35651.26</v>
      </c>
      <c r="U2841">
        <v>20470.88</v>
      </c>
      <c r="V2841">
        <v>9333.61</v>
      </c>
      <c r="W2841">
        <v>9375.2099999999991</v>
      </c>
      <c r="X2841">
        <v>49622.23</v>
      </c>
      <c r="Y2841">
        <v>35123</v>
      </c>
    </row>
    <row r="2842" spans="1:25" x14ac:dyDescent="0.25">
      <c r="A2842" t="s">
        <v>2898</v>
      </c>
      <c r="B2842" s="1">
        <v>45725</v>
      </c>
      <c r="C2842">
        <v>2025</v>
      </c>
      <c r="D2842">
        <v>3</v>
      </c>
      <c r="E2842" t="s">
        <v>260</v>
      </c>
      <c r="F2842" t="s">
        <v>27</v>
      </c>
      <c r="G2842" t="s">
        <v>35</v>
      </c>
      <c r="H2842" t="s">
        <v>29</v>
      </c>
      <c r="I2842" t="s">
        <v>30</v>
      </c>
      <c r="J2842">
        <v>58</v>
      </c>
      <c r="K2842">
        <v>1694.64</v>
      </c>
      <c r="L2842">
        <v>98289.04</v>
      </c>
      <c r="M2842">
        <v>56246.6</v>
      </c>
      <c r="N2842">
        <v>12277.1</v>
      </c>
      <c r="O2842">
        <v>5307.27</v>
      </c>
      <c r="P2842">
        <v>3601.47</v>
      </c>
      <c r="Q2842">
        <v>1171.27</v>
      </c>
      <c r="R2842">
        <v>4048.37</v>
      </c>
      <c r="S2842">
        <v>2249.5500000000002</v>
      </c>
      <c r="T2842">
        <v>84901.62</v>
      </c>
      <c r="U2842">
        <v>42042.44</v>
      </c>
      <c r="V2842">
        <v>13387.42</v>
      </c>
      <c r="W2842">
        <v>12169.23</v>
      </c>
      <c r="X2842">
        <v>98651.66</v>
      </c>
      <c r="Y2842">
        <v>87816.79</v>
      </c>
    </row>
    <row r="2843" spans="1:25" x14ac:dyDescent="0.25">
      <c r="A2843" t="s">
        <v>2899</v>
      </c>
      <c r="B2843" s="1">
        <v>45726</v>
      </c>
      <c r="C2843">
        <v>2025</v>
      </c>
      <c r="D2843">
        <v>3</v>
      </c>
      <c r="E2843" t="s">
        <v>260</v>
      </c>
      <c r="F2843" t="s">
        <v>27</v>
      </c>
      <c r="G2843" t="s">
        <v>44</v>
      </c>
      <c r="H2843" t="s">
        <v>53</v>
      </c>
      <c r="I2843" t="s">
        <v>33</v>
      </c>
      <c r="J2843">
        <v>58</v>
      </c>
      <c r="K2843">
        <v>1108.3</v>
      </c>
      <c r="L2843">
        <v>64281.35</v>
      </c>
      <c r="M2843">
        <v>36831.57</v>
      </c>
      <c r="N2843">
        <v>5234.9799999999996</v>
      </c>
      <c r="O2843">
        <v>2244.59</v>
      </c>
      <c r="P2843">
        <v>2780.55</v>
      </c>
      <c r="Q2843">
        <v>658.73</v>
      </c>
      <c r="R2843">
        <v>4133.93</v>
      </c>
      <c r="S2843">
        <v>1147.3</v>
      </c>
      <c r="T2843">
        <v>53031.65</v>
      </c>
      <c r="U2843">
        <v>27449.77</v>
      </c>
      <c r="V2843">
        <v>11249.7</v>
      </c>
      <c r="W2843">
        <v>11435.71</v>
      </c>
      <c r="X2843">
        <v>65618.850000000006</v>
      </c>
      <c r="Y2843">
        <v>49526.79</v>
      </c>
    </row>
    <row r="2844" spans="1:25" x14ac:dyDescent="0.25">
      <c r="A2844" t="s">
        <v>2900</v>
      </c>
      <c r="B2844" s="1">
        <v>45726</v>
      </c>
      <c r="C2844">
        <v>2025</v>
      </c>
      <c r="D2844">
        <v>3</v>
      </c>
      <c r="E2844" t="s">
        <v>260</v>
      </c>
      <c r="F2844" t="s">
        <v>27</v>
      </c>
      <c r="G2844" t="s">
        <v>44</v>
      </c>
      <c r="H2844" t="s">
        <v>36</v>
      </c>
      <c r="I2844" t="s">
        <v>65</v>
      </c>
      <c r="J2844">
        <v>63</v>
      </c>
      <c r="K2844">
        <v>820.12</v>
      </c>
      <c r="L2844">
        <v>51667.56</v>
      </c>
      <c r="M2844">
        <v>30507.37</v>
      </c>
      <c r="N2844">
        <v>5589.81</v>
      </c>
      <c r="O2844">
        <v>1338.68</v>
      </c>
      <c r="P2844">
        <v>1747.29</v>
      </c>
      <c r="Q2844">
        <v>922.34</v>
      </c>
      <c r="R2844">
        <v>1572.35</v>
      </c>
      <c r="S2844">
        <v>582.79</v>
      </c>
      <c r="T2844">
        <v>42260.63</v>
      </c>
      <c r="U2844">
        <v>21160.18</v>
      </c>
      <c r="V2844">
        <v>9406.92</v>
      </c>
      <c r="W2844">
        <v>9404.34</v>
      </c>
      <c r="X2844">
        <v>49431.37</v>
      </c>
      <c r="Y2844">
        <v>39458.18</v>
      </c>
    </row>
    <row r="2845" spans="1:25" x14ac:dyDescent="0.25">
      <c r="A2845" t="s">
        <v>2901</v>
      </c>
      <c r="B2845" s="1">
        <v>45726</v>
      </c>
      <c r="C2845">
        <v>2025</v>
      </c>
      <c r="D2845">
        <v>3</v>
      </c>
      <c r="E2845" t="s">
        <v>260</v>
      </c>
      <c r="F2845" t="s">
        <v>27</v>
      </c>
      <c r="G2845" t="s">
        <v>44</v>
      </c>
      <c r="H2845" t="s">
        <v>53</v>
      </c>
      <c r="I2845" t="s">
        <v>39</v>
      </c>
      <c r="J2845">
        <v>18</v>
      </c>
      <c r="K2845">
        <v>1736.99</v>
      </c>
      <c r="L2845">
        <v>31265.81</v>
      </c>
      <c r="M2845">
        <v>15518.56</v>
      </c>
      <c r="N2845">
        <v>2286.9699999999998</v>
      </c>
      <c r="O2845">
        <v>2270.2199999999998</v>
      </c>
      <c r="P2845">
        <v>1239.92</v>
      </c>
      <c r="Q2845">
        <v>261.89</v>
      </c>
      <c r="R2845">
        <v>836.65</v>
      </c>
      <c r="S2845">
        <v>741.88</v>
      </c>
      <c r="T2845">
        <v>23156.09</v>
      </c>
      <c r="U2845">
        <v>15747.24</v>
      </c>
      <c r="V2845">
        <v>8109.72</v>
      </c>
      <c r="W2845">
        <v>7729.11</v>
      </c>
      <c r="X2845">
        <v>31491.61</v>
      </c>
      <c r="Y2845">
        <v>21861.3</v>
      </c>
    </row>
    <row r="2846" spans="1:25" x14ac:dyDescent="0.25">
      <c r="A2846" t="s">
        <v>2902</v>
      </c>
      <c r="B2846" s="1">
        <v>45727</v>
      </c>
      <c r="C2846">
        <v>2025</v>
      </c>
      <c r="D2846">
        <v>3</v>
      </c>
      <c r="E2846" t="s">
        <v>260</v>
      </c>
      <c r="F2846" t="s">
        <v>27</v>
      </c>
      <c r="G2846" t="s">
        <v>55</v>
      </c>
      <c r="H2846" t="s">
        <v>36</v>
      </c>
      <c r="I2846" t="s">
        <v>65</v>
      </c>
      <c r="J2846">
        <v>44</v>
      </c>
      <c r="K2846">
        <v>1408.36</v>
      </c>
      <c r="L2846">
        <v>61967.99</v>
      </c>
      <c r="M2846">
        <v>34803.599999999999</v>
      </c>
      <c r="N2846">
        <v>7811.16</v>
      </c>
      <c r="O2846">
        <v>4467.97</v>
      </c>
      <c r="P2846">
        <v>1270.3800000000001</v>
      </c>
      <c r="Q2846">
        <v>332.5</v>
      </c>
      <c r="R2846">
        <v>3129.23</v>
      </c>
      <c r="S2846">
        <v>883.51</v>
      </c>
      <c r="T2846">
        <v>52698.35</v>
      </c>
      <c r="U2846">
        <v>27164.39</v>
      </c>
      <c r="V2846">
        <v>9269.64</v>
      </c>
      <c r="W2846">
        <v>9107.02</v>
      </c>
      <c r="X2846">
        <v>68698.399999999994</v>
      </c>
      <c r="Y2846">
        <v>56392.52</v>
      </c>
    </row>
    <row r="2847" spans="1:25" x14ac:dyDescent="0.25">
      <c r="A2847" t="s">
        <v>2903</v>
      </c>
      <c r="B2847" s="1">
        <v>45727</v>
      </c>
      <c r="C2847">
        <v>2025</v>
      </c>
      <c r="D2847">
        <v>3</v>
      </c>
      <c r="E2847" t="s">
        <v>260</v>
      </c>
      <c r="F2847" t="s">
        <v>27</v>
      </c>
      <c r="G2847" t="s">
        <v>28</v>
      </c>
      <c r="H2847" t="s">
        <v>32</v>
      </c>
      <c r="I2847" t="s">
        <v>50</v>
      </c>
      <c r="J2847">
        <v>59</v>
      </c>
      <c r="K2847">
        <v>1052.08</v>
      </c>
      <c r="L2847">
        <v>62072.55</v>
      </c>
      <c r="M2847">
        <v>36824.07</v>
      </c>
      <c r="N2847">
        <v>6521.91</v>
      </c>
      <c r="O2847">
        <v>1628.59</v>
      </c>
      <c r="P2847">
        <v>2549.54</v>
      </c>
      <c r="Q2847">
        <v>501.5</v>
      </c>
      <c r="R2847">
        <v>3106.05</v>
      </c>
      <c r="S2847">
        <v>1458.9</v>
      </c>
      <c r="T2847">
        <v>52590.559999999998</v>
      </c>
      <c r="U2847">
        <v>25248.48</v>
      </c>
      <c r="V2847">
        <v>9481.99</v>
      </c>
      <c r="W2847">
        <v>9101.9500000000007</v>
      </c>
      <c r="X2847">
        <v>60499.37</v>
      </c>
      <c r="Y2847">
        <v>52125.79</v>
      </c>
    </row>
    <row r="2848" spans="1:25" x14ac:dyDescent="0.25">
      <c r="A2848" t="s">
        <v>2904</v>
      </c>
      <c r="B2848" s="1">
        <v>45727</v>
      </c>
      <c r="C2848">
        <v>2025</v>
      </c>
      <c r="D2848">
        <v>3</v>
      </c>
      <c r="E2848" t="s">
        <v>260</v>
      </c>
      <c r="F2848" t="s">
        <v>27</v>
      </c>
      <c r="G2848" t="s">
        <v>28</v>
      </c>
      <c r="H2848" t="s">
        <v>32</v>
      </c>
      <c r="I2848" t="s">
        <v>50</v>
      </c>
      <c r="J2848">
        <v>38</v>
      </c>
      <c r="K2848">
        <v>1272.54</v>
      </c>
      <c r="L2848">
        <v>48356.43</v>
      </c>
      <c r="M2848">
        <v>28233.49</v>
      </c>
      <c r="N2848">
        <v>3509.6</v>
      </c>
      <c r="O2848">
        <v>1909.39</v>
      </c>
      <c r="P2848">
        <v>898.16</v>
      </c>
      <c r="Q2848">
        <v>751.91</v>
      </c>
      <c r="R2848">
        <v>1246.19</v>
      </c>
      <c r="S2848">
        <v>495.16</v>
      </c>
      <c r="T2848">
        <v>37043.910000000003</v>
      </c>
      <c r="U2848">
        <v>20122.939999999999</v>
      </c>
      <c r="V2848">
        <v>11312.52</v>
      </c>
      <c r="W2848">
        <v>10296.719999999999</v>
      </c>
      <c r="X2848">
        <v>51653.32</v>
      </c>
      <c r="Y2848">
        <v>37326.07</v>
      </c>
    </row>
    <row r="2849" spans="1:25" x14ac:dyDescent="0.25">
      <c r="A2849" t="s">
        <v>2905</v>
      </c>
      <c r="B2849" s="1">
        <v>45727</v>
      </c>
      <c r="C2849">
        <v>2025</v>
      </c>
      <c r="D2849">
        <v>3</v>
      </c>
      <c r="E2849" t="s">
        <v>260</v>
      </c>
      <c r="F2849" t="s">
        <v>27</v>
      </c>
      <c r="G2849" t="s">
        <v>35</v>
      </c>
      <c r="H2849" t="s">
        <v>36</v>
      </c>
      <c r="I2849" t="s">
        <v>30</v>
      </c>
      <c r="J2849">
        <v>59</v>
      </c>
      <c r="K2849">
        <v>1375.91</v>
      </c>
      <c r="L2849">
        <v>81178.429999999993</v>
      </c>
      <c r="M2849">
        <v>40957.4</v>
      </c>
      <c r="N2849">
        <v>8865.23</v>
      </c>
      <c r="O2849">
        <v>3033.53</v>
      </c>
      <c r="P2849">
        <v>3295.48</v>
      </c>
      <c r="Q2849">
        <v>1146.82</v>
      </c>
      <c r="R2849">
        <v>4399.99</v>
      </c>
      <c r="S2849">
        <v>1908.65</v>
      </c>
      <c r="T2849">
        <v>63607.11</v>
      </c>
      <c r="U2849">
        <v>40221.03</v>
      </c>
      <c r="V2849">
        <v>17571.32</v>
      </c>
      <c r="W2849">
        <v>17005.97</v>
      </c>
      <c r="X2849">
        <v>80643.44</v>
      </c>
      <c r="Y2849">
        <v>64588.77</v>
      </c>
    </row>
    <row r="2850" spans="1:25" x14ac:dyDescent="0.25">
      <c r="A2850" t="s">
        <v>2906</v>
      </c>
      <c r="B2850" s="1">
        <v>45728</v>
      </c>
      <c r="C2850">
        <v>2025</v>
      </c>
      <c r="D2850">
        <v>3</v>
      </c>
      <c r="E2850" t="s">
        <v>260</v>
      </c>
      <c r="F2850" t="s">
        <v>27</v>
      </c>
      <c r="G2850" t="s">
        <v>55</v>
      </c>
      <c r="H2850" t="s">
        <v>32</v>
      </c>
      <c r="I2850" t="s">
        <v>37</v>
      </c>
      <c r="J2850">
        <v>46</v>
      </c>
      <c r="K2850">
        <v>1653.58</v>
      </c>
      <c r="L2850">
        <v>76064.59</v>
      </c>
      <c r="M2850">
        <v>51705.919999999998</v>
      </c>
      <c r="N2850">
        <v>8361.24</v>
      </c>
      <c r="O2850">
        <v>3855.38</v>
      </c>
      <c r="P2850">
        <v>3006.43</v>
      </c>
      <c r="Q2850">
        <v>1112.8399999999999</v>
      </c>
      <c r="R2850">
        <v>3812.64</v>
      </c>
      <c r="S2850">
        <v>1662.74</v>
      </c>
      <c r="T2850">
        <v>73517.179999999993</v>
      </c>
      <c r="U2850">
        <v>24358.68</v>
      </c>
      <c r="V2850">
        <v>2547.41</v>
      </c>
      <c r="W2850">
        <v>2272.54</v>
      </c>
      <c r="X2850">
        <v>78301.5</v>
      </c>
      <c r="Y2850">
        <v>69328.149999999994</v>
      </c>
    </row>
    <row r="2851" spans="1:25" x14ac:dyDescent="0.25">
      <c r="A2851" t="s">
        <v>2907</v>
      </c>
      <c r="B2851" s="1">
        <v>45728</v>
      </c>
      <c r="C2851">
        <v>2025</v>
      </c>
      <c r="D2851">
        <v>3</v>
      </c>
      <c r="E2851" t="s">
        <v>260</v>
      </c>
      <c r="F2851" t="s">
        <v>27</v>
      </c>
      <c r="G2851" t="s">
        <v>44</v>
      </c>
      <c r="H2851" t="s">
        <v>36</v>
      </c>
      <c r="I2851" t="s">
        <v>50</v>
      </c>
      <c r="J2851">
        <v>28</v>
      </c>
      <c r="K2851">
        <v>1635.27</v>
      </c>
      <c r="L2851">
        <v>45787.61</v>
      </c>
      <c r="M2851">
        <v>28103.65</v>
      </c>
      <c r="N2851">
        <v>4138.12</v>
      </c>
      <c r="O2851">
        <v>1984.5</v>
      </c>
      <c r="P2851">
        <v>1346.55</v>
      </c>
      <c r="Q2851">
        <v>316.02999999999997</v>
      </c>
      <c r="R2851">
        <v>1187.0899999999999</v>
      </c>
      <c r="S2851">
        <v>442.45</v>
      </c>
      <c r="T2851">
        <v>37518.379999999997</v>
      </c>
      <c r="U2851">
        <v>17683.96</v>
      </c>
      <c r="V2851">
        <v>8269.23</v>
      </c>
      <c r="W2851">
        <v>8256.0499999999993</v>
      </c>
      <c r="X2851">
        <v>43776.15</v>
      </c>
      <c r="Y2851">
        <v>36458.839999999997</v>
      </c>
    </row>
    <row r="2852" spans="1:25" x14ac:dyDescent="0.25">
      <c r="A2852" t="s">
        <v>2908</v>
      </c>
      <c r="B2852" s="1">
        <v>45728</v>
      </c>
      <c r="C2852">
        <v>2025</v>
      </c>
      <c r="D2852">
        <v>3</v>
      </c>
      <c r="E2852" t="s">
        <v>260</v>
      </c>
      <c r="F2852" t="s">
        <v>27</v>
      </c>
      <c r="G2852" t="s">
        <v>44</v>
      </c>
      <c r="H2852" t="s">
        <v>32</v>
      </c>
      <c r="I2852" t="s">
        <v>30</v>
      </c>
      <c r="J2852">
        <v>85</v>
      </c>
      <c r="K2852">
        <v>1453.11</v>
      </c>
      <c r="L2852">
        <v>123514.24000000001</v>
      </c>
      <c r="M2852">
        <v>64691.1</v>
      </c>
      <c r="N2852">
        <v>8662.4500000000007</v>
      </c>
      <c r="O2852">
        <v>6201.64</v>
      </c>
      <c r="P2852">
        <v>4969.74</v>
      </c>
      <c r="Q2852">
        <v>804.6</v>
      </c>
      <c r="R2852">
        <v>7397.13</v>
      </c>
      <c r="S2852">
        <v>2414.4</v>
      </c>
      <c r="T2852">
        <v>95141.07</v>
      </c>
      <c r="U2852">
        <v>58823.14</v>
      </c>
      <c r="V2852">
        <v>28373.17</v>
      </c>
      <c r="W2852">
        <v>26684.74</v>
      </c>
      <c r="X2852">
        <v>136636.97</v>
      </c>
      <c r="Y2852">
        <v>98224.25</v>
      </c>
    </row>
    <row r="2853" spans="1:25" x14ac:dyDescent="0.25">
      <c r="A2853" t="s">
        <v>2909</v>
      </c>
      <c r="B2853" s="1">
        <v>45728</v>
      </c>
      <c r="C2853">
        <v>2025</v>
      </c>
      <c r="D2853">
        <v>3</v>
      </c>
      <c r="E2853" t="s">
        <v>260</v>
      </c>
      <c r="F2853" t="s">
        <v>27</v>
      </c>
      <c r="G2853" t="s">
        <v>28</v>
      </c>
      <c r="H2853" t="s">
        <v>32</v>
      </c>
      <c r="I2853" t="s">
        <v>45</v>
      </c>
      <c r="J2853">
        <v>63</v>
      </c>
      <c r="K2853">
        <v>1015.87</v>
      </c>
      <c r="L2853">
        <v>63999.53</v>
      </c>
      <c r="M2853">
        <v>37081.339999999997</v>
      </c>
      <c r="N2853">
        <v>6536.3</v>
      </c>
      <c r="O2853">
        <v>4379.74</v>
      </c>
      <c r="P2853">
        <v>1671.03</v>
      </c>
      <c r="Q2853">
        <v>1104.3900000000001</v>
      </c>
      <c r="R2853">
        <v>2690.43</v>
      </c>
      <c r="S2853">
        <v>1439.85</v>
      </c>
      <c r="T2853">
        <v>54903.08</v>
      </c>
      <c r="U2853">
        <v>26918.19</v>
      </c>
      <c r="V2853">
        <v>9096.4599999999991</v>
      </c>
      <c r="W2853">
        <v>9219.8799999999992</v>
      </c>
      <c r="X2853">
        <v>68555.039999999994</v>
      </c>
      <c r="Y2853">
        <v>52442.05</v>
      </c>
    </row>
    <row r="2854" spans="1:25" x14ac:dyDescent="0.25">
      <c r="A2854" t="s">
        <v>2910</v>
      </c>
      <c r="B2854" s="1">
        <v>45728</v>
      </c>
      <c r="C2854">
        <v>2025</v>
      </c>
      <c r="D2854">
        <v>3</v>
      </c>
      <c r="E2854" t="s">
        <v>260</v>
      </c>
      <c r="F2854" t="s">
        <v>27</v>
      </c>
      <c r="G2854" t="s">
        <v>55</v>
      </c>
      <c r="H2854" t="s">
        <v>29</v>
      </c>
      <c r="I2854" t="s">
        <v>65</v>
      </c>
      <c r="J2854">
        <v>65</v>
      </c>
      <c r="K2854">
        <v>1077.18</v>
      </c>
      <c r="L2854">
        <v>70016.86</v>
      </c>
      <c r="M2854">
        <v>39363.82</v>
      </c>
      <c r="N2854">
        <v>7146.37</v>
      </c>
      <c r="O2854">
        <v>2773.84</v>
      </c>
      <c r="P2854">
        <v>2136.4499999999998</v>
      </c>
      <c r="Q2854">
        <v>382.15</v>
      </c>
      <c r="R2854">
        <v>3753.81</v>
      </c>
      <c r="S2854">
        <v>591.29999999999995</v>
      </c>
      <c r="T2854">
        <v>56147.74</v>
      </c>
      <c r="U2854">
        <v>30653.040000000001</v>
      </c>
      <c r="V2854">
        <v>13869.12</v>
      </c>
      <c r="W2854">
        <v>13245.98</v>
      </c>
      <c r="X2854">
        <v>67634.23</v>
      </c>
      <c r="Y2854">
        <v>58232.46</v>
      </c>
    </row>
    <row r="2855" spans="1:25" x14ac:dyDescent="0.25">
      <c r="A2855" t="s">
        <v>2911</v>
      </c>
      <c r="B2855" s="1">
        <v>45728</v>
      </c>
      <c r="C2855">
        <v>2025</v>
      </c>
      <c r="D2855">
        <v>3</v>
      </c>
      <c r="E2855" t="s">
        <v>260</v>
      </c>
      <c r="F2855" t="s">
        <v>27</v>
      </c>
      <c r="G2855" t="s">
        <v>28</v>
      </c>
      <c r="H2855" t="s">
        <v>32</v>
      </c>
      <c r="I2855" t="s">
        <v>33</v>
      </c>
      <c r="J2855">
        <v>69</v>
      </c>
      <c r="K2855">
        <v>1516.16</v>
      </c>
      <c r="L2855">
        <v>104614.85</v>
      </c>
      <c r="M2855">
        <v>54910.8</v>
      </c>
      <c r="N2855">
        <v>7543.57</v>
      </c>
      <c r="O2855">
        <v>6120.62</v>
      </c>
      <c r="P2855">
        <v>1724.24</v>
      </c>
      <c r="Q2855">
        <v>1046.6099999999999</v>
      </c>
      <c r="R2855">
        <v>4947.1400000000003</v>
      </c>
      <c r="S2855">
        <v>1806.71</v>
      </c>
      <c r="T2855">
        <v>78099.69</v>
      </c>
      <c r="U2855">
        <v>49704.04</v>
      </c>
      <c r="V2855">
        <v>26515.16</v>
      </c>
      <c r="W2855">
        <v>23719.1</v>
      </c>
      <c r="X2855">
        <v>105025.26</v>
      </c>
      <c r="Y2855">
        <v>79408.33</v>
      </c>
    </row>
    <row r="2856" spans="1:25" x14ac:dyDescent="0.25">
      <c r="A2856" t="s">
        <v>2912</v>
      </c>
      <c r="B2856" s="1">
        <v>45728</v>
      </c>
      <c r="C2856">
        <v>2025</v>
      </c>
      <c r="D2856">
        <v>3</v>
      </c>
      <c r="E2856" t="s">
        <v>260</v>
      </c>
      <c r="F2856" t="s">
        <v>27</v>
      </c>
      <c r="G2856" t="s">
        <v>28</v>
      </c>
      <c r="H2856" t="s">
        <v>58</v>
      </c>
      <c r="I2856" t="s">
        <v>30</v>
      </c>
      <c r="J2856">
        <v>55</v>
      </c>
      <c r="K2856">
        <v>1544.09</v>
      </c>
      <c r="L2856">
        <v>84924.800000000003</v>
      </c>
      <c r="M2856">
        <v>55195.9</v>
      </c>
      <c r="N2856">
        <v>9767.09</v>
      </c>
      <c r="O2856">
        <v>5526.04</v>
      </c>
      <c r="P2856">
        <v>2996.05</v>
      </c>
      <c r="Q2856">
        <v>1139.5899999999999</v>
      </c>
      <c r="R2856">
        <v>4266.21</v>
      </c>
      <c r="S2856">
        <v>2037.71</v>
      </c>
      <c r="T2856">
        <v>80928.59</v>
      </c>
      <c r="U2856">
        <v>29728.9</v>
      </c>
      <c r="V2856">
        <v>3996.21</v>
      </c>
      <c r="W2856">
        <v>3894.88</v>
      </c>
      <c r="X2856">
        <v>92855.84</v>
      </c>
      <c r="Y2856">
        <v>81472.09</v>
      </c>
    </row>
    <row r="2857" spans="1:25" x14ac:dyDescent="0.25">
      <c r="A2857" t="s">
        <v>2913</v>
      </c>
      <c r="B2857" s="1">
        <v>45729</v>
      </c>
      <c r="C2857">
        <v>2025</v>
      </c>
      <c r="D2857">
        <v>3</v>
      </c>
      <c r="E2857" t="s">
        <v>260</v>
      </c>
      <c r="F2857" t="s">
        <v>27</v>
      </c>
      <c r="G2857" t="s">
        <v>44</v>
      </c>
      <c r="H2857" t="s">
        <v>32</v>
      </c>
      <c r="I2857" t="s">
        <v>30</v>
      </c>
      <c r="J2857">
        <v>62</v>
      </c>
      <c r="K2857">
        <v>1464.34</v>
      </c>
      <c r="L2857">
        <v>90789.34</v>
      </c>
      <c r="M2857">
        <v>45005.99</v>
      </c>
      <c r="N2857">
        <v>10561.64</v>
      </c>
      <c r="O2857">
        <v>3962.9</v>
      </c>
      <c r="P2857">
        <v>3029.1</v>
      </c>
      <c r="Q2857">
        <v>454.83</v>
      </c>
      <c r="R2857">
        <v>3799.82</v>
      </c>
      <c r="S2857">
        <v>1567.2</v>
      </c>
      <c r="T2857">
        <v>68381.490000000005</v>
      </c>
      <c r="U2857">
        <v>45783.34</v>
      </c>
      <c r="V2857">
        <v>22407.85</v>
      </c>
      <c r="W2857">
        <v>21184.43</v>
      </c>
      <c r="X2857">
        <v>92520.98</v>
      </c>
      <c r="Y2857">
        <v>72661.7</v>
      </c>
    </row>
    <row r="2858" spans="1:25" x14ac:dyDescent="0.25">
      <c r="A2858" t="s">
        <v>2914</v>
      </c>
      <c r="B2858" s="1">
        <v>45729</v>
      </c>
      <c r="C2858">
        <v>2025</v>
      </c>
      <c r="D2858">
        <v>3</v>
      </c>
      <c r="E2858" t="s">
        <v>260</v>
      </c>
      <c r="F2858" t="s">
        <v>27</v>
      </c>
      <c r="G2858" t="s">
        <v>35</v>
      </c>
      <c r="H2858" t="s">
        <v>36</v>
      </c>
      <c r="I2858" t="s">
        <v>39</v>
      </c>
      <c r="J2858">
        <v>50</v>
      </c>
      <c r="K2858">
        <v>810.77</v>
      </c>
      <c r="L2858">
        <v>40538.480000000003</v>
      </c>
      <c r="M2858">
        <v>24479.11</v>
      </c>
      <c r="N2858">
        <v>3548.05</v>
      </c>
      <c r="O2858">
        <v>2218.38</v>
      </c>
      <c r="P2858">
        <v>653.17999999999995</v>
      </c>
      <c r="Q2858">
        <v>405.47</v>
      </c>
      <c r="R2858">
        <v>1632.82</v>
      </c>
      <c r="S2858">
        <v>504.1</v>
      </c>
      <c r="T2858">
        <v>33441.11</v>
      </c>
      <c r="U2858">
        <v>16059.38</v>
      </c>
      <c r="V2858">
        <v>7097.37</v>
      </c>
      <c r="W2858">
        <v>6954.29</v>
      </c>
      <c r="X2858">
        <v>41848.730000000003</v>
      </c>
      <c r="Y2858">
        <v>35868.31</v>
      </c>
    </row>
    <row r="2859" spans="1:25" x14ac:dyDescent="0.25">
      <c r="A2859" t="s">
        <v>2915</v>
      </c>
      <c r="B2859" s="1">
        <v>45729</v>
      </c>
      <c r="C2859">
        <v>2025</v>
      </c>
      <c r="D2859">
        <v>3</v>
      </c>
      <c r="E2859" t="s">
        <v>260</v>
      </c>
      <c r="F2859" t="s">
        <v>27</v>
      </c>
      <c r="G2859" t="s">
        <v>28</v>
      </c>
      <c r="H2859" t="s">
        <v>29</v>
      </c>
      <c r="I2859" t="s">
        <v>65</v>
      </c>
      <c r="J2859">
        <v>42</v>
      </c>
      <c r="K2859">
        <v>1566.76</v>
      </c>
      <c r="L2859">
        <v>65803.789999999994</v>
      </c>
      <c r="M2859">
        <v>36645.620000000003</v>
      </c>
      <c r="N2859">
        <v>7453.12</v>
      </c>
      <c r="O2859">
        <v>3914.31</v>
      </c>
      <c r="P2859">
        <v>2773.97</v>
      </c>
      <c r="Q2859">
        <v>1183.95</v>
      </c>
      <c r="R2859">
        <v>2183.59</v>
      </c>
      <c r="S2859">
        <v>614.04999999999995</v>
      </c>
      <c r="T2859">
        <v>54768.6</v>
      </c>
      <c r="U2859">
        <v>29158.17</v>
      </c>
      <c r="V2859">
        <v>11035.18</v>
      </c>
      <c r="W2859">
        <v>9902.65</v>
      </c>
      <c r="X2859">
        <v>61494.14</v>
      </c>
      <c r="Y2859">
        <v>56846.7</v>
      </c>
    </row>
    <row r="2860" spans="1:25" x14ac:dyDescent="0.25">
      <c r="A2860" t="s">
        <v>2916</v>
      </c>
      <c r="B2860" s="1">
        <v>45730</v>
      </c>
      <c r="C2860">
        <v>2025</v>
      </c>
      <c r="D2860">
        <v>3</v>
      </c>
      <c r="E2860" t="s">
        <v>260</v>
      </c>
      <c r="F2860" t="s">
        <v>27</v>
      </c>
      <c r="G2860" t="s">
        <v>55</v>
      </c>
      <c r="H2860" t="s">
        <v>58</v>
      </c>
      <c r="I2860" t="s">
        <v>37</v>
      </c>
      <c r="J2860">
        <v>57</v>
      </c>
      <c r="K2860">
        <v>1418</v>
      </c>
      <c r="L2860">
        <v>80826.13</v>
      </c>
      <c r="M2860">
        <v>42688.39</v>
      </c>
      <c r="N2860">
        <v>7363.34</v>
      </c>
      <c r="O2860">
        <v>2985.81</v>
      </c>
      <c r="P2860">
        <v>2280.46</v>
      </c>
      <c r="Q2860">
        <v>505.92</v>
      </c>
      <c r="R2860">
        <v>2967.47</v>
      </c>
      <c r="S2860">
        <v>1055.02</v>
      </c>
      <c r="T2860">
        <v>59846.400000000001</v>
      </c>
      <c r="U2860">
        <v>38137.74</v>
      </c>
      <c r="V2860">
        <v>20979.73</v>
      </c>
      <c r="W2860">
        <v>18779.849999999999</v>
      </c>
      <c r="X2860">
        <v>79398.710000000006</v>
      </c>
      <c r="Y2860">
        <v>61950.77</v>
      </c>
    </row>
    <row r="2861" spans="1:25" x14ac:dyDescent="0.25">
      <c r="A2861" t="s">
        <v>2917</v>
      </c>
      <c r="B2861" s="1">
        <v>45730</v>
      </c>
      <c r="C2861">
        <v>2025</v>
      </c>
      <c r="D2861">
        <v>3</v>
      </c>
      <c r="E2861" t="s">
        <v>260</v>
      </c>
      <c r="F2861" t="s">
        <v>27</v>
      </c>
      <c r="G2861" t="s">
        <v>28</v>
      </c>
      <c r="H2861" t="s">
        <v>53</v>
      </c>
      <c r="I2861" t="s">
        <v>65</v>
      </c>
      <c r="J2861">
        <v>49</v>
      </c>
      <c r="K2861">
        <v>1180.4000000000001</v>
      </c>
      <c r="L2861">
        <v>57839.65</v>
      </c>
      <c r="M2861">
        <v>36422.03</v>
      </c>
      <c r="N2861">
        <v>5285.64</v>
      </c>
      <c r="O2861">
        <v>3697.24</v>
      </c>
      <c r="P2861">
        <v>1493.75</v>
      </c>
      <c r="Q2861">
        <v>933.86</v>
      </c>
      <c r="R2861">
        <v>2734.72</v>
      </c>
      <c r="S2861">
        <v>1205.67</v>
      </c>
      <c r="T2861">
        <v>51772.91</v>
      </c>
      <c r="U2861">
        <v>21417.62</v>
      </c>
      <c r="V2861">
        <v>6066.75</v>
      </c>
      <c r="W2861">
        <v>6076.87</v>
      </c>
      <c r="X2861">
        <v>59087.4</v>
      </c>
      <c r="Y2861">
        <v>54259.51</v>
      </c>
    </row>
    <row r="2862" spans="1:25" x14ac:dyDescent="0.25">
      <c r="A2862" t="s">
        <v>2918</v>
      </c>
      <c r="B2862" s="1">
        <v>45731</v>
      </c>
      <c r="C2862">
        <v>2025</v>
      </c>
      <c r="D2862">
        <v>3</v>
      </c>
      <c r="E2862" t="s">
        <v>260</v>
      </c>
      <c r="F2862" t="s">
        <v>27</v>
      </c>
      <c r="G2862" t="s">
        <v>55</v>
      </c>
      <c r="H2862" t="s">
        <v>58</v>
      </c>
      <c r="I2862" t="s">
        <v>39</v>
      </c>
      <c r="J2862">
        <v>63</v>
      </c>
      <c r="K2862">
        <v>819.89</v>
      </c>
      <c r="L2862">
        <v>51652.91</v>
      </c>
      <c r="M2862">
        <v>27453.89</v>
      </c>
      <c r="N2862">
        <v>5751.98</v>
      </c>
      <c r="O2862">
        <v>2597.1</v>
      </c>
      <c r="P2862">
        <v>1824.4</v>
      </c>
      <c r="Q2862">
        <v>593.23</v>
      </c>
      <c r="R2862">
        <v>2612.3200000000002</v>
      </c>
      <c r="S2862">
        <v>963.61</v>
      </c>
      <c r="T2862">
        <v>41796.53</v>
      </c>
      <c r="U2862">
        <v>24199.02</v>
      </c>
      <c r="V2862">
        <v>9856.3799999999992</v>
      </c>
      <c r="W2862">
        <v>9938.75</v>
      </c>
      <c r="X2862">
        <v>56412.88</v>
      </c>
      <c r="Y2862">
        <v>42186.26</v>
      </c>
    </row>
    <row r="2863" spans="1:25" x14ac:dyDescent="0.25">
      <c r="A2863" t="s">
        <v>2919</v>
      </c>
      <c r="B2863" s="1">
        <v>45731</v>
      </c>
      <c r="C2863">
        <v>2025</v>
      </c>
      <c r="D2863">
        <v>3</v>
      </c>
      <c r="E2863" t="s">
        <v>260</v>
      </c>
      <c r="F2863" t="s">
        <v>27</v>
      </c>
      <c r="G2863" t="s">
        <v>44</v>
      </c>
      <c r="H2863" t="s">
        <v>32</v>
      </c>
      <c r="I2863" t="s">
        <v>56</v>
      </c>
      <c r="J2863">
        <v>27</v>
      </c>
      <c r="K2863">
        <v>1651.24</v>
      </c>
      <c r="L2863">
        <v>44583.48</v>
      </c>
      <c r="M2863">
        <v>24305.55</v>
      </c>
      <c r="N2863">
        <v>5398.47</v>
      </c>
      <c r="O2863">
        <v>2060.58</v>
      </c>
      <c r="P2863">
        <v>1709.77</v>
      </c>
      <c r="Q2863">
        <v>606.02</v>
      </c>
      <c r="R2863">
        <v>1723.83</v>
      </c>
      <c r="S2863">
        <v>1008.94</v>
      </c>
      <c r="T2863">
        <v>36813.160000000003</v>
      </c>
      <c r="U2863">
        <v>20277.93</v>
      </c>
      <c r="V2863">
        <v>7770.32</v>
      </c>
      <c r="W2863">
        <v>7594.6</v>
      </c>
      <c r="X2863">
        <v>46802.42</v>
      </c>
      <c r="Y2863">
        <v>35330.21</v>
      </c>
    </row>
    <row r="2864" spans="1:25" x14ac:dyDescent="0.25">
      <c r="A2864" t="s">
        <v>2920</v>
      </c>
      <c r="B2864" s="1">
        <v>45731</v>
      </c>
      <c r="C2864">
        <v>2025</v>
      </c>
      <c r="D2864">
        <v>3</v>
      </c>
      <c r="E2864" t="s">
        <v>260</v>
      </c>
      <c r="F2864" t="s">
        <v>27</v>
      </c>
      <c r="G2864" t="s">
        <v>55</v>
      </c>
      <c r="H2864" t="s">
        <v>36</v>
      </c>
      <c r="I2864" t="s">
        <v>45</v>
      </c>
      <c r="J2864">
        <v>62</v>
      </c>
      <c r="K2864">
        <v>862.72</v>
      </c>
      <c r="L2864">
        <v>53488.7</v>
      </c>
      <c r="M2864">
        <v>31248.06</v>
      </c>
      <c r="N2864">
        <v>5706.32</v>
      </c>
      <c r="O2864">
        <v>3614.44</v>
      </c>
      <c r="P2864">
        <v>1009.63</v>
      </c>
      <c r="Q2864">
        <v>725.42</v>
      </c>
      <c r="R2864">
        <v>2414.16</v>
      </c>
      <c r="S2864">
        <v>641.52</v>
      </c>
      <c r="T2864">
        <v>45359.55</v>
      </c>
      <c r="U2864">
        <v>22240.639999999999</v>
      </c>
      <c r="V2864">
        <v>8129.15</v>
      </c>
      <c r="W2864">
        <v>7444.29</v>
      </c>
      <c r="X2864">
        <v>58006.78</v>
      </c>
      <c r="Y2864">
        <v>44497.35</v>
      </c>
    </row>
    <row r="2865" spans="1:25" x14ac:dyDescent="0.25">
      <c r="A2865" t="s">
        <v>2921</v>
      </c>
      <c r="B2865" s="1">
        <v>45731</v>
      </c>
      <c r="C2865">
        <v>2025</v>
      </c>
      <c r="D2865">
        <v>3</v>
      </c>
      <c r="E2865" t="s">
        <v>260</v>
      </c>
      <c r="F2865" t="s">
        <v>27</v>
      </c>
      <c r="G2865" t="s">
        <v>35</v>
      </c>
      <c r="H2865" t="s">
        <v>32</v>
      </c>
      <c r="I2865" t="s">
        <v>65</v>
      </c>
      <c r="J2865">
        <v>40</v>
      </c>
      <c r="K2865">
        <v>1629.92</v>
      </c>
      <c r="L2865">
        <v>65196.68</v>
      </c>
      <c r="M2865">
        <v>43330.95</v>
      </c>
      <c r="N2865">
        <v>5994.6</v>
      </c>
      <c r="O2865">
        <v>4062.47</v>
      </c>
      <c r="P2865">
        <v>2752.57</v>
      </c>
      <c r="Q2865">
        <v>937.79</v>
      </c>
      <c r="R2865">
        <v>1706.01</v>
      </c>
      <c r="S2865">
        <v>1140.1400000000001</v>
      </c>
      <c r="T2865">
        <v>59924.53</v>
      </c>
      <c r="U2865">
        <v>21865.74</v>
      </c>
      <c r="V2865">
        <v>5272.15</v>
      </c>
      <c r="W2865">
        <v>4996.2700000000004</v>
      </c>
      <c r="X2865">
        <v>71169.83</v>
      </c>
      <c r="Y2865">
        <v>56515.86</v>
      </c>
    </row>
    <row r="2866" spans="1:25" x14ac:dyDescent="0.25">
      <c r="A2866" t="s">
        <v>2922</v>
      </c>
      <c r="B2866" s="1">
        <v>45731</v>
      </c>
      <c r="C2866">
        <v>2025</v>
      </c>
      <c r="D2866">
        <v>3</v>
      </c>
      <c r="E2866" t="s">
        <v>260</v>
      </c>
      <c r="F2866" t="s">
        <v>27</v>
      </c>
      <c r="G2866" t="s">
        <v>44</v>
      </c>
      <c r="H2866" t="s">
        <v>29</v>
      </c>
      <c r="I2866" t="s">
        <v>39</v>
      </c>
      <c r="J2866">
        <v>34</v>
      </c>
      <c r="K2866">
        <v>974.01</v>
      </c>
      <c r="L2866">
        <v>33116.300000000003</v>
      </c>
      <c r="M2866">
        <v>21264.959999999999</v>
      </c>
      <c r="N2866">
        <v>3345</v>
      </c>
      <c r="O2866">
        <v>1845.83</v>
      </c>
      <c r="P2866">
        <v>888.46</v>
      </c>
      <c r="Q2866">
        <v>206.41</v>
      </c>
      <c r="R2866">
        <v>921.7</v>
      </c>
      <c r="S2866">
        <v>451.76</v>
      </c>
      <c r="T2866">
        <v>28924.12</v>
      </c>
      <c r="U2866">
        <v>11851.34</v>
      </c>
      <c r="V2866">
        <v>4192.18</v>
      </c>
      <c r="W2866">
        <v>4131.9799999999996</v>
      </c>
      <c r="X2866">
        <v>32408.52</v>
      </c>
      <c r="Y2866">
        <v>27073.4</v>
      </c>
    </row>
    <row r="2867" spans="1:25" x14ac:dyDescent="0.25">
      <c r="A2867" t="s">
        <v>2923</v>
      </c>
      <c r="B2867" s="1">
        <v>45731</v>
      </c>
      <c r="C2867">
        <v>2025</v>
      </c>
      <c r="D2867">
        <v>3</v>
      </c>
      <c r="E2867" t="s">
        <v>260</v>
      </c>
      <c r="F2867" t="s">
        <v>27</v>
      </c>
      <c r="G2867" t="s">
        <v>28</v>
      </c>
      <c r="H2867" t="s">
        <v>58</v>
      </c>
      <c r="I2867" t="s">
        <v>65</v>
      </c>
      <c r="J2867">
        <v>37</v>
      </c>
      <c r="K2867">
        <v>1399.01</v>
      </c>
      <c r="L2867">
        <v>51763.3</v>
      </c>
      <c r="M2867">
        <v>32780.51</v>
      </c>
      <c r="N2867">
        <v>6501.62</v>
      </c>
      <c r="O2867">
        <v>1416.7</v>
      </c>
      <c r="P2867">
        <v>901.6</v>
      </c>
      <c r="Q2867">
        <v>430.85</v>
      </c>
      <c r="R2867">
        <v>1779.81</v>
      </c>
      <c r="S2867">
        <v>726.34</v>
      </c>
      <c r="T2867">
        <v>44537.43</v>
      </c>
      <c r="U2867">
        <v>18982.78</v>
      </c>
      <c r="V2867">
        <v>7225.86</v>
      </c>
      <c r="W2867">
        <v>7230.87</v>
      </c>
      <c r="X2867">
        <v>57972.68</v>
      </c>
      <c r="Y2867">
        <v>45197.94</v>
      </c>
    </row>
    <row r="2868" spans="1:25" x14ac:dyDescent="0.25">
      <c r="A2868" t="s">
        <v>2924</v>
      </c>
      <c r="B2868" s="1">
        <v>45731</v>
      </c>
      <c r="C2868">
        <v>2025</v>
      </c>
      <c r="D2868">
        <v>3</v>
      </c>
      <c r="E2868" t="s">
        <v>260</v>
      </c>
      <c r="F2868" t="s">
        <v>27</v>
      </c>
      <c r="G2868" t="s">
        <v>28</v>
      </c>
      <c r="H2868" t="s">
        <v>36</v>
      </c>
      <c r="I2868" t="s">
        <v>56</v>
      </c>
      <c r="J2868">
        <v>27</v>
      </c>
      <c r="K2868">
        <v>1700.82</v>
      </c>
      <c r="L2868">
        <v>45922.03</v>
      </c>
      <c r="M2868">
        <v>26131.360000000001</v>
      </c>
      <c r="N2868">
        <v>3456.24</v>
      </c>
      <c r="O2868">
        <v>1889.46</v>
      </c>
      <c r="P2868">
        <v>1061.96</v>
      </c>
      <c r="Q2868">
        <v>368.24</v>
      </c>
      <c r="R2868">
        <v>1945.97</v>
      </c>
      <c r="S2868">
        <v>912.39</v>
      </c>
      <c r="T2868">
        <v>35765.61</v>
      </c>
      <c r="U2868">
        <v>19790.669999999998</v>
      </c>
      <c r="V2868">
        <v>10156.42</v>
      </c>
      <c r="W2868">
        <v>10127.459999999999</v>
      </c>
      <c r="X2868">
        <v>49155.33</v>
      </c>
      <c r="Y2868">
        <v>37788.5</v>
      </c>
    </row>
    <row r="2869" spans="1:25" x14ac:dyDescent="0.25">
      <c r="A2869" t="s">
        <v>2925</v>
      </c>
      <c r="B2869" s="1">
        <v>45732</v>
      </c>
      <c r="C2869">
        <v>2025</v>
      </c>
      <c r="D2869">
        <v>3</v>
      </c>
      <c r="E2869" t="s">
        <v>260</v>
      </c>
      <c r="F2869" t="s">
        <v>27</v>
      </c>
      <c r="G2869" t="s">
        <v>28</v>
      </c>
      <c r="H2869" t="s">
        <v>53</v>
      </c>
      <c r="I2869" t="s">
        <v>30</v>
      </c>
      <c r="J2869">
        <v>65</v>
      </c>
      <c r="K2869">
        <v>1251.8</v>
      </c>
      <c r="L2869">
        <v>81366.78</v>
      </c>
      <c r="M2869">
        <v>55253.61</v>
      </c>
      <c r="N2869">
        <v>8879.67</v>
      </c>
      <c r="O2869">
        <v>3094.53</v>
      </c>
      <c r="P2869">
        <v>2708.82</v>
      </c>
      <c r="Q2869">
        <v>756.45</v>
      </c>
      <c r="R2869">
        <v>4475.05</v>
      </c>
      <c r="S2869">
        <v>1185.6600000000001</v>
      </c>
      <c r="T2869">
        <v>76353.8</v>
      </c>
      <c r="U2869">
        <v>26113.17</v>
      </c>
      <c r="V2869">
        <v>5012.9799999999996</v>
      </c>
      <c r="W2869">
        <v>4923.93</v>
      </c>
      <c r="X2869">
        <v>85852.91</v>
      </c>
      <c r="Y2869">
        <v>77548.679999999993</v>
      </c>
    </row>
    <row r="2870" spans="1:25" x14ac:dyDescent="0.25">
      <c r="A2870" t="s">
        <v>2926</v>
      </c>
      <c r="B2870" s="1">
        <v>45732</v>
      </c>
      <c r="C2870">
        <v>2025</v>
      </c>
      <c r="D2870">
        <v>3</v>
      </c>
      <c r="E2870" t="s">
        <v>260</v>
      </c>
      <c r="F2870" t="s">
        <v>27</v>
      </c>
      <c r="G2870" t="s">
        <v>44</v>
      </c>
      <c r="H2870" t="s">
        <v>36</v>
      </c>
      <c r="I2870" t="s">
        <v>56</v>
      </c>
      <c r="J2870">
        <v>22</v>
      </c>
      <c r="K2870">
        <v>1376.65</v>
      </c>
      <c r="L2870">
        <v>30286.400000000001</v>
      </c>
      <c r="M2870">
        <v>19244.79</v>
      </c>
      <c r="N2870">
        <v>2444.71</v>
      </c>
      <c r="O2870">
        <v>1950.27</v>
      </c>
      <c r="P2870">
        <v>1175.93</v>
      </c>
      <c r="Q2870">
        <v>352.41</v>
      </c>
      <c r="R2870">
        <v>1420.1</v>
      </c>
      <c r="S2870">
        <v>551.41</v>
      </c>
      <c r="T2870">
        <v>27139.62</v>
      </c>
      <c r="U2870">
        <v>11041.61</v>
      </c>
      <c r="V2870">
        <v>3146.78</v>
      </c>
      <c r="W2870">
        <v>3006.44</v>
      </c>
      <c r="X2870">
        <v>28780.39</v>
      </c>
      <c r="Y2870">
        <v>26626.07</v>
      </c>
    </row>
    <row r="2871" spans="1:25" x14ac:dyDescent="0.25">
      <c r="A2871" t="s">
        <v>2927</v>
      </c>
      <c r="B2871" s="1">
        <v>45732</v>
      </c>
      <c r="C2871">
        <v>2025</v>
      </c>
      <c r="D2871">
        <v>3</v>
      </c>
      <c r="E2871" t="s">
        <v>260</v>
      </c>
      <c r="F2871" t="s">
        <v>27</v>
      </c>
      <c r="G2871" t="s">
        <v>55</v>
      </c>
      <c r="H2871" t="s">
        <v>32</v>
      </c>
      <c r="I2871" t="s">
        <v>65</v>
      </c>
      <c r="J2871">
        <v>90</v>
      </c>
      <c r="K2871">
        <v>990.95</v>
      </c>
      <c r="L2871">
        <v>89185.75</v>
      </c>
      <c r="M2871">
        <v>44496.1</v>
      </c>
      <c r="N2871">
        <v>7928.03</v>
      </c>
      <c r="O2871">
        <v>6042.2</v>
      </c>
      <c r="P2871">
        <v>2881.4</v>
      </c>
      <c r="Q2871">
        <v>1575.17</v>
      </c>
      <c r="R2871">
        <v>5212.0200000000004</v>
      </c>
      <c r="S2871">
        <v>2020.06</v>
      </c>
      <c r="T2871">
        <v>70154.990000000005</v>
      </c>
      <c r="U2871">
        <v>44689.65</v>
      </c>
      <c r="V2871">
        <v>19030.77</v>
      </c>
      <c r="W2871">
        <v>16920.53</v>
      </c>
      <c r="X2871">
        <v>82391.77</v>
      </c>
      <c r="Y2871">
        <v>75010.59</v>
      </c>
    </row>
    <row r="2872" spans="1:25" x14ac:dyDescent="0.25">
      <c r="A2872" t="s">
        <v>2928</v>
      </c>
      <c r="B2872" s="1">
        <v>45732</v>
      </c>
      <c r="C2872">
        <v>2025</v>
      </c>
      <c r="D2872">
        <v>3</v>
      </c>
      <c r="E2872" t="s">
        <v>260</v>
      </c>
      <c r="F2872" t="s">
        <v>27</v>
      </c>
      <c r="G2872" t="s">
        <v>44</v>
      </c>
      <c r="H2872" t="s">
        <v>36</v>
      </c>
      <c r="I2872" t="s">
        <v>30</v>
      </c>
      <c r="J2872">
        <v>57</v>
      </c>
      <c r="K2872">
        <v>1796.26</v>
      </c>
      <c r="L2872">
        <v>102386.95</v>
      </c>
      <c r="M2872">
        <v>52927.78</v>
      </c>
      <c r="N2872">
        <v>7518.43</v>
      </c>
      <c r="O2872">
        <v>6642.07</v>
      </c>
      <c r="P2872">
        <v>2998.36</v>
      </c>
      <c r="Q2872">
        <v>950.44</v>
      </c>
      <c r="R2872">
        <v>2846.3</v>
      </c>
      <c r="S2872">
        <v>1013.69</v>
      </c>
      <c r="T2872">
        <v>74897.08</v>
      </c>
      <c r="U2872">
        <v>49459.17</v>
      </c>
      <c r="V2872">
        <v>27489.87</v>
      </c>
      <c r="W2872">
        <v>24743.29</v>
      </c>
      <c r="X2872">
        <v>111824.88</v>
      </c>
      <c r="Y2872">
        <v>71529.52</v>
      </c>
    </row>
    <row r="2873" spans="1:25" x14ac:dyDescent="0.25">
      <c r="A2873" t="s">
        <v>2929</v>
      </c>
      <c r="B2873" s="1">
        <v>45733</v>
      </c>
      <c r="C2873">
        <v>2025</v>
      </c>
      <c r="D2873">
        <v>3</v>
      </c>
      <c r="E2873" t="s">
        <v>260</v>
      </c>
      <c r="F2873" t="s">
        <v>27</v>
      </c>
      <c r="G2873" t="s">
        <v>55</v>
      </c>
      <c r="H2873" t="s">
        <v>32</v>
      </c>
      <c r="I2873" t="s">
        <v>65</v>
      </c>
      <c r="J2873">
        <v>96</v>
      </c>
      <c r="K2873">
        <v>993.36</v>
      </c>
      <c r="L2873">
        <v>95362.91</v>
      </c>
      <c r="M2873">
        <v>56214.29</v>
      </c>
      <c r="N2873">
        <v>7852.65</v>
      </c>
      <c r="O2873">
        <v>4742.1099999999997</v>
      </c>
      <c r="P2873">
        <v>1594.39</v>
      </c>
      <c r="Q2873">
        <v>1695.93</v>
      </c>
      <c r="R2873">
        <v>4493.13</v>
      </c>
      <c r="S2873">
        <v>2028.95</v>
      </c>
      <c r="T2873">
        <v>78621.460000000006</v>
      </c>
      <c r="U2873">
        <v>39148.620000000003</v>
      </c>
      <c r="V2873">
        <v>16741.46</v>
      </c>
      <c r="W2873">
        <v>16462.25</v>
      </c>
      <c r="X2873">
        <v>94170.49</v>
      </c>
      <c r="Y2873">
        <v>81349.34</v>
      </c>
    </row>
    <row r="2874" spans="1:25" x14ac:dyDescent="0.25">
      <c r="A2874" t="s">
        <v>2930</v>
      </c>
      <c r="B2874" s="1">
        <v>45733</v>
      </c>
      <c r="C2874">
        <v>2025</v>
      </c>
      <c r="D2874">
        <v>3</v>
      </c>
      <c r="E2874" t="s">
        <v>260</v>
      </c>
      <c r="F2874" t="s">
        <v>27</v>
      </c>
      <c r="G2874" t="s">
        <v>28</v>
      </c>
      <c r="H2874" t="s">
        <v>36</v>
      </c>
      <c r="I2874" t="s">
        <v>65</v>
      </c>
      <c r="J2874">
        <v>48</v>
      </c>
      <c r="K2874">
        <v>1611.73</v>
      </c>
      <c r="L2874">
        <v>77362.92</v>
      </c>
      <c r="M2874">
        <v>48215.07</v>
      </c>
      <c r="N2874">
        <v>5470.26</v>
      </c>
      <c r="O2874">
        <v>2193.9699999999998</v>
      </c>
      <c r="P2874">
        <v>3069.65</v>
      </c>
      <c r="Q2874">
        <v>655.6</v>
      </c>
      <c r="R2874">
        <v>3943.79</v>
      </c>
      <c r="S2874">
        <v>963.19</v>
      </c>
      <c r="T2874">
        <v>64511.53</v>
      </c>
      <c r="U2874">
        <v>29147.84</v>
      </c>
      <c r="V2874">
        <v>12851.39</v>
      </c>
      <c r="W2874">
        <v>11708.95</v>
      </c>
      <c r="X2874">
        <v>77840.009999999995</v>
      </c>
      <c r="Y2874">
        <v>60233.54</v>
      </c>
    </row>
    <row r="2875" spans="1:25" x14ac:dyDescent="0.25">
      <c r="A2875" t="s">
        <v>2931</v>
      </c>
      <c r="B2875" s="1">
        <v>45733</v>
      </c>
      <c r="C2875">
        <v>2025</v>
      </c>
      <c r="D2875">
        <v>3</v>
      </c>
      <c r="E2875" t="s">
        <v>260</v>
      </c>
      <c r="F2875" t="s">
        <v>27</v>
      </c>
      <c r="G2875" t="s">
        <v>55</v>
      </c>
      <c r="H2875" t="s">
        <v>36</v>
      </c>
      <c r="I2875" t="s">
        <v>30</v>
      </c>
      <c r="J2875">
        <v>92</v>
      </c>
      <c r="K2875">
        <v>1230.05</v>
      </c>
      <c r="L2875">
        <v>113164.18</v>
      </c>
      <c r="M2875">
        <v>54693.06</v>
      </c>
      <c r="N2875">
        <v>14510.8</v>
      </c>
      <c r="O2875">
        <v>6767.46</v>
      </c>
      <c r="P2875">
        <v>3778.51</v>
      </c>
      <c r="Q2875">
        <v>600.08000000000004</v>
      </c>
      <c r="R2875">
        <v>6432.44</v>
      </c>
      <c r="S2875">
        <v>1742.41</v>
      </c>
      <c r="T2875">
        <v>88524.76</v>
      </c>
      <c r="U2875">
        <v>58471.12</v>
      </c>
      <c r="V2875">
        <v>24639.42</v>
      </c>
      <c r="W2875">
        <v>24998</v>
      </c>
      <c r="X2875">
        <v>122829.19</v>
      </c>
      <c r="Y2875">
        <v>83950.73</v>
      </c>
    </row>
    <row r="2876" spans="1:25" x14ac:dyDescent="0.25">
      <c r="A2876" t="s">
        <v>2932</v>
      </c>
      <c r="B2876" s="1">
        <v>45733</v>
      </c>
      <c r="C2876">
        <v>2025</v>
      </c>
      <c r="D2876">
        <v>3</v>
      </c>
      <c r="E2876" t="s">
        <v>260</v>
      </c>
      <c r="F2876" t="s">
        <v>27</v>
      </c>
      <c r="G2876" t="s">
        <v>28</v>
      </c>
      <c r="H2876" t="s">
        <v>36</v>
      </c>
      <c r="I2876" t="s">
        <v>30</v>
      </c>
      <c r="J2876">
        <v>67</v>
      </c>
      <c r="K2876">
        <v>1483.9</v>
      </c>
      <c r="L2876">
        <v>99421.5</v>
      </c>
      <c r="M2876">
        <v>48282.51</v>
      </c>
      <c r="N2876">
        <v>11534.04</v>
      </c>
      <c r="O2876">
        <v>7194.07</v>
      </c>
      <c r="P2876">
        <v>2529.31</v>
      </c>
      <c r="Q2876">
        <v>917.98</v>
      </c>
      <c r="R2876">
        <v>6295.01</v>
      </c>
      <c r="S2876">
        <v>1103.8599999999999</v>
      </c>
      <c r="T2876">
        <v>77856.789999999994</v>
      </c>
      <c r="U2876">
        <v>51138.99</v>
      </c>
      <c r="V2876">
        <v>21564.71</v>
      </c>
      <c r="W2876">
        <v>19432.5</v>
      </c>
      <c r="X2876">
        <v>105741.37</v>
      </c>
      <c r="Y2876">
        <v>84055.679999999993</v>
      </c>
    </row>
    <row r="2877" spans="1:25" x14ac:dyDescent="0.25">
      <c r="A2877" t="s">
        <v>2933</v>
      </c>
      <c r="B2877" s="1">
        <v>45735</v>
      </c>
      <c r="C2877">
        <v>2025</v>
      </c>
      <c r="D2877">
        <v>3</v>
      </c>
      <c r="E2877" t="s">
        <v>260</v>
      </c>
      <c r="F2877" t="s">
        <v>27</v>
      </c>
      <c r="G2877" t="s">
        <v>35</v>
      </c>
      <c r="H2877" t="s">
        <v>58</v>
      </c>
      <c r="I2877" t="s">
        <v>33</v>
      </c>
      <c r="J2877">
        <v>56</v>
      </c>
      <c r="K2877">
        <v>1080.6199999999999</v>
      </c>
      <c r="L2877">
        <v>60514.62</v>
      </c>
      <c r="M2877">
        <v>31005.1</v>
      </c>
      <c r="N2877">
        <v>7565.45</v>
      </c>
      <c r="O2877">
        <v>3740.52</v>
      </c>
      <c r="P2877">
        <v>1014.77</v>
      </c>
      <c r="Q2877">
        <v>508.54</v>
      </c>
      <c r="R2877">
        <v>1796.84</v>
      </c>
      <c r="S2877">
        <v>1052.8800000000001</v>
      </c>
      <c r="T2877">
        <v>46684.1</v>
      </c>
      <c r="U2877">
        <v>29509.52</v>
      </c>
      <c r="V2877">
        <v>13830.52</v>
      </c>
      <c r="W2877">
        <v>13723.88</v>
      </c>
      <c r="X2877">
        <v>62710.65</v>
      </c>
      <c r="Y2877">
        <v>44566.55</v>
      </c>
    </row>
    <row r="2878" spans="1:25" x14ac:dyDescent="0.25">
      <c r="A2878" t="s">
        <v>2934</v>
      </c>
      <c r="B2878" s="1">
        <v>45735</v>
      </c>
      <c r="C2878">
        <v>2025</v>
      </c>
      <c r="D2878">
        <v>3</v>
      </c>
      <c r="E2878" t="s">
        <v>260</v>
      </c>
      <c r="F2878" t="s">
        <v>27</v>
      </c>
      <c r="G2878" t="s">
        <v>28</v>
      </c>
      <c r="H2878" t="s">
        <v>53</v>
      </c>
      <c r="I2878" t="s">
        <v>65</v>
      </c>
      <c r="J2878">
        <v>83</v>
      </c>
      <c r="K2878">
        <v>805.41</v>
      </c>
      <c r="L2878">
        <v>66849.16</v>
      </c>
      <c r="M2878">
        <v>36806.589999999997</v>
      </c>
      <c r="N2878">
        <v>6023.51</v>
      </c>
      <c r="O2878">
        <v>2388.65</v>
      </c>
      <c r="P2878">
        <v>2662.73</v>
      </c>
      <c r="Q2878">
        <v>1121.1099999999999</v>
      </c>
      <c r="R2878">
        <v>2720.03</v>
      </c>
      <c r="S2878">
        <v>843.17</v>
      </c>
      <c r="T2878">
        <v>52565.79</v>
      </c>
      <c r="U2878">
        <v>30042.560000000001</v>
      </c>
      <c r="V2878">
        <v>14283.37</v>
      </c>
      <c r="W2878">
        <v>12909.24</v>
      </c>
      <c r="X2878">
        <v>71387.58</v>
      </c>
      <c r="Y2878">
        <v>52770.15</v>
      </c>
    </row>
    <row r="2879" spans="1:25" x14ac:dyDescent="0.25">
      <c r="A2879" t="s">
        <v>2935</v>
      </c>
      <c r="B2879" s="1">
        <v>45736</v>
      </c>
      <c r="C2879">
        <v>2025</v>
      </c>
      <c r="D2879">
        <v>3</v>
      </c>
      <c r="E2879" t="s">
        <v>260</v>
      </c>
      <c r="F2879" t="s">
        <v>27</v>
      </c>
      <c r="G2879" t="s">
        <v>28</v>
      </c>
      <c r="H2879" t="s">
        <v>53</v>
      </c>
      <c r="I2879" t="s">
        <v>45</v>
      </c>
      <c r="J2879">
        <v>46</v>
      </c>
      <c r="K2879">
        <v>1026.57</v>
      </c>
      <c r="L2879">
        <v>47222.42</v>
      </c>
      <c r="M2879">
        <v>31549.05</v>
      </c>
      <c r="N2879">
        <v>4038.94</v>
      </c>
      <c r="O2879">
        <v>1198.72</v>
      </c>
      <c r="P2879">
        <v>1345.67</v>
      </c>
      <c r="Q2879">
        <v>839.31</v>
      </c>
      <c r="R2879">
        <v>2121.14</v>
      </c>
      <c r="S2879">
        <v>1019.81</v>
      </c>
      <c r="T2879">
        <v>42112.639999999999</v>
      </c>
      <c r="U2879">
        <v>15673.37</v>
      </c>
      <c r="V2879">
        <v>5109.78</v>
      </c>
      <c r="W2879">
        <v>4639.0200000000004</v>
      </c>
      <c r="X2879">
        <v>44281.45</v>
      </c>
      <c r="Y2879">
        <v>39225.440000000002</v>
      </c>
    </row>
    <row r="2880" spans="1:25" x14ac:dyDescent="0.25">
      <c r="A2880" t="s">
        <v>2936</v>
      </c>
      <c r="B2880" s="1">
        <v>45736</v>
      </c>
      <c r="C2880">
        <v>2025</v>
      </c>
      <c r="D2880">
        <v>3</v>
      </c>
      <c r="E2880" t="s">
        <v>260</v>
      </c>
      <c r="F2880" t="s">
        <v>27</v>
      </c>
      <c r="G2880" t="s">
        <v>44</v>
      </c>
      <c r="H2880" t="s">
        <v>32</v>
      </c>
      <c r="I2880" t="s">
        <v>30</v>
      </c>
      <c r="J2880">
        <v>50</v>
      </c>
      <c r="K2880">
        <v>1781.95</v>
      </c>
      <c r="L2880">
        <v>89097.7</v>
      </c>
      <c r="M2880">
        <v>56982.93</v>
      </c>
      <c r="N2880">
        <v>7907.21</v>
      </c>
      <c r="O2880">
        <v>3286.72</v>
      </c>
      <c r="P2880">
        <v>2414.75</v>
      </c>
      <c r="Q2880">
        <v>1151.6099999999999</v>
      </c>
      <c r="R2880">
        <v>4771.9799999999996</v>
      </c>
      <c r="S2880">
        <v>1154.47</v>
      </c>
      <c r="T2880">
        <v>77669.67</v>
      </c>
      <c r="U2880">
        <v>32114.77</v>
      </c>
      <c r="V2880">
        <v>11428.02</v>
      </c>
      <c r="W2880">
        <v>10261.25</v>
      </c>
      <c r="X2880">
        <v>85999.67</v>
      </c>
      <c r="Y2880">
        <v>83044.72</v>
      </c>
    </row>
    <row r="2881" spans="1:25" x14ac:dyDescent="0.25">
      <c r="A2881" t="s">
        <v>2937</v>
      </c>
      <c r="B2881" s="1">
        <v>45738</v>
      </c>
      <c r="C2881">
        <v>2025</v>
      </c>
      <c r="D2881">
        <v>3</v>
      </c>
      <c r="E2881" t="s">
        <v>260</v>
      </c>
      <c r="F2881" t="s">
        <v>27</v>
      </c>
      <c r="G2881" t="s">
        <v>55</v>
      </c>
      <c r="H2881" t="s">
        <v>36</v>
      </c>
      <c r="I2881" t="s">
        <v>45</v>
      </c>
      <c r="J2881">
        <v>31</v>
      </c>
      <c r="K2881">
        <v>1569.85</v>
      </c>
      <c r="L2881">
        <v>48665.35</v>
      </c>
      <c r="M2881">
        <v>25626.06</v>
      </c>
      <c r="N2881">
        <v>4775.22</v>
      </c>
      <c r="O2881">
        <v>2173.92</v>
      </c>
      <c r="P2881">
        <v>1259.46</v>
      </c>
      <c r="Q2881">
        <v>304.27</v>
      </c>
      <c r="R2881">
        <v>2909.47</v>
      </c>
      <c r="S2881">
        <v>499.28</v>
      </c>
      <c r="T2881">
        <v>37547.69</v>
      </c>
      <c r="U2881">
        <v>23039.29</v>
      </c>
      <c r="V2881">
        <v>11117.67</v>
      </c>
      <c r="W2881">
        <v>10241.32</v>
      </c>
      <c r="X2881">
        <v>51215.38</v>
      </c>
      <c r="Y2881">
        <v>36983.79</v>
      </c>
    </row>
    <row r="2882" spans="1:25" x14ac:dyDescent="0.25">
      <c r="A2882" t="s">
        <v>2938</v>
      </c>
      <c r="B2882" s="1">
        <v>45740</v>
      </c>
      <c r="C2882">
        <v>2025</v>
      </c>
      <c r="D2882">
        <v>3</v>
      </c>
      <c r="E2882" t="s">
        <v>260</v>
      </c>
      <c r="F2882" t="s">
        <v>27</v>
      </c>
      <c r="G2882" t="s">
        <v>44</v>
      </c>
      <c r="H2882" t="s">
        <v>32</v>
      </c>
      <c r="I2882" t="s">
        <v>30</v>
      </c>
      <c r="J2882">
        <v>74</v>
      </c>
      <c r="K2882">
        <v>1444.94</v>
      </c>
      <c r="L2882">
        <v>106925.62</v>
      </c>
      <c r="M2882">
        <v>55895.17</v>
      </c>
      <c r="N2882">
        <v>9804.92</v>
      </c>
      <c r="O2882">
        <v>6991.36</v>
      </c>
      <c r="P2882">
        <v>1890.58</v>
      </c>
      <c r="Q2882">
        <v>921.94</v>
      </c>
      <c r="R2882">
        <v>6787.19</v>
      </c>
      <c r="S2882">
        <v>1858.04</v>
      </c>
      <c r="T2882">
        <v>84149.2</v>
      </c>
      <c r="U2882">
        <v>51030.44</v>
      </c>
      <c r="V2882">
        <v>22776.42</v>
      </c>
      <c r="W2882">
        <v>22642.85</v>
      </c>
      <c r="X2882">
        <v>105135.95</v>
      </c>
      <c r="Y2882">
        <v>83869.98</v>
      </c>
    </row>
    <row r="2883" spans="1:25" x14ac:dyDescent="0.25">
      <c r="A2883" t="s">
        <v>2939</v>
      </c>
      <c r="B2883" s="1">
        <v>45740</v>
      </c>
      <c r="C2883">
        <v>2025</v>
      </c>
      <c r="D2883">
        <v>3</v>
      </c>
      <c r="E2883" t="s">
        <v>260</v>
      </c>
      <c r="F2883" t="s">
        <v>27</v>
      </c>
      <c r="G2883" t="s">
        <v>28</v>
      </c>
      <c r="H2883" t="s">
        <v>32</v>
      </c>
      <c r="I2883" t="s">
        <v>37</v>
      </c>
      <c r="J2883">
        <v>79</v>
      </c>
      <c r="K2883">
        <v>956.72</v>
      </c>
      <c r="L2883">
        <v>75581.009999999995</v>
      </c>
      <c r="M2883">
        <v>36913.370000000003</v>
      </c>
      <c r="N2883">
        <v>9014.7199999999993</v>
      </c>
      <c r="O2883">
        <v>2709.31</v>
      </c>
      <c r="P2883">
        <v>1315</v>
      </c>
      <c r="Q2883">
        <v>1293.5999999999999</v>
      </c>
      <c r="R2883">
        <v>2784.12</v>
      </c>
      <c r="S2883">
        <v>645.86</v>
      </c>
      <c r="T2883">
        <v>54675.98</v>
      </c>
      <c r="U2883">
        <v>38667.65</v>
      </c>
      <c r="V2883">
        <v>20905.03</v>
      </c>
      <c r="W2883">
        <v>18455</v>
      </c>
      <c r="X2883">
        <v>72614.09</v>
      </c>
      <c r="Y2883">
        <v>52554.81</v>
      </c>
    </row>
    <row r="2884" spans="1:25" x14ac:dyDescent="0.25">
      <c r="A2884" t="s">
        <v>2940</v>
      </c>
      <c r="B2884" s="1">
        <v>45740</v>
      </c>
      <c r="C2884">
        <v>2025</v>
      </c>
      <c r="D2884">
        <v>3</v>
      </c>
      <c r="E2884" t="s">
        <v>260</v>
      </c>
      <c r="F2884" t="s">
        <v>27</v>
      </c>
      <c r="G2884" t="s">
        <v>44</v>
      </c>
      <c r="H2884" t="s">
        <v>36</v>
      </c>
      <c r="I2884" t="s">
        <v>50</v>
      </c>
      <c r="J2884">
        <v>48</v>
      </c>
      <c r="K2884">
        <v>1073.43</v>
      </c>
      <c r="L2884">
        <v>51524.49</v>
      </c>
      <c r="M2884">
        <v>32108.69</v>
      </c>
      <c r="N2884">
        <v>5412</v>
      </c>
      <c r="O2884">
        <v>3722.39</v>
      </c>
      <c r="P2884">
        <v>1167.27</v>
      </c>
      <c r="Q2884">
        <v>844.3</v>
      </c>
      <c r="R2884">
        <v>3045.55</v>
      </c>
      <c r="S2884">
        <v>911.13</v>
      </c>
      <c r="T2884">
        <v>47211.34</v>
      </c>
      <c r="U2884">
        <v>19415.8</v>
      </c>
      <c r="V2884">
        <v>4313.1499999999996</v>
      </c>
      <c r="W2884">
        <v>4202.18</v>
      </c>
      <c r="X2884">
        <v>55682.19</v>
      </c>
      <c r="Y2884">
        <v>48435.35</v>
      </c>
    </row>
    <row r="2885" spans="1:25" x14ac:dyDescent="0.25">
      <c r="A2885" t="s">
        <v>2941</v>
      </c>
      <c r="B2885" s="1">
        <v>45740</v>
      </c>
      <c r="C2885">
        <v>2025</v>
      </c>
      <c r="D2885">
        <v>3</v>
      </c>
      <c r="E2885" t="s">
        <v>260</v>
      </c>
      <c r="F2885" t="s">
        <v>27</v>
      </c>
      <c r="G2885" t="s">
        <v>55</v>
      </c>
      <c r="H2885" t="s">
        <v>36</v>
      </c>
      <c r="I2885" t="s">
        <v>39</v>
      </c>
      <c r="J2885">
        <v>28</v>
      </c>
      <c r="K2885">
        <v>1568.46</v>
      </c>
      <c r="L2885">
        <v>43916.91</v>
      </c>
      <c r="M2885">
        <v>22808.16</v>
      </c>
      <c r="N2885">
        <v>5194.74</v>
      </c>
      <c r="O2885">
        <v>1261.31</v>
      </c>
      <c r="P2885">
        <v>1748.08</v>
      </c>
      <c r="Q2885">
        <v>495.14</v>
      </c>
      <c r="R2885">
        <v>2810.11</v>
      </c>
      <c r="S2885">
        <v>572.6</v>
      </c>
      <c r="T2885">
        <v>34890.15</v>
      </c>
      <c r="U2885">
        <v>21108.75</v>
      </c>
      <c r="V2885">
        <v>9026.76</v>
      </c>
      <c r="W2885">
        <v>8846.33</v>
      </c>
      <c r="X2885">
        <v>42132.08</v>
      </c>
      <c r="Y2885">
        <v>34384.589999999997</v>
      </c>
    </row>
    <row r="2886" spans="1:25" x14ac:dyDescent="0.25">
      <c r="A2886" t="s">
        <v>2942</v>
      </c>
      <c r="B2886" s="1">
        <v>45740</v>
      </c>
      <c r="C2886">
        <v>2025</v>
      </c>
      <c r="D2886">
        <v>3</v>
      </c>
      <c r="E2886" t="s">
        <v>260</v>
      </c>
      <c r="F2886" t="s">
        <v>27</v>
      </c>
      <c r="G2886" t="s">
        <v>55</v>
      </c>
      <c r="H2886" t="s">
        <v>32</v>
      </c>
      <c r="I2886" t="s">
        <v>39</v>
      </c>
      <c r="J2886">
        <v>50</v>
      </c>
      <c r="K2886">
        <v>1039.77</v>
      </c>
      <c r="L2886">
        <v>51988.61</v>
      </c>
      <c r="M2886">
        <v>31442.13</v>
      </c>
      <c r="N2886">
        <v>6188.3</v>
      </c>
      <c r="O2886">
        <v>3197</v>
      </c>
      <c r="P2886">
        <v>1579.49</v>
      </c>
      <c r="Q2886">
        <v>540.14</v>
      </c>
      <c r="R2886">
        <v>2215.13</v>
      </c>
      <c r="S2886">
        <v>1045.3699999999999</v>
      </c>
      <c r="T2886">
        <v>46207.55</v>
      </c>
      <c r="U2886">
        <v>20546.48</v>
      </c>
      <c r="V2886">
        <v>5781.06</v>
      </c>
      <c r="W2886">
        <v>5390.83</v>
      </c>
      <c r="X2886">
        <v>50029.760000000002</v>
      </c>
      <c r="Y2886">
        <v>45487.74</v>
      </c>
    </row>
    <row r="2887" spans="1:25" x14ac:dyDescent="0.25">
      <c r="A2887" t="s">
        <v>2943</v>
      </c>
      <c r="B2887" s="1">
        <v>45741</v>
      </c>
      <c r="C2887">
        <v>2025</v>
      </c>
      <c r="D2887">
        <v>3</v>
      </c>
      <c r="E2887" t="s">
        <v>260</v>
      </c>
      <c r="F2887" t="s">
        <v>27</v>
      </c>
      <c r="G2887" t="s">
        <v>35</v>
      </c>
      <c r="H2887" t="s">
        <v>29</v>
      </c>
      <c r="I2887" t="s">
        <v>56</v>
      </c>
      <c r="J2887">
        <v>18</v>
      </c>
      <c r="K2887">
        <v>1689.56</v>
      </c>
      <c r="L2887">
        <v>30412.04</v>
      </c>
      <c r="M2887">
        <v>19532.21</v>
      </c>
      <c r="N2887">
        <v>3864.64</v>
      </c>
      <c r="O2887">
        <v>1301.3699999999999</v>
      </c>
      <c r="P2887">
        <v>573.01</v>
      </c>
      <c r="Q2887">
        <v>304.20999999999998</v>
      </c>
      <c r="R2887">
        <v>1769.79</v>
      </c>
      <c r="S2887">
        <v>604.49</v>
      </c>
      <c r="T2887">
        <v>27949.71</v>
      </c>
      <c r="U2887">
        <v>10879.83</v>
      </c>
      <c r="V2887">
        <v>2462.3200000000002</v>
      </c>
      <c r="W2887">
        <v>2192.9499999999998</v>
      </c>
      <c r="X2887">
        <v>31951.66</v>
      </c>
      <c r="Y2887">
        <v>29920.29</v>
      </c>
    </row>
    <row r="2888" spans="1:25" x14ac:dyDescent="0.25">
      <c r="A2888" t="s">
        <v>2944</v>
      </c>
      <c r="B2888" s="1">
        <v>45741</v>
      </c>
      <c r="C2888">
        <v>2025</v>
      </c>
      <c r="D2888">
        <v>3</v>
      </c>
      <c r="E2888" t="s">
        <v>260</v>
      </c>
      <c r="F2888" t="s">
        <v>27</v>
      </c>
      <c r="G2888" t="s">
        <v>28</v>
      </c>
      <c r="H2888" t="s">
        <v>32</v>
      </c>
      <c r="I2888" t="s">
        <v>37</v>
      </c>
      <c r="J2888">
        <v>73</v>
      </c>
      <c r="K2888">
        <v>1363.12</v>
      </c>
      <c r="L2888">
        <v>99507.53</v>
      </c>
      <c r="M2888">
        <v>64536.63</v>
      </c>
      <c r="N2888">
        <v>7703.91</v>
      </c>
      <c r="O2888">
        <v>7121.33</v>
      </c>
      <c r="P2888">
        <v>2221.4299999999998</v>
      </c>
      <c r="Q2888">
        <v>1276.0899999999999</v>
      </c>
      <c r="R2888">
        <v>2596.9899999999998</v>
      </c>
      <c r="S2888">
        <v>1978.7</v>
      </c>
      <c r="T2888">
        <v>87435.09</v>
      </c>
      <c r="U2888">
        <v>34970.9</v>
      </c>
      <c r="V2888">
        <v>12072.44</v>
      </c>
      <c r="W2888">
        <v>11005.39</v>
      </c>
      <c r="X2888">
        <v>98224.53</v>
      </c>
      <c r="Y2888">
        <v>93431.03</v>
      </c>
    </row>
    <row r="2889" spans="1:25" x14ac:dyDescent="0.25">
      <c r="A2889" t="s">
        <v>2945</v>
      </c>
      <c r="B2889" s="1">
        <v>45741</v>
      </c>
      <c r="C2889">
        <v>2025</v>
      </c>
      <c r="D2889">
        <v>3</v>
      </c>
      <c r="E2889" t="s">
        <v>260</v>
      </c>
      <c r="F2889" t="s">
        <v>27</v>
      </c>
      <c r="G2889" t="s">
        <v>28</v>
      </c>
      <c r="H2889" t="s">
        <v>53</v>
      </c>
      <c r="I2889" t="s">
        <v>56</v>
      </c>
      <c r="J2889">
        <v>14</v>
      </c>
      <c r="K2889">
        <v>1722.7</v>
      </c>
      <c r="L2889">
        <v>24117.75</v>
      </c>
      <c r="M2889">
        <v>15909.61</v>
      </c>
      <c r="N2889">
        <v>2245.59</v>
      </c>
      <c r="O2889">
        <v>1490.95</v>
      </c>
      <c r="P2889">
        <v>489.89</v>
      </c>
      <c r="Q2889">
        <v>430.03</v>
      </c>
      <c r="R2889">
        <v>704.86</v>
      </c>
      <c r="S2889">
        <v>293.83</v>
      </c>
      <c r="T2889">
        <v>21564.75</v>
      </c>
      <c r="U2889">
        <v>8208.14</v>
      </c>
      <c r="V2889">
        <v>2553</v>
      </c>
      <c r="W2889">
        <v>2353.1</v>
      </c>
      <c r="X2889">
        <v>23811.439999999999</v>
      </c>
      <c r="Y2889">
        <v>21644.59</v>
      </c>
    </row>
    <row r="2890" spans="1:25" x14ac:dyDescent="0.25">
      <c r="A2890" t="s">
        <v>2946</v>
      </c>
      <c r="B2890" s="1">
        <v>45741</v>
      </c>
      <c r="C2890">
        <v>2025</v>
      </c>
      <c r="D2890">
        <v>3</v>
      </c>
      <c r="E2890" t="s">
        <v>260</v>
      </c>
      <c r="F2890" t="s">
        <v>27</v>
      </c>
      <c r="G2890" t="s">
        <v>44</v>
      </c>
      <c r="H2890" t="s">
        <v>53</v>
      </c>
      <c r="I2890" t="s">
        <v>37</v>
      </c>
      <c r="J2890">
        <v>27</v>
      </c>
      <c r="K2890">
        <v>1779.52</v>
      </c>
      <c r="L2890">
        <v>48047.15</v>
      </c>
      <c r="M2890">
        <v>29309.08</v>
      </c>
      <c r="N2890">
        <v>5386.26</v>
      </c>
      <c r="O2890">
        <v>3118.89</v>
      </c>
      <c r="P2890">
        <v>824.89</v>
      </c>
      <c r="Q2890">
        <v>307.57</v>
      </c>
      <c r="R2890">
        <v>2016.43</v>
      </c>
      <c r="S2890">
        <v>855.01</v>
      </c>
      <c r="T2890">
        <v>41818.129999999997</v>
      </c>
      <c r="U2890">
        <v>18738.060000000001</v>
      </c>
      <c r="V2890">
        <v>6229.01</v>
      </c>
      <c r="W2890">
        <v>6099.2</v>
      </c>
      <c r="X2890">
        <v>44812.66</v>
      </c>
      <c r="Y2890">
        <v>42264.63</v>
      </c>
    </row>
    <row r="2891" spans="1:25" x14ac:dyDescent="0.25">
      <c r="A2891" t="s">
        <v>2947</v>
      </c>
      <c r="B2891" s="1">
        <v>45742</v>
      </c>
      <c r="C2891">
        <v>2025</v>
      </c>
      <c r="D2891">
        <v>3</v>
      </c>
      <c r="E2891" t="s">
        <v>260</v>
      </c>
      <c r="F2891" t="s">
        <v>27</v>
      </c>
      <c r="G2891" t="s">
        <v>28</v>
      </c>
      <c r="H2891" t="s">
        <v>32</v>
      </c>
      <c r="I2891" t="s">
        <v>33</v>
      </c>
      <c r="J2891">
        <v>59</v>
      </c>
      <c r="K2891">
        <v>1262.71</v>
      </c>
      <c r="L2891">
        <v>74500.06</v>
      </c>
      <c r="M2891">
        <v>48323.839999999997</v>
      </c>
      <c r="N2891">
        <v>9113.39</v>
      </c>
      <c r="O2891">
        <v>2770.87</v>
      </c>
      <c r="P2891">
        <v>1602.88</v>
      </c>
      <c r="Q2891">
        <v>551.27</v>
      </c>
      <c r="R2891">
        <v>1995.32</v>
      </c>
      <c r="S2891">
        <v>1295.75</v>
      </c>
      <c r="T2891">
        <v>65653.320000000007</v>
      </c>
      <c r="U2891">
        <v>26176.22</v>
      </c>
      <c r="V2891">
        <v>8846.74</v>
      </c>
      <c r="W2891">
        <v>8031.39</v>
      </c>
      <c r="X2891">
        <v>83099.600000000006</v>
      </c>
      <c r="Y2891">
        <v>72060.100000000006</v>
      </c>
    </row>
    <row r="2892" spans="1:25" x14ac:dyDescent="0.25">
      <c r="A2892" t="s">
        <v>2948</v>
      </c>
      <c r="B2892" s="1">
        <v>45742</v>
      </c>
      <c r="C2892">
        <v>2025</v>
      </c>
      <c r="D2892">
        <v>3</v>
      </c>
      <c r="E2892" t="s">
        <v>260</v>
      </c>
      <c r="F2892" t="s">
        <v>27</v>
      </c>
      <c r="G2892" t="s">
        <v>55</v>
      </c>
      <c r="H2892" t="s">
        <v>36</v>
      </c>
      <c r="I2892" t="s">
        <v>33</v>
      </c>
      <c r="J2892">
        <v>69</v>
      </c>
      <c r="K2892">
        <v>1317.01</v>
      </c>
      <c r="L2892">
        <v>90873.4</v>
      </c>
      <c r="M2892">
        <v>47606.78</v>
      </c>
      <c r="N2892">
        <v>9583.66</v>
      </c>
      <c r="O2892">
        <v>5250.63</v>
      </c>
      <c r="P2892">
        <v>2926.16</v>
      </c>
      <c r="Q2892">
        <v>1200.1500000000001</v>
      </c>
      <c r="R2892">
        <v>5473.46</v>
      </c>
      <c r="S2892">
        <v>1009.83</v>
      </c>
      <c r="T2892">
        <v>73050.679999999993</v>
      </c>
      <c r="U2892">
        <v>43266.61</v>
      </c>
      <c r="V2892">
        <v>17822.72</v>
      </c>
      <c r="W2892">
        <v>16870.47</v>
      </c>
      <c r="X2892">
        <v>98042.11</v>
      </c>
      <c r="Y2892">
        <v>79481.429999999993</v>
      </c>
    </row>
    <row r="2893" spans="1:25" x14ac:dyDescent="0.25">
      <c r="A2893" t="s">
        <v>2949</v>
      </c>
      <c r="B2893" s="1">
        <v>45742</v>
      </c>
      <c r="C2893">
        <v>2025</v>
      </c>
      <c r="D2893">
        <v>3</v>
      </c>
      <c r="E2893" t="s">
        <v>260</v>
      </c>
      <c r="F2893" t="s">
        <v>27</v>
      </c>
      <c r="G2893" t="s">
        <v>44</v>
      </c>
      <c r="H2893" t="s">
        <v>32</v>
      </c>
      <c r="I2893" t="s">
        <v>50</v>
      </c>
      <c r="J2893">
        <v>37</v>
      </c>
      <c r="K2893">
        <v>1659.58</v>
      </c>
      <c r="L2893">
        <v>61404.480000000003</v>
      </c>
      <c r="M2893">
        <v>40606.79</v>
      </c>
      <c r="N2893">
        <v>6433.59</v>
      </c>
      <c r="O2893">
        <v>1756.62</v>
      </c>
      <c r="P2893">
        <v>1035.52</v>
      </c>
      <c r="Q2893">
        <v>997.57</v>
      </c>
      <c r="R2893">
        <v>3239.25</v>
      </c>
      <c r="S2893">
        <v>539.70000000000005</v>
      </c>
      <c r="T2893">
        <v>54609.04</v>
      </c>
      <c r="U2893">
        <v>20797.689999999999</v>
      </c>
      <c r="V2893">
        <v>6795.44</v>
      </c>
      <c r="W2893">
        <v>6333.61</v>
      </c>
      <c r="X2893">
        <v>59989.72</v>
      </c>
      <c r="Y2893">
        <v>53809.5</v>
      </c>
    </row>
    <row r="2894" spans="1:25" x14ac:dyDescent="0.25">
      <c r="A2894" t="s">
        <v>2950</v>
      </c>
      <c r="B2894" s="1">
        <v>45742</v>
      </c>
      <c r="C2894">
        <v>2025</v>
      </c>
      <c r="D2894">
        <v>3</v>
      </c>
      <c r="E2894" t="s">
        <v>260</v>
      </c>
      <c r="F2894" t="s">
        <v>27</v>
      </c>
      <c r="G2894" t="s">
        <v>28</v>
      </c>
      <c r="H2894" t="s">
        <v>36</v>
      </c>
      <c r="I2894" t="s">
        <v>33</v>
      </c>
      <c r="J2894">
        <v>62</v>
      </c>
      <c r="K2894">
        <v>1360.29</v>
      </c>
      <c r="L2894">
        <v>84338.14</v>
      </c>
      <c r="M2894">
        <v>51976.59</v>
      </c>
      <c r="N2894">
        <v>9383.1299999999992</v>
      </c>
      <c r="O2894">
        <v>2370.9</v>
      </c>
      <c r="P2894">
        <v>2860.05</v>
      </c>
      <c r="Q2894">
        <v>1285.03</v>
      </c>
      <c r="R2894">
        <v>2542.73</v>
      </c>
      <c r="S2894">
        <v>1494.06</v>
      </c>
      <c r="T2894">
        <v>71912.490000000005</v>
      </c>
      <c r="U2894">
        <v>32361.55</v>
      </c>
      <c r="V2894">
        <v>12425.65</v>
      </c>
      <c r="W2894">
        <v>11539.81</v>
      </c>
      <c r="X2894">
        <v>87607.31</v>
      </c>
      <c r="Y2894">
        <v>71358.83</v>
      </c>
    </row>
    <row r="2895" spans="1:25" x14ac:dyDescent="0.25">
      <c r="A2895" t="s">
        <v>2951</v>
      </c>
      <c r="B2895" s="1">
        <v>45742</v>
      </c>
      <c r="C2895">
        <v>2025</v>
      </c>
      <c r="D2895">
        <v>3</v>
      </c>
      <c r="E2895" t="s">
        <v>260</v>
      </c>
      <c r="F2895" t="s">
        <v>27</v>
      </c>
      <c r="G2895" t="s">
        <v>55</v>
      </c>
      <c r="H2895" t="s">
        <v>53</v>
      </c>
      <c r="I2895" t="s">
        <v>50</v>
      </c>
      <c r="J2895">
        <v>75</v>
      </c>
      <c r="K2895">
        <v>815.11</v>
      </c>
      <c r="L2895">
        <v>61133.27</v>
      </c>
      <c r="M2895">
        <v>30412.3</v>
      </c>
      <c r="N2895">
        <v>5678.08</v>
      </c>
      <c r="O2895">
        <v>1930.8</v>
      </c>
      <c r="P2895">
        <v>1388.73</v>
      </c>
      <c r="Q2895">
        <v>805.94</v>
      </c>
      <c r="R2895">
        <v>2435.69</v>
      </c>
      <c r="S2895">
        <v>724.9</v>
      </c>
      <c r="T2895">
        <v>43376.44</v>
      </c>
      <c r="U2895">
        <v>30720.97</v>
      </c>
      <c r="V2895">
        <v>17756.830000000002</v>
      </c>
      <c r="W2895">
        <v>17837.09</v>
      </c>
      <c r="X2895">
        <v>67611.48</v>
      </c>
      <c r="Y2895">
        <v>44884.72</v>
      </c>
    </row>
    <row r="2896" spans="1:25" x14ac:dyDescent="0.25">
      <c r="A2896" t="s">
        <v>2952</v>
      </c>
      <c r="B2896" s="1">
        <v>45742</v>
      </c>
      <c r="C2896">
        <v>2025</v>
      </c>
      <c r="D2896">
        <v>3</v>
      </c>
      <c r="E2896" t="s">
        <v>260</v>
      </c>
      <c r="F2896" t="s">
        <v>27</v>
      </c>
      <c r="G2896" t="s">
        <v>35</v>
      </c>
      <c r="H2896" t="s">
        <v>32</v>
      </c>
      <c r="I2896" t="s">
        <v>50</v>
      </c>
      <c r="J2896">
        <v>63</v>
      </c>
      <c r="K2896">
        <v>1051.45</v>
      </c>
      <c r="L2896">
        <v>66241.45</v>
      </c>
      <c r="M2896">
        <v>32591.96</v>
      </c>
      <c r="N2896">
        <v>7231.98</v>
      </c>
      <c r="O2896">
        <v>2697.55</v>
      </c>
      <c r="P2896">
        <v>1695.75</v>
      </c>
      <c r="Q2896">
        <v>547.74</v>
      </c>
      <c r="R2896">
        <v>2867.24</v>
      </c>
      <c r="S2896">
        <v>1411.75</v>
      </c>
      <c r="T2896">
        <v>49043.97</v>
      </c>
      <c r="U2896">
        <v>33649.480000000003</v>
      </c>
      <c r="V2896">
        <v>17197.48</v>
      </c>
      <c r="W2896">
        <v>15583.5</v>
      </c>
      <c r="X2896">
        <v>66673.78</v>
      </c>
      <c r="Y2896">
        <v>49798.77</v>
      </c>
    </row>
    <row r="2897" spans="1:25" x14ac:dyDescent="0.25">
      <c r="A2897" t="s">
        <v>2953</v>
      </c>
      <c r="B2897" s="1">
        <v>45742</v>
      </c>
      <c r="C2897">
        <v>2025</v>
      </c>
      <c r="D2897">
        <v>3</v>
      </c>
      <c r="E2897" t="s">
        <v>260</v>
      </c>
      <c r="F2897" t="s">
        <v>27</v>
      </c>
      <c r="G2897" t="s">
        <v>55</v>
      </c>
      <c r="H2897" t="s">
        <v>36</v>
      </c>
      <c r="I2897" t="s">
        <v>56</v>
      </c>
      <c r="J2897">
        <v>46</v>
      </c>
      <c r="K2897">
        <v>925.07</v>
      </c>
      <c r="L2897">
        <v>42553.23</v>
      </c>
      <c r="M2897">
        <v>26626.77</v>
      </c>
      <c r="N2897">
        <v>5423.98</v>
      </c>
      <c r="O2897">
        <v>1472.69</v>
      </c>
      <c r="P2897">
        <v>655</v>
      </c>
      <c r="Q2897">
        <v>434.81</v>
      </c>
      <c r="R2897">
        <v>1864.62</v>
      </c>
      <c r="S2897">
        <v>951.76</v>
      </c>
      <c r="T2897">
        <v>37429.65</v>
      </c>
      <c r="U2897">
        <v>15926.47</v>
      </c>
      <c r="V2897">
        <v>5123.59</v>
      </c>
      <c r="W2897">
        <v>4772.8999999999996</v>
      </c>
      <c r="X2897">
        <v>42160.36</v>
      </c>
      <c r="Y2897">
        <v>38882.83</v>
      </c>
    </row>
    <row r="2898" spans="1:25" x14ac:dyDescent="0.25">
      <c r="A2898" t="s">
        <v>2954</v>
      </c>
      <c r="B2898" s="1">
        <v>45743</v>
      </c>
      <c r="C2898">
        <v>2025</v>
      </c>
      <c r="D2898">
        <v>3</v>
      </c>
      <c r="E2898" t="s">
        <v>260</v>
      </c>
      <c r="F2898" t="s">
        <v>27</v>
      </c>
      <c r="G2898" t="s">
        <v>55</v>
      </c>
      <c r="H2898" t="s">
        <v>53</v>
      </c>
      <c r="I2898" t="s">
        <v>39</v>
      </c>
      <c r="J2898">
        <v>23</v>
      </c>
      <c r="K2898">
        <v>1486.49</v>
      </c>
      <c r="L2898">
        <v>34189.31</v>
      </c>
      <c r="M2898">
        <v>17282.490000000002</v>
      </c>
      <c r="N2898">
        <v>3919.06</v>
      </c>
      <c r="O2898">
        <v>984.94</v>
      </c>
      <c r="P2898">
        <v>674.75</v>
      </c>
      <c r="Q2898">
        <v>516.79999999999995</v>
      </c>
      <c r="R2898">
        <v>996.9</v>
      </c>
      <c r="S2898">
        <v>459.79</v>
      </c>
      <c r="T2898">
        <v>24834.73</v>
      </c>
      <c r="U2898">
        <v>16906.82</v>
      </c>
      <c r="V2898">
        <v>9354.58</v>
      </c>
      <c r="W2898">
        <v>9326.07</v>
      </c>
      <c r="X2898">
        <v>34069.25</v>
      </c>
      <c r="Y2898">
        <v>23733.95</v>
      </c>
    </row>
    <row r="2899" spans="1:25" x14ac:dyDescent="0.25">
      <c r="A2899" t="s">
        <v>2955</v>
      </c>
      <c r="B2899" s="1">
        <v>45743</v>
      </c>
      <c r="C2899">
        <v>2025</v>
      </c>
      <c r="D2899">
        <v>3</v>
      </c>
      <c r="E2899" t="s">
        <v>260</v>
      </c>
      <c r="F2899" t="s">
        <v>27</v>
      </c>
      <c r="G2899" t="s">
        <v>28</v>
      </c>
      <c r="H2899" t="s">
        <v>58</v>
      </c>
      <c r="I2899" t="s">
        <v>39</v>
      </c>
      <c r="J2899">
        <v>34</v>
      </c>
      <c r="K2899">
        <v>1410.97</v>
      </c>
      <c r="L2899">
        <v>47972.83</v>
      </c>
      <c r="M2899">
        <v>24107.82</v>
      </c>
      <c r="N2899">
        <v>5846.55</v>
      </c>
      <c r="O2899">
        <v>1785.7</v>
      </c>
      <c r="P2899">
        <v>1097.28</v>
      </c>
      <c r="Q2899">
        <v>305.64</v>
      </c>
      <c r="R2899">
        <v>2744.94</v>
      </c>
      <c r="S2899">
        <v>1033.17</v>
      </c>
      <c r="T2899">
        <v>36921.1</v>
      </c>
      <c r="U2899">
        <v>23865.01</v>
      </c>
      <c r="V2899">
        <v>11051.73</v>
      </c>
      <c r="W2899">
        <v>9860.56</v>
      </c>
      <c r="X2899">
        <v>50430.06</v>
      </c>
      <c r="Y2899">
        <v>38161.68</v>
      </c>
    </row>
    <row r="2900" spans="1:25" x14ac:dyDescent="0.25">
      <c r="A2900" t="s">
        <v>2956</v>
      </c>
      <c r="B2900" s="1">
        <v>45743</v>
      </c>
      <c r="C2900">
        <v>2025</v>
      </c>
      <c r="D2900">
        <v>3</v>
      </c>
      <c r="E2900" t="s">
        <v>260</v>
      </c>
      <c r="F2900" t="s">
        <v>27</v>
      </c>
      <c r="G2900" t="s">
        <v>28</v>
      </c>
      <c r="H2900" t="s">
        <v>32</v>
      </c>
      <c r="I2900" t="s">
        <v>45</v>
      </c>
      <c r="J2900">
        <v>27</v>
      </c>
      <c r="K2900">
        <v>1624.2</v>
      </c>
      <c r="L2900">
        <v>43853.41</v>
      </c>
      <c r="M2900">
        <v>29147.4</v>
      </c>
      <c r="N2900">
        <v>3201.71</v>
      </c>
      <c r="O2900">
        <v>2684.42</v>
      </c>
      <c r="P2900">
        <v>1403.35</v>
      </c>
      <c r="Q2900">
        <v>536.79</v>
      </c>
      <c r="R2900">
        <v>2150.6</v>
      </c>
      <c r="S2900">
        <v>511.6</v>
      </c>
      <c r="T2900">
        <v>39635.879999999997</v>
      </c>
      <c r="U2900">
        <v>14706.01</v>
      </c>
      <c r="V2900">
        <v>4217.53</v>
      </c>
      <c r="W2900">
        <v>4016.31</v>
      </c>
      <c r="X2900">
        <v>48908.71</v>
      </c>
      <c r="Y2900">
        <v>41556.99</v>
      </c>
    </row>
    <row r="2901" spans="1:25" x14ac:dyDescent="0.25">
      <c r="A2901" t="s">
        <v>2957</v>
      </c>
      <c r="B2901" s="1">
        <v>45743</v>
      </c>
      <c r="C2901">
        <v>2025</v>
      </c>
      <c r="D2901">
        <v>3</v>
      </c>
      <c r="E2901" t="s">
        <v>260</v>
      </c>
      <c r="F2901" t="s">
        <v>27</v>
      </c>
      <c r="G2901" t="s">
        <v>44</v>
      </c>
      <c r="H2901" t="s">
        <v>58</v>
      </c>
      <c r="I2901" t="s">
        <v>50</v>
      </c>
      <c r="J2901">
        <v>39</v>
      </c>
      <c r="K2901">
        <v>1293.8399999999999</v>
      </c>
      <c r="L2901">
        <v>50459.61</v>
      </c>
      <c r="M2901">
        <v>31618.47</v>
      </c>
      <c r="N2901">
        <v>4129.91</v>
      </c>
      <c r="O2901">
        <v>3471.05</v>
      </c>
      <c r="P2901">
        <v>1549.28</v>
      </c>
      <c r="Q2901">
        <v>868.86</v>
      </c>
      <c r="R2901">
        <v>2207.4899999999998</v>
      </c>
      <c r="S2901">
        <v>490.59</v>
      </c>
      <c r="T2901">
        <v>44335.65</v>
      </c>
      <c r="U2901">
        <v>18841.14</v>
      </c>
      <c r="V2901">
        <v>6123.96</v>
      </c>
      <c r="W2901">
        <v>6120.67</v>
      </c>
      <c r="X2901">
        <v>46691.39</v>
      </c>
      <c r="Y2901">
        <v>42669.15</v>
      </c>
    </row>
    <row r="2902" spans="1:25" x14ac:dyDescent="0.25">
      <c r="A2902" t="s">
        <v>2958</v>
      </c>
      <c r="B2902" s="1">
        <v>45743</v>
      </c>
      <c r="C2902">
        <v>2025</v>
      </c>
      <c r="D2902">
        <v>3</v>
      </c>
      <c r="E2902" t="s">
        <v>260</v>
      </c>
      <c r="F2902" t="s">
        <v>27</v>
      </c>
      <c r="G2902" t="s">
        <v>28</v>
      </c>
      <c r="H2902" t="s">
        <v>32</v>
      </c>
      <c r="I2902" t="s">
        <v>37</v>
      </c>
      <c r="J2902">
        <v>70</v>
      </c>
      <c r="K2902">
        <v>987.11</v>
      </c>
      <c r="L2902">
        <v>69097.63</v>
      </c>
      <c r="M2902">
        <v>42626.879999999997</v>
      </c>
      <c r="N2902">
        <v>8914.27</v>
      </c>
      <c r="O2902">
        <v>2457.3200000000002</v>
      </c>
      <c r="P2902">
        <v>1826.38</v>
      </c>
      <c r="Q2902">
        <v>828.49</v>
      </c>
      <c r="R2902">
        <v>3947.14</v>
      </c>
      <c r="S2902">
        <v>1052.1300000000001</v>
      </c>
      <c r="T2902">
        <v>61652.62</v>
      </c>
      <c r="U2902">
        <v>26470.75</v>
      </c>
      <c r="V2902">
        <v>7445.01</v>
      </c>
      <c r="W2902">
        <v>6684.71</v>
      </c>
      <c r="X2902">
        <v>66675.05</v>
      </c>
      <c r="Y2902">
        <v>59142.94</v>
      </c>
    </row>
    <row r="2903" spans="1:25" x14ac:dyDescent="0.25">
      <c r="A2903" t="s">
        <v>2959</v>
      </c>
      <c r="B2903" s="1">
        <v>45743</v>
      </c>
      <c r="C2903">
        <v>2025</v>
      </c>
      <c r="D2903">
        <v>3</v>
      </c>
      <c r="E2903" t="s">
        <v>260</v>
      </c>
      <c r="F2903" t="s">
        <v>27</v>
      </c>
      <c r="G2903" t="s">
        <v>35</v>
      </c>
      <c r="H2903" t="s">
        <v>32</v>
      </c>
      <c r="I2903" t="s">
        <v>45</v>
      </c>
      <c r="J2903">
        <v>32</v>
      </c>
      <c r="K2903">
        <v>1453.57</v>
      </c>
      <c r="L2903">
        <v>46514.23</v>
      </c>
      <c r="M2903">
        <v>30972.1</v>
      </c>
      <c r="N2903">
        <v>5520.32</v>
      </c>
      <c r="O2903">
        <v>1508.23</v>
      </c>
      <c r="P2903">
        <v>2005.53</v>
      </c>
      <c r="Q2903">
        <v>340.47</v>
      </c>
      <c r="R2903">
        <v>2489.62</v>
      </c>
      <c r="S2903">
        <v>1013.1</v>
      </c>
      <c r="T2903">
        <v>43849.38</v>
      </c>
      <c r="U2903">
        <v>15542.12</v>
      </c>
      <c r="V2903">
        <v>2664.85</v>
      </c>
      <c r="W2903">
        <v>2628.06</v>
      </c>
      <c r="X2903">
        <v>45420.19</v>
      </c>
      <c r="Y2903">
        <v>47633.45</v>
      </c>
    </row>
    <row r="2904" spans="1:25" x14ac:dyDescent="0.25">
      <c r="A2904" t="s">
        <v>2960</v>
      </c>
      <c r="B2904" s="1">
        <v>45743</v>
      </c>
      <c r="C2904">
        <v>2025</v>
      </c>
      <c r="D2904">
        <v>3</v>
      </c>
      <c r="E2904" t="s">
        <v>260</v>
      </c>
      <c r="F2904" t="s">
        <v>27</v>
      </c>
      <c r="G2904" t="s">
        <v>28</v>
      </c>
      <c r="H2904" t="s">
        <v>36</v>
      </c>
      <c r="I2904" t="s">
        <v>39</v>
      </c>
      <c r="J2904">
        <v>58</v>
      </c>
      <c r="K2904">
        <v>877.93</v>
      </c>
      <c r="L2904">
        <v>50920.11</v>
      </c>
      <c r="M2904">
        <v>28995.48</v>
      </c>
      <c r="N2904">
        <v>5665.5</v>
      </c>
      <c r="O2904">
        <v>1336.63</v>
      </c>
      <c r="P2904">
        <v>1527.56</v>
      </c>
      <c r="Q2904">
        <v>833.8</v>
      </c>
      <c r="R2904">
        <v>3147.54</v>
      </c>
      <c r="S2904">
        <v>866.28</v>
      </c>
      <c r="T2904">
        <v>42372.800000000003</v>
      </c>
      <c r="U2904">
        <v>21924.639999999999</v>
      </c>
      <c r="V2904">
        <v>8547.32</v>
      </c>
      <c r="W2904">
        <v>8237.8700000000008</v>
      </c>
      <c r="X2904">
        <v>49212.42</v>
      </c>
      <c r="Y2904">
        <v>45321.53</v>
      </c>
    </row>
    <row r="2905" spans="1:25" x14ac:dyDescent="0.25">
      <c r="A2905" t="s">
        <v>2961</v>
      </c>
      <c r="B2905" s="1">
        <v>45744</v>
      </c>
      <c r="C2905">
        <v>2025</v>
      </c>
      <c r="D2905">
        <v>3</v>
      </c>
      <c r="E2905" t="s">
        <v>260</v>
      </c>
      <c r="F2905" t="s">
        <v>27</v>
      </c>
      <c r="G2905" t="s">
        <v>28</v>
      </c>
      <c r="H2905" t="s">
        <v>32</v>
      </c>
      <c r="I2905" t="s">
        <v>65</v>
      </c>
      <c r="J2905">
        <v>62</v>
      </c>
      <c r="K2905">
        <v>1085.2</v>
      </c>
      <c r="L2905">
        <v>67282.39</v>
      </c>
      <c r="M2905">
        <v>34036.269999999997</v>
      </c>
      <c r="N2905">
        <v>5375.79</v>
      </c>
      <c r="O2905">
        <v>4043.82</v>
      </c>
      <c r="P2905">
        <v>1716.57</v>
      </c>
      <c r="Q2905">
        <v>427.33</v>
      </c>
      <c r="R2905">
        <v>2537.7199999999998</v>
      </c>
      <c r="S2905">
        <v>806.16</v>
      </c>
      <c r="T2905">
        <v>48943.66</v>
      </c>
      <c r="U2905">
        <v>33246.120000000003</v>
      </c>
      <c r="V2905">
        <v>18338.740000000002</v>
      </c>
      <c r="W2905">
        <v>16789.73</v>
      </c>
      <c r="X2905">
        <v>66816.7</v>
      </c>
      <c r="Y2905">
        <v>50531.25</v>
      </c>
    </row>
    <row r="2906" spans="1:25" x14ac:dyDescent="0.25">
      <c r="A2906" t="s">
        <v>2962</v>
      </c>
      <c r="B2906" s="1">
        <v>45745</v>
      </c>
      <c r="C2906">
        <v>2025</v>
      </c>
      <c r="D2906">
        <v>3</v>
      </c>
      <c r="E2906" t="s">
        <v>260</v>
      </c>
      <c r="F2906" t="s">
        <v>27</v>
      </c>
      <c r="G2906" t="s">
        <v>28</v>
      </c>
      <c r="H2906" t="s">
        <v>36</v>
      </c>
      <c r="I2906" t="s">
        <v>39</v>
      </c>
      <c r="J2906">
        <v>25</v>
      </c>
      <c r="K2906">
        <v>1665.23</v>
      </c>
      <c r="L2906">
        <v>41630.78</v>
      </c>
      <c r="M2906">
        <v>25597.4</v>
      </c>
      <c r="N2906">
        <v>4341.26</v>
      </c>
      <c r="O2906">
        <v>2287.63</v>
      </c>
      <c r="P2906">
        <v>901.97</v>
      </c>
      <c r="Q2906">
        <v>648.26</v>
      </c>
      <c r="R2906">
        <v>1281.44</v>
      </c>
      <c r="S2906">
        <v>380.98</v>
      </c>
      <c r="T2906">
        <v>35438.949999999997</v>
      </c>
      <c r="U2906">
        <v>16033.38</v>
      </c>
      <c r="V2906">
        <v>6191.84</v>
      </c>
      <c r="W2906">
        <v>6071.81</v>
      </c>
      <c r="X2906">
        <v>39117.33</v>
      </c>
      <c r="Y2906">
        <v>35842.06</v>
      </c>
    </row>
    <row r="2907" spans="1:25" x14ac:dyDescent="0.25">
      <c r="A2907" t="s">
        <v>2963</v>
      </c>
      <c r="B2907" s="1">
        <v>45745</v>
      </c>
      <c r="C2907">
        <v>2025</v>
      </c>
      <c r="D2907">
        <v>3</v>
      </c>
      <c r="E2907" t="s">
        <v>260</v>
      </c>
      <c r="F2907" t="s">
        <v>27</v>
      </c>
      <c r="G2907" t="s">
        <v>35</v>
      </c>
      <c r="H2907" t="s">
        <v>36</v>
      </c>
      <c r="I2907" t="s">
        <v>39</v>
      </c>
      <c r="J2907">
        <v>28</v>
      </c>
      <c r="K2907">
        <v>1662.65</v>
      </c>
      <c r="L2907">
        <v>46554.3</v>
      </c>
      <c r="M2907">
        <v>27217.07</v>
      </c>
      <c r="N2907">
        <v>3772.51</v>
      </c>
      <c r="O2907">
        <v>1505.18</v>
      </c>
      <c r="P2907">
        <v>1674.84</v>
      </c>
      <c r="Q2907">
        <v>329.37</v>
      </c>
      <c r="R2907">
        <v>2347.6799999999998</v>
      </c>
      <c r="S2907">
        <v>1132.57</v>
      </c>
      <c r="T2907">
        <v>37979.199999999997</v>
      </c>
      <c r="U2907">
        <v>19337.23</v>
      </c>
      <c r="V2907">
        <v>8575.09</v>
      </c>
      <c r="W2907">
        <v>8474.18</v>
      </c>
      <c r="X2907">
        <v>47773.37</v>
      </c>
      <c r="Y2907">
        <v>38678.92</v>
      </c>
    </row>
    <row r="2908" spans="1:25" x14ac:dyDescent="0.25">
      <c r="A2908" t="s">
        <v>2964</v>
      </c>
      <c r="B2908" s="1">
        <v>45745</v>
      </c>
      <c r="C2908">
        <v>2025</v>
      </c>
      <c r="D2908">
        <v>3</v>
      </c>
      <c r="E2908" t="s">
        <v>260</v>
      </c>
      <c r="F2908" t="s">
        <v>27</v>
      </c>
      <c r="G2908" t="s">
        <v>28</v>
      </c>
      <c r="H2908" t="s">
        <v>58</v>
      </c>
      <c r="I2908" t="s">
        <v>37</v>
      </c>
      <c r="J2908">
        <v>72</v>
      </c>
      <c r="K2908">
        <v>983.02</v>
      </c>
      <c r="L2908">
        <v>70777.33</v>
      </c>
      <c r="M2908">
        <v>43334.73</v>
      </c>
      <c r="N2908">
        <v>7939.83</v>
      </c>
      <c r="O2908">
        <v>3081.65</v>
      </c>
      <c r="P2908">
        <v>1209.26</v>
      </c>
      <c r="Q2908">
        <v>1190.0999999999999</v>
      </c>
      <c r="R2908">
        <v>2614.38</v>
      </c>
      <c r="S2908">
        <v>595.54999999999995</v>
      </c>
      <c r="T2908">
        <v>59965.51</v>
      </c>
      <c r="U2908">
        <v>27442.6</v>
      </c>
      <c r="V2908">
        <v>10811.83</v>
      </c>
      <c r="W2908">
        <v>10880.04</v>
      </c>
      <c r="X2908">
        <v>67053.27</v>
      </c>
      <c r="Y2908">
        <v>61536.89</v>
      </c>
    </row>
    <row r="2909" spans="1:25" x14ac:dyDescent="0.25">
      <c r="A2909" t="s">
        <v>2965</v>
      </c>
      <c r="B2909" s="1">
        <v>45746</v>
      </c>
      <c r="C2909">
        <v>2025</v>
      </c>
      <c r="D2909">
        <v>3</v>
      </c>
      <c r="E2909" t="s">
        <v>260</v>
      </c>
      <c r="F2909" t="s">
        <v>27</v>
      </c>
      <c r="G2909" t="s">
        <v>44</v>
      </c>
      <c r="H2909" t="s">
        <v>29</v>
      </c>
      <c r="I2909" t="s">
        <v>37</v>
      </c>
      <c r="J2909">
        <v>48</v>
      </c>
      <c r="K2909">
        <v>1149.22</v>
      </c>
      <c r="L2909">
        <v>55162.63</v>
      </c>
      <c r="M2909">
        <v>29869.51</v>
      </c>
      <c r="N2909">
        <v>4465.47</v>
      </c>
      <c r="O2909">
        <v>1435.6</v>
      </c>
      <c r="P2909">
        <v>1326.43</v>
      </c>
      <c r="Q2909">
        <v>598.85</v>
      </c>
      <c r="R2909">
        <v>1879.67</v>
      </c>
      <c r="S2909">
        <v>961.67</v>
      </c>
      <c r="T2909">
        <v>40537.19</v>
      </c>
      <c r="U2909">
        <v>25293.119999999999</v>
      </c>
      <c r="V2909">
        <v>14625.45</v>
      </c>
      <c r="W2909">
        <v>14649.06</v>
      </c>
      <c r="X2909">
        <v>59120.18</v>
      </c>
      <c r="Y2909">
        <v>38446.639999999999</v>
      </c>
    </row>
    <row r="2910" spans="1:25" x14ac:dyDescent="0.25">
      <c r="A2910" t="s">
        <v>2966</v>
      </c>
      <c r="B2910" s="1">
        <v>45746</v>
      </c>
      <c r="C2910">
        <v>2025</v>
      </c>
      <c r="D2910">
        <v>3</v>
      </c>
      <c r="E2910" t="s">
        <v>260</v>
      </c>
      <c r="F2910" t="s">
        <v>27</v>
      </c>
      <c r="G2910" t="s">
        <v>44</v>
      </c>
      <c r="H2910" t="s">
        <v>53</v>
      </c>
      <c r="I2910" t="s">
        <v>56</v>
      </c>
      <c r="J2910">
        <v>16</v>
      </c>
      <c r="K2910">
        <v>1643.66</v>
      </c>
      <c r="L2910">
        <v>26298.63</v>
      </c>
      <c r="M2910">
        <v>17364.93</v>
      </c>
      <c r="N2910">
        <v>2591.6</v>
      </c>
      <c r="O2910">
        <v>973.31</v>
      </c>
      <c r="P2910">
        <v>425.85</v>
      </c>
      <c r="Q2910">
        <v>243.16</v>
      </c>
      <c r="R2910">
        <v>1308.08</v>
      </c>
      <c r="S2910">
        <v>495.01</v>
      </c>
      <c r="T2910">
        <v>23401.95</v>
      </c>
      <c r="U2910">
        <v>8933.7000000000007</v>
      </c>
      <c r="V2910">
        <v>2896.69</v>
      </c>
      <c r="W2910">
        <v>2929.05</v>
      </c>
      <c r="X2910">
        <v>28464.94</v>
      </c>
      <c r="Y2910">
        <v>23413.66</v>
      </c>
    </row>
    <row r="2911" spans="1:25" x14ac:dyDescent="0.25">
      <c r="A2911" t="s">
        <v>2967</v>
      </c>
      <c r="B2911" s="1">
        <v>45746</v>
      </c>
      <c r="C2911">
        <v>2025</v>
      </c>
      <c r="D2911">
        <v>3</v>
      </c>
      <c r="E2911" t="s">
        <v>260</v>
      </c>
      <c r="F2911" t="s">
        <v>27</v>
      </c>
      <c r="G2911" t="s">
        <v>55</v>
      </c>
      <c r="H2911" t="s">
        <v>58</v>
      </c>
      <c r="I2911" t="s">
        <v>39</v>
      </c>
      <c r="J2911">
        <v>25</v>
      </c>
      <c r="K2911">
        <v>1490.34</v>
      </c>
      <c r="L2911">
        <v>37258.480000000003</v>
      </c>
      <c r="M2911">
        <v>23114.55</v>
      </c>
      <c r="N2911">
        <v>3818.98</v>
      </c>
      <c r="O2911">
        <v>1018.03</v>
      </c>
      <c r="P2911">
        <v>1520.08</v>
      </c>
      <c r="Q2911">
        <v>265.02</v>
      </c>
      <c r="R2911">
        <v>998.74</v>
      </c>
      <c r="S2911">
        <v>806.36</v>
      </c>
      <c r="T2911">
        <v>31541.75</v>
      </c>
      <c r="U2911">
        <v>14143.93</v>
      </c>
      <c r="V2911">
        <v>5716.73</v>
      </c>
      <c r="W2911">
        <v>5117.08</v>
      </c>
      <c r="X2911">
        <v>34803.29</v>
      </c>
      <c r="Y2911">
        <v>31665.86</v>
      </c>
    </row>
    <row r="2912" spans="1:25" x14ac:dyDescent="0.25">
      <c r="A2912" t="s">
        <v>2968</v>
      </c>
      <c r="B2912" s="1">
        <v>45746</v>
      </c>
      <c r="C2912">
        <v>2025</v>
      </c>
      <c r="D2912">
        <v>3</v>
      </c>
      <c r="E2912" t="s">
        <v>260</v>
      </c>
      <c r="F2912" t="s">
        <v>27</v>
      </c>
      <c r="G2912" t="s">
        <v>28</v>
      </c>
      <c r="H2912" t="s">
        <v>58</v>
      </c>
      <c r="I2912" t="s">
        <v>39</v>
      </c>
      <c r="J2912">
        <v>45</v>
      </c>
      <c r="K2912">
        <v>1176.69</v>
      </c>
      <c r="L2912">
        <v>52951.17</v>
      </c>
      <c r="M2912">
        <v>26248.19</v>
      </c>
      <c r="N2912">
        <v>6878.87</v>
      </c>
      <c r="O2912">
        <v>1828.72</v>
      </c>
      <c r="P2912">
        <v>2341.6</v>
      </c>
      <c r="Q2912">
        <v>890.78</v>
      </c>
      <c r="R2912">
        <v>2613.5500000000002</v>
      </c>
      <c r="S2912">
        <v>1113.83</v>
      </c>
      <c r="T2912">
        <v>41915.550000000003</v>
      </c>
      <c r="U2912">
        <v>26702.98</v>
      </c>
      <c r="V2912">
        <v>11035.62</v>
      </c>
      <c r="W2912">
        <v>10299.81</v>
      </c>
      <c r="X2912">
        <v>55000.52</v>
      </c>
      <c r="Y2912">
        <v>45081.61</v>
      </c>
    </row>
    <row r="2913" spans="1:25" x14ac:dyDescent="0.25">
      <c r="A2913" t="s">
        <v>2969</v>
      </c>
      <c r="B2913" s="1">
        <v>45746</v>
      </c>
      <c r="C2913">
        <v>2025</v>
      </c>
      <c r="D2913">
        <v>3</v>
      </c>
      <c r="E2913" t="s">
        <v>260</v>
      </c>
      <c r="F2913" t="s">
        <v>27</v>
      </c>
      <c r="G2913" t="s">
        <v>55</v>
      </c>
      <c r="H2913" t="s">
        <v>58</v>
      </c>
      <c r="I2913" t="s">
        <v>39</v>
      </c>
      <c r="J2913">
        <v>31</v>
      </c>
      <c r="K2913">
        <v>1581.49</v>
      </c>
      <c r="L2913">
        <v>49026.31</v>
      </c>
      <c r="M2913">
        <v>24165.46</v>
      </c>
      <c r="N2913">
        <v>5860.35</v>
      </c>
      <c r="O2913">
        <v>2818.02</v>
      </c>
      <c r="P2913">
        <v>1119.75</v>
      </c>
      <c r="Q2913">
        <v>542.09</v>
      </c>
      <c r="R2913">
        <v>2367.12</v>
      </c>
      <c r="S2913">
        <v>463.92</v>
      </c>
      <c r="T2913">
        <v>37336.720000000001</v>
      </c>
      <c r="U2913">
        <v>24860.85</v>
      </c>
      <c r="V2913">
        <v>11689.59</v>
      </c>
      <c r="W2913">
        <v>10320.76</v>
      </c>
      <c r="X2913">
        <v>49212.03</v>
      </c>
      <c r="Y2913">
        <v>35923.230000000003</v>
      </c>
    </row>
    <row r="2914" spans="1:25" x14ac:dyDescent="0.25">
      <c r="A2914" t="s">
        <v>2970</v>
      </c>
      <c r="B2914" s="1">
        <v>45747</v>
      </c>
      <c r="C2914">
        <v>2025</v>
      </c>
      <c r="D2914">
        <v>3</v>
      </c>
      <c r="E2914" t="s">
        <v>260</v>
      </c>
      <c r="F2914" t="s">
        <v>27</v>
      </c>
      <c r="G2914" t="s">
        <v>44</v>
      </c>
      <c r="H2914" t="s">
        <v>53</v>
      </c>
      <c r="I2914" t="s">
        <v>37</v>
      </c>
      <c r="J2914">
        <v>45</v>
      </c>
      <c r="K2914">
        <v>1397.89</v>
      </c>
      <c r="L2914">
        <v>62904.86</v>
      </c>
      <c r="M2914">
        <v>38134.730000000003</v>
      </c>
      <c r="N2914">
        <v>5659.73</v>
      </c>
      <c r="O2914">
        <v>1729.56</v>
      </c>
      <c r="P2914">
        <v>1623.02</v>
      </c>
      <c r="Q2914">
        <v>885.94</v>
      </c>
      <c r="R2914">
        <v>3642.4</v>
      </c>
      <c r="S2914">
        <v>788.68</v>
      </c>
      <c r="T2914">
        <v>52464.06</v>
      </c>
      <c r="U2914">
        <v>24770.13</v>
      </c>
      <c r="V2914">
        <v>10440.799999999999</v>
      </c>
      <c r="W2914">
        <v>10555.04</v>
      </c>
      <c r="X2914">
        <v>66308.59</v>
      </c>
      <c r="Y2914">
        <v>55838.43</v>
      </c>
    </row>
    <row r="2915" spans="1:25" x14ac:dyDescent="0.25">
      <c r="A2915" t="s">
        <v>2971</v>
      </c>
      <c r="B2915" s="1">
        <v>45747</v>
      </c>
      <c r="C2915">
        <v>2025</v>
      </c>
      <c r="D2915">
        <v>3</v>
      </c>
      <c r="E2915" t="s">
        <v>260</v>
      </c>
      <c r="F2915" t="s">
        <v>27</v>
      </c>
      <c r="G2915" t="s">
        <v>55</v>
      </c>
      <c r="H2915" t="s">
        <v>32</v>
      </c>
      <c r="I2915" t="s">
        <v>37</v>
      </c>
      <c r="J2915">
        <v>90</v>
      </c>
      <c r="K2915">
        <v>914.63</v>
      </c>
      <c r="L2915">
        <v>82317.039999999994</v>
      </c>
      <c r="M2915">
        <v>51937.26</v>
      </c>
      <c r="N2915">
        <v>9569.7800000000007</v>
      </c>
      <c r="O2915">
        <v>5121.9399999999996</v>
      </c>
      <c r="P2915">
        <v>3439.13</v>
      </c>
      <c r="Q2915">
        <v>1036.26</v>
      </c>
      <c r="R2915">
        <v>2370.86</v>
      </c>
      <c r="S2915">
        <v>1889.51</v>
      </c>
      <c r="T2915">
        <v>75364.75</v>
      </c>
      <c r="U2915">
        <v>30379.78</v>
      </c>
      <c r="V2915">
        <v>6952.29</v>
      </c>
      <c r="W2915">
        <v>6695.47</v>
      </c>
      <c r="X2915">
        <v>79745.5</v>
      </c>
      <c r="Y2915">
        <v>76006.13</v>
      </c>
    </row>
    <row r="2916" spans="1:25" x14ac:dyDescent="0.25">
      <c r="A2916" t="s">
        <v>2972</v>
      </c>
      <c r="B2916" s="1">
        <v>45747</v>
      </c>
      <c r="C2916">
        <v>2025</v>
      </c>
      <c r="D2916">
        <v>3</v>
      </c>
      <c r="E2916" t="s">
        <v>260</v>
      </c>
      <c r="F2916" t="s">
        <v>27</v>
      </c>
      <c r="G2916" t="s">
        <v>44</v>
      </c>
      <c r="H2916" t="s">
        <v>32</v>
      </c>
      <c r="I2916" t="s">
        <v>56</v>
      </c>
      <c r="J2916">
        <v>19</v>
      </c>
      <c r="K2916">
        <v>1580.03</v>
      </c>
      <c r="L2916">
        <v>30020.53</v>
      </c>
      <c r="M2916">
        <v>16307.8</v>
      </c>
      <c r="N2916">
        <v>2415.64</v>
      </c>
      <c r="O2916">
        <v>1473.61</v>
      </c>
      <c r="P2916">
        <v>593.32000000000005</v>
      </c>
      <c r="Q2916">
        <v>418.17</v>
      </c>
      <c r="R2916">
        <v>1231.19</v>
      </c>
      <c r="S2916">
        <v>285.63</v>
      </c>
      <c r="T2916">
        <v>22725.35</v>
      </c>
      <c r="U2916">
        <v>13712.74</v>
      </c>
      <c r="V2916">
        <v>7295.18</v>
      </c>
      <c r="W2916">
        <v>7088.92</v>
      </c>
      <c r="X2916">
        <v>30912.66</v>
      </c>
      <c r="Y2916">
        <v>24533.3</v>
      </c>
    </row>
    <row r="2917" spans="1:25" x14ac:dyDescent="0.25">
      <c r="A2917" t="s">
        <v>2973</v>
      </c>
      <c r="B2917" s="1">
        <v>45747</v>
      </c>
      <c r="C2917">
        <v>2025</v>
      </c>
      <c r="D2917">
        <v>3</v>
      </c>
      <c r="E2917" t="s">
        <v>260</v>
      </c>
      <c r="F2917" t="s">
        <v>27</v>
      </c>
      <c r="G2917" t="s">
        <v>55</v>
      </c>
      <c r="H2917" t="s">
        <v>32</v>
      </c>
      <c r="I2917" t="s">
        <v>39</v>
      </c>
      <c r="J2917">
        <v>33</v>
      </c>
      <c r="K2917">
        <v>1487.1</v>
      </c>
      <c r="L2917">
        <v>49074.42</v>
      </c>
      <c r="M2917">
        <v>32445.78</v>
      </c>
      <c r="N2917">
        <v>3599.1</v>
      </c>
      <c r="O2917">
        <v>3264.78</v>
      </c>
      <c r="P2917">
        <v>1594.58</v>
      </c>
      <c r="Q2917">
        <v>528.5</v>
      </c>
      <c r="R2917">
        <v>2788.91</v>
      </c>
      <c r="S2917">
        <v>1119.06</v>
      </c>
      <c r="T2917">
        <v>45340.7</v>
      </c>
      <c r="U2917">
        <v>16628.650000000001</v>
      </c>
      <c r="V2917">
        <v>3733.73</v>
      </c>
      <c r="W2917">
        <v>3641.46</v>
      </c>
      <c r="X2917">
        <v>46896.51</v>
      </c>
      <c r="Y2917">
        <v>48373.62</v>
      </c>
    </row>
    <row r="2918" spans="1:25" x14ac:dyDescent="0.25">
      <c r="A2918" t="s">
        <v>2974</v>
      </c>
      <c r="B2918" s="1">
        <v>45747</v>
      </c>
      <c r="C2918">
        <v>2025</v>
      </c>
      <c r="D2918">
        <v>3</v>
      </c>
      <c r="E2918" t="s">
        <v>260</v>
      </c>
      <c r="F2918" t="s">
        <v>27</v>
      </c>
      <c r="G2918" t="s">
        <v>44</v>
      </c>
      <c r="H2918" t="s">
        <v>29</v>
      </c>
      <c r="I2918" t="s">
        <v>45</v>
      </c>
      <c r="J2918">
        <v>38</v>
      </c>
      <c r="K2918">
        <v>1419.62</v>
      </c>
      <c r="L2918">
        <v>53945.68</v>
      </c>
      <c r="M2918">
        <v>35422.42</v>
      </c>
      <c r="N2918">
        <v>6095.45</v>
      </c>
      <c r="O2918">
        <v>1957.39</v>
      </c>
      <c r="P2918">
        <v>1930.54</v>
      </c>
      <c r="Q2918">
        <v>324.63</v>
      </c>
      <c r="R2918">
        <v>2560.4</v>
      </c>
      <c r="S2918">
        <v>476.8</v>
      </c>
      <c r="T2918">
        <v>48767.64</v>
      </c>
      <c r="U2918">
        <v>18523.25</v>
      </c>
      <c r="V2918">
        <v>5178.04</v>
      </c>
      <c r="W2918">
        <v>5065.3100000000004</v>
      </c>
      <c r="X2918">
        <v>50467.21</v>
      </c>
      <c r="Y2918">
        <v>50748.58</v>
      </c>
    </row>
    <row r="2919" spans="1:25" x14ac:dyDescent="0.25">
      <c r="A2919" t="s">
        <v>2975</v>
      </c>
      <c r="B2919" s="1">
        <v>45747</v>
      </c>
      <c r="C2919">
        <v>2025</v>
      </c>
      <c r="D2919">
        <v>3</v>
      </c>
      <c r="E2919" t="s">
        <v>260</v>
      </c>
      <c r="F2919" t="s">
        <v>27</v>
      </c>
      <c r="G2919" t="s">
        <v>28</v>
      </c>
      <c r="H2919" t="s">
        <v>58</v>
      </c>
      <c r="I2919" t="s">
        <v>33</v>
      </c>
      <c r="J2919">
        <v>46</v>
      </c>
      <c r="K2919">
        <v>1480.43</v>
      </c>
      <c r="L2919">
        <v>68099.92</v>
      </c>
      <c r="M2919">
        <v>35909.360000000001</v>
      </c>
      <c r="N2919">
        <v>7731.39</v>
      </c>
      <c r="O2919">
        <v>4595.67</v>
      </c>
      <c r="P2919">
        <v>2286.91</v>
      </c>
      <c r="Q2919">
        <v>931.04</v>
      </c>
      <c r="R2919">
        <v>3071.54</v>
      </c>
      <c r="S2919">
        <v>1526.74</v>
      </c>
      <c r="T2919">
        <v>56052.65</v>
      </c>
      <c r="U2919">
        <v>32190.560000000001</v>
      </c>
      <c r="V2919">
        <v>12047.27</v>
      </c>
      <c r="W2919">
        <v>11512.74</v>
      </c>
      <c r="X2919">
        <v>70999.740000000005</v>
      </c>
      <c r="Y2919">
        <v>54751.02</v>
      </c>
    </row>
    <row r="2920" spans="1:25" x14ac:dyDescent="0.25">
      <c r="A2920" t="s">
        <v>2976</v>
      </c>
      <c r="B2920" s="1">
        <v>45748</v>
      </c>
      <c r="C2920">
        <v>2025</v>
      </c>
      <c r="D2920">
        <v>4</v>
      </c>
      <c r="E2920" t="s">
        <v>357</v>
      </c>
      <c r="F2920" t="s">
        <v>358</v>
      </c>
      <c r="G2920" t="s">
        <v>28</v>
      </c>
      <c r="H2920" t="s">
        <v>32</v>
      </c>
      <c r="I2920" t="s">
        <v>30</v>
      </c>
      <c r="J2920">
        <v>114</v>
      </c>
      <c r="K2920">
        <v>831.23</v>
      </c>
      <c r="L2920">
        <v>94760.09</v>
      </c>
      <c r="M2920">
        <v>46002.55</v>
      </c>
      <c r="N2920">
        <v>10644.44</v>
      </c>
      <c r="O2920">
        <v>6422.66</v>
      </c>
      <c r="P2920">
        <v>4037.12</v>
      </c>
      <c r="Q2920">
        <v>1395.22</v>
      </c>
      <c r="R2920">
        <v>2792.28</v>
      </c>
      <c r="S2920">
        <v>908.59</v>
      </c>
      <c r="T2920">
        <v>72202.86</v>
      </c>
      <c r="U2920">
        <v>48757.54</v>
      </c>
      <c r="V2920">
        <v>22557.23</v>
      </c>
      <c r="W2920">
        <v>22019.51</v>
      </c>
      <c r="X2920">
        <v>89826.63</v>
      </c>
      <c r="Y2920">
        <v>69732.95</v>
      </c>
    </row>
    <row r="2921" spans="1:25" x14ac:dyDescent="0.25">
      <c r="A2921" t="s">
        <v>2977</v>
      </c>
      <c r="B2921" s="1">
        <v>45748</v>
      </c>
      <c r="C2921">
        <v>2025</v>
      </c>
      <c r="D2921">
        <v>4</v>
      </c>
      <c r="E2921" t="s">
        <v>357</v>
      </c>
      <c r="F2921" t="s">
        <v>358</v>
      </c>
      <c r="G2921" t="s">
        <v>28</v>
      </c>
      <c r="H2921" t="s">
        <v>36</v>
      </c>
      <c r="I2921" t="s">
        <v>50</v>
      </c>
      <c r="J2921">
        <v>25</v>
      </c>
      <c r="K2921">
        <v>1768.07</v>
      </c>
      <c r="L2921">
        <v>44201.78</v>
      </c>
      <c r="M2921">
        <v>23110.880000000001</v>
      </c>
      <c r="N2921">
        <v>4419.34</v>
      </c>
      <c r="O2921">
        <v>2679.35</v>
      </c>
      <c r="P2921">
        <v>1651.51</v>
      </c>
      <c r="Q2921">
        <v>646.4</v>
      </c>
      <c r="R2921">
        <v>2194.9699999999998</v>
      </c>
      <c r="S2921">
        <v>983.29</v>
      </c>
      <c r="T2921">
        <v>35685.74</v>
      </c>
      <c r="U2921">
        <v>21090.9</v>
      </c>
      <c r="V2921">
        <v>8516.0400000000009</v>
      </c>
      <c r="W2921">
        <v>8257.59</v>
      </c>
      <c r="X2921">
        <v>43224.68</v>
      </c>
      <c r="Y2921">
        <v>36563.269999999997</v>
      </c>
    </row>
    <row r="2922" spans="1:25" x14ac:dyDescent="0.25">
      <c r="A2922" t="s">
        <v>2978</v>
      </c>
      <c r="B2922" s="1">
        <v>45748</v>
      </c>
      <c r="C2922">
        <v>2025</v>
      </c>
      <c r="D2922">
        <v>4</v>
      </c>
      <c r="E2922" t="s">
        <v>357</v>
      </c>
      <c r="F2922" t="s">
        <v>358</v>
      </c>
      <c r="G2922" t="s">
        <v>28</v>
      </c>
      <c r="H2922" t="s">
        <v>29</v>
      </c>
      <c r="I2922" t="s">
        <v>37</v>
      </c>
      <c r="J2922">
        <v>40</v>
      </c>
      <c r="K2922">
        <v>1711.25</v>
      </c>
      <c r="L2922">
        <v>68449.929999999993</v>
      </c>
      <c r="M2922">
        <v>43240.14</v>
      </c>
      <c r="N2922">
        <v>5802.26</v>
      </c>
      <c r="O2922">
        <v>2330.5300000000002</v>
      </c>
      <c r="P2922">
        <v>1298.43</v>
      </c>
      <c r="Q2922">
        <v>583.15</v>
      </c>
      <c r="R2922">
        <v>2829.47</v>
      </c>
      <c r="S2922">
        <v>1230.56</v>
      </c>
      <c r="T2922">
        <v>57314.55</v>
      </c>
      <c r="U2922">
        <v>25209.79</v>
      </c>
      <c r="V2922">
        <v>11135.38</v>
      </c>
      <c r="W2922">
        <v>11119.87</v>
      </c>
      <c r="X2922">
        <v>71381.929999999993</v>
      </c>
      <c r="Y2922">
        <v>58331.15</v>
      </c>
    </row>
    <row r="2923" spans="1:25" x14ac:dyDescent="0.25">
      <c r="A2923" t="s">
        <v>2979</v>
      </c>
      <c r="B2923" s="1">
        <v>45748</v>
      </c>
      <c r="C2923">
        <v>2025</v>
      </c>
      <c r="D2923">
        <v>4</v>
      </c>
      <c r="E2923" t="s">
        <v>357</v>
      </c>
      <c r="F2923" t="s">
        <v>358</v>
      </c>
      <c r="G2923" t="s">
        <v>28</v>
      </c>
      <c r="H2923" t="s">
        <v>36</v>
      </c>
      <c r="I2923" t="s">
        <v>45</v>
      </c>
      <c r="J2923">
        <v>34</v>
      </c>
      <c r="K2923">
        <v>1721.66</v>
      </c>
      <c r="L2923">
        <v>58536.4</v>
      </c>
      <c r="M2923">
        <v>31398.35</v>
      </c>
      <c r="N2923">
        <v>5011.5</v>
      </c>
      <c r="O2923">
        <v>2478.14</v>
      </c>
      <c r="P2923">
        <v>2513.9899999999998</v>
      </c>
      <c r="Q2923">
        <v>554.83000000000004</v>
      </c>
      <c r="R2923">
        <v>1835.51</v>
      </c>
      <c r="S2923">
        <v>1408.93</v>
      </c>
      <c r="T2923">
        <v>45201.25</v>
      </c>
      <c r="U2923">
        <v>27138.05</v>
      </c>
      <c r="V2923">
        <v>13335.15</v>
      </c>
      <c r="W2923">
        <v>11992.54</v>
      </c>
      <c r="X2923">
        <v>65396.12</v>
      </c>
      <c r="Y2923">
        <v>43932.89</v>
      </c>
    </row>
    <row r="2924" spans="1:25" x14ac:dyDescent="0.25">
      <c r="A2924" t="s">
        <v>2980</v>
      </c>
      <c r="B2924" s="1">
        <v>45748</v>
      </c>
      <c r="C2924">
        <v>2025</v>
      </c>
      <c r="D2924">
        <v>4</v>
      </c>
      <c r="E2924" t="s">
        <v>357</v>
      </c>
      <c r="F2924" t="s">
        <v>358</v>
      </c>
      <c r="G2924" t="s">
        <v>44</v>
      </c>
      <c r="H2924" t="s">
        <v>32</v>
      </c>
      <c r="I2924" t="s">
        <v>33</v>
      </c>
      <c r="J2924">
        <v>65</v>
      </c>
      <c r="K2924">
        <v>1094.96</v>
      </c>
      <c r="L2924">
        <v>71172.12</v>
      </c>
      <c r="M2924">
        <v>39502.660000000003</v>
      </c>
      <c r="N2924">
        <v>5147.47</v>
      </c>
      <c r="O2924">
        <v>2690.77</v>
      </c>
      <c r="P2924">
        <v>2795.23</v>
      </c>
      <c r="Q2924">
        <v>451.53</v>
      </c>
      <c r="R2924">
        <v>1983.5</v>
      </c>
      <c r="S2924">
        <v>1647.56</v>
      </c>
      <c r="T2924">
        <v>54218.71</v>
      </c>
      <c r="U2924">
        <v>31669.46</v>
      </c>
      <c r="V2924">
        <v>16953.41</v>
      </c>
      <c r="W2924">
        <v>16797.45</v>
      </c>
      <c r="X2924">
        <v>76649.89</v>
      </c>
      <c r="Y2924">
        <v>51980.36</v>
      </c>
    </row>
    <row r="2925" spans="1:25" x14ac:dyDescent="0.25">
      <c r="A2925" t="s">
        <v>2981</v>
      </c>
      <c r="B2925" s="1">
        <v>45748</v>
      </c>
      <c r="C2925">
        <v>2025</v>
      </c>
      <c r="D2925">
        <v>4</v>
      </c>
      <c r="E2925" t="s">
        <v>357</v>
      </c>
      <c r="F2925" t="s">
        <v>358</v>
      </c>
      <c r="G2925" t="s">
        <v>55</v>
      </c>
      <c r="H2925" t="s">
        <v>36</v>
      </c>
      <c r="I2925" t="s">
        <v>30</v>
      </c>
      <c r="J2925">
        <v>46</v>
      </c>
      <c r="K2925">
        <v>1698.57</v>
      </c>
      <c r="L2925">
        <v>78134.149999999994</v>
      </c>
      <c r="M2925">
        <v>45872.86</v>
      </c>
      <c r="N2925">
        <v>9139.5400000000009</v>
      </c>
      <c r="O2925">
        <v>5407.81</v>
      </c>
      <c r="P2925">
        <v>1613.57</v>
      </c>
      <c r="Q2925">
        <v>1325.83</v>
      </c>
      <c r="R2925">
        <v>3359.96</v>
      </c>
      <c r="S2925">
        <v>1063.74</v>
      </c>
      <c r="T2925">
        <v>67783.31</v>
      </c>
      <c r="U2925">
        <v>32261.29</v>
      </c>
      <c r="V2925">
        <v>10350.84</v>
      </c>
      <c r="W2925">
        <v>9277.4699999999993</v>
      </c>
      <c r="X2925">
        <v>75475.31</v>
      </c>
      <c r="Y2925">
        <v>67025.61</v>
      </c>
    </row>
    <row r="2926" spans="1:25" x14ac:dyDescent="0.25">
      <c r="A2926" t="s">
        <v>2982</v>
      </c>
      <c r="B2926" s="1">
        <v>45748</v>
      </c>
      <c r="C2926">
        <v>2025</v>
      </c>
      <c r="D2926">
        <v>4</v>
      </c>
      <c r="E2926" t="s">
        <v>357</v>
      </c>
      <c r="F2926" t="s">
        <v>358</v>
      </c>
      <c r="G2926" t="s">
        <v>44</v>
      </c>
      <c r="H2926" t="s">
        <v>32</v>
      </c>
      <c r="I2926" t="s">
        <v>50</v>
      </c>
      <c r="J2926">
        <v>59</v>
      </c>
      <c r="K2926">
        <v>1038.95</v>
      </c>
      <c r="L2926">
        <v>61298.1</v>
      </c>
      <c r="M2926">
        <v>41667.760000000002</v>
      </c>
      <c r="N2926">
        <v>7889.25</v>
      </c>
      <c r="O2926">
        <v>3038.21</v>
      </c>
      <c r="P2926">
        <v>2729.93</v>
      </c>
      <c r="Q2926">
        <v>608.02</v>
      </c>
      <c r="R2926">
        <v>1641.66</v>
      </c>
      <c r="S2926">
        <v>668.84</v>
      </c>
      <c r="T2926">
        <v>58243.67</v>
      </c>
      <c r="U2926">
        <v>19630.34</v>
      </c>
      <c r="V2926">
        <v>3054.44</v>
      </c>
      <c r="W2926">
        <v>3072.13</v>
      </c>
      <c r="X2926">
        <v>60044.61</v>
      </c>
      <c r="Y2926">
        <v>61666.6</v>
      </c>
    </row>
    <row r="2927" spans="1:25" x14ac:dyDescent="0.25">
      <c r="A2927" t="s">
        <v>2983</v>
      </c>
      <c r="B2927" s="1">
        <v>45748</v>
      </c>
      <c r="C2927">
        <v>2025</v>
      </c>
      <c r="D2927">
        <v>4</v>
      </c>
      <c r="E2927" t="s">
        <v>357</v>
      </c>
      <c r="F2927" t="s">
        <v>358</v>
      </c>
      <c r="G2927" t="s">
        <v>55</v>
      </c>
      <c r="H2927" t="s">
        <v>32</v>
      </c>
      <c r="I2927" t="s">
        <v>45</v>
      </c>
      <c r="J2927">
        <v>37</v>
      </c>
      <c r="K2927">
        <v>1372.04</v>
      </c>
      <c r="L2927">
        <v>50765.54</v>
      </c>
      <c r="M2927">
        <v>26387.03</v>
      </c>
      <c r="N2927">
        <v>5281.04</v>
      </c>
      <c r="O2927">
        <v>2571.7199999999998</v>
      </c>
      <c r="P2927">
        <v>1970.34</v>
      </c>
      <c r="Q2927">
        <v>372.93</v>
      </c>
      <c r="R2927">
        <v>2346.4499999999998</v>
      </c>
      <c r="S2927">
        <v>620.79999999999995</v>
      </c>
      <c r="T2927">
        <v>39550.31</v>
      </c>
      <c r="U2927">
        <v>24378.51</v>
      </c>
      <c r="V2927">
        <v>11215.23</v>
      </c>
      <c r="W2927">
        <v>10888.11</v>
      </c>
      <c r="X2927">
        <v>54385.7</v>
      </c>
      <c r="Y2927">
        <v>38440.9</v>
      </c>
    </row>
    <row r="2928" spans="1:25" x14ac:dyDescent="0.25">
      <c r="A2928" t="s">
        <v>2984</v>
      </c>
      <c r="B2928" s="1">
        <v>45749</v>
      </c>
      <c r="C2928">
        <v>2025</v>
      </c>
      <c r="D2928">
        <v>4</v>
      </c>
      <c r="E2928" t="s">
        <v>357</v>
      </c>
      <c r="F2928" t="s">
        <v>358</v>
      </c>
      <c r="G2928" t="s">
        <v>55</v>
      </c>
      <c r="H2928" t="s">
        <v>36</v>
      </c>
      <c r="I2928" t="s">
        <v>39</v>
      </c>
      <c r="J2928">
        <v>35</v>
      </c>
      <c r="K2928">
        <v>1561.22</v>
      </c>
      <c r="L2928">
        <v>54642.8</v>
      </c>
      <c r="M2928">
        <v>33241.410000000003</v>
      </c>
      <c r="N2928">
        <v>4507.8599999999997</v>
      </c>
      <c r="O2928">
        <v>2379.3200000000002</v>
      </c>
      <c r="P2928">
        <v>850.28</v>
      </c>
      <c r="Q2928">
        <v>706.48</v>
      </c>
      <c r="R2928">
        <v>2772.67</v>
      </c>
      <c r="S2928">
        <v>878.25</v>
      </c>
      <c r="T2928">
        <v>45336.27</v>
      </c>
      <c r="U2928">
        <v>21401.38</v>
      </c>
      <c r="V2928">
        <v>9306.5300000000007</v>
      </c>
      <c r="W2928">
        <v>8608.2900000000009</v>
      </c>
      <c r="X2928">
        <v>51305.64</v>
      </c>
      <c r="Y2928">
        <v>43050.37</v>
      </c>
    </row>
    <row r="2929" spans="1:25" x14ac:dyDescent="0.25">
      <c r="A2929" t="s">
        <v>2985</v>
      </c>
      <c r="B2929" s="1">
        <v>45749</v>
      </c>
      <c r="C2929">
        <v>2025</v>
      </c>
      <c r="D2929">
        <v>4</v>
      </c>
      <c r="E2929" t="s">
        <v>357</v>
      </c>
      <c r="F2929" t="s">
        <v>358</v>
      </c>
      <c r="G2929" t="s">
        <v>35</v>
      </c>
      <c r="H2929" t="s">
        <v>58</v>
      </c>
      <c r="I2929" t="s">
        <v>56</v>
      </c>
      <c r="J2929">
        <v>16</v>
      </c>
      <c r="K2929">
        <v>1710.17</v>
      </c>
      <c r="L2929">
        <v>27362.73</v>
      </c>
      <c r="M2929">
        <v>15939.96</v>
      </c>
      <c r="N2929">
        <v>3306.16</v>
      </c>
      <c r="O2929">
        <v>1153.8</v>
      </c>
      <c r="P2929">
        <v>761.81</v>
      </c>
      <c r="Q2929">
        <v>166.5</v>
      </c>
      <c r="R2929">
        <v>1044.1199999999999</v>
      </c>
      <c r="S2929">
        <v>682.26</v>
      </c>
      <c r="T2929">
        <v>23054.62</v>
      </c>
      <c r="U2929">
        <v>11422.76</v>
      </c>
      <c r="V2929">
        <v>4308.1099999999997</v>
      </c>
      <c r="W2929">
        <v>3831.05</v>
      </c>
      <c r="X2929">
        <v>30181.88</v>
      </c>
      <c r="Y2929">
        <v>25256.45</v>
      </c>
    </row>
    <row r="2930" spans="1:25" x14ac:dyDescent="0.25">
      <c r="A2930" t="s">
        <v>2986</v>
      </c>
      <c r="B2930" s="1">
        <v>45749</v>
      </c>
      <c r="C2930">
        <v>2025</v>
      </c>
      <c r="D2930">
        <v>4</v>
      </c>
      <c r="E2930" t="s">
        <v>357</v>
      </c>
      <c r="F2930" t="s">
        <v>358</v>
      </c>
      <c r="G2930" t="s">
        <v>35</v>
      </c>
      <c r="H2930" t="s">
        <v>32</v>
      </c>
      <c r="I2930" t="s">
        <v>65</v>
      </c>
      <c r="J2930">
        <v>44</v>
      </c>
      <c r="K2930">
        <v>1766.22</v>
      </c>
      <c r="L2930">
        <v>77713.53</v>
      </c>
      <c r="M2930">
        <v>40997.279999999999</v>
      </c>
      <c r="N2930">
        <v>5907.17</v>
      </c>
      <c r="O2930">
        <v>4858.03</v>
      </c>
      <c r="P2930">
        <v>2236.9</v>
      </c>
      <c r="Q2930">
        <v>1199.03</v>
      </c>
      <c r="R2930">
        <v>3639.49</v>
      </c>
      <c r="S2930">
        <v>1262.82</v>
      </c>
      <c r="T2930">
        <v>60100.71</v>
      </c>
      <c r="U2930">
        <v>36716.26</v>
      </c>
      <c r="V2930">
        <v>17612.82</v>
      </c>
      <c r="W2930">
        <v>17127.150000000001</v>
      </c>
      <c r="X2930">
        <v>72124.14</v>
      </c>
      <c r="Y2930">
        <v>60436.3</v>
      </c>
    </row>
    <row r="2931" spans="1:25" x14ac:dyDescent="0.25">
      <c r="A2931" t="s">
        <v>2987</v>
      </c>
      <c r="B2931" s="1">
        <v>45749</v>
      </c>
      <c r="C2931">
        <v>2025</v>
      </c>
      <c r="D2931">
        <v>4</v>
      </c>
      <c r="E2931" t="s">
        <v>357</v>
      </c>
      <c r="F2931" t="s">
        <v>358</v>
      </c>
      <c r="G2931" t="s">
        <v>28</v>
      </c>
      <c r="H2931" t="s">
        <v>36</v>
      </c>
      <c r="I2931" t="s">
        <v>65</v>
      </c>
      <c r="J2931">
        <v>41</v>
      </c>
      <c r="K2931">
        <v>1775.55</v>
      </c>
      <c r="L2931">
        <v>72797.45</v>
      </c>
      <c r="M2931">
        <v>40704.15</v>
      </c>
      <c r="N2931">
        <v>7167.26</v>
      </c>
      <c r="O2931">
        <v>3281.66</v>
      </c>
      <c r="P2931">
        <v>2712.81</v>
      </c>
      <c r="Q2931">
        <v>1014.25</v>
      </c>
      <c r="R2931">
        <v>1821.61</v>
      </c>
      <c r="S2931">
        <v>1413.8</v>
      </c>
      <c r="T2931">
        <v>58115.55</v>
      </c>
      <c r="U2931">
        <v>32093.3</v>
      </c>
      <c r="V2931">
        <v>14681.9</v>
      </c>
      <c r="W2931">
        <v>13496.92</v>
      </c>
      <c r="X2931">
        <v>76387.570000000007</v>
      </c>
      <c r="Y2931">
        <v>63511.63</v>
      </c>
    </row>
    <row r="2932" spans="1:25" x14ac:dyDescent="0.25">
      <c r="A2932" t="s">
        <v>2988</v>
      </c>
      <c r="B2932" s="1">
        <v>45749</v>
      </c>
      <c r="C2932">
        <v>2025</v>
      </c>
      <c r="D2932">
        <v>4</v>
      </c>
      <c r="E2932" t="s">
        <v>357</v>
      </c>
      <c r="F2932" t="s">
        <v>358</v>
      </c>
      <c r="G2932" t="s">
        <v>55</v>
      </c>
      <c r="H2932" t="s">
        <v>36</v>
      </c>
      <c r="I2932" t="s">
        <v>56</v>
      </c>
      <c r="J2932">
        <v>23</v>
      </c>
      <c r="K2932">
        <v>1504.36</v>
      </c>
      <c r="L2932">
        <v>34600.31</v>
      </c>
      <c r="M2932">
        <v>21663.86</v>
      </c>
      <c r="N2932">
        <v>3811.73</v>
      </c>
      <c r="O2932">
        <v>913.8</v>
      </c>
      <c r="P2932">
        <v>685.54</v>
      </c>
      <c r="Q2932">
        <v>496.88</v>
      </c>
      <c r="R2932">
        <v>2045.13</v>
      </c>
      <c r="S2932">
        <v>451.07</v>
      </c>
      <c r="T2932">
        <v>30068.01</v>
      </c>
      <c r="U2932">
        <v>12936.45</v>
      </c>
      <c r="V2932">
        <v>4532.3</v>
      </c>
      <c r="W2932">
        <v>4591.3</v>
      </c>
      <c r="X2932">
        <v>38416.15</v>
      </c>
      <c r="Y2932">
        <v>30445.94</v>
      </c>
    </row>
    <row r="2933" spans="1:25" x14ac:dyDescent="0.25">
      <c r="A2933" t="s">
        <v>2989</v>
      </c>
      <c r="B2933" s="1">
        <v>45750</v>
      </c>
      <c r="C2933">
        <v>2025</v>
      </c>
      <c r="D2933">
        <v>4</v>
      </c>
      <c r="E2933" t="s">
        <v>357</v>
      </c>
      <c r="F2933" t="s">
        <v>358</v>
      </c>
      <c r="G2933" t="s">
        <v>44</v>
      </c>
      <c r="H2933" t="s">
        <v>36</v>
      </c>
      <c r="I2933" t="s">
        <v>33</v>
      </c>
      <c r="J2933">
        <v>77</v>
      </c>
      <c r="K2933">
        <v>981.73</v>
      </c>
      <c r="L2933">
        <v>75592.89</v>
      </c>
      <c r="M2933">
        <v>48697.25</v>
      </c>
      <c r="N2933">
        <v>8930.4699999999993</v>
      </c>
      <c r="O2933">
        <v>3898.67</v>
      </c>
      <c r="P2933">
        <v>2097.23</v>
      </c>
      <c r="Q2933">
        <v>536.58000000000004</v>
      </c>
      <c r="R2933">
        <v>4224.51</v>
      </c>
      <c r="S2933">
        <v>1464.61</v>
      </c>
      <c r="T2933">
        <v>69849.320000000007</v>
      </c>
      <c r="U2933">
        <v>26895.64</v>
      </c>
      <c r="V2933">
        <v>5743.56</v>
      </c>
      <c r="W2933">
        <v>5572.11</v>
      </c>
      <c r="X2933">
        <v>74273.19</v>
      </c>
      <c r="Y2933">
        <v>73058.820000000007</v>
      </c>
    </row>
    <row r="2934" spans="1:25" x14ac:dyDescent="0.25">
      <c r="A2934" t="s">
        <v>2990</v>
      </c>
      <c r="B2934" s="1">
        <v>45750</v>
      </c>
      <c r="C2934">
        <v>2025</v>
      </c>
      <c r="D2934">
        <v>4</v>
      </c>
      <c r="E2934" t="s">
        <v>357</v>
      </c>
      <c r="F2934" t="s">
        <v>358</v>
      </c>
      <c r="G2934" t="s">
        <v>55</v>
      </c>
      <c r="H2934" t="s">
        <v>32</v>
      </c>
      <c r="I2934" t="s">
        <v>37</v>
      </c>
      <c r="J2934">
        <v>45</v>
      </c>
      <c r="K2934">
        <v>1502.71</v>
      </c>
      <c r="L2934">
        <v>67621.97</v>
      </c>
      <c r="M2934">
        <v>32946.230000000003</v>
      </c>
      <c r="N2934">
        <v>6548.13</v>
      </c>
      <c r="O2934">
        <v>3505.37</v>
      </c>
      <c r="P2934">
        <v>1877.23</v>
      </c>
      <c r="Q2934">
        <v>438.97</v>
      </c>
      <c r="R2934">
        <v>3024.47</v>
      </c>
      <c r="S2934">
        <v>1549.47</v>
      </c>
      <c r="T2934">
        <v>49889.87</v>
      </c>
      <c r="U2934">
        <v>34675.74</v>
      </c>
      <c r="V2934">
        <v>17732.099999999999</v>
      </c>
      <c r="W2934">
        <v>16798.36</v>
      </c>
      <c r="X2934">
        <v>72220.210000000006</v>
      </c>
      <c r="Y2934">
        <v>53455.6</v>
      </c>
    </row>
    <row r="2935" spans="1:25" x14ac:dyDescent="0.25">
      <c r="A2935" t="s">
        <v>2991</v>
      </c>
      <c r="B2935" s="1">
        <v>45750</v>
      </c>
      <c r="C2935">
        <v>2025</v>
      </c>
      <c r="D2935">
        <v>4</v>
      </c>
      <c r="E2935" t="s">
        <v>357</v>
      </c>
      <c r="F2935" t="s">
        <v>358</v>
      </c>
      <c r="G2935" t="s">
        <v>44</v>
      </c>
      <c r="H2935" t="s">
        <v>36</v>
      </c>
      <c r="I2935" t="s">
        <v>30</v>
      </c>
      <c r="J2935">
        <v>67</v>
      </c>
      <c r="K2935">
        <v>1410.68</v>
      </c>
      <c r="L2935">
        <v>94515.51</v>
      </c>
      <c r="M2935">
        <v>46936.480000000003</v>
      </c>
      <c r="N2935">
        <v>10611.37</v>
      </c>
      <c r="O2935">
        <v>5780.21</v>
      </c>
      <c r="P2935">
        <v>2836.24</v>
      </c>
      <c r="Q2935">
        <v>1333.49</v>
      </c>
      <c r="R2935">
        <v>4574.99</v>
      </c>
      <c r="S2935">
        <v>2271.75</v>
      </c>
      <c r="T2935">
        <v>74344.53</v>
      </c>
      <c r="U2935">
        <v>47579.03</v>
      </c>
      <c r="V2935">
        <v>20170.98</v>
      </c>
      <c r="W2935">
        <v>19737.150000000001</v>
      </c>
      <c r="X2935">
        <v>94921.39</v>
      </c>
      <c r="Y2935">
        <v>73357.13</v>
      </c>
    </row>
    <row r="2936" spans="1:25" x14ac:dyDescent="0.25">
      <c r="A2936" t="s">
        <v>2992</v>
      </c>
      <c r="B2936" s="1">
        <v>45751</v>
      </c>
      <c r="C2936">
        <v>2025</v>
      </c>
      <c r="D2936">
        <v>4</v>
      </c>
      <c r="E2936" t="s">
        <v>357</v>
      </c>
      <c r="F2936" t="s">
        <v>358</v>
      </c>
      <c r="G2936" t="s">
        <v>55</v>
      </c>
      <c r="H2936" t="s">
        <v>53</v>
      </c>
      <c r="I2936" t="s">
        <v>56</v>
      </c>
      <c r="J2936">
        <v>32</v>
      </c>
      <c r="K2936">
        <v>1178.05</v>
      </c>
      <c r="L2936">
        <v>37697.72</v>
      </c>
      <c r="M2936">
        <v>19512.439999999999</v>
      </c>
      <c r="N2936">
        <v>4273.1499999999996</v>
      </c>
      <c r="O2936">
        <v>2821.71</v>
      </c>
      <c r="P2936">
        <v>1598.08</v>
      </c>
      <c r="Q2936">
        <v>422.23</v>
      </c>
      <c r="R2936">
        <v>1669.62</v>
      </c>
      <c r="S2936">
        <v>739.78</v>
      </c>
      <c r="T2936">
        <v>31037.01</v>
      </c>
      <c r="U2936">
        <v>18185.28</v>
      </c>
      <c r="V2936">
        <v>6660.71</v>
      </c>
      <c r="W2936">
        <v>6110.74</v>
      </c>
      <c r="X2936">
        <v>34849.83</v>
      </c>
      <c r="Y2936">
        <v>29890.77</v>
      </c>
    </row>
    <row r="2937" spans="1:25" x14ac:dyDescent="0.25">
      <c r="A2937" t="s">
        <v>2993</v>
      </c>
      <c r="B2937" s="1">
        <v>45751</v>
      </c>
      <c r="C2937">
        <v>2025</v>
      </c>
      <c r="D2937">
        <v>4</v>
      </c>
      <c r="E2937" t="s">
        <v>357</v>
      </c>
      <c r="F2937" t="s">
        <v>358</v>
      </c>
      <c r="G2937" t="s">
        <v>44</v>
      </c>
      <c r="H2937" t="s">
        <v>32</v>
      </c>
      <c r="I2937" t="s">
        <v>39</v>
      </c>
      <c r="J2937">
        <v>25</v>
      </c>
      <c r="K2937">
        <v>1629.93</v>
      </c>
      <c r="L2937">
        <v>40748.33</v>
      </c>
      <c r="M2937">
        <v>24583.85</v>
      </c>
      <c r="N2937">
        <v>3072.85</v>
      </c>
      <c r="O2937">
        <v>1114.56</v>
      </c>
      <c r="P2937">
        <v>1398.42</v>
      </c>
      <c r="Q2937">
        <v>513.22</v>
      </c>
      <c r="R2937">
        <v>2352.5100000000002</v>
      </c>
      <c r="S2937">
        <v>440.39</v>
      </c>
      <c r="T2937">
        <v>33475.79</v>
      </c>
      <c r="U2937">
        <v>16164.48</v>
      </c>
      <c r="V2937">
        <v>7272.54</v>
      </c>
      <c r="W2937">
        <v>6880.96</v>
      </c>
      <c r="X2937">
        <v>42311.61</v>
      </c>
      <c r="Y2937">
        <v>35336.959999999999</v>
      </c>
    </row>
    <row r="2938" spans="1:25" x14ac:dyDescent="0.25">
      <c r="A2938" t="s">
        <v>2994</v>
      </c>
      <c r="B2938" s="1">
        <v>45751</v>
      </c>
      <c r="C2938">
        <v>2025</v>
      </c>
      <c r="D2938">
        <v>4</v>
      </c>
      <c r="E2938" t="s">
        <v>357</v>
      </c>
      <c r="F2938" t="s">
        <v>358</v>
      </c>
      <c r="G2938" t="s">
        <v>28</v>
      </c>
      <c r="H2938" t="s">
        <v>32</v>
      </c>
      <c r="I2938" t="s">
        <v>37</v>
      </c>
      <c r="J2938">
        <v>65</v>
      </c>
      <c r="K2938">
        <v>1504.59</v>
      </c>
      <c r="L2938">
        <v>97798.43</v>
      </c>
      <c r="M2938">
        <v>62773.24</v>
      </c>
      <c r="N2938">
        <v>9376.84</v>
      </c>
      <c r="O2938">
        <v>2462.11</v>
      </c>
      <c r="P2938">
        <v>3403.1</v>
      </c>
      <c r="Q2938">
        <v>798.11</v>
      </c>
      <c r="R2938">
        <v>3635.54</v>
      </c>
      <c r="S2938">
        <v>1309.8599999999999</v>
      </c>
      <c r="T2938">
        <v>83758.8</v>
      </c>
      <c r="U2938">
        <v>35025.19</v>
      </c>
      <c r="V2938">
        <v>14039.63</v>
      </c>
      <c r="W2938">
        <v>12358.06</v>
      </c>
      <c r="X2938">
        <v>96801.41</v>
      </c>
      <c r="Y2938">
        <v>86028.76</v>
      </c>
    </row>
    <row r="2939" spans="1:25" x14ac:dyDescent="0.25">
      <c r="A2939" t="s">
        <v>2995</v>
      </c>
      <c r="B2939" s="1">
        <v>45751</v>
      </c>
      <c r="C2939">
        <v>2025</v>
      </c>
      <c r="D2939">
        <v>4</v>
      </c>
      <c r="E2939" t="s">
        <v>357</v>
      </c>
      <c r="F2939" t="s">
        <v>358</v>
      </c>
      <c r="G2939" t="s">
        <v>44</v>
      </c>
      <c r="H2939" t="s">
        <v>36</v>
      </c>
      <c r="I2939" t="s">
        <v>39</v>
      </c>
      <c r="J2939">
        <v>45</v>
      </c>
      <c r="K2939">
        <v>860.08</v>
      </c>
      <c r="L2939">
        <v>38703.65</v>
      </c>
      <c r="M2939">
        <v>25573.24</v>
      </c>
      <c r="N2939">
        <v>3680.88</v>
      </c>
      <c r="O2939">
        <v>1957.45</v>
      </c>
      <c r="P2939">
        <v>1217.71</v>
      </c>
      <c r="Q2939">
        <v>200.84</v>
      </c>
      <c r="R2939">
        <v>2033.77</v>
      </c>
      <c r="S2939">
        <v>566.61</v>
      </c>
      <c r="T2939">
        <v>35230.51</v>
      </c>
      <c r="U2939">
        <v>13130.41</v>
      </c>
      <c r="V2939">
        <v>3473.14</v>
      </c>
      <c r="W2939">
        <v>3534.18</v>
      </c>
      <c r="X2939">
        <v>40339.360000000001</v>
      </c>
      <c r="Y2939">
        <v>37311.15</v>
      </c>
    </row>
    <row r="2940" spans="1:25" x14ac:dyDescent="0.25">
      <c r="A2940" t="s">
        <v>2996</v>
      </c>
      <c r="B2940" s="1">
        <v>45751</v>
      </c>
      <c r="C2940">
        <v>2025</v>
      </c>
      <c r="D2940">
        <v>4</v>
      </c>
      <c r="E2940" t="s">
        <v>357</v>
      </c>
      <c r="F2940" t="s">
        <v>358</v>
      </c>
      <c r="G2940" t="s">
        <v>35</v>
      </c>
      <c r="H2940" t="s">
        <v>53</v>
      </c>
      <c r="I2940" t="s">
        <v>50</v>
      </c>
      <c r="J2940">
        <v>33</v>
      </c>
      <c r="K2940">
        <v>1328.14</v>
      </c>
      <c r="L2940">
        <v>43828.73</v>
      </c>
      <c r="M2940">
        <v>24396.43</v>
      </c>
      <c r="N2940">
        <v>3469.9</v>
      </c>
      <c r="O2940">
        <v>1498.37</v>
      </c>
      <c r="P2940">
        <v>1708.5</v>
      </c>
      <c r="Q2940">
        <v>622.15</v>
      </c>
      <c r="R2940">
        <v>2444.9699999999998</v>
      </c>
      <c r="S2940">
        <v>577.39</v>
      </c>
      <c r="T2940">
        <v>34717.72</v>
      </c>
      <c r="U2940">
        <v>19432.310000000001</v>
      </c>
      <c r="V2940">
        <v>9111.01</v>
      </c>
      <c r="W2940">
        <v>8684.6299999999992</v>
      </c>
      <c r="X2940">
        <v>45115.64</v>
      </c>
      <c r="Y2940">
        <v>34696.89</v>
      </c>
    </row>
    <row r="2941" spans="1:25" x14ac:dyDescent="0.25">
      <c r="A2941" t="s">
        <v>2997</v>
      </c>
      <c r="B2941" s="1">
        <v>45751</v>
      </c>
      <c r="C2941">
        <v>2025</v>
      </c>
      <c r="D2941">
        <v>4</v>
      </c>
      <c r="E2941" t="s">
        <v>357</v>
      </c>
      <c r="F2941" t="s">
        <v>358</v>
      </c>
      <c r="G2941" t="s">
        <v>28</v>
      </c>
      <c r="H2941" t="s">
        <v>36</v>
      </c>
      <c r="I2941" t="s">
        <v>30</v>
      </c>
      <c r="J2941">
        <v>82</v>
      </c>
      <c r="K2941">
        <v>1216.52</v>
      </c>
      <c r="L2941">
        <v>99754.94</v>
      </c>
      <c r="M2941">
        <v>60304.639999999999</v>
      </c>
      <c r="N2941">
        <v>8561.64</v>
      </c>
      <c r="O2941">
        <v>3164.09</v>
      </c>
      <c r="P2941">
        <v>3006.07</v>
      </c>
      <c r="Q2941">
        <v>757.59</v>
      </c>
      <c r="R2941">
        <v>5076.33</v>
      </c>
      <c r="S2941">
        <v>1865.02</v>
      </c>
      <c r="T2941">
        <v>82735.38</v>
      </c>
      <c r="U2941">
        <v>39450.300000000003</v>
      </c>
      <c r="V2941">
        <v>17019.560000000001</v>
      </c>
      <c r="W2941">
        <v>16456.150000000001</v>
      </c>
      <c r="X2941">
        <v>108675.97</v>
      </c>
      <c r="Y2941">
        <v>90564.55</v>
      </c>
    </row>
    <row r="2942" spans="1:25" x14ac:dyDescent="0.25">
      <c r="A2942" t="s">
        <v>2998</v>
      </c>
      <c r="B2942" s="1">
        <v>45751</v>
      </c>
      <c r="C2942">
        <v>2025</v>
      </c>
      <c r="D2942">
        <v>4</v>
      </c>
      <c r="E2942" t="s">
        <v>357</v>
      </c>
      <c r="F2942" t="s">
        <v>358</v>
      </c>
      <c r="G2942" t="s">
        <v>44</v>
      </c>
      <c r="H2942" t="s">
        <v>29</v>
      </c>
      <c r="I2942" t="s">
        <v>37</v>
      </c>
      <c r="J2942">
        <v>49</v>
      </c>
      <c r="K2942">
        <v>1294.45</v>
      </c>
      <c r="L2942">
        <v>63428.09</v>
      </c>
      <c r="M2942">
        <v>39574.39</v>
      </c>
      <c r="N2942">
        <v>6433.37</v>
      </c>
      <c r="O2942">
        <v>2787.47</v>
      </c>
      <c r="P2942">
        <v>1318.06</v>
      </c>
      <c r="Q2942">
        <v>439.32</v>
      </c>
      <c r="R2942">
        <v>2614.13</v>
      </c>
      <c r="S2942">
        <v>1544.87</v>
      </c>
      <c r="T2942">
        <v>54711.62</v>
      </c>
      <c r="U2942">
        <v>23853.7</v>
      </c>
      <c r="V2942">
        <v>8716.4699999999993</v>
      </c>
      <c r="W2942">
        <v>8408.7099999999991</v>
      </c>
      <c r="X2942">
        <v>70557.23</v>
      </c>
      <c r="Y2942">
        <v>55829.35</v>
      </c>
    </row>
    <row r="2943" spans="1:25" x14ac:dyDescent="0.25">
      <c r="A2943" t="s">
        <v>2999</v>
      </c>
      <c r="B2943" s="1">
        <v>45752</v>
      </c>
      <c r="C2943">
        <v>2025</v>
      </c>
      <c r="D2943">
        <v>4</v>
      </c>
      <c r="E2943" t="s">
        <v>357</v>
      </c>
      <c r="F2943" t="s">
        <v>358</v>
      </c>
      <c r="G2943" t="s">
        <v>28</v>
      </c>
      <c r="H2943" t="s">
        <v>36</v>
      </c>
      <c r="I2943" t="s">
        <v>45</v>
      </c>
      <c r="J2943">
        <v>50</v>
      </c>
      <c r="K2943">
        <v>1018.63</v>
      </c>
      <c r="L2943">
        <v>50931.58</v>
      </c>
      <c r="M2943">
        <v>30882.83</v>
      </c>
      <c r="N2943">
        <v>4214.1899999999996</v>
      </c>
      <c r="O2943">
        <v>3211.86</v>
      </c>
      <c r="P2943">
        <v>1114.04</v>
      </c>
      <c r="Q2943">
        <v>450.07</v>
      </c>
      <c r="R2943">
        <v>1880.08</v>
      </c>
      <c r="S2943">
        <v>831.11</v>
      </c>
      <c r="T2943">
        <v>42584.18</v>
      </c>
      <c r="U2943">
        <v>20048.75</v>
      </c>
      <c r="V2943">
        <v>8347.4</v>
      </c>
      <c r="W2943">
        <v>8396.08</v>
      </c>
      <c r="X2943">
        <v>48920.09</v>
      </c>
      <c r="Y2943">
        <v>46339.34</v>
      </c>
    </row>
    <row r="2944" spans="1:25" x14ac:dyDescent="0.25">
      <c r="A2944" t="s">
        <v>3000</v>
      </c>
      <c r="B2944" s="1">
        <v>45752</v>
      </c>
      <c r="C2944">
        <v>2025</v>
      </c>
      <c r="D2944">
        <v>4</v>
      </c>
      <c r="E2944" t="s">
        <v>357</v>
      </c>
      <c r="F2944" t="s">
        <v>358</v>
      </c>
      <c r="G2944" t="s">
        <v>28</v>
      </c>
      <c r="H2944" t="s">
        <v>32</v>
      </c>
      <c r="I2944" t="s">
        <v>39</v>
      </c>
      <c r="J2944">
        <v>29</v>
      </c>
      <c r="K2944">
        <v>1540.24</v>
      </c>
      <c r="L2944">
        <v>44666.98</v>
      </c>
      <c r="M2944">
        <v>24558.74</v>
      </c>
      <c r="N2944">
        <v>4173.3599999999997</v>
      </c>
      <c r="O2944">
        <v>1811.72</v>
      </c>
      <c r="P2944">
        <v>1279.31</v>
      </c>
      <c r="Q2944">
        <v>390.12</v>
      </c>
      <c r="R2944">
        <v>2506.2600000000002</v>
      </c>
      <c r="S2944">
        <v>781.83</v>
      </c>
      <c r="T2944">
        <v>35501.339999999997</v>
      </c>
      <c r="U2944">
        <v>20108.240000000002</v>
      </c>
      <c r="V2944">
        <v>9165.64</v>
      </c>
      <c r="W2944">
        <v>8717.77</v>
      </c>
      <c r="X2944">
        <v>44309.5</v>
      </c>
      <c r="Y2944">
        <v>37301.53</v>
      </c>
    </row>
    <row r="2945" spans="1:25" x14ac:dyDescent="0.25">
      <c r="A2945" t="s">
        <v>3001</v>
      </c>
      <c r="B2945" s="1">
        <v>45752</v>
      </c>
      <c r="C2945">
        <v>2025</v>
      </c>
      <c r="D2945">
        <v>4</v>
      </c>
      <c r="E2945" t="s">
        <v>357</v>
      </c>
      <c r="F2945" t="s">
        <v>358</v>
      </c>
      <c r="G2945" t="s">
        <v>55</v>
      </c>
      <c r="H2945" t="s">
        <v>32</v>
      </c>
      <c r="I2945" t="s">
        <v>37</v>
      </c>
      <c r="J2945">
        <v>62</v>
      </c>
      <c r="K2945">
        <v>1268.6300000000001</v>
      </c>
      <c r="L2945">
        <v>78655.03</v>
      </c>
      <c r="M2945">
        <v>50660.58</v>
      </c>
      <c r="N2945">
        <v>9590.49</v>
      </c>
      <c r="O2945">
        <v>3568.89</v>
      </c>
      <c r="P2945">
        <v>2108.34</v>
      </c>
      <c r="Q2945">
        <v>1411.77</v>
      </c>
      <c r="R2945">
        <v>3257.52</v>
      </c>
      <c r="S2945">
        <v>1569.75</v>
      </c>
      <c r="T2945">
        <v>72167.34</v>
      </c>
      <c r="U2945">
        <v>27994.45</v>
      </c>
      <c r="V2945">
        <v>6487.69</v>
      </c>
      <c r="W2945">
        <v>6396.45</v>
      </c>
      <c r="X2945">
        <v>75241.289999999994</v>
      </c>
      <c r="Y2945">
        <v>70125.710000000006</v>
      </c>
    </row>
    <row r="2946" spans="1:25" x14ac:dyDescent="0.25">
      <c r="A2946" t="s">
        <v>3002</v>
      </c>
      <c r="B2946" s="1">
        <v>45753</v>
      </c>
      <c r="C2946">
        <v>2025</v>
      </c>
      <c r="D2946">
        <v>4</v>
      </c>
      <c r="E2946" t="s">
        <v>357</v>
      </c>
      <c r="F2946" t="s">
        <v>358</v>
      </c>
      <c r="G2946" t="s">
        <v>35</v>
      </c>
      <c r="H2946" t="s">
        <v>29</v>
      </c>
      <c r="I2946" t="s">
        <v>33</v>
      </c>
      <c r="J2946">
        <v>32</v>
      </c>
      <c r="K2946">
        <v>1678.51</v>
      </c>
      <c r="L2946">
        <v>53712.38</v>
      </c>
      <c r="M2946">
        <v>33269.339999999997</v>
      </c>
      <c r="N2946">
        <v>4157.2299999999996</v>
      </c>
      <c r="O2946">
        <v>3963.89</v>
      </c>
      <c r="P2946">
        <v>1748.29</v>
      </c>
      <c r="Q2946">
        <v>520.09</v>
      </c>
      <c r="R2946">
        <v>2661.07</v>
      </c>
      <c r="S2946">
        <v>789.22</v>
      </c>
      <c r="T2946">
        <v>47109.14</v>
      </c>
      <c r="U2946">
        <v>20443.04</v>
      </c>
      <c r="V2946">
        <v>6603.24</v>
      </c>
      <c r="W2946">
        <v>6505.26</v>
      </c>
      <c r="X2946">
        <v>54077.65</v>
      </c>
      <c r="Y2946">
        <v>49171.63</v>
      </c>
    </row>
    <row r="2947" spans="1:25" x14ac:dyDescent="0.25">
      <c r="A2947" t="s">
        <v>3003</v>
      </c>
      <c r="B2947" s="1">
        <v>45753</v>
      </c>
      <c r="C2947">
        <v>2025</v>
      </c>
      <c r="D2947">
        <v>4</v>
      </c>
      <c r="E2947" t="s">
        <v>357</v>
      </c>
      <c r="F2947" t="s">
        <v>358</v>
      </c>
      <c r="G2947" t="s">
        <v>28</v>
      </c>
      <c r="H2947" t="s">
        <v>58</v>
      </c>
      <c r="I2947" t="s">
        <v>56</v>
      </c>
      <c r="J2947">
        <v>32</v>
      </c>
      <c r="K2947">
        <v>1122.23</v>
      </c>
      <c r="L2947">
        <v>35911.480000000003</v>
      </c>
      <c r="M2947">
        <v>22357.13</v>
      </c>
      <c r="N2947">
        <v>2878.94</v>
      </c>
      <c r="O2947">
        <v>1580.67</v>
      </c>
      <c r="P2947">
        <v>1038.43</v>
      </c>
      <c r="Q2947">
        <v>261.16000000000003</v>
      </c>
      <c r="R2947">
        <v>1504</v>
      </c>
      <c r="S2947">
        <v>895.87</v>
      </c>
      <c r="T2947">
        <v>30516.2</v>
      </c>
      <c r="U2947">
        <v>13554.35</v>
      </c>
      <c r="V2947">
        <v>5395.29</v>
      </c>
      <c r="W2947">
        <v>5466.76</v>
      </c>
      <c r="X2947">
        <v>34869.94</v>
      </c>
      <c r="Y2947">
        <v>30487.09</v>
      </c>
    </row>
    <row r="2948" spans="1:25" x14ac:dyDescent="0.25">
      <c r="A2948" t="s">
        <v>3004</v>
      </c>
      <c r="B2948" s="1">
        <v>45753</v>
      </c>
      <c r="C2948">
        <v>2025</v>
      </c>
      <c r="D2948">
        <v>4</v>
      </c>
      <c r="E2948" t="s">
        <v>357</v>
      </c>
      <c r="F2948" t="s">
        <v>358</v>
      </c>
      <c r="G2948" t="s">
        <v>55</v>
      </c>
      <c r="H2948" t="s">
        <v>32</v>
      </c>
      <c r="I2948" t="s">
        <v>30</v>
      </c>
      <c r="J2948">
        <v>73</v>
      </c>
      <c r="K2948">
        <v>1746.8</v>
      </c>
      <c r="L2948">
        <v>127516.57</v>
      </c>
      <c r="M2948">
        <v>63800.58</v>
      </c>
      <c r="N2948">
        <v>11693.22</v>
      </c>
      <c r="O2948">
        <v>5412.38</v>
      </c>
      <c r="P2948">
        <v>2906.88</v>
      </c>
      <c r="Q2948">
        <v>1703.67</v>
      </c>
      <c r="R2948">
        <v>4418.74</v>
      </c>
      <c r="S2948">
        <v>2334.15</v>
      </c>
      <c r="T2948">
        <v>92269.63</v>
      </c>
      <c r="U2948">
        <v>63715.99</v>
      </c>
      <c r="V2948">
        <v>35246.949999999997</v>
      </c>
      <c r="W2948">
        <v>34951.72</v>
      </c>
      <c r="X2948">
        <v>134525.56</v>
      </c>
      <c r="Y2948">
        <v>90662.07</v>
      </c>
    </row>
    <row r="2949" spans="1:25" x14ac:dyDescent="0.25">
      <c r="A2949" t="s">
        <v>3005</v>
      </c>
      <c r="B2949" s="1">
        <v>45754</v>
      </c>
      <c r="C2949">
        <v>2025</v>
      </c>
      <c r="D2949">
        <v>4</v>
      </c>
      <c r="E2949" t="s">
        <v>357</v>
      </c>
      <c r="F2949" t="s">
        <v>358</v>
      </c>
      <c r="G2949" t="s">
        <v>35</v>
      </c>
      <c r="H2949" t="s">
        <v>32</v>
      </c>
      <c r="I2949" t="s">
        <v>30</v>
      </c>
      <c r="J2949">
        <v>60</v>
      </c>
      <c r="K2949">
        <v>1635.44</v>
      </c>
      <c r="L2949">
        <v>98126.42</v>
      </c>
      <c r="M2949">
        <v>49158.92</v>
      </c>
      <c r="N2949">
        <v>12243.65</v>
      </c>
      <c r="O2949">
        <v>5686.95</v>
      </c>
      <c r="P2949">
        <v>3784.77</v>
      </c>
      <c r="Q2949">
        <v>1575.24</v>
      </c>
      <c r="R2949">
        <v>2711.31</v>
      </c>
      <c r="S2949">
        <v>1862.81</v>
      </c>
      <c r="T2949">
        <v>77023.649999999994</v>
      </c>
      <c r="U2949">
        <v>48967.5</v>
      </c>
      <c r="V2949">
        <v>21102.78</v>
      </c>
      <c r="W2949">
        <v>19316.02</v>
      </c>
      <c r="X2949">
        <v>104588.99</v>
      </c>
      <c r="Y2949">
        <v>75857.36</v>
      </c>
    </row>
    <row r="2950" spans="1:25" x14ac:dyDescent="0.25">
      <c r="A2950" t="s">
        <v>3006</v>
      </c>
      <c r="B2950" s="1">
        <v>45754</v>
      </c>
      <c r="C2950">
        <v>2025</v>
      </c>
      <c r="D2950">
        <v>4</v>
      </c>
      <c r="E2950" t="s">
        <v>357</v>
      </c>
      <c r="F2950" t="s">
        <v>358</v>
      </c>
      <c r="G2950" t="s">
        <v>55</v>
      </c>
      <c r="H2950" t="s">
        <v>36</v>
      </c>
      <c r="I2950" t="s">
        <v>56</v>
      </c>
      <c r="J2950">
        <v>34</v>
      </c>
      <c r="K2950">
        <v>872.78</v>
      </c>
      <c r="L2950">
        <v>29674.39</v>
      </c>
      <c r="M2950">
        <v>16401.21</v>
      </c>
      <c r="N2950">
        <v>2399</v>
      </c>
      <c r="O2950">
        <v>1351.4</v>
      </c>
      <c r="P2950">
        <v>1089.56</v>
      </c>
      <c r="Q2950">
        <v>225.38</v>
      </c>
      <c r="R2950">
        <v>1288.1199999999999</v>
      </c>
      <c r="S2950">
        <v>302.69</v>
      </c>
      <c r="T2950">
        <v>23057.37</v>
      </c>
      <c r="U2950">
        <v>13273.18</v>
      </c>
      <c r="V2950">
        <v>6617.03</v>
      </c>
      <c r="W2950">
        <v>6282.96</v>
      </c>
      <c r="X2950">
        <v>31662.400000000001</v>
      </c>
      <c r="Y2950">
        <v>23221.51</v>
      </c>
    </row>
    <row r="2951" spans="1:25" x14ac:dyDescent="0.25">
      <c r="A2951" t="s">
        <v>3007</v>
      </c>
      <c r="B2951" s="1">
        <v>45754</v>
      </c>
      <c r="C2951">
        <v>2025</v>
      </c>
      <c r="D2951">
        <v>4</v>
      </c>
      <c r="E2951" t="s">
        <v>357</v>
      </c>
      <c r="F2951" t="s">
        <v>358</v>
      </c>
      <c r="G2951" t="s">
        <v>35</v>
      </c>
      <c r="H2951" t="s">
        <v>32</v>
      </c>
      <c r="I2951" t="s">
        <v>50</v>
      </c>
      <c r="J2951">
        <v>61</v>
      </c>
      <c r="K2951">
        <v>982.78</v>
      </c>
      <c r="L2951">
        <v>59949.73</v>
      </c>
      <c r="M2951">
        <v>35603.480000000003</v>
      </c>
      <c r="N2951">
        <v>7158.87</v>
      </c>
      <c r="O2951">
        <v>2471.8000000000002</v>
      </c>
      <c r="P2951">
        <v>1563.52</v>
      </c>
      <c r="Q2951">
        <v>674.73</v>
      </c>
      <c r="R2951">
        <v>2522.77</v>
      </c>
      <c r="S2951">
        <v>923.45</v>
      </c>
      <c r="T2951">
        <v>50918.61</v>
      </c>
      <c r="U2951">
        <v>24346.25</v>
      </c>
      <c r="V2951">
        <v>9031.1200000000008</v>
      </c>
      <c r="W2951">
        <v>8829.1200000000008</v>
      </c>
      <c r="X2951">
        <v>66008.179999999993</v>
      </c>
      <c r="Y2951">
        <v>52489.37</v>
      </c>
    </row>
    <row r="2952" spans="1:25" x14ac:dyDescent="0.25">
      <c r="A2952" t="s">
        <v>3008</v>
      </c>
      <c r="B2952" s="1">
        <v>45754</v>
      </c>
      <c r="C2952">
        <v>2025</v>
      </c>
      <c r="D2952">
        <v>4</v>
      </c>
      <c r="E2952" t="s">
        <v>357</v>
      </c>
      <c r="F2952" t="s">
        <v>358</v>
      </c>
      <c r="G2952" t="s">
        <v>35</v>
      </c>
      <c r="H2952" t="s">
        <v>29</v>
      </c>
      <c r="I2952" t="s">
        <v>30</v>
      </c>
      <c r="J2952">
        <v>57</v>
      </c>
      <c r="K2952">
        <v>1787.85</v>
      </c>
      <c r="L2952">
        <v>101907.37</v>
      </c>
      <c r="M2952">
        <v>51814.95</v>
      </c>
      <c r="N2952">
        <v>9098.73</v>
      </c>
      <c r="O2952">
        <v>7026.41</v>
      </c>
      <c r="P2952">
        <v>3502.81</v>
      </c>
      <c r="Q2952">
        <v>755.99</v>
      </c>
      <c r="R2952">
        <v>3691.13</v>
      </c>
      <c r="S2952">
        <v>1391.75</v>
      </c>
      <c r="T2952">
        <v>77281.77</v>
      </c>
      <c r="U2952">
        <v>50092.42</v>
      </c>
      <c r="V2952">
        <v>24625.599999999999</v>
      </c>
      <c r="W2952">
        <v>24820.74</v>
      </c>
      <c r="X2952">
        <v>113332.94</v>
      </c>
      <c r="Y2952">
        <v>79324.53</v>
      </c>
    </row>
    <row r="2953" spans="1:25" x14ac:dyDescent="0.25">
      <c r="A2953" t="s">
        <v>3009</v>
      </c>
      <c r="B2953" s="1">
        <v>45754</v>
      </c>
      <c r="C2953">
        <v>2025</v>
      </c>
      <c r="D2953">
        <v>4</v>
      </c>
      <c r="E2953" t="s">
        <v>357</v>
      </c>
      <c r="F2953" t="s">
        <v>358</v>
      </c>
      <c r="G2953" t="s">
        <v>35</v>
      </c>
      <c r="H2953" t="s">
        <v>32</v>
      </c>
      <c r="I2953" t="s">
        <v>30</v>
      </c>
      <c r="J2953">
        <v>73</v>
      </c>
      <c r="K2953">
        <v>1058.5999999999999</v>
      </c>
      <c r="L2953">
        <v>77277.53</v>
      </c>
      <c r="M2953">
        <v>44989.7</v>
      </c>
      <c r="N2953">
        <v>9992.9599999999991</v>
      </c>
      <c r="O2953">
        <v>5214.1899999999996</v>
      </c>
      <c r="P2953">
        <v>1650.66</v>
      </c>
      <c r="Q2953">
        <v>1184.04</v>
      </c>
      <c r="R2953">
        <v>3340.83</v>
      </c>
      <c r="S2953">
        <v>1622.79</v>
      </c>
      <c r="T2953">
        <v>67995.17</v>
      </c>
      <c r="U2953">
        <v>32287.83</v>
      </c>
      <c r="V2953">
        <v>9282.36</v>
      </c>
      <c r="W2953">
        <v>8616.77</v>
      </c>
      <c r="X2953">
        <v>85425.8</v>
      </c>
      <c r="Y2953">
        <v>64121.49</v>
      </c>
    </row>
    <row r="2954" spans="1:25" x14ac:dyDescent="0.25">
      <c r="A2954" t="s">
        <v>3010</v>
      </c>
      <c r="B2954" s="1">
        <v>45754</v>
      </c>
      <c r="C2954">
        <v>2025</v>
      </c>
      <c r="D2954">
        <v>4</v>
      </c>
      <c r="E2954" t="s">
        <v>357</v>
      </c>
      <c r="F2954" t="s">
        <v>358</v>
      </c>
      <c r="G2954" t="s">
        <v>44</v>
      </c>
      <c r="H2954" t="s">
        <v>36</v>
      </c>
      <c r="I2954" t="s">
        <v>39</v>
      </c>
      <c r="J2954">
        <v>37</v>
      </c>
      <c r="K2954">
        <v>994.54</v>
      </c>
      <c r="L2954">
        <v>36798.1</v>
      </c>
      <c r="M2954">
        <v>23501.919999999998</v>
      </c>
      <c r="N2954">
        <v>3140.87</v>
      </c>
      <c r="O2954">
        <v>2315.9899999999998</v>
      </c>
      <c r="P2954">
        <v>979.46</v>
      </c>
      <c r="Q2954">
        <v>516.4</v>
      </c>
      <c r="R2954">
        <v>1766.91</v>
      </c>
      <c r="S2954">
        <v>456.76</v>
      </c>
      <c r="T2954">
        <v>32678.31</v>
      </c>
      <c r="U2954">
        <v>13296.18</v>
      </c>
      <c r="V2954">
        <v>4119.79</v>
      </c>
      <c r="W2954">
        <v>3625.57</v>
      </c>
      <c r="X2954">
        <v>39577.35</v>
      </c>
      <c r="Y2954">
        <v>30575.09</v>
      </c>
    </row>
    <row r="2955" spans="1:25" x14ac:dyDescent="0.25">
      <c r="A2955" t="s">
        <v>3011</v>
      </c>
      <c r="B2955" s="1">
        <v>45755</v>
      </c>
      <c r="C2955">
        <v>2025</v>
      </c>
      <c r="D2955">
        <v>4</v>
      </c>
      <c r="E2955" t="s">
        <v>357</v>
      </c>
      <c r="F2955" t="s">
        <v>358</v>
      </c>
      <c r="G2955" t="s">
        <v>28</v>
      </c>
      <c r="H2955" t="s">
        <v>32</v>
      </c>
      <c r="I2955" t="s">
        <v>30</v>
      </c>
      <c r="J2955">
        <v>98</v>
      </c>
      <c r="K2955">
        <v>1229.04</v>
      </c>
      <c r="L2955">
        <v>120446</v>
      </c>
      <c r="M2955">
        <v>70954.8</v>
      </c>
      <c r="N2955">
        <v>11926.85</v>
      </c>
      <c r="O2955">
        <v>3320.54</v>
      </c>
      <c r="P2955">
        <v>5278.96</v>
      </c>
      <c r="Q2955">
        <v>1836.64</v>
      </c>
      <c r="R2955">
        <v>5393.94</v>
      </c>
      <c r="S2955">
        <v>1908.61</v>
      </c>
      <c r="T2955">
        <v>100620.34</v>
      </c>
      <c r="U2955">
        <v>49491.199999999997</v>
      </c>
      <c r="V2955">
        <v>19825.669999999998</v>
      </c>
      <c r="W2955">
        <v>17741.98</v>
      </c>
      <c r="X2955">
        <v>117908.08</v>
      </c>
      <c r="Y2955">
        <v>104327.86</v>
      </c>
    </row>
    <row r="2956" spans="1:25" x14ac:dyDescent="0.25">
      <c r="A2956" t="s">
        <v>3012</v>
      </c>
      <c r="B2956" s="1">
        <v>45755</v>
      </c>
      <c r="C2956">
        <v>2025</v>
      </c>
      <c r="D2956">
        <v>4</v>
      </c>
      <c r="E2956" t="s">
        <v>357</v>
      </c>
      <c r="F2956" t="s">
        <v>358</v>
      </c>
      <c r="G2956" t="s">
        <v>35</v>
      </c>
      <c r="H2956" t="s">
        <v>58</v>
      </c>
      <c r="I2956" t="s">
        <v>45</v>
      </c>
      <c r="J2956">
        <v>24</v>
      </c>
      <c r="K2956">
        <v>1399.76</v>
      </c>
      <c r="L2956">
        <v>33594.160000000003</v>
      </c>
      <c r="M2956">
        <v>20106.009999999998</v>
      </c>
      <c r="N2956">
        <v>2552.94</v>
      </c>
      <c r="O2956">
        <v>983.04</v>
      </c>
      <c r="P2956">
        <v>718.22</v>
      </c>
      <c r="Q2956">
        <v>200.56</v>
      </c>
      <c r="R2956">
        <v>1617.94</v>
      </c>
      <c r="S2956">
        <v>771.53</v>
      </c>
      <c r="T2956">
        <v>26950.23</v>
      </c>
      <c r="U2956">
        <v>13488.15</v>
      </c>
      <c r="V2956">
        <v>6643.93</v>
      </c>
      <c r="W2956">
        <v>6113.18</v>
      </c>
      <c r="X2956">
        <v>31038.49</v>
      </c>
      <c r="Y2956">
        <v>28590.44</v>
      </c>
    </row>
    <row r="2957" spans="1:25" x14ac:dyDescent="0.25">
      <c r="A2957" t="s">
        <v>3013</v>
      </c>
      <c r="B2957" s="1">
        <v>45756</v>
      </c>
      <c r="C2957">
        <v>2025</v>
      </c>
      <c r="D2957">
        <v>4</v>
      </c>
      <c r="E2957" t="s">
        <v>357</v>
      </c>
      <c r="F2957" t="s">
        <v>358</v>
      </c>
      <c r="G2957" t="s">
        <v>35</v>
      </c>
      <c r="H2957" t="s">
        <v>36</v>
      </c>
      <c r="I2957" t="s">
        <v>45</v>
      </c>
      <c r="J2957">
        <v>29</v>
      </c>
      <c r="K2957">
        <v>1183.18</v>
      </c>
      <c r="L2957">
        <v>34312.160000000003</v>
      </c>
      <c r="M2957">
        <v>21821.94</v>
      </c>
      <c r="N2957">
        <v>2686.77</v>
      </c>
      <c r="O2957">
        <v>2557.4899999999998</v>
      </c>
      <c r="P2957">
        <v>610.30999999999995</v>
      </c>
      <c r="Q2957">
        <v>189.39</v>
      </c>
      <c r="R2957">
        <v>1021.2</v>
      </c>
      <c r="S2957">
        <v>702.92</v>
      </c>
      <c r="T2957">
        <v>29590.02</v>
      </c>
      <c r="U2957">
        <v>12490.23</v>
      </c>
      <c r="V2957">
        <v>4722.1400000000003</v>
      </c>
      <c r="W2957">
        <v>4392.4799999999996</v>
      </c>
      <c r="X2957">
        <v>33489.089999999997</v>
      </c>
      <c r="Y2957">
        <v>30082.47</v>
      </c>
    </row>
    <row r="2958" spans="1:25" x14ac:dyDescent="0.25">
      <c r="A2958" t="s">
        <v>3014</v>
      </c>
      <c r="B2958" s="1">
        <v>45756</v>
      </c>
      <c r="C2958">
        <v>2025</v>
      </c>
      <c r="D2958">
        <v>4</v>
      </c>
      <c r="E2958" t="s">
        <v>357</v>
      </c>
      <c r="F2958" t="s">
        <v>358</v>
      </c>
      <c r="G2958" t="s">
        <v>35</v>
      </c>
      <c r="H2958" t="s">
        <v>36</v>
      </c>
      <c r="I2958" t="s">
        <v>56</v>
      </c>
      <c r="J2958">
        <v>30</v>
      </c>
      <c r="K2958">
        <v>1194.8</v>
      </c>
      <c r="L2958">
        <v>35844.120000000003</v>
      </c>
      <c r="M2958">
        <v>22875.79</v>
      </c>
      <c r="N2958">
        <v>2829.53</v>
      </c>
      <c r="O2958">
        <v>2659.91</v>
      </c>
      <c r="P2958">
        <v>629.91999999999996</v>
      </c>
      <c r="Q2958">
        <v>603.46</v>
      </c>
      <c r="R2958">
        <v>2012.19</v>
      </c>
      <c r="S2958">
        <v>750.05</v>
      </c>
      <c r="T2958">
        <v>32360.84</v>
      </c>
      <c r="U2958">
        <v>12968.33</v>
      </c>
      <c r="V2958">
        <v>3483.27</v>
      </c>
      <c r="W2958">
        <v>3444.9</v>
      </c>
      <c r="X2958">
        <v>35835.74</v>
      </c>
      <c r="Y2958">
        <v>30165.5</v>
      </c>
    </row>
    <row r="2959" spans="1:25" x14ac:dyDescent="0.25">
      <c r="A2959" t="s">
        <v>3015</v>
      </c>
      <c r="B2959" s="1">
        <v>45757</v>
      </c>
      <c r="C2959">
        <v>2025</v>
      </c>
      <c r="D2959">
        <v>4</v>
      </c>
      <c r="E2959" t="s">
        <v>357</v>
      </c>
      <c r="F2959" t="s">
        <v>358</v>
      </c>
      <c r="G2959" t="s">
        <v>55</v>
      </c>
      <c r="H2959" t="s">
        <v>32</v>
      </c>
      <c r="I2959" t="s">
        <v>45</v>
      </c>
      <c r="J2959">
        <v>88</v>
      </c>
      <c r="K2959">
        <v>827.93</v>
      </c>
      <c r="L2959">
        <v>72857.649999999994</v>
      </c>
      <c r="M2959">
        <v>37304.86</v>
      </c>
      <c r="N2959">
        <v>7964.35</v>
      </c>
      <c r="O2959">
        <v>3454.06</v>
      </c>
      <c r="P2959">
        <v>3053.27</v>
      </c>
      <c r="Q2959">
        <v>737.89</v>
      </c>
      <c r="R2959">
        <v>4694.74</v>
      </c>
      <c r="S2959">
        <v>1062.07</v>
      </c>
      <c r="T2959">
        <v>58271.23</v>
      </c>
      <c r="U2959">
        <v>35552.79</v>
      </c>
      <c r="V2959">
        <v>14586.42</v>
      </c>
      <c r="W2959">
        <v>13782.58</v>
      </c>
      <c r="X2959">
        <v>71559.509999999995</v>
      </c>
      <c r="Y2959">
        <v>55524.84</v>
      </c>
    </row>
    <row r="2960" spans="1:25" x14ac:dyDescent="0.25">
      <c r="A2960" t="s">
        <v>3016</v>
      </c>
      <c r="B2960" s="1">
        <v>45757</v>
      </c>
      <c r="C2960">
        <v>2025</v>
      </c>
      <c r="D2960">
        <v>4</v>
      </c>
      <c r="E2960" t="s">
        <v>357</v>
      </c>
      <c r="F2960" t="s">
        <v>358</v>
      </c>
      <c r="G2960" t="s">
        <v>35</v>
      </c>
      <c r="H2960" t="s">
        <v>36</v>
      </c>
      <c r="I2960" t="s">
        <v>50</v>
      </c>
      <c r="J2960">
        <v>29</v>
      </c>
      <c r="K2960">
        <v>1181.08</v>
      </c>
      <c r="L2960">
        <v>34251.42</v>
      </c>
      <c r="M2960">
        <v>17789.97</v>
      </c>
      <c r="N2960">
        <v>4082.36</v>
      </c>
      <c r="O2960">
        <v>1517.87</v>
      </c>
      <c r="P2960">
        <v>1117.67</v>
      </c>
      <c r="Q2960">
        <v>186.61</v>
      </c>
      <c r="R2960">
        <v>1439.96</v>
      </c>
      <c r="S2960">
        <v>679.63</v>
      </c>
      <c r="T2960">
        <v>26814.07</v>
      </c>
      <c r="U2960">
        <v>16461.45</v>
      </c>
      <c r="V2960">
        <v>7437.35</v>
      </c>
      <c r="W2960">
        <v>7033.95</v>
      </c>
      <c r="X2960">
        <v>37854.58</v>
      </c>
      <c r="Y2960">
        <v>28189.9</v>
      </c>
    </row>
    <row r="2961" spans="1:25" x14ac:dyDescent="0.25">
      <c r="A2961" t="s">
        <v>3017</v>
      </c>
      <c r="B2961" s="1">
        <v>45757</v>
      </c>
      <c r="C2961">
        <v>2025</v>
      </c>
      <c r="D2961">
        <v>4</v>
      </c>
      <c r="E2961" t="s">
        <v>357</v>
      </c>
      <c r="F2961" t="s">
        <v>358</v>
      </c>
      <c r="G2961" t="s">
        <v>28</v>
      </c>
      <c r="H2961" t="s">
        <v>36</v>
      </c>
      <c r="I2961" t="s">
        <v>50</v>
      </c>
      <c r="J2961">
        <v>40</v>
      </c>
      <c r="K2961">
        <v>1415.31</v>
      </c>
      <c r="L2961">
        <v>56612.27</v>
      </c>
      <c r="M2961">
        <v>37103.870000000003</v>
      </c>
      <c r="N2961">
        <v>7319.23</v>
      </c>
      <c r="O2961">
        <v>2037.14</v>
      </c>
      <c r="P2961">
        <v>1326.96</v>
      </c>
      <c r="Q2961">
        <v>585.21</v>
      </c>
      <c r="R2961">
        <v>3390.33</v>
      </c>
      <c r="S2961">
        <v>1239.4000000000001</v>
      </c>
      <c r="T2961">
        <v>53002.14</v>
      </c>
      <c r="U2961">
        <v>19508.400000000001</v>
      </c>
      <c r="V2961">
        <v>3610.13</v>
      </c>
      <c r="W2961">
        <v>3456.93</v>
      </c>
      <c r="X2961">
        <v>62053.55</v>
      </c>
      <c r="Y2961">
        <v>52123.43</v>
      </c>
    </row>
    <row r="2962" spans="1:25" x14ac:dyDescent="0.25">
      <c r="A2962" t="s">
        <v>3018</v>
      </c>
      <c r="B2962" s="1">
        <v>45757</v>
      </c>
      <c r="C2962">
        <v>2025</v>
      </c>
      <c r="D2962">
        <v>4</v>
      </c>
      <c r="E2962" t="s">
        <v>357</v>
      </c>
      <c r="F2962" t="s">
        <v>358</v>
      </c>
      <c r="G2962" t="s">
        <v>55</v>
      </c>
      <c r="H2962" t="s">
        <v>32</v>
      </c>
      <c r="I2962" t="s">
        <v>65</v>
      </c>
      <c r="J2962">
        <v>52</v>
      </c>
      <c r="K2962">
        <v>1174.7</v>
      </c>
      <c r="L2962">
        <v>61084.4</v>
      </c>
      <c r="M2962">
        <v>36322.71</v>
      </c>
      <c r="N2962">
        <v>5438.01</v>
      </c>
      <c r="O2962">
        <v>3899.96</v>
      </c>
      <c r="P2962">
        <v>933.77</v>
      </c>
      <c r="Q2962">
        <v>715.82</v>
      </c>
      <c r="R2962">
        <v>3593.84</v>
      </c>
      <c r="S2962">
        <v>1075.8399999999999</v>
      </c>
      <c r="T2962">
        <v>51979.95</v>
      </c>
      <c r="U2962">
        <v>24761.69</v>
      </c>
      <c r="V2962">
        <v>9104.4500000000007</v>
      </c>
      <c r="W2962">
        <v>8036.43</v>
      </c>
      <c r="X2962">
        <v>65402.65</v>
      </c>
      <c r="Y2962">
        <v>54421.279999999999</v>
      </c>
    </row>
    <row r="2963" spans="1:25" x14ac:dyDescent="0.25">
      <c r="A2963" t="s">
        <v>3019</v>
      </c>
      <c r="B2963" s="1">
        <v>45757</v>
      </c>
      <c r="C2963">
        <v>2025</v>
      </c>
      <c r="D2963">
        <v>4</v>
      </c>
      <c r="E2963" t="s">
        <v>357</v>
      </c>
      <c r="F2963" t="s">
        <v>358</v>
      </c>
      <c r="G2963" t="s">
        <v>35</v>
      </c>
      <c r="H2963" t="s">
        <v>36</v>
      </c>
      <c r="I2963" t="s">
        <v>65</v>
      </c>
      <c r="J2963">
        <v>34</v>
      </c>
      <c r="K2963">
        <v>1403.88</v>
      </c>
      <c r="L2963">
        <v>47731.76</v>
      </c>
      <c r="M2963">
        <v>27734.29</v>
      </c>
      <c r="N2963">
        <v>5024.53</v>
      </c>
      <c r="O2963">
        <v>1576.63</v>
      </c>
      <c r="P2963">
        <v>1727.15</v>
      </c>
      <c r="Q2963">
        <v>830.95</v>
      </c>
      <c r="R2963">
        <v>2695.33</v>
      </c>
      <c r="S2963">
        <v>711.62</v>
      </c>
      <c r="T2963">
        <v>40300.5</v>
      </c>
      <c r="U2963">
        <v>19997.46</v>
      </c>
      <c r="V2963">
        <v>7431.26</v>
      </c>
      <c r="W2963">
        <v>6756.99</v>
      </c>
      <c r="X2963">
        <v>44459.92</v>
      </c>
      <c r="Y2963">
        <v>39703.74</v>
      </c>
    </row>
    <row r="2964" spans="1:25" x14ac:dyDescent="0.25">
      <c r="A2964" t="s">
        <v>3020</v>
      </c>
      <c r="B2964" s="1">
        <v>45757</v>
      </c>
      <c r="C2964">
        <v>2025</v>
      </c>
      <c r="D2964">
        <v>4</v>
      </c>
      <c r="E2964" t="s">
        <v>357</v>
      </c>
      <c r="F2964" t="s">
        <v>358</v>
      </c>
      <c r="G2964" t="s">
        <v>55</v>
      </c>
      <c r="H2964" t="s">
        <v>29</v>
      </c>
      <c r="I2964" t="s">
        <v>45</v>
      </c>
      <c r="J2964">
        <v>25</v>
      </c>
      <c r="K2964">
        <v>1750.95</v>
      </c>
      <c r="L2964">
        <v>43773.69</v>
      </c>
      <c r="M2964">
        <v>28775.78</v>
      </c>
      <c r="N2964">
        <v>3376.55</v>
      </c>
      <c r="O2964">
        <v>2313.61</v>
      </c>
      <c r="P2964">
        <v>1130.1500000000001</v>
      </c>
      <c r="Q2964">
        <v>554.72</v>
      </c>
      <c r="R2964">
        <v>1485.55</v>
      </c>
      <c r="S2964">
        <v>607.59</v>
      </c>
      <c r="T2964">
        <v>38243.93</v>
      </c>
      <c r="U2964">
        <v>14997.91</v>
      </c>
      <c r="V2964">
        <v>5529.76</v>
      </c>
      <c r="W2964">
        <v>5186.1099999999997</v>
      </c>
      <c r="X2964">
        <v>43637.26</v>
      </c>
      <c r="Y2964">
        <v>37123.67</v>
      </c>
    </row>
    <row r="2965" spans="1:25" x14ac:dyDescent="0.25">
      <c r="A2965" t="s">
        <v>3021</v>
      </c>
      <c r="B2965" s="1">
        <v>45758</v>
      </c>
      <c r="C2965">
        <v>2025</v>
      </c>
      <c r="D2965">
        <v>4</v>
      </c>
      <c r="E2965" t="s">
        <v>357</v>
      </c>
      <c r="F2965" t="s">
        <v>358</v>
      </c>
      <c r="G2965" t="s">
        <v>44</v>
      </c>
      <c r="H2965" t="s">
        <v>36</v>
      </c>
      <c r="I2965" t="s">
        <v>56</v>
      </c>
      <c r="J2965">
        <v>18</v>
      </c>
      <c r="K2965">
        <v>1565.76</v>
      </c>
      <c r="L2965">
        <v>28183.64</v>
      </c>
      <c r="M2965">
        <v>16698.87</v>
      </c>
      <c r="N2965">
        <v>1982.36</v>
      </c>
      <c r="O2965">
        <v>1377.83</v>
      </c>
      <c r="P2965">
        <v>1171.21</v>
      </c>
      <c r="Q2965">
        <v>363.04</v>
      </c>
      <c r="R2965">
        <v>1319.16</v>
      </c>
      <c r="S2965">
        <v>541.91</v>
      </c>
      <c r="T2965">
        <v>23454.37</v>
      </c>
      <c r="U2965">
        <v>11484.77</v>
      </c>
      <c r="V2965">
        <v>4729.2700000000004</v>
      </c>
      <c r="W2965">
        <v>4710.22</v>
      </c>
      <c r="X2965">
        <v>29016.31</v>
      </c>
      <c r="Y2965">
        <v>23660.79</v>
      </c>
    </row>
    <row r="2966" spans="1:25" x14ac:dyDescent="0.25">
      <c r="A2966" t="s">
        <v>3022</v>
      </c>
      <c r="B2966" s="1">
        <v>45758</v>
      </c>
      <c r="C2966">
        <v>2025</v>
      </c>
      <c r="D2966">
        <v>4</v>
      </c>
      <c r="E2966" t="s">
        <v>357</v>
      </c>
      <c r="F2966" t="s">
        <v>358</v>
      </c>
      <c r="G2966" t="s">
        <v>28</v>
      </c>
      <c r="H2966" t="s">
        <v>36</v>
      </c>
      <c r="I2966" t="s">
        <v>33</v>
      </c>
      <c r="J2966">
        <v>63</v>
      </c>
      <c r="K2966">
        <v>1394.46</v>
      </c>
      <c r="L2966">
        <v>87850.73</v>
      </c>
      <c r="M2966">
        <v>55537.17</v>
      </c>
      <c r="N2966">
        <v>10291.709999999999</v>
      </c>
      <c r="O2966">
        <v>2577.35</v>
      </c>
      <c r="P2966">
        <v>3793.37</v>
      </c>
      <c r="Q2966">
        <v>441.98</v>
      </c>
      <c r="R2966">
        <v>3279.68</v>
      </c>
      <c r="S2966">
        <v>1295.98</v>
      </c>
      <c r="T2966">
        <v>77217.22</v>
      </c>
      <c r="U2966">
        <v>32313.56</v>
      </c>
      <c r="V2966">
        <v>10633.51</v>
      </c>
      <c r="W2966">
        <v>10687.49</v>
      </c>
      <c r="X2966">
        <v>95206.71</v>
      </c>
      <c r="Y2966">
        <v>71869.899999999994</v>
      </c>
    </row>
    <row r="2967" spans="1:25" x14ac:dyDescent="0.25">
      <c r="A2967" t="s">
        <v>3023</v>
      </c>
      <c r="B2967" s="1">
        <v>45759</v>
      </c>
      <c r="C2967">
        <v>2025</v>
      </c>
      <c r="D2967">
        <v>4</v>
      </c>
      <c r="E2967" t="s">
        <v>357</v>
      </c>
      <c r="F2967" t="s">
        <v>358</v>
      </c>
      <c r="G2967" t="s">
        <v>28</v>
      </c>
      <c r="H2967" t="s">
        <v>36</v>
      </c>
      <c r="I2967" t="s">
        <v>30</v>
      </c>
      <c r="J2967">
        <v>54</v>
      </c>
      <c r="K2967">
        <v>1783.44</v>
      </c>
      <c r="L2967">
        <v>96305.82</v>
      </c>
      <c r="M2967">
        <v>51417.55</v>
      </c>
      <c r="N2967">
        <v>8244.32</v>
      </c>
      <c r="O2967">
        <v>6044.62</v>
      </c>
      <c r="P2967">
        <v>4129.5</v>
      </c>
      <c r="Q2967">
        <v>1613.04</v>
      </c>
      <c r="R2967">
        <v>3544.72</v>
      </c>
      <c r="S2967">
        <v>1782.65</v>
      </c>
      <c r="T2967">
        <v>76776.39</v>
      </c>
      <c r="U2967">
        <v>44888.27</v>
      </c>
      <c r="V2967">
        <v>19529.43</v>
      </c>
      <c r="W2967">
        <v>17336.3</v>
      </c>
      <c r="X2967">
        <v>102890.68</v>
      </c>
      <c r="Y2967">
        <v>75945.850000000006</v>
      </c>
    </row>
    <row r="2968" spans="1:25" x14ac:dyDescent="0.25">
      <c r="A2968" t="s">
        <v>3024</v>
      </c>
      <c r="B2968" s="1">
        <v>45759</v>
      </c>
      <c r="C2968">
        <v>2025</v>
      </c>
      <c r="D2968">
        <v>4</v>
      </c>
      <c r="E2968" t="s">
        <v>357</v>
      </c>
      <c r="F2968" t="s">
        <v>358</v>
      </c>
      <c r="G2968" t="s">
        <v>44</v>
      </c>
      <c r="H2968" t="s">
        <v>36</v>
      </c>
      <c r="I2968" t="s">
        <v>33</v>
      </c>
      <c r="J2968">
        <v>44</v>
      </c>
      <c r="K2968">
        <v>1359.79</v>
      </c>
      <c r="L2968">
        <v>59830.91</v>
      </c>
      <c r="M2968">
        <v>36858.21</v>
      </c>
      <c r="N2968">
        <v>5825.89</v>
      </c>
      <c r="O2968">
        <v>3951.71</v>
      </c>
      <c r="P2968">
        <v>2055.4</v>
      </c>
      <c r="Q2968">
        <v>1064.6199999999999</v>
      </c>
      <c r="R2968">
        <v>1788.28</v>
      </c>
      <c r="S2968">
        <v>843.8</v>
      </c>
      <c r="T2968">
        <v>52387.91</v>
      </c>
      <c r="U2968">
        <v>22972.7</v>
      </c>
      <c r="V2968">
        <v>7442.99</v>
      </c>
      <c r="W2968">
        <v>6730.18</v>
      </c>
      <c r="X2968">
        <v>66002.42</v>
      </c>
      <c r="Y2968">
        <v>54118.29</v>
      </c>
    </row>
    <row r="2969" spans="1:25" x14ac:dyDescent="0.25">
      <c r="A2969" t="s">
        <v>3025</v>
      </c>
      <c r="B2969" s="1">
        <v>45759</v>
      </c>
      <c r="C2969">
        <v>2025</v>
      </c>
      <c r="D2969">
        <v>4</v>
      </c>
      <c r="E2969" t="s">
        <v>357</v>
      </c>
      <c r="F2969" t="s">
        <v>358</v>
      </c>
      <c r="G2969" t="s">
        <v>35</v>
      </c>
      <c r="H2969" t="s">
        <v>32</v>
      </c>
      <c r="I2969" t="s">
        <v>33</v>
      </c>
      <c r="J2969">
        <v>75</v>
      </c>
      <c r="K2969">
        <v>801.49</v>
      </c>
      <c r="L2969">
        <v>60111.46</v>
      </c>
      <c r="M2969">
        <v>37944.15</v>
      </c>
      <c r="N2969">
        <v>7782.32</v>
      </c>
      <c r="O2969">
        <v>3966.63</v>
      </c>
      <c r="P2969">
        <v>2320.23</v>
      </c>
      <c r="Q2969">
        <v>416.33</v>
      </c>
      <c r="R2969">
        <v>2276.42</v>
      </c>
      <c r="S2969">
        <v>510.99</v>
      </c>
      <c r="T2969">
        <v>55217.05</v>
      </c>
      <c r="U2969">
        <v>22167.31</v>
      </c>
      <c r="V2969">
        <v>4894.41</v>
      </c>
      <c r="W2969">
        <v>4973.79</v>
      </c>
      <c r="X2969">
        <v>65161.11</v>
      </c>
      <c r="Y2969">
        <v>55137.97</v>
      </c>
    </row>
    <row r="2970" spans="1:25" x14ac:dyDescent="0.25">
      <c r="A2970" t="s">
        <v>3026</v>
      </c>
      <c r="B2970" s="1">
        <v>45759</v>
      </c>
      <c r="C2970">
        <v>2025</v>
      </c>
      <c r="D2970">
        <v>4</v>
      </c>
      <c r="E2970" t="s">
        <v>357</v>
      </c>
      <c r="F2970" t="s">
        <v>358</v>
      </c>
      <c r="G2970" t="s">
        <v>28</v>
      </c>
      <c r="H2970" t="s">
        <v>32</v>
      </c>
      <c r="I2970" t="s">
        <v>33</v>
      </c>
      <c r="J2970">
        <v>96</v>
      </c>
      <c r="K2970">
        <v>962.57</v>
      </c>
      <c r="L2970">
        <v>92406.5</v>
      </c>
      <c r="M2970">
        <v>49491.16</v>
      </c>
      <c r="N2970">
        <v>9561.7999999999993</v>
      </c>
      <c r="O2970">
        <v>4713.24</v>
      </c>
      <c r="P2970">
        <v>2857</v>
      </c>
      <c r="Q2970">
        <v>1383.8</v>
      </c>
      <c r="R2970">
        <v>4238.96</v>
      </c>
      <c r="S2970">
        <v>1019.69</v>
      </c>
      <c r="T2970">
        <v>73265.64</v>
      </c>
      <c r="U2970">
        <v>42915.34</v>
      </c>
      <c r="V2970">
        <v>19140.86</v>
      </c>
      <c r="W2970">
        <v>19281.240000000002</v>
      </c>
      <c r="X2970">
        <v>87645.13</v>
      </c>
      <c r="Y2970">
        <v>69343.31</v>
      </c>
    </row>
    <row r="2971" spans="1:25" x14ac:dyDescent="0.25">
      <c r="A2971" t="s">
        <v>3027</v>
      </c>
      <c r="B2971" s="1">
        <v>45759</v>
      </c>
      <c r="C2971">
        <v>2025</v>
      </c>
      <c r="D2971">
        <v>4</v>
      </c>
      <c r="E2971" t="s">
        <v>357</v>
      </c>
      <c r="F2971" t="s">
        <v>358</v>
      </c>
      <c r="G2971" t="s">
        <v>28</v>
      </c>
      <c r="H2971" t="s">
        <v>32</v>
      </c>
      <c r="I2971" t="s">
        <v>39</v>
      </c>
      <c r="J2971">
        <v>57</v>
      </c>
      <c r="K2971">
        <v>887.32</v>
      </c>
      <c r="L2971">
        <v>50577.25</v>
      </c>
      <c r="M2971">
        <v>30685.4</v>
      </c>
      <c r="N2971">
        <v>5943.63</v>
      </c>
      <c r="O2971">
        <v>3308.67</v>
      </c>
      <c r="P2971">
        <v>1911.24</v>
      </c>
      <c r="Q2971">
        <v>772.58</v>
      </c>
      <c r="R2971">
        <v>2321.59</v>
      </c>
      <c r="S2971">
        <v>907.8</v>
      </c>
      <c r="T2971">
        <v>45850.91</v>
      </c>
      <c r="U2971">
        <v>19891.849999999999</v>
      </c>
      <c r="V2971">
        <v>4726.34</v>
      </c>
      <c r="W2971">
        <v>4517.33</v>
      </c>
      <c r="X2971">
        <v>49419.5</v>
      </c>
      <c r="Y2971">
        <v>44420.3</v>
      </c>
    </row>
    <row r="2972" spans="1:25" x14ac:dyDescent="0.25">
      <c r="A2972" t="s">
        <v>3028</v>
      </c>
      <c r="B2972" s="1">
        <v>45759</v>
      </c>
      <c r="C2972">
        <v>2025</v>
      </c>
      <c r="D2972">
        <v>4</v>
      </c>
      <c r="E2972" t="s">
        <v>357</v>
      </c>
      <c r="F2972" t="s">
        <v>358</v>
      </c>
      <c r="G2972" t="s">
        <v>28</v>
      </c>
      <c r="H2972" t="s">
        <v>32</v>
      </c>
      <c r="I2972" t="s">
        <v>56</v>
      </c>
      <c r="J2972">
        <v>43</v>
      </c>
      <c r="K2972">
        <v>1311.92</v>
      </c>
      <c r="L2972">
        <v>56412.65</v>
      </c>
      <c r="M2972">
        <v>34412.959999999999</v>
      </c>
      <c r="N2972">
        <v>5947.94</v>
      </c>
      <c r="O2972">
        <v>3190.88</v>
      </c>
      <c r="P2972">
        <v>947.58</v>
      </c>
      <c r="Q2972">
        <v>936.39</v>
      </c>
      <c r="R2972">
        <v>1569.64</v>
      </c>
      <c r="S2972">
        <v>1179.6600000000001</v>
      </c>
      <c r="T2972">
        <v>48185.04</v>
      </c>
      <c r="U2972">
        <v>21999.68</v>
      </c>
      <c r="V2972">
        <v>8227.6</v>
      </c>
      <c r="W2972">
        <v>7320.8</v>
      </c>
      <c r="X2972">
        <v>59443.78</v>
      </c>
      <c r="Y2972">
        <v>48725.18</v>
      </c>
    </row>
    <row r="2973" spans="1:25" x14ac:dyDescent="0.25">
      <c r="A2973" t="s">
        <v>3029</v>
      </c>
      <c r="B2973" s="1">
        <v>45759</v>
      </c>
      <c r="C2973">
        <v>2025</v>
      </c>
      <c r="D2973">
        <v>4</v>
      </c>
      <c r="E2973" t="s">
        <v>357</v>
      </c>
      <c r="F2973" t="s">
        <v>358</v>
      </c>
      <c r="G2973" t="s">
        <v>44</v>
      </c>
      <c r="H2973" t="s">
        <v>36</v>
      </c>
      <c r="I2973" t="s">
        <v>50</v>
      </c>
      <c r="J2973">
        <v>56</v>
      </c>
      <c r="K2973">
        <v>1011.51</v>
      </c>
      <c r="L2973">
        <v>56644.34</v>
      </c>
      <c r="M2973">
        <v>29608.22</v>
      </c>
      <c r="N2973">
        <v>5617.44</v>
      </c>
      <c r="O2973">
        <v>3597.69</v>
      </c>
      <c r="P2973">
        <v>1483.43</v>
      </c>
      <c r="Q2973">
        <v>727.19</v>
      </c>
      <c r="R2973">
        <v>2687.63</v>
      </c>
      <c r="S2973">
        <v>896.51</v>
      </c>
      <c r="T2973">
        <v>44618.1</v>
      </c>
      <c r="U2973">
        <v>27036.13</v>
      </c>
      <c r="V2973">
        <v>12026.24</v>
      </c>
      <c r="W2973">
        <v>11988.61</v>
      </c>
      <c r="X2973">
        <v>62467.38</v>
      </c>
      <c r="Y2973">
        <v>47007.19</v>
      </c>
    </row>
    <row r="2974" spans="1:25" x14ac:dyDescent="0.25">
      <c r="A2974" t="s">
        <v>3030</v>
      </c>
      <c r="B2974" s="1">
        <v>45760</v>
      </c>
      <c r="C2974">
        <v>2025</v>
      </c>
      <c r="D2974">
        <v>4</v>
      </c>
      <c r="E2974" t="s">
        <v>357</v>
      </c>
      <c r="F2974" t="s">
        <v>358</v>
      </c>
      <c r="G2974" t="s">
        <v>44</v>
      </c>
      <c r="H2974" t="s">
        <v>53</v>
      </c>
      <c r="I2974" t="s">
        <v>56</v>
      </c>
      <c r="J2974">
        <v>27</v>
      </c>
      <c r="K2974">
        <v>813.44</v>
      </c>
      <c r="L2974">
        <v>21962.9</v>
      </c>
      <c r="M2974">
        <v>13881.73</v>
      </c>
      <c r="N2974">
        <v>2134.0100000000002</v>
      </c>
      <c r="O2974">
        <v>1293.7</v>
      </c>
      <c r="P2974">
        <v>710.22</v>
      </c>
      <c r="Q2974">
        <v>112.58</v>
      </c>
      <c r="R2974">
        <v>661.93</v>
      </c>
      <c r="S2974">
        <v>179.43</v>
      </c>
      <c r="T2974">
        <v>18973.61</v>
      </c>
      <c r="U2974">
        <v>8081.17</v>
      </c>
      <c r="V2974">
        <v>2989.3</v>
      </c>
      <c r="W2974">
        <v>2735.93</v>
      </c>
      <c r="X2974">
        <v>23569.81</v>
      </c>
      <c r="Y2974">
        <v>18083.52</v>
      </c>
    </row>
    <row r="2975" spans="1:25" x14ac:dyDescent="0.25">
      <c r="A2975" t="s">
        <v>3031</v>
      </c>
      <c r="B2975" s="1">
        <v>45760</v>
      </c>
      <c r="C2975">
        <v>2025</v>
      </c>
      <c r="D2975">
        <v>4</v>
      </c>
      <c r="E2975" t="s">
        <v>357</v>
      </c>
      <c r="F2975" t="s">
        <v>358</v>
      </c>
      <c r="G2975" t="s">
        <v>55</v>
      </c>
      <c r="H2975" t="s">
        <v>32</v>
      </c>
      <c r="I2975" t="s">
        <v>30</v>
      </c>
      <c r="J2975">
        <v>64</v>
      </c>
      <c r="K2975">
        <v>1708.24</v>
      </c>
      <c r="L2975">
        <v>109327.14</v>
      </c>
      <c r="M2975">
        <v>55777.72</v>
      </c>
      <c r="N2975">
        <v>7689.12</v>
      </c>
      <c r="O2975">
        <v>4110.49</v>
      </c>
      <c r="P2975">
        <v>2385.73</v>
      </c>
      <c r="Q2975">
        <v>1569.92</v>
      </c>
      <c r="R2975">
        <v>3578.41</v>
      </c>
      <c r="S2975">
        <v>2721.05</v>
      </c>
      <c r="T2975">
        <v>77832.44</v>
      </c>
      <c r="U2975">
        <v>53549.42</v>
      </c>
      <c r="V2975">
        <v>31494.7</v>
      </c>
      <c r="W2975">
        <v>28978.32</v>
      </c>
      <c r="X2975">
        <v>105196.25</v>
      </c>
      <c r="Y2975">
        <v>84122.59</v>
      </c>
    </row>
    <row r="2976" spans="1:25" x14ac:dyDescent="0.25">
      <c r="A2976" t="s">
        <v>3032</v>
      </c>
      <c r="B2976" s="1">
        <v>45761</v>
      </c>
      <c r="C2976">
        <v>2025</v>
      </c>
      <c r="D2976">
        <v>4</v>
      </c>
      <c r="E2976" t="s">
        <v>357</v>
      </c>
      <c r="F2976" t="s">
        <v>358</v>
      </c>
      <c r="G2976" t="s">
        <v>28</v>
      </c>
      <c r="H2976" t="s">
        <v>58</v>
      </c>
      <c r="I2976" t="s">
        <v>56</v>
      </c>
      <c r="J2976">
        <v>20</v>
      </c>
      <c r="K2976">
        <v>1751.33</v>
      </c>
      <c r="L2976">
        <v>35026.68</v>
      </c>
      <c r="M2976">
        <v>21445.66</v>
      </c>
      <c r="N2976">
        <v>2743.98</v>
      </c>
      <c r="O2976">
        <v>2109.12</v>
      </c>
      <c r="P2976">
        <v>1438.68</v>
      </c>
      <c r="Q2976">
        <v>233.77</v>
      </c>
      <c r="R2976">
        <v>1748.75</v>
      </c>
      <c r="S2976">
        <v>691.11</v>
      </c>
      <c r="T2976">
        <v>30411.07</v>
      </c>
      <c r="U2976">
        <v>13581.02</v>
      </c>
      <c r="V2976">
        <v>4615.6099999999997</v>
      </c>
      <c r="W2976">
        <v>4277.49</v>
      </c>
      <c r="X2976">
        <v>33856.589999999997</v>
      </c>
      <c r="Y2976">
        <v>32709.33</v>
      </c>
    </row>
    <row r="2977" spans="1:25" x14ac:dyDescent="0.25">
      <c r="A2977" t="s">
        <v>3033</v>
      </c>
      <c r="B2977" s="1">
        <v>45762</v>
      </c>
      <c r="C2977">
        <v>2025</v>
      </c>
      <c r="D2977">
        <v>4</v>
      </c>
      <c r="E2977" t="s">
        <v>357</v>
      </c>
      <c r="F2977" t="s">
        <v>358</v>
      </c>
      <c r="G2977" t="s">
        <v>35</v>
      </c>
      <c r="H2977" t="s">
        <v>58</v>
      </c>
      <c r="I2977" t="s">
        <v>37</v>
      </c>
      <c r="J2977">
        <v>46</v>
      </c>
      <c r="K2977">
        <v>998.8</v>
      </c>
      <c r="L2977">
        <v>45944.85</v>
      </c>
      <c r="M2977">
        <v>23364.87</v>
      </c>
      <c r="N2977">
        <v>4522.46</v>
      </c>
      <c r="O2977">
        <v>2213.4499999999998</v>
      </c>
      <c r="P2977">
        <v>1830.71</v>
      </c>
      <c r="Q2977">
        <v>278.95999999999998</v>
      </c>
      <c r="R2977">
        <v>2422.48</v>
      </c>
      <c r="S2977">
        <v>659.27</v>
      </c>
      <c r="T2977">
        <v>35292.19</v>
      </c>
      <c r="U2977">
        <v>22579.99</v>
      </c>
      <c r="V2977">
        <v>10652.66</v>
      </c>
      <c r="W2977">
        <v>10246.450000000001</v>
      </c>
      <c r="X2977">
        <v>48445.01</v>
      </c>
      <c r="Y2977">
        <v>33669.760000000002</v>
      </c>
    </row>
    <row r="2978" spans="1:25" x14ac:dyDescent="0.25">
      <c r="A2978" t="s">
        <v>3034</v>
      </c>
      <c r="B2978" s="1">
        <v>45762</v>
      </c>
      <c r="C2978">
        <v>2025</v>
      </c>
      <c r="D2978">
        <v>4</v>
      </c>
      <c r="E2978" t="s">
        <v>357</v>
      </c>
      <c r="F2978" t="s">
        <v>358</v>
      </c>
      <c r="G2978" t="s">
        <v>55</v>
      </c>
      <c r="H2978" t="s">
        <v>32</v>
      </c>
      <c r="I2978" t="s">
        <v>39</v>
      </c>
      <c r="J2978">
        <v>35</v>
      </c>
      <c r="K2978">
        <v>1765.55</v>
      </c>
      <c r="L2978">
        <v>61794.13</v>
      </c>
      <c r="M2978">
        <v>31169.23</v>
      </c>
      <c r="N2978">
        <v>6509.01</v>
      </c>
      <c r="O2978">
        <v>4024.78</v>
      </c>
      <c r="P2978">
        <v>1848.77</v>
      </c>
      <c r="Q2978">
        <v>1047.42</v>
      </c>
      <c r="R2978">
        <v>3757.93</v>
      </c>
      <c r="S2978">
        <v>847.54</v>
      </c>
      <c r="T2978">
        <v>49204.68</v>
      </c>
      <c r="U2978">
        <v>30624.9</v>
      </c>
      <c r="V2978">
        <v>12589.44</v>
      </c>
      <c r="W2978">
        <v>11816.94</v>
      </c>
      <c r="X2978">
        <v>60913.39</v>
      </c>
      <c r="Y2978">
        <v>46297.25</v>
      </c>
    </row>
    <row r="2979" spans="1:25" x14ac:dyDescent="0.25">
      <c r="A2979" t="s">
        <v>3035</v>
      </c>
      <c r="B2979" s="1">
        <v>45762</v>
      </c>
      <c r="C2979">
        <v>2025</v>
      </c>
      <c r="D2979">
        <v>4</v>
      </c>
      <c r="E2979" t="s">
        <v>357</v>
      </c>
      <c r="F2979" t="s">
        <v>358</v>
      </c>
      <c r="G2979" t="s">
        <v>28</v>
      </c>
      <c r="H2979" t="s">
        <v>36</v>
      </c>
      <c r="I2979" t="s">
        <v>56</v>
      </c>
      <c r="J2979">
        <v>30</v>
      </c>
      <c r="K2979">
        <v>1166.76</v>
      </c>
      <c r="L2979">
        <v>35002.65</v>
      </c>
      <c r="M2979">
        <v>23424.080000000002</v>
      </c>
      <c r="N2979">
        <v>2861.15</v>
      </c>
      <c r="O2979">
        <v>1706.29</v>
      </c>
      <c r="P2979">
        <v>1057.68</v>
      </c>
      <c r="Q2979">
        <v>559.30999999999995</v>
      </c>
      <c r="R2979">
        <v>1908.97</v>
      </c>
      <c r="S2979">
        <v>715.66</v>
      </c>
      <c r="T2979">
        <v>32233.14</v>
      </c>
      <c r="U2979">
        <v>11578.57</v>
      </c>
      <c r="V2979">
        <v>2769.51</v>
      </c>
      <c r="W2979">
        <v>2500.1999999999998</v>
      </c>
      <c r="X2979">
        <v>35093.24</v>
      </c>
      <c r="Y2979">
        <v>34664.300000000003</v>
      </c>
    </row>
    <row r="2980" spans="1:25" x14ac:dyDescent="0.25">
      <c r="A2980" t="s">
        <v>3036</v>
      </c>
      <c r="B2980" s="1">
        <v>45762</v>
      </c>
      <c r="C2980">
        <v>2025</v>
      </c>
      <c r="D2980">
        <v>4</v>
      </c>
      <c r="E2980" t="s">
        <v>357</v>
      </c>
      <c r="F2980" t="s">
        <v>358</v>
      </c>
      <c r="G2980" t="s">
        <v>55</v>
      </c>
      <c r="H2980" t="s">
        <v>53</v>
      </c>
      <c r="I2980" t="s">
        <v>37</v>
      </c>
      <c r="J2980">
        <v>39</v>
      </c>
      <c r="K2980">
        <v>1622.42</v>
      </c>
      <c r="L2980">
        <v>63274.27</v>
      </c>
      <c r="M2980">
        <v>41204.25</v>
      </c>
      <c r="N2980">
        <v>7208.31</v>
      </c>
      <c r="O2980">
        <v>4472.47</v>
      </c>
      <c r="P2980">
        <v>1856.43</v>
      </c>
      <c r="Q2980">
        <v>979.38</v>
      </c>
      <c r="R2980">
        <v>3414.07</v>
      </c>
      <c r="S2980">
        <v>589.04999999999995</v>
      </c>
      <c r="T2980">
        <v>59723.97</v>
      </c>
      <c r="U2980">
        <v>22070.03</v>
      </c>
      <c r="V2980">
        <v>3550.31</v>
      </c>
      <c r="W2980">
        <v>3427.54</v>
      </c>
      <c r="X2980">
        <v>69958.679999999993</v>
      </c>
      <c r="Y2980">
        <v>61419.1</v>
      </c>
    </row>
    <row r="2981" spans="1:25" x14ac:dyDescent="0.25">
      <c r="A2981" t="s">
        <v>3037</v>
      </c>
      <c r="B2981" s="1">
        <v>45762</v>
      </c>
      <c r="C2981">
        <v>2025</v>
      </c>
      <c r="D2981">
        <v>4</v>
      </c>
      <c r="E2981" t="s">
        <v>357</v>
      </c>
      <c r="F2981" t="s">
        <v>358</v>
      </c>
      <c r="G2981" t="s">
        <v>55</v>
      </c>
      <c r="H2981" t="s">
        <v>36</v>
      </c>
      <c r="I2981" t="s">
        <v>50</v>
      </c>
      <c r="J2981">
        <v>28</v>
      </c>
      <c r="K2981">
        <v>1657.32</v>
      </c>
      <c r="L2981">
        <v>46405.03</v>
      </c>
      <c r="M2981">
        <v>22958.880000000001</v>
      </c>
      <c r="N2981">
        <v>5114.7</v>
      </c>
      <c r="O2981">
        <v>1717.58</v>
      </c>
      <c r="P2981">
        <v>849.61</v>
      </c>
      <c r="Q2981">
        <v>293.32</v>
      </c>
      <c r="R2981">
        <v>1500.28</v>
      </c>
      <c r="S2981">
        <v>1117.67</v>
      </c>
      <c r="T2981">
        <v>33552.04</v>
      </c>
      <c r="U2981">
        <v>23446.15</v>
      </c>
      <c r="V2981">
        <v>12852.99</v>
      </c>
      <c r="W2981">
        <v>11479.97</v>
      </c>
      <c r="X2981">
        <v>43381.42</v>
      </c>
      <c r="Y2981">
        <v>33749.75</v>
      </c>
    </row>
    <row r="2982" spans="1:25" x14ac:dyDescent="0.25">
      <c r="A2982" t="s">
        <v>3038</v>
      </c>
      <c r="B2982" s="1">
        <v>45763</v>
      </c>
      <c r="C2982">
        <v>2025</v>
      </c>
      <c r="D2982">
        <v>4</v>
      </c>
      <c r="E2982" t="s">
        <v>357</v>
      </c>
      <c r="F2982" t="s">
        <v>358</v>
      </c>
      <c r="G2982" t="s">
        <v>28</v>
      </c>
      <c r="H2982" t="s">
        <v>53</v>
      </c>
      <c r="I2982" t="s">
        <v>56</v>
      </c>
      <c r="J2982">
        <v>18</v>
      </c>
      <c r="K2982">
        <v>1785.81</v>
      </c>
      <c r="L2982">
        <v>32144.53</v>
      </c>
      <c r="M2982">
        <v>21222.05</v>
      </c>
      <c r="N2982">
        <v>3932.63</v>
      </c>
      <c r="O2982">
        <v>1601.64</v>
      </c>
      <c r="P2982">
        <v>704.21</v>
      </c>
      <c r="Q2982">
        <v>321.36</v>
      </c>
      <c r="R2982">
        <v>1614.85</v>
      </c>
      <c r="S2982">
        <v>367.6</v>
      </c>
      <c r="T2982">
        <v>29764.34</v>
      </c>
      <c r="U2982">
        <v>10922.48</v>
      </c>
      <c r="V2982">
        <v>2380.19</v>
      </c>
      <c r="W2982">
        <v>2325.61</v>
      </c>
      <c r="X2982">
        <v>32996.01</v>
      </c>
      <c r="Y2982">
        <v>27759.69</v>
      </c>
    </row>
    <row r="2983" spans="1:25" x14ac:dyDescent="0.25">
      <c r="A2983" t="s">
        <v>3039</v>
      </c>
      <c r="B2983" s="1">
        <v>45763</v>
      </c>
      <c r="C2983">
        <v>2025</v>
      </c>
      <c r="D2983">
        <v>4</v>
      </c>
      <c r="E2983" t="s">
        <v>357</v>
      </c>
      <c r="F2983" t="s">
        <v>358</v>
      </c>
      <c r="G2983" t="s">
        <v>44</v>
      </c>
      <c r="H2983" t="s">
        <v>32</v>
      </c>
      <c r="I2983" t="s">
        <v>37</v>
      </c>
      <c r="J2983">
        <v>42</v>
      </c>
      <c r="K2983">
        <v>1779.07</v>
      </c>
      <c r="L2983">
        <v>74720.789999999994</v>
      </c>
      <c r="M2983">
        <v>41726.239999999998</v>
      </c>
      <c r="N2983">
        <v>9474.7900000000009</v>
      </c>
      <c r="O2983">
        <v>4457.5</v>
      </c>
      <c r="P2983">
        <v>1830.95</v>
      </c>
      <c r="Q2983">
        <v>770.37</v>
      </c>
      <c r="R2983">
        <v>4012.22</v>
      </c>
      <c r="S2983">
        <v>1270.26</v>
      </c>
      <c r="T2983">
        <v>63542.33</v>
      </c>
      <c r="U2983">
        <v>32994.550000000003</v>
      </c>
      <c r="V2983">
        <v>11178.46</v>
      </c>
      <c r="W2983">
        <v>11310.29</v>
      </c>
      <c r="X2983">
        <v>76408.429999999993</v>
      </c>
      <c r="Y2983">
        <v>64822.17</v>
      </c>
    </row>
    <row r="2984" spans="1:25" x14ac:dyDescent="0.25">
      <c r="A2984" t="s">
        <v>3040</v>
      </c>
      <c r="B2984" s="1">
        <v>45763</v>
      </c>
      <c r="C2984">
        <v>2025</v>
      </c>
      <c r="D2984">
        <v>4</v>
      </c>
      <c r="E2984" t="s">
        <v>357</v>
      </c>
      <c r="F2984" t="s">
        <v>358</v>
      </c>
      <c r="G2984" t="s">
        <v>44</v>
      </c>
      <c r="H2984" t="s">
        <v>36</v>
      </c>
      <c r="I2984" t="s">
        <v>39</v>
      </c>
      <c r="J2984">
        <v>30</v>
      </c>
      <c r="K2984">
        <v>1211.44</v>
      </c>
      <c r="L2984">
        <v>36343.11</v>
      </c>
      <c r="M2984">
        <v>18191.580000000002</v>
      </c>
      <c r="N2984">
        <v>3760.99</v>
      </c>
      <c r="O2984">
        <v>920.07</v>
      </c>
      <c r="P2984">
        <v>1090.23</v>
      </c>
      <c r="Q2984">
        <v>625.49</v>
      </c>
      <c r="R2984">
        <v>2297.62</v>
      </c>
      <c r="S2984">
        <v>835.37</v>
      </c>
      <c r="T2984">
        <v>27721.35</v>
      </c>
      <c r="U2984">
        <v>18151.53</v>
      </c>
      <c r="V2984">
        <v>8621.76</v>
      </c>
      <c r="W2984">
        <v>7816.99</v>
      </c>
      <c r="X2984">
        <v>39472.97</v>
      </c>
      <c r="Y2984">
        <v>26062.85</v>
      </c>
    </row>
    <row r="2985" spans="1:25" x14ac:dyDescent="0.25">
      <c r="A2985" t="s">
        <v>3041</v>
      </c>
      <c r="B2985" s="1">
        <v>45763</v>
      </c>
      <c r="C2985">
        <v>2025</v>
      </c>
      <c r="D2985">
        <v>4</v>
      </c>
      <c r="E2985" t="s">
        <v>357</v>
      </c>
      <c r="F2985" t="s">
        <v>358</v>
      </c>
      <c r="G2985" t="s">
        <v>55</v>
      </c>
      <c r="H2985" t="s">
        <v>32</v>
      </c>
      <c r="I2985" t="s">
        <v>30</v>
      </c>
      <c r="J2985">
        <v>66</v>
      </c>
      <c r="K2985">
        <v>1741.99</v>
      </c>
      <c r="L2985">
        <v>114971.06</v>
      </c>
      <c r="M2985">
        <v>58585.43</v>
      </c>
      <c r="N2985">
        <v>9697.73</v>
      </c>
      <c r="O2985">
        <v>7355</v>
      </c>
      <c r="P2985">
        <v>4180.1099999999997</v>
      </c>
      <c r="Q2985">
        <v>2056.48</v>
      </c>
      <c r="R2985">
        <v>5645</v>
      </c>
      <c r="S2985">
        <v>934.84</v>
      </c>
      <c r="T2985">
        <v>88454.59</v>
      </c>
      <c r="U2985">
        <v>56385.63</v>
      </c>
      <c r="V2985">
        <v>26516.47</v>
      </c>
      <c r="W2985">
        <v>24910.67</v>
      </c>
      <c r="X2985">
        <v>125932.65</v>
      </c>
      <c r="Y2985">
        <v>84846.8</v>
      </c>
    </row>
    <row r="2986" spans="1:25" x14ac:dyDescent="0.25">
      <c r="A2986" t="s">
        <v>3042</v>
      </c>
      <c r="B2986" s="1">
        <v>45763</v>
      </c>
      <c r="C2986">
        <v>2025</v>
      </c>
      <c r="D2986">
        <v>4</v>
      </c>
      <c r="E2986" t="s">
        <v>357</v>
      </c>
      <c r="F2986" t="s">
        <v>358</v>
      </c>
      <c r="G2986" t="s">
        <v>44</v>
      </c>
      <c r="H2986" t="s">
        <v>53</v>
      </c>
      <c r="I2986" t="s">
        <v>56</v>
      </c>
      <c r="J2986">
        <v>18</v>
      </c>
      <c r="K2986">
        <v>1549.8</v>
      </c>
      <c r="L2986">
        <v>27896.400000000001</v>
      </c>
      <c r="M2986">
        <v>14195.78</v>
      </c>
      <c r="N2986">
        <v>3555.62</v>
      </c>
      <c r="O2986">
        <v>1877.58</v>
      </c>
      <c r="P2986">
        <v>567.78</v>
      </c>
      <c r="Q2986">
        <v>300.13</v>
      </c>
      <c r="R2986">
        <v>1741.02</v>
      </c>
      <c r="S2986">
        <v>423.42</v>
      </c>
      <c r="T2986">
        <v>22661.33</v>
      </c>
      <c r="U2986">
        <v>13700.62</v>
      </c>
      <c r="V2986">
        <v>5235.0600000000004</v>
      </c>
      <c r="W2986">
        <v>5100.8599999999997</v>
      </c>
      <c r="X2986">
        <v>29901.58</v>
      </c>
      <c r="Y2986">
        <v>24686.62</v>
      </c>
    </row>
    <row r="2987" spans="1:25" x14ac:dyDescent="0.25">
      <c r="A2987" t="s">
        <v>3043</v>
      </c>
      <c r="B2987" s="1">
        <v>45763</v>
      </c>
      <c r="C2987">
        <v>2025</v>
      </c>
      <c r="D2987">
        <v>4</v>
      </c>
      <c r="E2987" t="s">
        <v>357</v>
      </c>
      <c r="F2987" t="s">
        <v>358</v>
      </c>
      <c r="G2987" t="s">
        <v>28</v>
      </c>
      <c r="H2987" t="s">
        <v>58</v>
      </c>
      <c r="I2987" t="s">
        <v>33</v>
      </c>
      <c r="J2987">
        <v>48</v>
      </c>
      <c r="K2987">
        <v>1477.66</v>
      </c>
      <c r="L2987">
        <v>70927.570000000007</v>
      </c>
      <c r="M2987">
        <v>36154.51</v>
      </c>
      <c r="N2987">
        <v>6193.86</v>
      </c>
      <c r="O2987">
        <v>4531.55</v>
      </c>
      <c r="P2987">
        <v>1851.94</v>
      </c>
      <c r="Q2987">
        <v>685.5</v>
      </c>
      <c r="R2987">
        <v>3941.09</v>
      </c>
      <c r="S2987">
        <v>1261.32</v>
      </c>
      <c r="T2987">
        <v>54619.76</v>
      </c>
      <c r="U2987">
        <v>34773.06</v>
      </c>
      <c r="V2987">
        <v>16307.82</v>
      </c>
      <c r="W2987">
        <v>15781.47</v>
      </c>
      <c r="X2987">
        <v>77415.59</v>
      </c>
      <c r="Y2987">
        <v>55274.34</v>
      </c>
    </row>
    <row r="2988" spans="1:25" x14ac:dyDescent="0.25">
      <c r="A2988" t="s">
        <v>3044</v>
      </c>
      <c r="B2988" s="1">
        <v>45764</v>
      </c>
      <c r="C2988">
        <v>2025</v>
      </c>
      <c r="D2988">
        <v>4</v>
      </c>
      <c r="E2988" t="s">
        <v>357</v>
      </c>
      <c r="F2988" t="s">
        <v>358</v>
      </c>
      <c r="G2988" t="s">
        <v>44</v>
      </c>
      <c r="H2988" t="s">
        <v>36</v>
      </c>
      <c r="I2988" t="s">
        <v>39</v>
      </c>
      <c r="J2988">
        <v>20</v>
      </c>
      <c r="K2988">
        <v>1455.75</v>
      </c>
      <c r="L2988">
        <v>29115.03</v>
      </c>
      <c r="M2988">
        <v>17164.77</v>
      </c>
      <c r="N2988">
        <v>2337.17</v>
      </c>
      <c r="O2988">
        <v>1784.48</v>
      </c>
      <c r="P2988">
        <v>648.71</v>
      </c>
      <c r="Q2988">
        <v>396.94</v>
      </c>
      <c r="R2988">
        <v>1478.23</v>
      </c>
      <c r="S2988">
        <v>618.97</v>
      </c>
      <c r="T2988">
        <v>24429.279999999999</v>
      </c>
      <c r="U2988">
        <v>11950.26</v>
      </c>
      <c r="V2988">
        <v>4685.75</v>
      </c>
      <c r="W2988">
        <v>4740.13</v>
      </c>
      <c r="X2988">
        <v>29547.48</v>
      </c>
      <c r="Y2988">
        <v>24413.7</v>
      </c>
    </row>
    <row r="2989" spans="1:25" x14ac:dyDescent="0.25">
      <c r="A2989" t="s">
        <v>3045</v>
      </c>
      <c r="B2989" s="1">
        <v>45764</v>
      </c>
      <c r="C2989">
        <v>2025</v>
      </c>
      <c r="D2989">
        <v>4</v>
      </c>
      <c r="E2989" t="s">
        <v>357</v>
      </c>
      <c r="F2989" t="s">
        <v>358</v>
      </c>
      <c r="G2989" t="s">
        <v>44</v>
      </c>
      <c r="H2989" t="s">
        <v>32</v>
      </c>
      <c r="I2989" t="s">
        <v>37</v>
      </c>
      <c r="J2989">
        <v>56</v>
      </c>
      <c r="K2989">
        <v>1681.7</v>
      </c>
      <c r="L2989">
        <v>94175.35</v>
      </c>
      <c r="M2989">
        <v>53587.21</v>
      </c>
      <c r="N2989">
        <v>10141.77</v>
      </c>
      <c r="O2989">
        <v>3762.87</v>
      </c>
      <c r="P2989">
        <v>4080.39</v>
      </c>
      <c r="Q2989">
        <v>1556.71</v>
      </c>
      <c r="R2989">
        <v>3228.34</v>
      </c>
      <c r="S2989">
        <v>1098.6099999999999</v>
      </c>
      <c r="T2989">
        <v>77455.89</v>
      </c>
      <c r="U2989">
        <v>40588.14</v>
      </c>
      <c r="V2989">
        <v>16719.45</v>
      </c>
      <c r="W2989">
        <v>16702.189999999999</v>
      </c>
      <c r="X2989">
        <v>88181.35</v>
      </c>
      <c r="Y2989">
        <v>80225.39</v>
      </c>
    </row>
    <row r="2990" spans="1:25" x14ac:dyDescent="0.25">
      <c r="A2990" t="s">
        <v>3046</v>
      </c>
      <c r="B2990" s="1">
        <v>45764</v>
      </c>
      <c r="C2990">
        <v>2025</v>
      </c>
      <c r="D2990">
        <v>4</v>
      </c>
      <c r="E2990" t="s">
        <v>357</v>
      </c>
      <c r="F2990" t="s">
        <v>358</v>
      </c>
      <c r="G2990" t="s">
        <v>35</v>
      </c>
      <c r="H2990" t="s">
        <v>32</v>
      </c>
      <c r="I2990" t="s">
        <v>56</v>
      </c>
      <c r="J2990">
        <v>48</v>
      </c>
      <c r="K2990">
        <v>926.07</v>
      </c>
      <c r="L2990">
        <v>44451.32</v>
      </c>
      <c r="M2990">
        <v>23115.42</v>
      </c>
      <c r="N2990">
        <v>4572.18</v>
      </c>
      <c r="O2990">
        <v>1310.69</v>
      </c>
      <c r="P2990">
        <v>1859.23</v>
      </c>
      <c r="Q2990">
        <v>694.08</v>
      </c>
      <c r="R2990">
        <v>2288.34</v>
      </c>
      <c r="S2990">
        <v>855.73</v>
      </c>
      <c r="T2990">
        <v>34695.67</v>
      </c>
      <c r="U2990">
        <v>21335.9</v>
      </c>
      <c r="V2990">
        <v>9755.65</v>
      </c>
      <c r="W2990">
        <v>9603.2800000000007</v>
      </c>
      <c r="X2990">
        <v>42032.639999999999</v>
      </c>
      <c r="Y2990">
        <v>37231.550000000003</v>
      </c>
    </row>
    <row r="2991" spans="1:25" x14ac:dyDescent="0.25">
      <c r="A2991" t="s">
        <v>3047</v>
      </c>
      <c r="B2991" s="1">
        <v>45764</v>
      </c>
      <c r="C2991">
        <v>2025</v>
      </c>
      <c r="D2991">
        <v>4</v>
      </c>
      <c r="E2991" t="s">
        <v>357</v>
      </c>
      <c r="F2991" t="s">
        <v>358</v>
      </c>
      <c r="G2991" t="s">
        <v>28</v>
      </c>
      <c r="H2991" t="s">
        <v>36</v>
      </c>
      <c r="I2991" t="s">
        <v>30</v>
      </c>
      <c r="J2991">
        <v>47</v>
      </c>
      <c r="K2991">
        <v>1741.38</v>
      </c>
      <c r="L2991">
        <v>81844.94</v>
      </c>
      <c r="M2991">
        <v>48533.89</v>
      </c>
      <c r="N2991">
        <v>7227.32</v>
      </c>
      <c r="O2991">
        <v>5760.06</v>
      </c>
      <c r="P2991">
        <v>3251.28</v>
      </c>
      <c r="Q2991">
        <v>851.27</v>
      </c>
      <c r="R2991">
        <v>3791.59</v>
      </c>
      <c r="S2991">
        <v>1251.33</v>
      </c>
      <c r="T2991">
        <v>70666.740000000005</v>
      </c>
      <c r="U2991">
        <v>33311.050000000003</v>
      </c>
      <c r="V2991">
        <v>11178.21</v>
      </c>
      <c r="W2991">
        <v>10723.93</v>
      </c>
      <c r="X2991">
        <v>91496.89</v>
      </c>
      <c r="Y2991">
        <v>75348.89</v>
      </c>
    </row>
    <row r="2992" spans="1:25" x14ac:dyDescent="0.25">
      <c r="A2992" t="s">
        <v>3048</v>
      </c>
      <c r="B2992" s="1">
        <v>45764</v>
      </c>
      <c r="C2992">
        <v>2025</v>
      </c>
      <c r="D2992">
        <v>4</v>
      </c>
      <c r="E2992" t="s">
        <v>357</v>
      </c>
      <c r="F2992" t="s">
        <v>358</v>
      </c>
      <c r="G2992" t="s">
        <v>44</v>
      </c>
      <c r="H2992" t="s">
        <v>29</v>
      </c>
      <c r="I2992" t="s">
        <v>45</v>
      </c>
      <c r="J2992">
        <v>30</v>
      </c>
      <c r="K2992">
        <v>1543.8</v>
      </c>
      <c r="L2992">
        <v>46314</v>
      </c>
      <c r="M2992">
        <v>23557.919999999998</v>
      </c>
      <c r="N2992">
        <v>5613.4</v>
      </c>
      <c r="O2992">
        <v>2596.79</v>
      </c>
      <c r="P2992">
        <v>1409.43</v>
      </c>
      <c r="Q2992">
        <v>237.99</v>
      </c>
      <c r="R2992">
        <v>1559.92</v>
      </c>
      <c r="S2992">
        <v>741.35</v>
      </c>
      <c r="T2992">
        <v>35716.81</v>
      </c>
      <c r="U2992">
        <v>22756.080000000002</v>
      </c>
      <c r="V2992">
        <v>10597.19</v>
      </c>
      <c r="W2992">
        <v>10372.700000000001</v>
      </c>
      <c r="X2992">
        <v>46396.08</v>
      </c>
      <c r="Y2992">
        <v>34426.35</v>
      </c>
    </row>
    <row r="2993" spans="1:25" x14ac:dyDescent="0.25">
      <c r="A2993" t="s">
        <v>3049</v>
      </c>
      <c r="B2993" s="1">
        <v>45765</v>
      </c>
      <c r="C2993">
        <v>2025</v>
      </c>
      <c r="D2993">
        <v>4</v>
      </c>
      <c r="E2993" t="s">
        <v>357</v>
      </c>
      <c r="F2993" t="s">
        <v>358</v>
      </c>
      <c r="G2993" t="s">
        <v>55</v>
      </c>
      <c r="H2993" t="s">
        <v>53</v>
      </c>
      <c r="I2993" t="s">
        <v>37</v>
      </c>
      <c r="J2993">
        <v>55</v>
      </c>
      <c r="K2993">
        <v>1050.8699999999999</v>
      </c>
      <c r="L2993">
        <v>57797.69</v>
      </c>
      <c r="M2993">
        <v>33372.949999999997</v>
      </c>
      <c r="N2993">
        <v>5228.88</v>
      </c>
      <c r="O2993">
        <v>1745.95</v>
      </c>
      <c r="P2993">
        <v>2192.27</v>
      </c>
      <c r="Q2993">
        <v>299.89</v>
      </c>
      <c r="R2993">
        <v>3674.03</v>
      </c>
      <c r="S2993">
        <v>475.22</v>
      </c>
      <c r="T2993">
        <v>46989.19</v>
      </c>
      <c r="U2993">
        <v>24424.74</v>
      </c>
      <c r="V2993">
        <v>10808.5</v>
      </c>
      <c r="W2993">
        <v>10722.19</v>
      </c>
      <c r="X2993">
        <v>58104.19</v>
      </c>
      <c r="Y2993">
        <v>45841.68</v>
      </c>
    </row>
    <row r="2994" spans="1:25" x14ac:dyDescent="0.25">
      <c r="A2994" t="s">
        <v>3050</v>
      </c>
      <c r="B2994" s="1">
        <v>45766</v>
      </c>
      <c r="C2994">
        <v>2025</v>
      </c>
      <c r="D2994">
        <v>4</v>
      </c>
      <c r="E2994" t="s">
        <v>357</v>
      </c>
      <c r="F2994" t="s">
        <v>358</v>
      </c>
      <c r="G2994" t="s">
        <v>55</v>
      </c>
      <c r="H2994" t="s">
        <v>53</v>
      </c>
      <c r="I2994" t="s">
        <v>65</v>
      </c>
      <c r="J2994">
        <v>43</v>
      </c>
      <c r="K2994">
        <v>1593.4</v>
      </c>
      <c r="L2994">
        <v>68516.12</v>
      </c>
      <c r="M2994">
        <v>33845.54</v>
      </c>
      <c r="N2994">
        <v>8071.8</v>
      </c>
      <c r="O2994">
        <v>4729.18</v>
      </c>
      <c r="P2994">
        <v>2269.65</v>
      </c>
      <c r="Q2994">
        <v>720.09</v>
      </c>
      <c r="R2994">
        <v>3431.63</v>
      </c>
      <c r="S2994">
        <v>1548.77</v>
      </c>
      <c r="T2994">
        <v>54616.65</v>
      </c>
      <c r="U2994">
        <v>34670.58</v>
      </c>
      <c r="V2994">
        <v>13899.47</v>
      </c>
      <c r="W2994">
        <v>12992.22</v>
      </c>
      <c r="X2994">
        <v>68224.37</v>
      </c>
      <c r="Y2994">
        <v>57097.26</v>
      </c>
    </row>
    <row r="2995" spans="1:25" x14ac:dyDescent="0.25">
      <c r="A2995" t="s">
        <v>3051</v>
      </c>
      <c r="B2995" s="1">
        <v>45766</v>
      </c>
      <c r="C2995">
        <v>2025</v>
      </c>
      <c r="D2995">
        <v>4</v>
      </c>
      <c r="E2995" t="s">
        <v>357</v>
      </c>
      <c r="F2995" t="s">
        <v>358</v>
      </c>
      <c r="G2995" t="s">
        <v>44</v>
      </c>
      <c r="H2995" t="s">
        <v>58</v>
      </c>
      <c r="I2995" t="s">
        <v>39</v>
      </c>
      <c r="J2995">
        <v>18</v>
      </c>
      <c r="K2995">
        <v>1574.03</v>
      </c>
      <c r="L2995">
        <v>28332.52</v>
      </c>
      <c r="M2995">
        <v>18413.13</v>
      </c>
      <c r="N2995">
        <v>3178.23</v>
      </c>
      <c r="O2995">
        <v>1607.66</v>
      </c>
      <c r="P2995">
        <v>772.42</v>
      </c>
      <c r="Q2995">
        <v>449.61</v>
      </c>
      <c r="R2995">
        <v>1833.52</v>
      </c>
      <c r="S2995">
        <v>346.54</v>
      </c>
      <c r="T2995">
        <v>26601.1</v>
      </c>
      <c r="U2995">
        <v>9919.4</v>
      </c>
      <c r="V2995">
        <v>1731.42</v>
      </c>
      <c r="W2995">
        <v>1665.37</v>
      </c>
      <c r="X2995">
        <v>27216.85</v>
      </c>
      <c r="Y2995">
        <v>28498.99</v>
      </c>
    </row>
    <row r="2996" spans="1:25" x14ac:dyDescent="0.25">
      <c r="A2996" t="s">
        <v>3052</v>
      </c>
      <c r="B2996" s="1">
        <v>45766</v>
      </c>
      <c r="C2996">
        <v>2025</v>
      </c>
      <c r="D2996">
        <v>4</v>
      </c>
      <c r="E2996" t="s">
        <v>357</v>
      </c>
      <c r="F2996" t="s">
        <v>358</v>
      </c>
      <c r="G2996" t="s">
        <v>55</v>
      </c>
      <c r="H2996" t="s">
        <v>36</v>
      </c>
      <c r="I2996" t="s">
        <v>39</v>
      </c>
      <c r="J2996">
        <v>42</v>
      </c>
      <c r="K2996">
        <v>1354.16</v>
      </c>
      <c r="L2996">
        <v>56874.93</v>
      </c>
      <c r="M2996">
        <v>27978.86</v>
      </c>
      <c r="N2996">
        <v>4073.28</v>
      </c>
      <c r="O2996">
        <v>3702.33</v>
      </c>
      <c r="P2996">
        <v>2525.14</v>
      </c>
      <c r="Q2996">
        <v>378.08</v>
      </c>
      <c r="R2996">
        <v>1531.94</v>
      </c>
      <c r="S2996">
        <v>1148.47</v>
      </c>
      <c r="T2996">
        <v>41338.1</v>
      </c>
      <c r="U2996">
        <v>28896.07</v>
      </c>
      <c r="V2996">
        <v>15536.83</v>
      </c>
      <c r="W2996">
        <v>14085.08</v>
      </c>
      <c r="X2996">
        <v>57432.32</v>
      </c>
      <c r="Y2996">
        <v>40742.080000000002</v>
      </c>
    </row>
    <row r="2997" spans="1:25" x14ac:dyDescent="0.25">
      <c r="A2997" t="s">
        <v>3053</v>
      </c>
      <c r="B2997" s="1">
        <v>45767</v>
      </c>
      <c r="C2997">
        <v>2025</v>
      </c>
      <c r="D2997">
        <v>4</v>
      </c>
      <c r="E2997" t="s">
        <v>357</v>
      </c>
      <c r="F2997" t="s">
        <v>358</v>
      </c>
      <c r="G2997" t="s">
        <v>35</v>
      </c>
      <c r="H2997" t="s">
        <v>32</v>
      </c>
      <c r="I2997" t="s">
        <v>39</v>
      </c>
      <c r="J2997">
        <v>35</v>
      </c>
      <c r="K2997">
        <v>1027.8499999999999</v>
      </c>
      <c r="L2997">
        <v>35974.71</v>
      </c>
      <c r="M2997">
        <v>22332.87</v>
      </c>
      <c r="N2997">
        <v>3330.63</v>
      </c>
      <c r="O2997">
        <v>1799.91</v>
      </c>
      <c r="P2997">
        <v>1347.97</v>
      </c>
      <c r="Q2997">
        <v>359.86</v>
      </c>
      <c r="R2997">
        <v>1041.3</v>
      </c>
      <c r="S2997">
        <v>319.16000000000003</v>
      </c>
      <c r="T2997">
        <v>30531.7</v>
      </c>
      <c r="U2997">
        <v>13641.84</v>
      </c>
      <c r="V2997">
        <v>5443.02</v>
      </c>
      <c r="W2997">
        <v>5265.58</v>
      </c>
      <c r="X2997">
        <v>33479.49</v>
      </c>
      <c r="Y2997">
        <v>31986.09</v>
      </c>
    </row>
    <row r="2998" spans="1:25" x14ac:dyDescent="0.25">
      <c r="A2998" t="s">
        <v>3054</v>
      </c>
      <c r="B2998" s="1">
        <v>45767</v>
      </c>
      <c r="C2998">
        <v>2025</v>
      </c>
      <c r="D2998">
        <v>4</v>
      </c>
      <c r="E2998" t="s">
        <v>357</v>
      </c>
      <c r="F2998" t="s">
        <v>358</v>
      </c>
      <c r="G2998" t="s">
        <v>44</v>
      </c>
      <c r="H2998" t="s">
        <v>32</v>
      </c>
      <c r="I2998" t="s">
        <v>45</v>
      </c>
      <c r="J2998">
        <v>41</v>
      </c>
      <c r="K2998">
        <v>1230.81</v>
      </c>
      <c r="L2998">
        <v>50463.199999999997</v>
      </c>
      <c r="M2998">
        <v>30987.08</v>
      </c>
      <c r="N2998">
        <v>4692.17</v>
      </c>
      <c r="O2998">
        <v>2746.89</v>
      </c>
      <c r="P2998">
        <v>816.76</v>
      </c>
      <c r="Q2998">
        <v>864.97</v>
      </c>
      <c r="R2998">
        <v>3175.87</v>
      </c>
      <c r="S2998">
        <v>910.17</v>
      </c>
      <c r="T2998">
        <v>44193.919999999998</v>
      </c>
      <c r="U2998">
        <v>19476.12</v>
      </c>
      <c r="V2998">
        <v>6269.28</v>
      </c>
      <c r="W2998">
        <v>5719.07</v>
      </c>
      <c r="X2998">
        <v>52165.99</v>
      </c>
      <c r="Y2998">
        <v>45332.54</v>
      </c>
    </row>
    <row r="2999" spans="1:25" x14ac:dyDescent="0.25">
      <c r="A2999" t="s">
        <v>3055</v>
      </c>
      <c r="B2999" s="1">
        <v>45768</v>
      </c>
      <c r="C2999">
        <v>2025</v>
      </c>
      <c r="D2999">
        <v>4</v>
      </c>
      <c r="E2999" t="s">
        <v>357</v>
      </c>
      <c r="F2999" t="s">
        <v>358</v>
      </c>
      <c r="G2999" t="s">
        <v>28</v>
      </c>
      <c r="H2999" t="s">
        <v>36</v>
      </c>
      <c r="I2999" t="s">
        <v>39</v>
      </c>
      <c r="J2999">
        <v>46</v>
      </c>
      <c r="K2999">
        <v>1041.79</v>
      </c>
      <c r="L2999">
        <v>47922.46</v>
      </c>
      <c r="M2999">
        <v>27549.64</v>
      </c>
      <c r="N2999">
        <v>4664.1499999999996</v>
      </c>
      <c r="O2999">
        <v>2814.52</v>
      </c>
      <c r="P2999">
        <v>1562.18</v>
      </c>
      <c r="Q2999">
        <v>243.93</v>
      </c>
      <c r="R2999">
        <v>3064.13</v>
      </c>
      <c r="S2999">
        <v>1037.6300000000001</v>
      </c>
      <c r="T2999">
        <v>40936.17</v>
      </c>
      <c r="U2999">
        <v>20372.82</v>
      </c>
      <c r="V2999">
        <v>6986.29</v>
      </c>
      <c r="W2999">
        <v>6616.75</v>
      </c>
      <c r="X2999">
        <v>48765.16</v>
      </c>
      <c r="Y2999">
        <v>40195.120000000003</v>
      </c>
    </row>
    <row r="3000" spans="1:25" x14ac:dyDescent="0.25">
      <c r="A3000" t="s">
        <v>3056</v>
      </c>
      <c r="B3000" s="1">
        <v>45768</v>
      </c>
      <c r="C3000">
        <v>2025</v>
      </c>
      <c r="D3000">
        <v>4</v>
      </c>
      <c r="E3000" t="s">
        <v>357</v>
      </c>
      <c r="F3000" t="s">
        <v>358</v>
      </c>
      <c r="G3000" t="s">
        <v>55</v>
      </c>
      <c r="H3000" t="s">
        <v>53</v>
      </c>
      <c r="I3000" t="s">
        <v>37</v>
      </c>
      <c r="J3000">
        <v>76</v>
      </c>
      <c r="K3000">
        <v>815.94</v>
      </c>
      <c r="L3000">
        <v>62011.71</v>
      </c>
      <c r="M3000">
        <v>30676.19</v>
      </c>
      <c r="N3000">
        <v>7721.64</v>
      </c>
      <c r="O3000">
        <v>2251.63</v>
      </c>
      <c r="P3000">
        <v>1471.45</v>
      </c>
      <c r="Q3000">
        <v>962</v>
      </c>
      <c r="R3000">
        <v>2996.69</v>
      </c>
      <c r="S3000">
        <v>1069.23</v>
      </c>
      <c r="T3000">
        <v>47148.83</v>
      </c>
      <c r="U3000">
        <v>31335.52</v>
      </c>
      <c r="V3000">
        <v>14862.88</v>
      </c>
      <c r="W3000">
        <v>13207.99</v>
      </c>
      <c r="X3000">
        <v>57578.52</v>
      </c>
      <c r="Y3000">
        <v>47265.1</v>
      </c>
    </row>
    <row r="3001" spans="1:25" x14ac:dyDescent="0.25">
      <c r="A3001" t="s">
        <v>3057</v>
      </c>
      <c r="B3001" s="1">
        <v>45768</v>
      </c>
      <c r="C3001">
        <v>2025</v>
      </c>
      <c r="D3001">
        <v>4</v>
      </c>
      <c r="E3001" t="s">
        <v>357</v>
      </c>
      <c r="F3001" t="s">
        <v>358</v>
      </c>
      <c r="G3001" t="s">
        <v>28</v>
      </c>
      <c r="H3001" t="s">
        <v>58</v>
      </c>
      <c r="I3001" t="s">
        <v>30</v>
      </c>
      <c r="J3001">
        <v>97</v>
      </c>
      <c r="K3001">
        <v>904.75</v>
      </c>
      <c r="L3001">
        <v>87760.77</v>
      </c>
      <c r="M3001">
        <v>49230.51</v>
      </c>
      <c r="N3001">
        <v>8541.7999999999993</v>
      </c>
      <c r="O3001">
        <v>6330.43</v>
      </c>
      <c r="P3001">
        <v>1378.49</v>
      </c>
      <c r="Q3001">
        <v>812.23</v>
      </c>
      <c r="R3001">
        <v>2711.99</v>
      </c>
      <c r="S3001">
        <v>925.52</v>
      </c>
      <c r="T3001">
        <v>69930.98</v>
      </c>
      <c r="U3001">
        <v>38530.26</v>
      </c>
      <c r="V3001">
        <v>17829.79</v>
      </c>
      <c r="W3001">
        <v>17609.55</v>
      </c>
      <c r="X3001">
        <v>87394.55</v>
      </c>
      <c r="Y3001">
        <v>71636.75</v>
      </c>
    </row>
    <row r="3002" spans="1:25" x14ac:dyDescent="0.25">
      <c r="A3002" t="s">
        <v>3058</v>
      </c>
      <c r="B3002" s="1">
        <v>45768</v>
      </c>
      <c r="C3002">
        <v>2025</v>
      </c>
      <c r="D3002">
        <v>4</v>
      </c>
      <c r="E3002" t="s">
        <v>357</v>
      </c>
      <c r="F3002" t="s">
        <v>358</v>
      </c>
      <c r="G3002" t="s">
        <v>55</v>
      </c>
      <c r="H3002" t="s">
        <v>29</v>
      </c>
      <c r="I3002" t="s">
        <v>50</v>
      </c>
      <c r="J3002">
        <v>52</v>
      </c>
      <c r="K3002">
        <v>1056.17</v>
      </c>
      <c r="L3002">
        <v>54920.62</v>
      </c>
      <c r="M3002">
        <v>28649.51</v>
      </c>
      <c r="N3002">
        <v>6728.72</v>
      </c>
      <c r="O3002">
        <v>3402.53</v>
      </c>
      <c r="P3002">
        <v>1482.2</v>
      </c>
      <c r="Q3002">
        <v>676.45</v>
      </c>
      <c r="R3002">
        <v>3368.65</v>
      </c>
      <c r="S3002">
        <v>664.8</v>
      </c>
      <c r="T3002">
        <v>44972.87</v>
      </c>
      <c r="U3002">
        <v>26271.11</v>
      </c>
      <c r="V3002">
        <v>9947.75</v>
      </c>
      <c r="W3002">
        <v>9803.86</v>
      </c>
      <c r="X3002">
        <v>57449.66</v>
      </c>
      <c r="Y3002">
        <v>42465.25</v>
      </c>
    </row>
    <row r="3003" spans="1:25" x14ac:dyDescent="0.25">
      <c r="A3003" t="s">
        <v>3059</v>
      </c>
      <c r="B3003" s="1">
        <v>45769</v>
      </c>
      <c r="C3003">
        <v>2025</v>
      </c>
      <c r="D3003">
        <v>4</v>
      </c>
      <c r="E3003" t="s">
        <v>357</v>
      </c>
      <c r="F3003" t="s">
        <v>358</v>
      </c>
      <c r="G3003" t="s">
        <v>44</v>
      </c>
      <c r="H3003" t="s">
        <v>32</v>
      </c>
      <c r="I3003" t="s">
        <v>45</v>
      </c>
      <c r="J3003">
        <v>53</v>
      </c>
      <c r="K3003">
        <v>886.7</v>
      </c>
      <c r="L3003">
        <v>46994.95</v>
      </c>
      <c r="M3003">
        <v>26295.95</v>
      </c>
      <c r="N3003">
        <v>4661.38</v>
      </c>
      <c r="O3003">
        <v>2367.4499999999998</v>
      </c>
      <c r="P3003">
        <v>1613.99</v>
      </c>
      <c r="Q3003">
        <v>545.05999999999995</v>
      </c>
      <c r="R3003">
        <v>2517.08</v>
      </c>
      <c r="S3003">
        <v>523</v>
      </c>
      <c r="T3003">
        <v>38523.910000000003</v>
      </c>
      <c r="U3003">
        <v>20699</v>
      </c>
      <c r="V3003">
        <v>8471.0400000000009</v>
      </c>
      <c r="W3003">
        <v>8211.75</v>
      </c>
      <c r="X3003">
        <v>45211.56</v>
      </c>
      <c r="Y3003">
        <v>35857.67</v>
      </c>
    </row>
    <row r="3004" spans="1:25" x14ac:dyDescent="0.25">
      <c r="A3004" t="s">
        <v>3060</v>
      </c>
      <c r="B3004" s="1">
        <v>45769</v>
      </c>
      <c r="C3004">
        <v>2025</v>
      </c>
      <c r="D3004">
        <v>4</v>
      </c>
      <c r="E3004" t="s">
        <v>357</v>
      </c>
      <c r="F3004" t="s">
        <v>358</v>
      </c>
      <c r="G3004" t="s">
        <v>28</v>
      </c>
      <c r="H3004" t="s">
        <v>32</v>
      </c>
      <c r="I3004" t="s">
        <v>39</v>
      </c>
      <c r="J3004">
        <v>38</v>
      </c>
      <c r="K3004">
        <v>1782.42</v>
      </c>
      <c r="L3004">
        <v>67731.8</v>
      </c>
      <c r="M3004">
        <v>34316.5</v>
      </c>
      <c r="N3004">
        <v>8218.02</v>
      </c>
      <c r="O3004">
        <v>4310.29</v>
      </c>
      <c r="P3004">
        <v>1019.44</v>
      </c>
      <c r="Q3004">
        <v>847.36</v>
      </c>
      <c r="R3004">
        <v>3284.15</v>
      </c>
      <c r="S3004">
        <v>562.91999999999996</v>
      </c>
      <c r="T3004">
        <v>52558.68</v>
      </c>
      <c r="U3004">
        <v>33415.300000000003</v>
      </c>
      <c r="V3004">
        <v>15173.12</v>
      </c>
      <c r="W3004">
        <v>15207.6</v>
      </c>
      <c r="X3004">
        <v>70626.850000000006</v>
      </c>
      <c r="Y3004">
        <v>55079.21</v>
      </c>
    </row>
    <row r="3005" spans="1:25" x14ac:dyDescent="0.25">
      <c r="A3005" t="s">
        <v>3061</v>
      </c>
      <c r="B3005" s="1">
        <v>45770</v>
      </c>
      <c r="C3005">
        <v>2025</v>
      </c>
      <c r="D3005">
        <v>4</v>
      </c>
      <c r="E3005" t="s">
        <v>357</v>
      </c>
      <c r="F3005" t="s">
        <v>358</v>
      </c>
      <c r="G3005" t="s">
        <v>28</v>
      </c>
      <c r="H3005" t="s">
        <v>32</v>
      </c>
      <c r="I3005" t="s">
        <v>50</v>
      </c>
      <c r="J3005">
        <v>43</v>
      </c>
      <c r="K3005">
        <v>1754.41</v>
      </c>
      <c r="L3005">
        <v>75439.81</v>
      </c>
      <c r="M3005">
        <v>38606.21</v>
      </c>
      <c r="N3005">
        <v>8143.32</v>
      </c>
      <c r="O3005">
        <v>4294.7</v>
      </c>
      <c r="P3005">
        <v>2054.4</v>
      </c>
      <c r="Q3005">
        <v>754.35</v>
      </c>
      <c r="R3005">
        <v>3762.94</v>
      </c>
      <c r="S3005">
        <v>1606.25</v>
      </c>
      <c r="T3005">
        <v>59222.16</v>
      </c>
      <c r="U3005">
        <v>36833.61</v>
      </c>
      <c r="V3005">
        <v>16217.65</v>
      </c>
      <c r="W3005">
        <v>14549.61</v>
      </c>
      <c r="X3005">
        <v>80732.899999999994</v>
      </c>
      <c r="Y3005">
        <v>61898.3</v>
      </c>
    </row>
    <row r="3006" spans="1:25" x14ac:dyDescent="0.25">
      <c r="A3006" t="s">
        <v>3062</v>
      </c>
      <c r="B3006" s="1">
        <v>45770</v>
      </c>
      <c r="C3006">
        <v>2025</v>
      </c>
      <c r="D3006">
        <v>4</v>
      </c>
      <c r="E3006" t="s">
        <v>357</v>
      </c>
      <c r="F3006" t="s">
        <v>358</v>
      </c>
      <c r="G3006" t="s">
        <v>35</v>
      </c>
      <c r="H3006" t="s">
        <v>29</v>
      </c>
      <c r="I3006" t="s">
        <v>33</v>
      </c>
      <c r="J3006">
        <v>63</v>
      </c>
      <c r="K3006">
        <v>1058.0999999999999</v>
      </c>
      <c r="L3006">
        <v>66660.53</v>
      </c>
      <c r="M3006">
        <v>36557.82</v>
      </c>
      <c r="N3006">
        <v>7186.41</v>
      </c>
      <c r="O3006">
        <v>2650.18</v>
      </c>
      <c r="P3006">
        <v>1147.8</v>
      </c>
      <c r="Q3006">
        <v>943.04</v>
      </c>
      <c r="R3006">
        <v>2775.41</v>
      </c>
      <c r="S3006">
        <v>739.39</v>
      </c>
      <c r="T3006">
        <v>52000.06</v>
      </c>
      <c r="U3006">
        <v>30102.71</v>
      </c>
      <c r="V3006">
        <v>14660.47</v>
      </c>
      <c r="W3006">
        <v>14046.28</v>
      </c>
      <c r="X3006">
        <v>72113.77</v>
      </c>
      <c r="Y3006">
        <v>56970.080000000002</v>
      </c>
    </row>
    <row r="3007" spans="1:25" x14ac:dyDescent="0.25">
      <c r="A3007" t="s">
        <v>3063</v>
      </c>
      <c r="B3007" s="1">
        <v>45770</v>
      </c>
      <c r="C3007">
        <v>2025</v>
      </c>
      <c r="D3007">
        <v>4</v>
      </c>
      <c r="E3007" t="s">
        <v>357</v>
      </c>
      <c r="F3007" t="s">
        <v>358</v>
      </c>
      <c r="G3007" t="s">
        <v>35</v>
      </c>
      <c r="H3007" t="s">
        <v>53</v>
      </c>
      <c r="I3007" t="s">
        <v>37</v>
      </c>
      <c r="J3007">
        <v>45</v>
      </c>
      <c r="K3007">
        <v>1393.79</v>
      </c>
      <c r="L3007">
        <v>62720.68</v>
      </c>
      <c r="M3007">
        <v>35089.35</v>
      </c>
      <c r="N3007">
        <v>7164.16</v>
      </c>
      <c r="O3007">
        <v>2330.52</v>
      </c>
      <c r="P3007">
        <v>1003.72</v>
      </c>
      <c r="Q3007">
        <v>744.8</v>
      </c>
      <c r="R3007">
        <v>2319.92</v>
      </c>
      <c r="S3007">
        <v>1035.56</v>
      </c>
      <c r="T3007">
        <v>49688.03</v>
      </c>
      <c r="U3007">
        <v>27631.34</v>
      </c>
      <c r="V3007">
        <v>13032.66</v>
      </c>
      <c r="W3007">
        <v>12720.44</v>
      </c>
      <c r="X3007">
        <v>57839.51</v>
      </c>
      <c r="Y3007">
        <v>52373.23</v>
      </c>
    </row>
    <row r="3008" spans="1:25" x14ac:dyDescent="0.25">
      <c r="A3008" t="s">
        <v>3064</v>
      </c>
      <c r="B3008" s="1">
        <v>45770</v>
      </c>
      <c r="C3008">
        <v>2025</v>
      </c>
      <c r="D3008">
        <v>4</v>
      </c>
      <c r="E3008" t="s">
        <v>357</v>
      </c>
      <c r="F3008" t="s">
        <v>358</v>
      </c>
      <c r="G3008" t="s">
        <v>44</v>
      </c>
      <c r="H3008" t="s">
        <v>32</v>
      </c>
      <c r="I3008" t="s">
        <v>39</v>
      </c>
      <c r="J3008">
        <v>31</v>
      </c>
      <c r="K3008">
        <v>1308.3499999999999</v>
      </c>
      <c r="L3008">
        <v>40558.78</v>
      </c>
      <c r="M3008">
        <v>27469.040000000001</v>
      </c>
      <c r="N3008">
        <v>4797.3900000000003</v>
      </c>
      <c r="O3008">
        <v>1373.87</v>
      </c>
      <c r="P3008">
        <v>1490.57</v>
      </c>
      <c r="Q3008">
        <v>344.59</v>
      </c>
      <c r="R3008">
        <v>2232.7800000000002</v>
      </c>
      <c r="S3008">
        <v>897.47</v>
      </c>
      <c r="T3008">
        <v>38605.71</v>
      </c>
      <c r="U3008">
        <v>13089.74</v>
      </c>
      <c r="V3008">
        <v>1953.07</v>
      </c>
      <c r="W3008">
        <v>1943.76</v>
      </c>
      <c r="X3008">
        <v>41461.519999999997</v>
      </c>
      <c r="Y3008">
        <v>38737.699999999997</v>
      </c>
    </row>
    <row r="3009" spans="1:25" x14ac:dyDescent="0.25">
      <c r="A3009" t="s">
        <v>3065</v>
      </c>
      <c r="B3009" s="1">
        <v>45771</v>
      </c>
      <c r="C3009">
        <v>2025</v>
      </c>
      <c r="D3009">
        <v>4</v>
      </c>
      <c r="E3009" t="s">
        <v>357</v>
      </c>
      <c r="F3009" t="s">
        <v>358</v>
      </c>
      <c r="G3009" t="s">
        <v>44</v>
      </c>
      <c r="H3009" t="s">
        <v>29</v>
      </c>
      <c r="I3009" t="s">
        <v>39</v>
      </c>
      <c r="J3009">
        <v>27</v>
      </c>
      <c r="K3009">
        <v>1664.06</v>
      </c>
      <c r="L3009">
        <v>44929.56</v>
      </c>
      <c r="M3009">
        <v>30161.46</v>
      </c>
      <c r="N3009">
        <v>3212.33</v>
      </c>
      <c r="O3009">
        <v>2873.04</v>
      </c>
      <c r="P3009">
        <v>1021.95</v>
      </c>
      <c r="Q3009">
        <v>589.48</v>
      </c>
      <c r="R3009">
        <v>1266.8699999999999</v>
      </c>
      <c r="S3009">
        <v>472.18</v>
      </c>
      <c r="T3009">
        <v>39597.31</v>
      </c>
      <c r="U3009">
        <v>14768.11</v>
      </c>
      <c r="V3009">
        <v>5332.25</v>
      </c>
      <c r="W3009">
        <v>5192.7</v>
      </c>
      <c r="X3009">
        <v>49591.45</v>
      </c>
      <c r="Y3009">
        <v>38899.79</v>
      </c>
    </row>
    <row r="3010" spans="1:25" x14ac:dyDescent="0.25">
      <c r="A3010" t="s">
        <v>3066</v>
      </c>
      <c r="B3010" s="1">
        <v>45771</v>
      </c>
      <c r="C3010">
        <v>2025</v>
      </c>
      <c r="D3010">
        <v>4</v>
      </c>
      <c r="E3010" t="s">
        <v>357</v>
      </c>
      <c r="F3010" t="s">
        <v>358</v>
      </c>
      <c r="G3010" t="s">
        <v>55</v>
      </c>
      <c r="H3010" t="s">
        <v>32</v>
      </c>
      <c r="I3010" t="s">
        <v>33</v>
      </c>
      <c r="J3010">
        <v>101</v>
      </c>
      <c r="K3010">
        <v>1232.52</v>
      </c>
      <c r="L3010">
        <v>124484.24</v>
      </c>
      <c r="M3010">
        <v>63412.25</v>
      </c>
      <c r="N3010">
        <v>15683.23</v>
      </c>
      <c r="O3010">
        <v>4940.6499999999996</v>
      </c>
      <c r="P3010">
        <v>4570.8900000000003</v>
      </c>
      <c r="Q3010">
        <v>1046.3499999999999</v>
      </c>
      <c r="R3010">
        <v>4420.45</v>
      </c>
      <c r="S3010">
        <v>2045.21</v>
      </c>
      <c r="T3010">
        <v>96119.02</v>
      </c>
      <c r="U3010">
        <v>61071.99</v>
      </c>
      <c r="V3010">
        <v>28365.21</v>
      </c>
      <c r="W3010">
        <v>28176.35</v>
      </c>
      <c r="X3010">
        <v>134654.14000000001</v>
      </c>
      <c r="Y3010">
        <v>101762.47</v>
      </c>
    </row>
    <row r="3011" spans="1:25" x14ac:dyDescent="0.25">
      <c r="A3011" t="s">
        <v>3067</v>
      </c>
      <c r="B3011" s="1">
        <v>45771</v>
      </c>
      <c r="C3011">
        <v>2025</v>
      </c>
      <c r="D3011">
        <v>4</v>
      </c>
      <c r="E3011" t="s">
        <v>357</v>
      </c>
      <c r="F3011" t="s">
        <v>358</v>
      </c>
      <c r="G3011" t="s">
        <v>28</v>
      </c>
      <c r="H3011" t="s">
        <v>32</v>
      </c>
      <c r="I3011" t="s">
        <v>45</v>
      </c>
      <c r="J3011">
        <v>49</v>
      </c>
      <c r="K3011">
        <v>920.2</v>
      </c>
      <c r="L3011">
        <v>45089.81</v>
      </c>
      <c r="M3011">
        <v>28624.52</v>
      </c>
      <c r="N3011">
        <v>5375.73</v>
      </c>
      <c r="O3011">
        <v>1940.76</v>
      </c>
      <c r="P3011">
        <v>1550.91</v>
      </c>
      <c r="Q3011">
        <v>601.47</v>
      </c>
      <c r="R3011">
        <v>1778.52</v>
      </c>
      <c r="S3011">
        <v>461.37</v>
      </c>
      <c r="T3011">
        <v>40333.279999999999</v>
      </c>
      <c r="U3011">
        <v>16465.29</v>
      </c>
      <c r="V3011">
        <v>4756.53</v>
      </c>
      <c r="W3011">
        <v>4199.9799999999996</v>
      </c>
      <c r="X3011">
        <v>48051.77</v>
      </c>
      <c r="Y3011">
        <v>44110.96</v>
      </c>
    </row>
    <row r="3012" spans="1:25" x14ac:dyDescent="0.25">
      <c r="A3012" t="s">
        <v>3068</v>
      </c>
      <c r="B3012" s="1">
        <v>45771</v>
      </c>
      <c r="C3012">
        <v>2025</v>
      </c>
      <c r="D3012">
        <v>4</v>
      </c>
      <c r="E3012" t="s">
        <v>357</v>
      </c>
      <c r="F3012" t="s">
        <v>358</v>
      </c>
      <c r="G3012" t="s">
        <v>35</v>
      </c>
      <c r="H3012" t="s">
        <v>36</v>
      </c>
      <c r="I3012" t="s">
        <v>45</v>
      </c>
      <c r="J3012">
        <v>40</v>
      </c>
      <c r="K3012">
        <v>1095.4100000000001</v>
      </c>
      <c r="L3012">
        <v>43816.58</v>
      </c>
      <c r="M3012">
        <v>27076.51</v>
      </c>
      <c r="N3012">
        <v>5464.61</v>
      </c>
      <c r="O3012">
        <v>2348.4699999999998</v>
      </c>
      <c r="P3012">
        <v>1539.84</v>
      </c>
      <c r="Q3012">
        <v>569.5</v>
      </c>
      <c r="R3012">
        <v>2040.94</v>
      </c>
      <c r="S3012">
        <v>975.64</v>
      </c>
      <c r="T3012">
        <v>40015.5</v>
      </c>
      <c r="U3012">
        <v>16740.07</v>
      </c>
      <c r="V3012">
        <v>3801.08</v>
      </c>
      <c r="W3012">
        <v>3561.74</v>
      </c>
      <c r="X3012">
        <v>44174.25</v>
      </c>
      <c r="Y3012">
        <v>39963.71</v>
      </c>
    </row>
    <row r="3013" spans="1:25" x14ac:dyDescent="0.25">
      <c r="A3013" t="s">
        <v>3069</v>
      </c>
      <c r="B3013" s="1">
        <v>45771</v>
      </c>
      <c r="C3013">
        <v>2025</v>
      </c>
      <c r="D3013">
        <v>4</v>
      </c>
      <c r="E3013" t="s">
        <v>357</v>
      </c>
      <c r="F3013" t="s">
        <v>358</v>
      </c>
      <c r="G3013" t="s">
        <v>35</v>
      </c>
      <c r="H3013" t="s">
        <v>29</v>
      </c>
      <c r="I3013" t="s">
        <v>65</v>
      </c>
      <c r="J3013">
        <v>31</v>
      </c>
      <c r="K3013">
        <v>1375.37</v>
      </c>
      <c r="L3013">
        <v>42636.41</v>
      </c>
      <c r="M3013">
        <v>22469.9</v>
      </c>
      <c r="N3013">
        <v>4967.1099999999997</v>
      </c>
      <c r="O3013">
        <v>3189.47</v>
      </c>
      <c r="P3013">
        <v>741.32</v>
      </c>
      <c r="Q3013">
        <v>692.69</v>
      </c>
      <c r="R3013">
        <v>1255.54</v>
      </c>
      <c r="S3013">
        <v>823.16</v>
      </c>
      <c r="T3013">
        <v>34139.19</v>
      </c>
      <c r="U3013">
        <v>20166.52</v>
      </c>
      <c r="V3013">
        <v>8497.23</v>
      </c>
      <c r="W3013">
        <v>7885.3</v>
      </c>
      <c r="X3013">
        <v>41960.22</v>
      </c>
      <c r="Y3013">
        <v>36063.620000000003</v>
      </c>
    </row>
    <row r="3014" spans="1:25" x14ac:dyDescent="0.25">
      <c r="A3014" t="s">
        <v>3070</v>
      </c>
      <c r="B3014" s="1">
        <v>45772</v>
      </c>
      <c r="C3014">
        <v>2025</v>
      </c>
      <c r="D3014">
        <v>4</v>
      </c>
      <c r="E3014" t="s">
        <v>357</v>
      </c>
      <c r="F3014" t="s">
        <v>358</v>
      </c>
      <c r="G3014" t="s">
        <v>35</v>
      </c>
      <c r="H3014" t="s">
        <v>29</v>
      </c>
      <c r="I3014" t="s">
        <v>56</v>
      </c>
      <c r="J3014">
        <v>28</v>
      </c>
      <c r="K3014">
        <v>1157.06</v>
      </c>
      <c r="L3014">
        <v>32397.8</v>
      </c>
      <c r="M3014">
        <v>16698.61</v>
      </c>
      <c r="N3014">
        <v>3705.1</v>
      </c>
      <c r="O3014">
        <v>1325.78</v>
      </c>
      <c r="P3014">
        <v>561.02</v>
      </c>
      <c r="Q3014">
        <v>172.4</v>
      </c>
      <c r="R3014">
        <v>882.52</v>
      </c>
      <c r="S3014">
        <v>462.81</v>
      </c>
      <c r="T3014">
        <v>23808.240000000002</v>
      </c>
      <c r="U3014">
        <v>15699.19</v>
      </c>
      <c r="V3014">
        <v>8589.56</v>
      </c>
      <c r="W3014">
        <v>8100.4</v>
      </c>
      <c r="X3014">
        <v>32889.97</v>
      </c>
      <c r="Y3014">
        <v>22889.43</v>
      </c>
    </row>
    <row r="3015" spans="1:25" x14ac:dyDescent="0.25">
      <c r="A3015" t="s">
        <v>3071</v>
      </c>
      <c r="B3015" s="1">
        <v>45772</v>
      </c>
      <c r="C3015">
        <v>2025</v>
      </c>
      <c r="D3015">
        <v>4</v>
      </c>
      <c r="E3015" t="s">
        <v>357</v>
      </c>
      <c r="F3015" t="s">
        <v>358</v>
      </c>
      <c r="G3015" t="s">
        <v>35</v>
      </c>
      <c r="H3015" t="s">
        <v>32</v>
      </c>
      <c r="I3015" t="s">
        <v>45</v>
      </c>
      <c r="J3015">
        <v>39</v>
      </c>
      <c r="K3015">
        <v>1055.07</v>
      </c>
      <c r="L3015">
        <v>41147.58</v>
      </c>
      <c r="M3015">
        <v>27007.01</v>
      </c>
      <c r="N3015">
        <v>3809.1</v>
      </c>
      <c r="O3015">
        <v>1922.41</v>
      </c>
      <c r="P3015">
        <v>1181.81</v>
      </c>
      <c r="Q3015">
        <v>485.82</v>
      </c>
      <c r="R3015">
        <v>2077.59</v>
      </c>
      <c r="S3015">
        <v>609.94000000000005</v>
      </c>
      <c r="T3015">
        <v>37093.68</v>
      </c>
      <c r="U3015">
        <v>14140.57</v>
      </c>
      <c r="V3015">
        <v>4053.9</v>
      </c>
      <c r="W3015">
        <v>4095.91</v>
      </c>
      <c r="X3015">
        <v>40726.129999999997</v>
      </c>
      <c r="Y3015">
        <v>36241.54</v>
      </c>
    </row>
    <row r="3016" spans="1:25" x14ac:dyDescent="0.25">
      <c r="A3016" t="s">
        <v>3072</v>
      </c>
      <c r="B3016" s="1">
        <v>45772</v>
      </c>
      <c r="C3016">
        <v>2025</v>
      </c>
      <c r="D3016">
        <v>4</v>
      </c>
      <c r="E3016" t="s">
        <v>357</v>
      </c>
      <c r="F3016" t="s">
        <v>358</v>
      </c>
      <c r="G3016" t="s">
        <v>44</v>
      </c>
      <c r="H3016" t="s">
        <v>53</v>
      </c>
      <c r="I3016" t="s">
        <v>65</v>
      </c>
      <c r="J3016">
        <v>42</v>
      </c>
      <c r="K3016">
        <v>1073.83</v>
      </c>
      <c r="L3016">
        <v>45100.81</v>
      </c>
      <c r="M3016">
        <v>26210.59</v>
      </c>
      <c r="N3016">
        <v>5862.54</v>
      </c>
      <c r="O3016">
        <v>1787.5</v>
      </c>
      <c r="P3016">
        <v>1081.51</v>
      </c>
      <c r="Q3016">
        <v>354.68</v>
      </c>
      <c r="R3016">
        <v>2286.0100000000002</v>
      </c>
      <c r="S3016">
        <v>766.99</v>
      </c>
      <c r="T3016">
        <v>38349.82</v>
      </c>
      <c r="U3016">
        <v>18890.22</v>
      </c>
      <c r="V3016">
        <v>6750.99</v>
      </c>
      <c r="W3016">
        <v>6410.87</v>
      </c>
      <c r="X3016">
        <v>47120.02</v>
      </c>
      <c r="Y3016">
        <v>36419.83</v>
      </c>
    </row>
    <row r="3017" spans="1:25" x14ac:dyDescent="0.25">
      <c r="A3017" t="s">
        <v>3073</v>
      </c>
      <c r="B3017" s="1">
        <v>45773</v>
      </c>
      <c r="C3017">
        <v>2025</v>
      </c>
      <c r="D3017">
        <v>4</v>
      </c>
      <c r="E3017" t="s">
        <v>357</v>
      </c>
      <c r="F3017" t="s">
        <v>358</v>
      </c>
      <c r="G3017" t="s">
        <v>55</v>
      </c>
      <c r="H3017" t="s">
        <v>32</v>
      </c>
      <c r="I3017" t="s">
        <v>30</v>
      </c>
      <c r="J3017">
        <v>126</v>
      </c>
      <c r="K3017">
        <v>848.16</v>
      </c>
      <c r="L3017">
        <v>106868.51</v>
      </c>
      <c r="M3017">
        <v>57375.45</v>
      </c>
      <c r="N3017">
        <v>10792.04</v>
      </c>
      <c r="O3017">
        <v>5918.38</v>
      </c>
      <c r="P3017">
        <v>4434.46</v>
      </c>
      <c r="Q3017">
        <v>979.92</v>
      </c>
      <c r="R3017">
        <v>5959.96</v>
      </c>
      <c r="S3017">
        <v>2299.98</v>
      </c>
      <c r="T3017">
        <v>87760.2</v>
      </c>
      <c r="U3017">
        <v>49493.07</v>
      </c>
      <c r="V3017">
        <v>19108.310000000001</v>
      </c>
      <c r="W3017">
        <v>17662.61</v>
      </c>
      <c r="X3017">
        <v>114584.87</v>
      </c>
      <c r="Y3017">
        <v>86337.47</v>
      </c>
    </row>
    <row r="3018" spans="1:25" x14ac:dyDescent="0.25">
      <c r="A3018" t="s">
        <v>3074</v>
      </c>
      <c r="B3018" s="1">
        <v>45773</v>
      </c>
      <c r="C3018">
        <v>2025</v>
      </c>
      <c r="D3018">
        <v>4</v>
      </c>
      <c r="E3018" t="s">
        <v>357</v>
      </c>
      <c r="F3018" t="s">
        <v>358</v>
      </c>
      <c r="G3018" t="s">
        <v>55</v>
      </c>
      <c r="H3018" t="s">
        <v>32</v>
      </c>
      <c r="I3018" t="s">
        <v>33</v>
      </c>
      <c r="J3018">
        <v>53</v>
      </c>
      <c r="K3018">
        <v>1622.81</v>
      </c>
      <c r="L3018">
        <v>86008.89</v>
      </c>
      <c r="M3018">
        <v>56717.19</v>
      </c>
      <c r="N3018">
        <v>10172.91</v>
      </c>
      <c r="O3018">
        <v>5529.75</v>
      </c>
      <c r="P3018">
        <v>3218.33</v>
      </c>
      <c r="Q3018">
        <v>1213.3399999999999</v>
      </c>
      <c r="R3018">
        <v>2733.38</v>
      </c>
      <c r="S3018">
        <v>1272.5</v>
      </c>
      <c r="T3018">
        <v>80857.399999999994</v>
      </c>
      <c r="U3018">
        <v>29291.69</v>
      </c>
      <c r="V3018">
        <v>5151.49</v>
      </c>
      <c r="W3018">
        <v>5025.87</v>
      </c>
      <c r="X3018">
        <v>85717.41</v>
      </c>
      <c r="Y3018">
        <v>76997.58</v>
      </c>
    </row>
    <row r="3019" spans="1:25" x14ac:dyDescent="0.25">
      <c r="A3019" t="s">
        <v>3075</v>
      </c>
      <c r="B3019" s="1">
        <v>45773</v>
      </c>
      <c r="C3019">
        <v>2025</v>
      </c>
      <c r="D3019">
        <v>4</v>
      </c>
      <c r="E3019" t="s">
        <v>357</v>
      </c>
      <c r="F3019" t="s">
        <v>358</v>
      </c>
      <c r="G3019" t="s">
        <v>28</v>
      </c>
      <c r="H3019" t="s">
        <v>58</v>
      </c>
      <c r="I3019" t="s">
        <v>37</v>
      </c>
      <c r="J3019">
        <v>52</v>
      </c>
      <c r="K3019">
        <v>1263.28</v>
      </c>
      <c r="L3019">
        <v>65690.67</v>
      </c>
      <c r="M3019">
        <v>40132.019999999997</v>
      </c>
      <c r="N3019">
        <v>5144.04</v>
      </c>
      <c r="O3019">
        <v>4809.6899999999996</v>
      </c>
      <c r="P3019">
        <v>2470.2199999999998</v>
      </c>
      <c r="Q3019">
        <v>593.76</v>
      </c>
      <c r="R3019">
        <v>2819.74</v>
      </c>
      <c r="S3019">
        <v>796.66</v>
      </c>
      <c r="T3019">
        <v>56766.14</v>
      </c>
      <c r="U3019">
        <v>25558.65</v>
      </c>
      <c r="V3019">
        <v>8924.5300000000007</v>
      </c>
      <c r="W3019">
        <v>8269.19</v>
      </c>
      <c r="X3019">
        <v>64763.08</v>
      </c>
      <c r="Y3019">
        <v>56568.41</v>
      </c>
    </row>
    <row r="3020" spans="1:25" x14ac:dyDescent="0.25">
      <c r="A3020" t="s">
        <v>3076</v>
      </c>
      <c r="B3020" s="1">
        <v>45774</v>
      </c>
      <c r="C3020">
        <v>2025</v>
      </c>
      <c r="D3020">
        <v>4</v>
      </c>
      <c r="E3020" t="s">
        <v>357</v>
      </c>
      <c r="F3020" t="s">
        <v>358</v>
      </c>
      <c r="G3020" t="s">
        <v>55</v>
      </c>
      <c r="H3020" t="s">
        <v>32</v>
      </c>
      <c r="I3020" t="s">
        <v>37</v>
      </c>
      <c r="J3020">
        <v>99</v>
      </c>
      <c r="K3020">
        <v>942.48</v>
      </c>
      <c r="L3020">
        <v>93305.69</v>
      </c>
      <c r="M3020">
        <v>58861.84</v>
      </c>
      <c r="N3020">
        <v>8831.51</v>
      </c>
      <c r="O3020">
        <v>3821.94</v>
      </c>
      <c r="P3020">
        <v>3950.89</v>
      </c>
      <c r="Q3020">
        <v>1395.67</v>
      </c>
      <c r="R3020">
        <v>4874.34</v>
      </c>
      <c r="S3020">
        <v>927.21</v>
      </c>
      <c r="T3020">
        <v>82663.399999999994</v>
      </c>
      <c r="U3020">
        <v>34443.85</v>
      </c>
      <c r="V3020">
        <v>10642.29</v>
      </c>
      <c r="W3020">
        <v>10785.62</v>
      </c>
      <c r="X3020">
        <v>101270.36</v>
      </c>
      <c r="Y3020">
        <v>86328.56</v>
      </c>
    </row>
    <row r="3021" spans="1:25" x14ac:dyDescent="0.25">
      <c r="A3021" t="s">
        <v>3077</v>
      </c>
      <c r="B3021" s="1">
        <v>45774</v>
      </c>
      <c r="C3021">
        <v>2025</v>
      </c>
      <c r="D3021">
        <v>4</v>
      </c>
      <c r="E3021" t="s">
        <v>357</v>
      </c>
      <c r="F3021" t="s">
        <v>358</v>
      </c>
      <c r="G3021" t="s">
        <v>55</v>
      </c>
      <c r="H3021" t="s">
        <v>32</v>
      </c>
      <c r="I3021" t="s">
        <v>30</v>
      </c>
      <c r="J3021">
        <v>68</v>
      </c>
      <c r="K3021">
        <v>1493.84</v>
      </c>
      <c r="L3021">
        <v>101581.23</v>
      </c>
      <c r="M3021">
        <v>51246.41</v>
      </c>
      <c r="N3021">
        <v>7931.94</v>
      </c>
      <c r="O3021">
        <v>2690.18</v>
      </c>
      <c r="P3021">
        <v>3877.42</v>
      </c>
      <c r="Q3021">
        <v>1598.59</v>
      </c>
      <c r="R3021">
        <v>5152.25</v>
      </c>
      <c r="S3021">
        <v>1930.41</v>
      </c>
      <c r="T3021">
        <v>74427.199999999997</v>
      </c>
      <c r="U3021">
        <v>50334.81</v>
      </c>
      <c r="V3021">
        <v>27154.02</v>
      </c>
      <c r="W3021">
        <v>27345.06</v>
      </c>
      <c r="X3021">
        <v>97246.02</v>
      </c>
      <c r="Y3021">
        <v>73927.23</v>
      </c>
    </row>
    <row r="3022" spans="1:25" x14ac:dyDescent="0.25">
      <c r="A3022" t="s">
        <v>3078</v>
      </c>
      <c r="B3022" s="1">
        <v>45774</v>
      </c>
      <c r="C3022">
        <v>2025</v>
      </c>
      <c r="D3022">
        <v>4</v>
      </c>
      <c r="E3022" t="s">
        <v>357</v>
      </c>
      <c r="F3022" t="s">
        <v>358</v>
      </c>
      <c r="G3022" t="s">
        <v>55</v>
      </c>
      <c r="H3022" t="s">
        <v>29</v>
      </c>
      <c r="I3022" t="s">
        <v>33</v>
      </c>
      <c r="J3022">
        <v>64</v>
      </c>
      <c r="K3022">
        <v>1526.41</v>
      </c>
      <c r="L3022">
        <v>97690.55</v>
      </c>
      <c r="M3022">
        <v>55969.66</v>
      </c>
      <c r="N3022">
        <v>9786.11</v>
      </c>
      <c r="O3022">
        <v>6975.97</v>
      </c>
      <c r="P3022">
        <v>3110.61</v>
      </c>
      <c r="Q3022">
        <v>1121.32</v>
      </c>
      <c r="R3022">
        <v>6331.19</v>
      </c>
      <c r="S3022">
        <v>2369.7800000000002</v>
      </c>
      <c r="T3022">
        <v>85664.63</v>
      </c>
      <c r="U3022">
        <v>41720.89</v>
      </c>
      <c r="V3022">
        <v>12025.92</v>
      </c>
      <c r="W3022">
        <v>11141.65</v>
      </c>
      <c r="X3022">
        <v>96766.55</v>
      </c>
      <c r="Y3022">
        <v>92690.62</v>
      </c>
    </row>
    <row r="3023" spans="1:25" x14ac:dyDescent="0.25">
      <c r="A3023" t="s">
        <v>3079</v>
      </c>
      <c r="B3023" s="1">
        <v>45774</v>
      </c>
      <c r="C3023">
        <v>2025</v>
      </c>
      <c r="D3023">
        <v>4</v>
      </c>
      <c r="E3023" t="s">
        <v>357</v>
      </c>
      <c r="F3023" t="s">
        <v>358</v>
      </c>
      <c r="G3023" t="s">
        <v>35</v>
      </c>
      <c r="H3023" t="s">
        <v>32</v>
      </c>
      <c r="I3023" t="s">
        <v>39</v>
      </c>
      <c r="J3023">
        <v>37</v>
      </c>
      <c r="K3023">
        <v>1057.69</v>
      </c>
      <c r="L3023">
        <v>39134.35</v>
      </c>
      <c r="M3023">
        <v>25448.71</v>
      </c>
      <c r="N3023">
        <v>4492.09</v>
      </c>
      <c r="O3023">
        <v>1633.48</v>
      </c>
      <c r="P3023">
        <v>962.28</v>
      </c>
      <c r="Q3023">
        <v>295.89</v>
      </c>
      <c r="R3023">
        <v>2498.58</v>
      </c>
      <c r="S3023">
        <v>923.16</v>
      </c>
      <c r="T3023">
        <v>36254.199999999997</v>
      </c>
      <c r="U3023">
        <v>13685.64</v>
      </c>
      <c r="V3023">
        <v>2880.15</v>
      </c>
      <c r="W3023">
        <v>2611.65</v>
      </c>
      <c r="X3023">
        <v>42126.26</v>
      </c>
      <c r="Y3023">
        <v>38394.21</v>
      </c>
    </row>
    <row r="3024" spans="1:25" x14ac:dyDescent="0.25">
      <c r="A3024" t="s">
        <v>3080</v>
      </c>
      <c r="B3024" s="1">
        <v>45775</v>
      </c>
      <c r="C3024">
        <v>2025</v>
      </c>
      <c r="D3024">
        <v>4</v>
      </c>
      <c r="E3024" t="s">
        <v>357</v>
      </c>
      <c r="F3024" t="s">
        <v>358</v>
      </c>
      <c r="G3024" t="s">
        <v>44</v>
      </c>
      <c r="H3024" t="s">
        <v>32</v>
      </c>
      <c r="I3024" t="s">
        <v>37</v>
      </c>
      <c r="J3024">
        <v>69</v>
      </c>
      <c r="K3024">
        <v>1014.88</v>
      </c>
      <c r="L3024">
        <v>70026.58</v>
      </c>
      <c r="M3024">
        <v>46527.839999999997</v>
      </c>
      <c r="N3024">
        <v>7796.79</v>
      </c>
      <c r="O3024">
        <v>3982.28</v>
      </c>
      <c r="P3024">
        <v>1687.23</v>
      </c>
      <c r="Q3024">
        <v>1089.6199999999999</v>
      </c>
      <c r="R3024">
        <v>3312.87</v>
      </c>
      <c r="S3024">
        <v>1194.1400000000001</v>
      </c>
      <c r="T3024">
        <v>65590.77</v>
      </c>
      <c r="U3024">
        <v>23498.73</v>
      </c>
      <c r="V3024">
        <v>4435.8100000000004</v>
      </c>
      <c r="W3024">
        <v>4210.1499999999996</v>
      </c>
      <c r="X3024">
        <v>68395.37</v>
      </c>
      <c r="Y3024">
        <v>68910.12</v>
      </c>
    </row>
    <row r="3025" spans="1:25" x14ac:dyDescent="0.25">
      <c r="A3025" t="s">
        <v>3081</v>
      </c>
      <c r="B3025" s="1">
        <v>45775</v>
      </c>
      <c r="C3025">
        <v>2025</v>
      </c>
      <c r="D3025">
        <v>4</v>
      </c>
      <c r="E3025" t="s">
        <v>357</v>
      </c>
      <c r="F3025" t="s">
        <v>358</v>
      </c>
      <c r="G3025" t="s">
        <v>55</v>
      </c>
      <c r="H3025" t="s">
        <v>32</v>
      </c>
      <c r="I3025" t="s">
        <v>65</v>
      </c>
      <c r="J3025">
        <v>61</v>
      </c>
      <c r="K3025">
        <v>1598.98</v>
      </c>
      <c r="L3025">
        <v>97537.94</v>
      </c>
      <c r="M3025">
        <v>50565.64</v>
      </c>
      <c r="N3025">
        <v>8783.07</v>
      </c>
      <c r="O3025">
        <v>4402.04</v>
      </c>
      <c r="P3025">
        <v>1773.28</v>
      </c>
      <c r="Q3025">
        <v>935.15</v>
      </c>
      <c r="R3025">
        <v>4274.58</v>
      </c>
      <c r="S3025">
        <v>1701.19</v>
      </c>
      <c r="T3025">
        <v>72434.95</v>
      </c>
      <c r="U3025">
        <v>46972.3</v>
      </c>
      <c r="V3025">
        <v>25102.99</v>
      </c>
      <c r="W3025">
        <v>24862.55</v>
      </c>
      <c r="X3025">
        <v>96396.45</v>
      </c>
      <c r="Y3025">
        <v>67784.44</v>
      </c>
    </row>
    <row r="3026" spans="1:25" x14ac:dyDescent="0.25">
      <c r="A3026" t="s">
        <v>3082</v>
      </c>
      <c r="B3026" s="1">
        <v>45775</v>
      </c>
      <c r="C3026">
        <v>2025</v>
      </c>
      <c r="D3026">
        <v>4</v>
      </c>
      <c r="E3026" t="s">
        <v>357</v>
      </c>
      <c r="F3026" t="s">
        <v>358</v>
      </c>
      <c r="G3026" t="s">
        <v>44</v>
      </c>
      <c r="H3026" t="s">
        <v>32</v>
      </c>
      <c r="I3026" t="s">
        <v>56</v>
      </c>
      <c r="J3026">
        <v>34</v>
      </c>
      <c r="K3026">
        <v>1017.77</v>
      </c>
      <c r="L3026">
        <v>34604.25</v>
      </c>
      <c r="M3026">
        <v>20133.810000000001</v>
      </c>
      <c r="N3026">
        <v>2978.55</v>
      </c>
      <c r="O3026">
        <v>1570.72</v>
      </c>
      <c r="P3026">
        <v>1030.1400000000001</v>
      </c>
      <c r="Q3026">
        <v>477.67</v>
      </c>
      <c r="R3026">
        <v>2030.09</v>
      </c>
      <c r="S3026">
        <v>842.21</v>
      </c>
      <c r="T3026">
        <v>29063.18</v>
      </c>
      <c r="U3026">
        <v>14470.44</v>
      </c>
      <c r="V3026">
        <v>5541.07</v>
      </c>
      <c r="W3026">
        <v>5026.3900000000003</v>
      </c>
      <c r="X3026">
        <v>35479.15</v>
      </c>
      <c r="Y3026">
        <v>31099.54</v>
      </c>
    </row>
    <row r="3027" spans="1:25" x14ac:dyDescent="0.25">
      <c r="A3027" t="s">
        <v>3083</v>
      </c>
      <c r="B3027" s="1">
        <v>45775</v>
      </c>
      <c r="C3027">
        <v>2025</v>
      </c>
      <c r="D3027">
        <v>4</v>
      </c>
      <c r="E3027" t="s">
        <v>357</v>
      </c>
      <c r="F3027" t="s">
        <v>358</v>
      </c>
      <c r="G3027" t="s">
        <v>55</v>
      </c>
      <c r="H3027" t="s">
        <v>29</v>
      </c>
      <c r="I3027" t="s">
        <v>65</v>
      </c>
      <c r="J3027">
        <v>67</v>
      </c>
      <c r="K3027">
        <v>1188</v>
      </c>
      <c r="L3027">
        <v>79595.91</v>
      </c>
      <c r="M3027">
        <v>45645.54</v>
      </c>
      <c r="N3027">
        <v>7879.58</v>
      </c>
      <c r="O3027">
        <v>2120.25</v>
      </c>
      <c r="P3027">
        <v>3119.85</v>
      </c>
      <c r="Q3027">
        <v>742.19</v>
      </c>
      <c r="R3027">
        <v>4447.5</v>
      </c>
      <c r="S3027">
        <v>1152.3699999999999</v>
      </c>
      <c r="T3027">
        <v>65107.28</v>
      </c>
      <c r="U3027">
        <v>33950.370000000003</v>
      </c>
      <c r="V3027">
        <v>14488.63</v>
      </c>
      <c r="W3027">
        <v>14377.67</v>
      </c>
      <c r="X3027">
        <v>78417.210000000006</v>
      </c>
      <c r="Y3027">
        <v>63842.81</v>
      </c>
    </row>
    <row r="3028" spans="1:25" x14ac:dyDescent="0.25">
      <c r="A3028" t="s">
        <v>3084</v>
      </c>
      <c r="B3028" s="1">
        <v>45775</v>
      </c>
      <c r="C3028">
        <v>2025</v>
      </c>
      <c r="D3028">
        <v>4</v>
      </c>
      <c r="E3028" t="s">
        <v>357</v>
      </c>
      <c r="F3028" t="s">
        <v>358</v>
      </c>
      <c r="G3028" t="s">
        <v>55</v>
      </c>
      <c r="H3028" t="s">
        <v>53</v>
      </c>
      <c r="I3028" t="s">
        <v>39</v>
      </c>
      <c r="J3028">
        <v>27</v>
      </c>
      <c r="K3028">
        <v>1559.89</v>
      </c>
      <c r="L3028">
        <v>42116.9</v>
      </c>
      <c r="M3028">
        <v>20852.509999999998</v>
      </c>
      <c r="N3028">
        <v>4303.79</v>
      </c>
      <c r="O3028">
        <v>2959.35</v>
      </c>
      <c r="P3028">
        <v>819.28</v>
      </c>
      <c r="Q3028">
        <v>672.43</v>
      </c>
      <c r="R3028">
        <v>2577.1799999999998</v>
      </c>
      <c r="S3028">
        <v>608.37</v>
      </c>
      <c r="T3028">
        <v>32792.89</v>
      </c>
      <c r="U3028">
        <v>21264.39</v>
      </c>
      <c r="V3028">
        <v>9324</v>
      </c>
      <c r="W3028">
        <v>9170.52</v>
      </c>
      <c r="X3028">
        <v>42657.64</v>
      </c>
      <c r="Y3028">
        <v>34910.32</v>
      </c>
    </row>
    <row r="3029" spans="1:25" x14ac:dyDescent="0.25">
      <c r="A3029" t="s">
        <v>3085</v>
      </c>
      <c r="B3029" s="1">
        <v>45775</v>
      </c>
      <c r="C3029">
        <v>2025</v>
      </c>
      <c r="D3029">
        <v>4</v>
      </c>
      <c r="E3029" t="s">
        <v>357</v>
      </c>
      <c r="F3029" t="s">
        <v>358</v>
      </c>
      <c r="G3029" t="s">
        <v>44</v>
      </c>
      <c r="H3029" t="s">
        <v>36</v>
      </c>
      <c r="I3029" t="s">
        <v>56</v>
      </c>
      <c r="J3029">
        <v>23</v>
      </c>
      <c r="K3029">
        <v>1667.6</v>
      </c>
      <c r="L3029">
        <v>38354.910000000003</v>
      </c>
      <c r="M3029">
        <v>25404.49</v>
      </c>
      <c r="N3029">
        <v>3985.47</v>
      </c>
      <c r="O3029">
        <v>1652.96</v>
      </c>
      <c r="P3029">
        <v>1656.81</v>
      </c>
      <c r="Q3029">
        <v>268.42</v>
      </c>
      <c r="R3029">
        <v>1526.67</v>
      </c>
      <c r="S3029">
        <v>415.58</v>
      </c>
      <c r="T3029">
        <v>34910.400000000001</v>
      </c>
      <c r="U3029">
        <v>12950.42</v>
      </c>
      <c r="V3029">
        <v>3444.51</v>
      </c>
      <c r="W3029">
        <v>3186.72</v>
      </c>
      <c r="X3029">
        <v>35857.29</v>
      </c>
      <c r="Y3029">
        <v>34931.65</v>
      </c>
    </row>
    <row r="3030" spans="1:25" x14ac:dyDescent="0.25">
      <c r="A3030" t="s">
        <v>3086</v>
      </c>
      <c r="B3030" s="1">
        <v>45776</v>
      </c>
      <c r="C3030">
        <v>2025</v>
      </c>
      <c r="D3030">
        <v>4</v>
      </c>
      <c r="E3030" t="s">
        <v>357</v>
      </c>
      <c r="F3030" t="s">
        <v>358</v>
      </c>
      <c r="G3030" t="s">
        <v>28</v>
      </c>
      <c r="H3030" t="s">
        <v>53</v>
      </c>
      <c r="I3030" t="s">
        <v>45</v>
      </c>
      <c r="J3030">
        <v>32</v>
      </c>
      <c r="K3030">
        <v>1489.44</v>
      </c>
      <c r="L3030">
        <v>47661.97</v>
      </c>
      <c r="M3030">
        <v>31082.38</v>
      </c>
      <c r="N3030">
        <v>4233.63</v>
      </c>
      <c r="O3030">
        <v>1933</v>
      </c>
      <c r="P3030">
        <v>1057.97</v>
      </c>
      <c r="Q3030">
        <v>614.15</v>
      </c>
      <c r="R3030">
        <v>1196.1500000000001</v>
      </c>
      <c r="S3030">
        <v>957.18</v>
      </c>
      <c r="T3030">
        <v>41074.449999999997</v>
      </c>
      <c r="U3030">
        <v>16579.59</v>
      </c>
      <c r="V3030">
        <v>6587.51</v>
      </c>
      <c r="W3030">
        <v>6367.71</v>
      </c>
      <c r="X3030">
        <v>50733.33</v>
      </c>
      <c r="Y3030">
        <v>44449.08</v>
      </c>
    </row>
    <row r="3031" spans="1:25" x14ac:dyDescent="0.25">
      <c r="A3031" t="s">
        <v>3087</v>
      </c>
      <c r="B3031" s="1">
        <v>45776</v>
      </c>
      <c r="C3031">
        <v>2025</v>
      </c>
      <c r="D3031">
        <v>4</v>
      </c>
      <c r="E3031" t="s">
        <v>357</v>
      </c>
      <c r="F3031" t="s">
        <v>358</v>
      </c>
      <c r="G3031" t="s">
        <v>28</v>
      </c>
      <c r="H3031" t="s">
        <v>36</v>
      </c>
      <c r="I3031" t="s">
        <v>45</v>
      </c>
      <c r="J3031">
        <v>26</v>
      </c>
      <c r="K3031">
        <v>1406.27</v>
      </c>
      <c r="L3031">
        <v>36562.949999999997</v>
      </c>
      <c r="M3031">
        <v>24846.31</v>
      </c>
      <c r="N3031">
        <v>3632.39</v>
      </c>
      <c r="O3031">
        <v>1245.79</v>
      </c>
      <c r="P3031">
        <v>1425.72</v>
      </c>
      <c r="Q3031">
        <v>200.88</v>
      </c>
      <c r="R3031">
        <v>2333.1799999999998</v>
      </c>
      <c r="S3031">
        <v>573.03</v>
      </c>
      <c r="T3031">
        <v>34257.300000000003</v>
      </c>
      <c r="U3031">
        <v>11716.64</v>
      </c>
      <c r="V3031">
        <v>2305.65</v>
      </c>
      <c r="W3031">
        <v>2241.5100000000002</v>
      </c>
      <c r="X3031">
        <v>36912.879999999997</v>
      </c>
      <c r="Y3031">
        <v>33790.67</v>
      </c>
    </row>
    <row r="3032" spans="1:25" x14ac:dyDescent="0.25">
      <c r="A3032" t="s">
        <v>3088</v>
      </c>
      <c r="B3032" s="1">
        <v>45776</v>
      </c>
      <c r="C3032">
        <v>2025</v>
      </c>
      <c r="D3032">
        <v>4</v>
      </c>
      <c r="E3032" t="s">
        <v>357</v>
      </c>
      <c r="F3032" t="s">
        <v>358</v>
      </c>
      <c r="G3032" t="s">
        <v>44</v>
      </c>
      <c r="H3032" t="s">
        <v>58</v>
      </c>
      <c r="I3032" t="s">
        <v>65</v>
      </c>
      <c r="J3032">
        <v>60</v>
      </c>
      <c r="K3032">
        <v>798.13</v>
      </c>
      <c r="L3032">
        <v>47887.51</v>
      </c>
      <c r="M3032">
        <v>27242.59</v>
      </c>
      <c r="N3032">
        <v>5739.84</v>
      </c>
      <c r="O3032">
        <v>1911.76</v>
      </c>
      <c r="P3032">
        <v>1678.36</v>
      </c>
      <c r="Q3032">
        <v>626.07000000000005</v>
      </c>
      <c r="R3032">
        <v>1338.16</v>
      </c>
      <c r="S3032">
        <v>975.45</v>
      </c>
      <c r="T3032">
        <v>39512.230000000003</v>
      </c>
      <c r="U3032">
        <v>20644.919999999998</v>
      </c>
      <c r="V3032">
        <v>8375.2800000000007</v>
      </c>
      <c r="W3032">
        <v>8035.55</v>
      </c>
      <c r="X3032">
        <v>49454.43</v>
      </c>
      <c r="Y3032">
        <v>42254.14</v>
      </c>
    </row>
    <row r="3033" spans="1:25" x14ac:dyDescent="0.25">
      <c r="A3033" t="s">
        <v>3089</v>
      </c>
      <c r="B3033" s="1">
        <v>45777</v>
      </c>
      <c r="C3033">
        <v>2025</v>
      </c>
      <c r="D3033">
        <v>4</v>
      </c>
      <c r="E3033" t="s">
        <v>357</v>
      </c>
      <c r="F3033" t="s">
        <v>358</v>
      </c>
      <c r="G3033" t="s">
        <v>28</v>
      </c>
      <c r="H3033" t="s">
        <v>29</v>
      </c>
      <c r="I3033" t="s">
        <v>30</v>
      </c>
      <c r="J3033">
        <v>96</v>
      </c>
      <c r="K3033">
        <v>1153.97</v>
      </c>
      <c r="L3033">
        <v>110781.4</v>
      </c>
      <c r="M3033">
        <v>70274.850000000006</v>
      </c>
      <c r="N3033">
        <v>9798.9</v>
      </c>
      <c r="O3033">
        <v>3853.48</v>
      </c>
      <c r="P3033">
        <v>2089.0500000000002</v>
      </c>
      <c r="Q3033">
        <v>1061.28</v>
      </c>
      <c r="R3033">
        <v>5061.58</v>
      </c>
      <c r="S3033">
        <v>1497.8</v>
      </c>
      <c r="T3033">
        <v>93636.94</v>
      </c>
      <c r="U3033">
        <v>40506.550000000003</v>
      </c>
      <c r="V3033">
        <v>17144.46</v>
      </c>
      <c r="W3033">
        <v>16521.310000000001</v>
      </c>
      <c r="X3033">
        <v>117646.73</v>
      </c>
      <c r="Y3033">
        <v>91317.06</v>
      </c>
    </row>
    <row r="3034" spans="1:25" x14ac:dyDescent="0.25">
      <c r="A3034" t="s">
        <v>3090</v>
      </c>
      <c r="B3034" s="1">
        <v>45777</v>
      </c>
      <c r="C3034">
        <v>2025</v>
      </c>
      <c r="D3034">
        <v>4</v>
      </c>
      <c r="E3034" t="s">
        <v>357</v>
      </c>
      <c r="F3034" t="s">
        <v>358</v>
      </c>
      <c r="G3034" t="s">
        <v>44</v>
      </c>
      <c r="H3034" t="s">
        <v>29</v>
      </c>
      <c r="I3034" t="s">
        <v>30</v>
      </c>
      <c r="J3034">
        <v>80</v>
      </c>
      <c r="K3034">
        <v>1161.1500000000001</v>
      </c>
      <c r="L3034">
        <v>92891.98</v>
      </c>
      <c r="M3034">
        <v>52627.51</v>
      </c>
      <c r="N3034">
        <v>8558.6</v>
      </c>
      <c r="O3034">
        <v>4685.08</v>
      </c>
      <c r="P3034">
        <v>2778.58</v>
      </c>
      <c r="Q3034">
        <v>467.35</v>
      </c>
      <c r="R3034">
        <v>4033.27</v>
      </c>
      <c r="S3034">
        <v>1073.56</v>
      </c>
      <c r="T3034">
        <v>74223.95</v>
      </c>
      <c r="U3034">
        <v>40264.47</v>
      </c>
      <c r="V3034">
        <v>18668.02</v>
      </c>
      <c r="W3034">
        <v>17466.2</v>
      </c>
      <c r="X3034">
        <v>92142.93</v>
      </c>
      <c r="Y3034">
        <v>72654.570000000007</v>
      </c>
    </row>
    <row r="3035" spans="1:25" x14ac:dyDescent="0.25">
      <c r="A3035" t="s">
        <v>3091</v>
      </c>
      <c r="B3035" s="1">
        <v>45777</v>
      </c>
      <c r="C3035">
        <v>2025</v>
      </c>
      <c r="D3035">
        <v>4</v>
      </c>
      <c r="E3035" t="s">
        <v>357</v>
      </c>
      <c r="F3035" t="s">
        <v>358</v>
      </c>
      <c r="G3035" t="s">
        <v>35</v>
      </c>
      <c r="H3035" t="s">
        <v>36</v>
      </c>
      <c r="I3035" t="s">
        <v>37</v>
      </c>
      <c r="J3035">
        <v>38</v>
      </c>
      <c r="K3035">
        <v>1702.64</v>
      </c>
      <c r="L3035">
        <v>64700.37</v>
      </c>
      <c r="M3035">
        <v>43809.25</v>
      </c>
      <c r="N3035">
        <v>6190.93</v>
      </c>
      <c r="O3035">
        <v>4140.6499999999996</v>
      </c>
      <c r="P3035">
        <v>2567.83</v>
      </c>
      <c r="Q3035">
        <v>1001.65</v>
      </c>
      <c r="R3035">
        <v>2199.75</v>
      </c>
      <c r="S3035">
        <v>592.73</v>
      </c>
      <c r="T3035">
        <v>60502.79</v>
      </c>
      <c r="U3035">
        <v>20891.12</v>
      </c>
      <c r="V3035">
        <v>4197.58</v>
      </c>
      <c r="W3035">
        <v>3956.83</v>
      </c>
      <c r="X3035">
        <v>71579.240000000005</v>
      </c>
      <c r="Y3035">
        <v>66265.73</v>
      </c>
    </row>
    <row r="3036" spans="1:25" x14ac:dyDescent="0.25">
      <c r="A3036" t="s">
        <v>3092</v>
      </c>
      <c r="B3036" s="1">
        <v>45777</v>
      </c>
      <c r="C3036">
        <v>2025</v>
      </c>
      <c r="D3036">
        <v>4</v>
      </c>
      <c r="E3036" t="s">
        <v>357</v>
      </c>
      <c r="F3036" t="s">
        <v>358</v>
      </c>
      <c r="G3036" t="s">
        <v>35</v>
      </c>
      <c r="H3036" t="s">
        <v>36</v>
      </c>
      <c r="I3036" t="s">
        <v>56</v>
      </c>
      <c r="J3036">
        <v>36</v>
      </c>
      <c r="K3036">
        <v>1066.56</v>
      </c>
      <c r="L3036">
        <v>38396.160000000003</v>
      </c>
      <c r="M3036">
        <v>19129.27</v>
      </c>
      <c r="N3036">
        <v>3365.87</v>
      </c>
      <c r="O3036">
        <v>1419.92</v>
      </c>
      <c r="P3036">
        <v>687.79</v>
      </c>
      <c r="Q3036">
        <v>242.17</v>
      </c>
      <c r="R3036">
        <v>2014.56</v>
      </c>
      <c r="S3036">
        <v>702.24</v>
      </c>
      <c r="T3036">
        <v>27561.82</v>
      </c>
      <c r="U3036">
        <v>19266.89</v>
      </c>
      <c r="V3036">
        <v>10834.34</v>
      </c>
      <c r="W3036">
        <v>10656.68</v>
      </c>
      <c r="X3036">
        <v>39813.67</v>
      </c>
      <c r="Y3036">
        <v>30071.05</v>
      </c>
    </row>
    <row r="3037" spans="1:25" x14ac:dyDescent="0.25">
      <c r="A3037" t="s">
        <v>3093</v>
      </c>
      <c r="B3037" s="1">
        <v>45778</v>
      </c>
      <c r="C3037">
        <v>2025</v>
      </c>
      <c r="D3037">
        <v>5</v>
      </c>
      <c r="E3037" t="s">
        <v>468</v>
      </c>
      <c r="F3037" t="s">
        <v>358</v>
      </c>
      <c r="G3037" t="s">
        <v>44</v>
      </c>
      <c r="H3037" t="s">
        <v>29</v>
      </c>
      <c r="I3037" t="s">
        <v>30</v>
      </c>
      <c r="J3037">
        <v>90</v>
      </c>
      <c r="K3037">
        <v>809.24</v>
      </c>
      <c r="L3037">
        <v>72831.520000000004</v>
      </c>
      <c r="M3037">
        <v>36586.36</v>
      </c>
      <c r="N3037">
        <v>6749.13</v>
      </c>
      <c r="O3037">
        <v>5440.09</v>
      </c>
      <c r="P3037">
        <v>2230.7399999999998</v>
      </c>
      <c r="Q3037">
        <v>558.16</v>
      </c>
      <c r="R3037">
        <v>4059.87</v>
      </c>
      <c r="S3037">
        <v>1158.2</v>
      </c>
      <c r="T3037">
        <v>56782.55</v>
      </c>
      <c r="U3037">
        <v>36245.15</v>
      </c>
      <c r="V3037">
        <v>16048.97</v>
      </c>
      <c r="W3037">
        <v>14350.88</v>
      </c>
      <c r="X3037">
        <v>80529.740000000005</v>
      </c>
      <c r="Y3037">
        <v>57205.61</v>
      </c>
    </row>
    <row r="3038" spans="1:25" x14ac:dyDescent="0.25">
      <c r="A3038" t="s">
        <v>3094</v>
      </c>
      <c r="B3038" s="1">
        <v>45778</v>
      </c>
      <c r="C3038">
        <v>2025</v>
      </c>
      <c r="D3038">
        <v>5</v>
      </c>
      <c r="E3038" t="s">
        <v>468</v>
      </c>
      <c r="F3038" t="s">
        <v>358</v>
      </c>
      <c r="G3038" t="s">
        <v>55</v>
      </c>
      <c r="H3038" t="s">
        <v>53</v>
      </c>
      <c r="I3038" t="s">
        <v>50</v>
      </c>
      <c r="J3038">
        <v>44</v>
      </c>
      <c r="K3038">
        <v>1295.95</v>
      </c>
      <c r="L3038">
        <v>57021.61</v>
      </c>
      <c r="M3038">
        <v>33281</v>
      </c>
      <c r="N3038">
        <v>7014.11</v>
      </c>
      <c r="O3038">
        <v>1640.01</v>
      </c>
      <c r="P3038">
        <v>1798.23</v>
      </c>
      <c r="Q3038">
        <v>784.16</v>
      </c>
      <c r="R3038">
        <v>2880.3</v>
      </c>
      <c r="S3038">
        <v>571.05999999999995</v>
      </c>
      <c r="T3038">
        <v>47968.87</v>
      </c>
      <c r="U3038">
        <v>23740.61</v>
      </c>
      <c r="V3038">
        <v>9052.74</v>
      </c>
      <c r="W3038">
        <v>9049.01</v>
      </c>
      <c r="X3038">
        <v>55794.52</v>
      </c>
      <c r="Y3038">
        <v>51032.05</v>
      </c>
    </row>
    <row r="3039" spans="1:25" x14ac:dyDescent="0.25">
      <c r="A3039" t="s">
        <v>3095</v>
      </c>
      <c r="B3039" s="1">
        <v>45779</v>
      </c>
      <c r="C3039">
        <v>2025</v>
      </c>
      <c r="D3039">
        <v>5</v>
      </c>
      <c r="E3039" t="s">
        <v>468</v>
      </c>
      <c r="F3039" t="s">
        <v>358</v>
      </c>
      <c r="G3039" t="s">
        <v>55</v>
      </c>
      <c r="H3039" t="s">
        <v>29</v>
      </c>
      <c r="I3039" t="s">
        <v>50</v>
      </c>
      <c r="J3039">
        <v>53</v>
      </c>
      <c r="K3039">
        <v>1338.39</v>
      </c>
      <c r="L3039">
        <v>70934.490000000005</v>
      </c>
      <c r="M3039">
        <v>35142.11</v>
      </c>
      <c r="N3039">
        <v>6469.29</v>
      </c>
      <c r="O3039">
        <v>2108.58</v>
      </c>
      <c r="P3039">
        <v>2324.7199999999998</v>
      </c>
      <c r="Q3039">
        <v>629.16999999999996</v>
      </c>
      <c r="R3039">
        <v>3912.27</v>
      </c>
      <c r="S3039">
        <v>1564.12</v>
      </c>
      <c r="T3039">
        <v>52150.27</v>
      </c>
      <c r="U3039">
        <v>35792.379999999997</v>
      </c>
      <c r="V3039">
        <v>18784.23</v>
      </c>
      <c r="W3039">
        <v>18694.509999999998</v>
      </c>
      <c r="X3039">
        <v>66415.28</v>
      </c>
      <c r="Y3039">
        <v>50326.23</v>
      </c>
    </row>
    <row r="3040" spans="1:25" x14ac:dyDescent="0.25">
      <c r="A3040" t="s">
        <v>3096</v>
      </c>
      <c r="B3040" s="1">
        <v>45779</v>
      </c>
      <c r="C3040">
        <v>2025</v>
      </c>
      <c r="D3040">
        <v>5</v>
      </c>
      <c r="E3040" t="s">
        <v>468</v>
      </c>
      <c r="F3040" t="s">
        <v>358</v>
      </c>
      <c r="G3040" t="s">
        <v>55</v>
      </c>
      <c r="H3040" t="s">
        <v>36</v>
      </c>
      <c r="I3040" t="s">
        <v>56</v>
      </c>
      <c r="J3040">
        <v>21</v>
      </c>
      <c r="K3040">
        <v>1405.51</v>
      </c>
      <c r="L3040">
        <v>29515.759999999998</v>
      </c>
      <c r="M3040">
        <v>16819.12</v>
      </c>
      <c r="N3040">
        <v>2128.9</v>
      </c>
      <c r="O3040">
        <v>1177.6300000000001</v>
      </c>
      <c r="P3040">
        <v>604.30999999999995</v>
      </c>
      <c r="Q3040">
        <v>206.22</v>
      </c>
      <c r="R3040">
        <v>749.74</v>
      </c>
      <c r="S3040">
        <v>640.09</v>
      </c>
      <c r="T3040">
        <v>22326.01</v>
      </c>
      <c r="U3040">
        <v>12696.64</v>
      </c>
      <c r="V3040">
        <v>7189.76</v>
      </c>
      <c r="W3040">
        <v>7214.33</v>
      </c>
      <c r="X3040">
        <v>28716.6</v>
      </c>
      <c r="Y3040">
        <v>24519.24</v>
      </c>
    </row>
    <row r="3041" spans="1:25" x14ac:dyDescent="0.25">
      <c r="A3041" t="s">
        <v>3097</v>
      </c>
      <c r="B3041" s="1">
        <v>45779</v>
      </c>
      <c r="C3041">
        <v>2025</v>
      </c>
      <c r="D3041">
        <v>5</v>
      </c>
      <c r="E3041" t="s">
        <v>468</v>
      </c>
      <c r="F3041" t="s">
        <v>358</v>
      </c>
      <c r="G3041" t="s">
        <v>28</v>
      </c>
      <c r="H3041" t="s">
        <v>36</v>
      </c>
      <c r="I3041" t="s">
        <v>65</v>
      </c>
      <c r="J3041">
        <v>36</v>
      </c>
      <c r="K3041">
        <v>1414.42</v>
      </c>
      <c r="L3041">
        <v>50919.199999999997</v>
      </c>
      <c r="M3041">
        <v>28638.94</v>
      </c>
      <c r="N3041">
        <v>6469.8</v>
      </c>
      <c r="O3041">
        <v>2057.19</v>
      </c>
      <c r="P3041">
        <v>1122.58</v>
      </c>
      <c r="Q3041">
        <v>296.22000000000003</v>
      </c>
      <c r="R3041">
        <v>3213.68</v>
      </c>
      <c r="S3041">
        <v>483.42</v>
      </c>
      <c r="T3041">
        <v>42281.82</v>
      </c>
      <c r="U3041">
        <v>22280.26</v>
      </c>
      <c r="V3041">
        <v>8637.3799999999992</v>
      </c>
      <c r="W3041">
        <v>7851.16</v>
      </c>
      <c r="X3041">
        <v>53403.03</v>
      </c>
      <c r="Y3041">
        <v>42530.45</v>
      </c>
    </row>
    <row r="3042" spans="1:25" x14ac:dyDescent="0.25">
      <c r="A3042" t="s">
        <v>3098</v>
      </c>
      <c r="B3042" s="1">
        <v>45779</v>
      </c>
      <c r="C3042">
        <v>2025</v>
      </c>
      <c r="D3042">
        <v>5</v>
      </c>
      <c r="E3042" t="s">
        <v>468</v>
      </c>
      <c r="F3042" t="s">
        <v>358</v>
      </c>
      <c r="G3042" t="s">
        <v>44</v>
      </c>
      <c r="H3042" t="s">
        <v>53</v>
      </c>
      <c r="I3042" t="s">
        <v>50</v>
      </c>
      <c r="J3042">
        <v>25</v>
      </c>
      <c r="K3042">
        <v>1610.37</v>
      </c>
      <c r="L3042">
        <v>40259.32</v>
      </c>
      <c r="M3042">
        <v>21786.29</v>
      </c>
      <c r="N3042">
        <v>4748.96</v>
      </c>
      <c r="O3042">
        <v>2506.84</v>
      </c>
      <c r="P3042">
        <v>921.25</v>
      </c>
      <c r="Q3042">
        <v>222.53</v>
      </c>
      <c r="R3042">
        <v>1408.52</v>
      </c>
      <c r="S3042">
        <v>356.85</v>
      </c>
      <c r="T3042">
        <v>31951.24</v>
      </c>
      <c r="U3042">
        <v>18473.03</v>
      </c>
      <c r="V3042">
        <v>8308.08</v>
      </c>
      <c r="W3042">
        <v>8082.62</v>
      </c>
      <c r="X3042">
        <v>38912.76</v>
      </c>
      <c r="Y3042">
        <v>34048.58</v>
      </c>
    </row>
    <row r="3043" spans="1:25" x14ac:dyDescent="0.25">
      <c r="A3043" t="s">
        <v>3099</v>
      </c>
      <c r="B3043" s="1">
        <v>45779</v>
      </c>
      <c r="C3043">
        <v>2025</v>
      </c>
      <c r="D3043">
        <v>5</v>
      </c>
      <c r="E3043" t="s">
        <v>468</v>
      </c>
      <c r="F3043" t="s">
        <v>358</v>
      </c>
      <c r="G3043" t="s">
        <v>44</v>
      </c>
      <c r="H3043" t="s">
        <v>53</v>
      </c>
      <c r="I3043" t="s">
        <v>39</v>
      </c>
      <c r="J3043">
        <v>44</v>
      </c>
      <c r="K3043">
        <v>810.38</v>
      </c>
      <c r="L3043">
        <v>35656.639999999999</v>
      </c>
      <c r="M3043">
        <v>21503.54</v>
      </c>
      <c r="N3043">
        <v>3560.84</v>
      </c>
      <c r="O3043">
        <v>1609.88</v>
      </c>
      <c r="P3043">
        <v>726.15</v>
      </c>
      <c r="Q3043">
        <v>586.96</v>
      </c>
      <c r="R3043">
        <v>1863.95</v>
      </c>
      <c r="S3043">
        <v>703.79</v>
      </c>
      <c r="T3043">
        <v>30555.1</v>
      </c>
      <c r="U3043">
        <v>14153.1</v>
      </c>
      <c r="V3043">
        <v>5101.54</v>
      </c>
      <c r="W3043">
        <v>4512.66</v>
      </c>
      <c r="X3043">
        <v>39196.74</v>
      </c>
      <c r="Y3043">
        <v>28416.92</v>
      </c>
    </row>
    <row r="3044" spans="1:25" x14ac:dyDescent="0.25">
      <c r="A3044" t="s">
        <v>3100</v>
      </c>
      <c r="B3044" s="1">
        <v>45780</v>
      </c>
      <c r="C3044">
        <v>2025</v>
      </c>
      <c r="D3044">
        <v>5</v>
      </c>
      <c r="E3044" t="s">
        <v>468</v>
      </c>
      <c r="F3044" t="s">
        <v>358</v>
      </c>
      <c r="G3044" t="s">
        <v>28</v>
      </c>
      <c r="H3044" t="s">
        <v>53</v>
      </c>
      <c r="I3044" t="s">
        <v>45</v>
      </c>
      <c r="J3044">
        <v>49</v>
      </c>
      <c r="K3044">
        <v>901.76</v>
      </c>
      <c r="L3044">
        <v>44186.47</v>
      </c>
      <c r="M3044">
        <v>28572.98</v>
      </c>
      <c r="N3044">
        <v>4693.6000000000004</v>
      </c>
      <c r="O3044">
        <v>1683.3</v>
      </c>
      <c r="P3044">
        <v>1983.94</v>
      </c>
      <c r="Q3044">
        <v>254.81</v>
      </c>
      <c r="R3044">
        <v>1219.92</v>
      </c>
      <c r="S3044">
        <v>891.04</v>
      </c>
      <c r="T3044">
        <v>39299.589999999997</v>
      </c>
      <c r="U3044">
        <v>15613.49</v>
      </c>
      <c r="V3044">
        <v>4886.88</v>
      </c>
      <c r="W3044">
        <v>4749.3599999999997</v>
      </c>
      <c r="X3044">
        <v>46604.83</v>
      </c>
      <c r="Y3044">
        <v>39856.800000000003</v>
      </c>
    </row>
    <row r="3045" spans="1:25" x14ac:dyDescent="0.25">
      <c r="A3045" t="s">
        <v>3101</v>
      </c>
      <c r="B3045" s="1">
        <v>45780</v>
      </c>
      <c r="C3045">
        <v>2025</v>
      </c>
      <c r="D3045">
        <v>5</v>
      </c>
      <c r="E3045" t="s">
        <v>468</v>
      </c>
      <c r="F3045" t="s">
        <v>358</v>
      </c>
      <c r="G3045" t="s">
        <v>28</v>
      </c>
      <c r="H3045" t="s">
        <v>32</v>
      </c>
      <c r="I3045" t="s">
        <v>39</v>
      </c>
      <c r="J3045">
        <v>73</v>
      </c>
      <c r="K3045">
        <v>852.42</v>
      </c>
      <c r="L3045">
        <v>62226.37</v>
      </c>
      <c r="M3045">
        <v>32323.52</v>
      </c>
      <c r="N3045">
        <v>7159.58</v>
      </c>
      <c r="O3045">
        <v>2515.86</v>
      </c>
      <c r="P3045">
        <v>1429.33</v>
      </c>
      <c r="Q3045">
        <v>699.33</v>
      </c>
      <c r="R3045">
        <v>3553.93</v>
      </c>
      <c r="S3045">
        <v>972.29</v>
      </c>
      <c r="T3045">
        <v>48653.84</v>
      </c>
      <c r="U3045">
        <v>29902.85</v>
      </c>
      <c r="V3045">
        <v>13572.53</v>
      </c>
      <c r="W3045">
        <v>12116.86</v>
      </c>
      <c r="X3045">
        <v>59057.89</v>
      </c>
      <c r="Y3045">
        <v>46216.93</v>
      </c>
    </row>
    <row r="3046" spans="1:25" x14ac:dyDescent="0.25">
      <c r="A3046" t="s">
        <v>3102</v>
      </c>
      <c r="B3046" s="1">
        <v>45780</v>
      </c>
      <c r="C3046">
        <v>2025</v>
      </c>
      <c r="D3046">
        <v>5</v>
      </c>
      <c r="E3046" t="s">
        <v>468</v>
      </c>
      <c r="F3046" t="s">
        <v>358</v>
      </c>
      <c r="G3046" t="s">
        <v>55</v>
      </c>
      <c r="H3046" t="s">
        <v>32</v>
      </c>
      <c r="I3046" t="s">
        <v>30</v>
      </c>
      <c r="J3046">
        <v>67</v>
      </c>
      <c r="K3046">
        <v>1729.7</v>
      </c>
      <c r="L3046">
        <v>115890.08</v>
      </c>
      <c r="M3046">
        <v>69087.839999999997</v>
      </c>
      <c r="N3046">
        <v>11830.12</v>
      </c>
      <c r="O3046">
        <v>3679.13</v>
      </c>
      <c r="P3046">
        <v>5081.37</v>
      </c>
      <c r="Q3046">
        <v>1684.94</v>
      </c>
      <c r="R3046">
        <v>5044.1400000000003</v>
      </c>
      <c r="S3046">
        <v>2005.07</v>
      </c>
      <c r="T3046">
        <v>98412.6</v>
      </c>
      <c r="U3046">
        <v>46802.239999999998</v>
      </c>
      <c r="V3046">
        <v>17477.48</v>
      </c>
      <c r="W3046">
        <v>15638.26</v>
      </c>
      <c r="X3046">
        <v>113627.97</v>
      </c>
      <c r="Y3046">
        <v>101602.14</v>
      </c>
    </row>
    <row r="3047" spans="1:25" x14ac:dyDescent="0.25">
      <c r="A3047" t="s">
        <v>3103</v>
      </c>
      <c r="B3047" s="1">
        <v>45780</v>
      </c>
      <c r="C3047">
        <v>2025</v>
      </c>
      <c r="D3047">
        <v>5</v>
      </c>
      <c r="E3047" t="s">
        <v>468</v>
      </c>
      <c r="F3047" t="s">
        <v>358</v>
      </c>
      <c r="G3047" t="s">
        <v>28</v>
      </c>
      <c r="H3047" t="s">
        <v>53</v>
      </c>
      <c r="I3047" t="s">
        <v>45</v>
      </c>
      <c r="J3047">
        <v>46</v>
      </c>
      <c r="K3047">
        <v>801.65</v>
      </c>
      <c r="L3047">
        <v>36875.769999999997</v>
      </c>
      <c r="M3047">
        <v>21334.080000000002</v>
      </c>
      <c r="N3047">
        <v>4527.8599999999997</v>
      </c>
      <c r="O3047">
        <v>2292.54</v>
      </c>
      <c r="P3047">
        <v>1038.94</v>
      </c>
      <c r="Q3047">
        <v>570.89</v>
      </c>
      <c r="R3047">
        <v>1308.6199999999999</v>
      </c>
      <c r="S3047">
        <v>364.32</v>
      </c>
      <c r="T3047">
        <v>31437.25</v>
      </c>
      <c r="U3047">
        <v>15541.7</v>
      </c>
      <c r="V3047">
        <v>5438.52</v>
      </c>
      <c r="W3047">
        <v>5348.45</v>
      </c>
      <c r="X3047">
        <v>36166.339999999997</v>
      </c>
      <c r="Y3047">
        <v>30986.12</v>
      </c>
    </row>
    <row r="3048" spans="1:25" x14ac:dyDescent="0.25">
      <c r="A3048" t="s">
        <v>3104</v>
      </c>
      <c r="B3048" s="1">
        <v>45781</v>
      </c>
      <c r="C3048">
        <v>2025</v>
      </c>
      <c r="D3048">
        <v>5</v>
      </c>
      <c r="E3048" t="s">
        <v>468</v>
      </c>
      <c r="F3048" t="s">
        <v>358</v>
      </c>
      <c r="G3048" t="s">
        <v>44</v>
      </c>
      <c r="H3048" t="s">
        <v>53</v>
      </c>
      <c r="I3048" t="s">
        <v>37</v>
      </c>
      <c r="J3048">
        <v>31</v>
      </c>
      <c r="K3048">
        <v>1481.26</v>
      </c>
      <c r="L3048">
        <v>45918.96</v>
      </c>
      <c r="M3048">
        <v>25080.46</v>
      </c>
      <c r="N3048">
        <v>5171.3900000000003</v>
      </c>
      <c r="O3048">
        <v>2114.9499999999998</v>
      </c>
      <c r="P3048">
        <v>1068.45</v>
      </c>
      <c r="Q3048">
        <v>336.09</v>
      </c>
      <c r="R3048">
        <v>2869.78</v>
      </c>
      <c r="S3048">
        <v>604.70000000000005</v>
      </c>
      <c r="T3048">
        <v>37245.81</v>
      </c>
      <c r="U3048">
        <v>20838.5</v>
      </c>
      <c r="V3048">
        <v>8673.14</v>
      </c>
      <c r="W3048">
        <v>8292.01</v>
      </c>
      <c r="X3048">
        <v>51359.29</v>
      </c>
      <c r="Y3048">
        <v>37189.69</v>
      </c>
    </row>
    <row r="3049" spans="1:25" x14ac:dyDescent="0.25">
      <c r="A3049" t="s">
        <v>3105</v>
      </c>
      <c r="B3049" s="1">
        <v>45781</v>
      </c>
      <c r="C3049">
        <v>2025</v>
      </c>
      <c r="D3049">
        <v>5</v>
      </c>
      <c r="E3049" t="s">
        <v>468</v>
      </c>
      <c r="F3049" t="s">
        <v>358</v>
      </c>
      <c r="G3049" t="s">
        <v>28</v>
      </c>
      <c r="H3049" t="s">
        <v>36</v>
      </c>
      <c r="I3049" t="s">
        <v>33</v>
      </c>
      <c r="J3049">
        <v>49</v>
      </c>
      <c r="K3049">
        <v>1358.87</v>
      </c>
      <c r="L3049">
        <v>66584.56</v>
      </c>
      <c r="M3049">
        <v>34989.4</v>
      </c>
      <c r="N3049">
        <v>8066.51</v>
      </c>
      <c r="O3049">
        <v>3152.7</v>
      </c>
      <c r="P3049">
        <v>2698.95</v>
      </c>
      <c r="Q3049">
        <v>637</v>
      </c>
      <c r="R3049">
        <v>2728.24</v>
      </c>
      <c r="S3049">
        <v>1419.84</v>
      </c>
      <c r="T3049">
        <v>53692.639999999999</v>
      </c>
      <c r="U3049">
        <v>31595.17</v>
      </c>
      <c r="V3049">
        <v>12891.92</v>
      </c>
      <c r="W3049">
        <v>12680.66</v>
      </c>
      <c r="X3049">
        <v>67201.960000000006</v>
      </c>
      <c r="Y3049">
        <v>57304.58</v>
      </c>
    </row>
    <row r="3050" spans="1:25" x14ac:dyDescent="0.25">
      <c r="A3050" t="s">
        <v>3106</v>
      </c>
      <c r="B3050" s="1">
        <v>45781</v>
      </c>
      <c r="C3050">
        <v>2025</v>
      </c>
      <c r="D3050">
        <v>5</v>
      </c>
      <c r="E3050" t="s">
        <v>468</v>
      </c>
      <c r="F3050" t="s">
        <v>358</v>
      </c>
      <c r="G3050" t="s">
        <v>35</v>
      </c>
      <c r="H3050" t="s">
        <v>32</v>
      </c>
      <c r="I3050" t="s">
        <v>39</v>
      </c>
      <c r="J3050">
        <v>46</v>
      </c>
      <c r="K3050">
        <v>1139.5999999999999</v>
      </c>
      <c r="L3050">
        <v>52421.67</v>
      </c>
      <c r="M3050">
        <v>25789.360000000001</v>
      </c>
      <c r="N3050">
        <v>3840</v>
      </c>
      <c r="O3050">
        <v>2444.46</v>
      </c>
      <c r="P3050">
        <v>1763.05</v>
      </c>
      <c r="Q3050">
        <v>436.93</v>
      </c>
      <c r="R3050">
        <v>1868.64</v>
      </c>
      <c r="S3050">
        <v>1209.78</v>
      </c>
      <c r="T3050">
        <v>37352.22</v>
      </c>
      <c r="U3050">
        <v>26632.31</v>
      </c>
      <c r="V3050">
        <v>15069.44</v>
      </c>
      <c r="W3050">
        <v>14544.96</v>
      </c>
      <c r="X3050">
        <v>50653.45</v>
      </c>
      <c r="Y3050">
        <v>35426.94</v>
      </c>
    </row>
    <row r="3051" spans="1:25" x14ac:dyDescent="0.25">
      <c r="A3051" t="s">
        <v>3107</v>
      </c>
      <c r="B3051" s="1">
        <v>45782</v>
      </c>
      <c r="C3051">
        <v>2025</v>
      </c>
      <c r="D3051">
        <v>5</v>
      </c>
      <c r="E3051" t="s">
        <v>468</v>
      </c>
      <c r="F3051" t="s">
        <v>358</v>
      </c>
      <c r="G3051" t="s">
        <v>55</v>
      </c>
      <c r="H3051" t="s">
        <v>58</v>
      </c>
      <c r="I3051" t="s">
        <v>65</v>
      </c>
      <c r="J3051">
        <v>35</v>
      </c>
      <c r="K3051">
        <v>1518.27</v>
      </c>
      <c r="L3051">
        <v>53139.38</v>
      </c>
      <c r="M3051">
        <v>33144.089999999997</v>
      </c>
      <c r="N3051">
        <v>5458.13</v>
      </c>
      <c r="O3051">
        <v>1822.16</v>
      </c>
      <c r="P3051">
        <v>1908.28</v>
      </c>
      <c r="Q3051">
        <v>930.5</v>
      </c>
      <c r="R3051">
        <v>1766.92</v>
      </c>
      <c r="S3051">
        <v>675.74</v>
      </c>
      <c r="T3051">
        <v>45705.81</v>
      </c>
      <c r="U3051">
        <v>19995.29</v>
      </c>
      <c r="V3051">
        <v>7433.56</v>
      </c>
      <c r="W3051">
        <v>6670.21</v>
      </c>
      <c r="X3051">
        <v>50372.61</v>
      </c>
      <c r="Y3051">
        <v>45238.97</v>
      </c>
    </row>
    <row r="3052" spans="1:25" x14ac:dyDescent="0.25">
      <c r="A3052" t="s">
        <v>3108</v>
      </c>
      <c r="B3052" s="1">
        <v>45782</v>
      </c>
      <c r="C3052">
        <v>2025</v>
      </c>
      <c r="D3052">
        <v>5</v>
      </c>
      <c r="E3052" t="s">
        <v>468</v>
      </c>
      <c r="F3052" t="s">
        <v>358</v>
      </c>
      <c r="G3052" t="s">
        <v>55</v>
      </c>
      <c r="H3052" t="s">
        <v>32</v>
      </c>
      <c r="I3052" t="s">
        <v>33</v>
      </c>
      <c r="J3052">
        <v>59</v>
      </c>
      <c r="K3052">
        <v>1684.81</v>
      </c>
      <c r="L3052">
        <v>99403.83</v>
      </c>
      <c r="M3052">
        <v>56000.74</v>
      </c>
      <c r="N3052">
        <v>11344.24</v>
      </c>
      <c r="O3052">
        <v>3803.44</v>
      </c>
      <c r="P3052">
        <v>2743.49</v>
      </c>
      <c r="Q3052">
        <v>1472.55</v>
      </c>
      <c r="R3052">
        <v>3719.62</v>
      </c>
      <c r="S3052">
        <v>1811.23</v>
      </c>
      <c r="T3052">
        <v>80895.320000000007</v>
      </c>
      <c r="U3052">
        <v>43403.09</v>
      </c>
      <c r="V3052">
        <v>18508.52</v>
      </c>
      <c r="W3052">
        <v>17717.27</v>
      </c>
      <c r="X3052">
        <v>105380.48</v>
      </c>
      <c r="Y3052">
        <v>79039.13</v>
      </c>
    </row>
    <row r="3053" spans="1:25" x14ac:dyDescent="0.25">
      <c r="A3053" t="s">
        <v>3109</v>
      </c>
      <c r="B3053" s="1">
        <v>45782</v>
      </c>
      <c r="C3053">
        <v>2025</v>
      </c>
      <c r="D3053">
        <v>5</v>
      </c>
      <c r="E3053" t="s">
        <v>468</v>
      </c>
      <c r="F3053" t="s">
        <v>358</v>
      </c>
      <c r="G3053" t="s">
        <v>44</v>
      </c>
      <c r="H3053" t="s">
        <v>32</v>
      </c>
      <c r="I3053" t="s">
        <v>56</v>
      </c>
      <c r="J3053">
        <v>41</v>
      </c>
      <c r="K3053">
        <v>994.2</v>
      </c>
      <c r="L3053">
        <v>40762.239999999998</v>
      </c>
      <c r="M3053">
        <v>27577.53</v>
      </c>
      <c r="N3053">
        <v>3778.46</v>
      </c>
      <c r="O3053">
        <v>1255.01</v>
      </c>
      <c r="P3053">
        <v>1217.8599999999999</v>
      </c>
      <c r="Q3053">
        <v>304.32</v>
      </c>
      <c r="R3053">
        <v>1523.18</v>
      </c>
      <c r="S3053">
        <v>637.59</v>
      </c>
      <c r="T3053">
        <v>36293.96</v>
      </c>
      <c r="U3053">
        <v>13184.71</v>
      </c>
      <c r="V3053">
        <v>4468.29</v>
      </c>
      <c r="W3053">
        <v>4499.51</v>
      </c>
      <c r="X3053">
        <v>39835.54</v>
      </c>
      <c r="Y3053">
        <v>35113</v>
      </c>
    </row>
    <row r="3054" spans="1:25" x14ac:dyDescent="0.25">
      <c r="A3054" t="s">
        <v>3110</v>
      </c>
      <c r="B3054" s="1">
        <v>45782</v>
      </c>
      <c r="C3054">
        <v>2025</v>
      </c>
      <c r="D3054">
        <v>5</v>
      </c>
      <c r="E3054" t="s">
        <v>468</v>
      </c>
      <c r="F3054" t="s">
        <v>358</v>
      </c>
      <c r="G3054" t="s">
        <v>28</v>
      </c>
      <c r="H3054" t="s">
        <v>53</v>
      </c>
      <c r="I3054" t="s">
        <v>45</v>
      </c>
      <c r="J3054">
        <v>20</v>
      </c>
      <c r="K3054">
        <v>1775.93</v>
      </c>
      <c r="L3054">
        <v>35518.6</v>
      </c>
      <c r="M3054">
        <v>17672.88</v>
      </c>
      <c r="N3054">
        <v>2922.97</v>
      </c>
      <c r="O3054">
        <v>1139.8599999999999</v>
      </c>
      <c r="P3054">
        <v>1462.34</v>
      </c>
      <c r="Q3054">
        <v>519.91</v>
      </c>
      <c r="R3054">
        <v>1641.35</v>
      </c>
      <c r="S3054">
        <v>827.22</v>
      </c>
      <c r="T3054">
        <v>26186.54</v>
      </c>
      <c r="U3054">
        <v>17845.72</v>
      </c>
      <c r="V3054">
        <v>9332.07</v>
      </c>
      <c r="W3054">
        <v>9024.64</v>
      </c>
      <c r="X3054">
        <v>38685.589999999997</v>
      </c>
      <c r="Y3054">
        <v>25583.77</v>
      </c>
    </row>
    <row r="3055" spans="1:25" x14ac:dyDescent="0.25">
      <c r="A3055" t="s">
        <v>3111</v>
      </c>
      <c r="B3055" s="1">
        <v>45782</v>
      </c>
      <c r="C3055">
        <v>2025</v>
      </c>
      <c r="D3055">
        <v>5</v>
      </c>
      <c r="E3055" t="s">
        <v>468</v>
      </c>
      <c r="F3055" t="s">
        <v>358</v>
      </c>
      <c r="G3055" t="s">
        <v>28</v>
      </c>
      <c r="H3055" t="s">
        <v>29</v>
      </c>
      <c r="I3055" t="s">
        <v>33</v>
      </c>
      <c r="J3055">
        <v>97</v>
      </c>
      <c r="K3055">
        <v>906.18</v>
      </c>
      <c r="L3055">
        <v>87899.12</v>
      </c>
      <c r="M3055">
        <v>55956.04</v>
      </c>
      <c r="N3055">
        <v>8584.41</v>
      </c>
      <c r="O3055">
        <v>2364.17</v>
      </c>
      <c r="P3055">
        <v>3010.36</v>
      </c>
      <c r="Q3055">
        <v>558.62</v>
      </c>
      <c r="R3055">
        <v>4186.5</v>
      </c>
      <c r="S3055">
        <v>2101.5</v>
      </c>
      <c r="T3055">
        <v>76761.600000000006</v>
      </c>
      <c r="U3055">
        <v>31943.08</v>
      </c>
      <c r="V3055">
        <v>11137.53</v>
      </c>
      <c r="W3055">
        <v>10364.56</v>
      </c>
      <c r="X3055">
        <v>92886.38</v>
      </c>
      <c r="Y3055">
        <v>76360.639999999999</v>
      </c>
    </row>
    <row r="3056" spans="1:25" x14ac:dyDescent="0.25">
      <c r="A3056" t="s">
        <v>3112</v>
      </c>
      <c r="B3056" s="1">
        <v>45782</v>
      </c>
      <c r="C3056">
        <v>2025</v>
      </c>
      <c r="D3056">
        <v>5</v>
      </c>
      <c r="E3056" t="s">
        <v>468</v>
      </c>
      <c r="F3056" t="s">
        <v>358</v>
      </c>
      <c r="G3056" t="s">
        <v>44</v>
      </c>
      <c r="H3056" t="s">
        <v>32</v>
      </c>
      <c r="I3056" t="s">
        <v>37</v>
      </c>
      <c r="J3056">
        <v>66</v>
      </c>
      <c r="K3056">
        <v>1442.49</v>
      </c>
      <c r="L3056">
        <v>95204.01</v>
      </c>
      <c r="M3056">
        <v>56734.06</v>
      </c>
      <c r="N3056">
        <v>11992.18</v>
      </c>
      <c r="O3056">
        <v>3071.89</v>
      </c>
      <c r="P3056">
        <v>3223.07</v>
      </c>
      <c r="Q3056">
        <v>1360.09</v>
      </c>
      <c r="R3056">
        <v>3845.47</v>
      </c>
      <c r="S3056">
        <v>2259.54</v>
      </c>
      <c r="T3056">
        <v>82486.3</v>
      </c>
      <c r="U3056">
        <v>38469.949999999997</v>
      </c>
      <c r="V3056">
        <v>12717.71</v>
      </c>
      <c r="W3056">
        <v>11628.98</v>
      </c>
      <c r="X3056">
        <v>90240.91</v>
      </c>
      <c r="Y3056">
        <v>83468.59</v>
      </c>
    </row>
    <row r="3057" spans="1:25" x14ac:dyDescent="0.25">
      <c r="A3057" t="s">
        <v>3113</v>
      </c>
      <c r="B3057" s="1">
        <v>45783</v>
      </c>
      <c r="C3057">
        <v>2025</v>
      </c>
      <c r="D3057">
        <v>5</v>
      </c>
      <c r="E3057" t="s">
        <v>468</v>
      </c>
      <c r="F3057" t="s">
        <v>358</v>
      </c>
      <c r="G3057" t="s">
        <v>55</v>
      </c>
      <c r="H3057" t="s">
        <v>36</v>
      </c>
      <c r="I3057" t="s">
        <v>30</v>
      </c>
      <c r="J3057">
        <v>109</v>
      </c>
      <c r="K3057">
        <v>820.26</v>
      </c>
      <c r="L3057">
        <v>89408.66</v>
      </c>
      <c r="M3057">
        <v>44022.68</v>
      </c>
      <c r="N3057">
        <v>9233.6</v>
      </c>
      <c r="O3057">
        <v>5787.96</v>
      </c>
      <c r="P3057">
        <v>3596.85</v>
      </c>
      <c r="Q3057">
        <v>734.18</v>
      </c>
      <c r="R3057">
        <v>3206.69</v>
      </c>
      <c r="S3057">
        <v>1577.41</v>
      </c>
      <c r="T3057">
        <v>68159.37</v>
      </c>
      <c r="U3057">
        <v>45385.98</v>
      </c>
      <c r="V3057">
        <v>21249.29</v>
      </c>
      <c r="W3057">
        <v>20739.07</v>
      </c>
      <c r="X3057">
        <v>94404.89</v>
      </c>
      <c r="Y3057">
        <v>64543.87</v>
      </c>
    </row>
    <row r="3058" spans="1:25" x14ac:dyDescent="0.25">
      <c r="A3058" t="s">
        <v>3114</v>
      </c>
      <c r="B3058" s="1">
        <v>45783</v>
      </c>
      <c r="C3058">
        <v>2025</v>
      </c>
      <c r="D3058">
        <v>5</v>
      </c>
      <c r="E3058" t="s">
        <v>468</v>
      </c>
      <c r="F3058" t="s">
        <v>358</v>
      </c>
      <c r="G3058" t="s">
        <v>28</v>
      </c>
      <c r="H3058" t="s">
        <v>29</v>
      </c>
      <c r="I3058" t="s">
        <v>39</v>
      </c>
      <c r="J3058">
        <v>67</v>
      </c>
      <c r="K3058">
        <v>879.03</v>
      </c>
      <c r="L3058">
        <v>58895.02</v>
      </c>
      <c r="M3058">
        <v>29570.87</v>
      </c>
      <c r="N3058">
        <v>4216.08</v>
      </c>
      <c r="O3058">
        <v>2046.17</v>
      </c>
      <c r="P3058">
        <v>1376.36</v>
      </c>
      <c r="Q3058">
        <v>613.17999999999995</v>
      </c>
      <c r="R3058">
        <v>2129.0700000000002</v>
      </c>
      <c r="S3058">
        <v>846.77</v>
      </c>
      <c r="T3058">
        <v>40798.519999999997</v>
      </c>
      <c r="U3058">
        <v>29324.15</v>
      </c>
      <c r="V3058">
        <v>18096.509999999998</v>
      </c>
      <c r="W3058">
        <v>16962.169999999998</v>
      </c>
      <c r="X3058">
        <v>57572.639999999999</v>
      </c>
      <c r="Y3058">
        <v>43665.77</v>
      </c>
    </row>
    <row r="3059" spans="1:25" x14ac:dyDescent="0.25">
      <c r="A3059" t="s">
        <v>3115</v>
      </c>
      <c r="B3059" s="1">
        <v>45783</v>
      </c>
      <c r="C3059">
        <v>2025</v>
      </c>
      <c r="D3059">
        <v>5</v>
      </c>
      <c r="E3059" t="s">
        <v>468</v>
      </c>
      <c r="F3059" t="s">
        <v>358</v>
      </c>
      <c r="G3059" t="s">
        <v>44</v>
      </c>
      <c r="H3059" t="s">
        <v>32</v>
      </c>
      <c r="I3059" t="s">
        <v>50</v>
      </c>
      <c r="J3059">
        <v>46</v>
      </c>
      <c r="K3059">
        <v>1418.42</v>
      </c>
      <c r="L3059">
        <v>65247.42</v>
      </c>
      <c r="M3059">
        <v>37506.69</v>
      </c>
      <c r="N3059">
        <v>5463.07</v>
      </c>
      <c r="O3059">
        <v>1673.87</v>
      </c>
      <c r="P3059">
        <v>1034.94</v>
      </c>
      <c r="Q3059">
        <v>962.12</v>
      </c>
      <c r="R3059">
        <v>3099.63</v>
      </c>
      <c r="S3059">
        <v>545.04999999999995</v>
      </c>
      <c r="T3059">
        <v>50285.37</v>
      </c>
      <c r="U3059">
        <v>27740.73</v>
      </c>
      <c r="V3059">
        <v>14962.05</v>
      </c>
      <c r="W3059">
        <v>14878.42</v>
      </c>
      <c r="X3059">
        <v>68353.679999999993</v>
      </c>
      <c r="Y3059">
        <v>47089.9</v>
      </c>
    </row>
    <row r="3060" spans="1:25" x14ac:dyDescent="0.25">
      <c r="A3060" t="s">
        <v>3116</v>
      </c>
      <c r="B3060" s="1">
        <v>45784</v>
      </c>
      <c r="C3060">
        <v>2025</v>
      </c>
      <c r="D3060">
        <v>5</v>
      </c>
      <c r="E3060" t="s">
        <v>468</v>
      </c>
      <c r="F3060" t="s">
        <v>358</v>
      </c>
      <c r="G3060" t="s">
        <v>55</v>
      </c>
      <c r="H3060" t="s">
        <v>32</v>
      </c>
      <c r="I3060" t="s">
        <v>37</v>
      </c>
      <c r="J3060">
        <v>95</v>
      </c>
      <c r="K3060">
        <v>856.14</v>
      </c>
      <c r="L3060">
        <v>81333.66</v>
      </c>
      <c r="M3060">
        <v>43557.61</v>
      </c>
      <c r="N3060">
        <v>8792.23</v>
      </c>
      <c r="O3060">
        <v>2149.2600000000002</v>
      </c>
      <c r="P3060">
        <v>2749.36</v>
      </c>
      <c r="Q3060">
        <v>736.59</v>
      </c>
      <c r="R3060">
        <v>2460.2199999999998</v>
      </c>
      <c r="S3060">
        <v>1667.33</v>
      </c>
      <c r="T3060">
        <v>62112.59</v>
      </c>
      <c r="U3060">
        <v>37776.050000000003</v>
      </c>
      <c r="V3060">
        <v>19221.07</v>
      </c>
      <c r="W3060">
        <v>17740.919999999998</v>
      </c>
      <c r="X3060">
        <v>90285.58</v>
      </c>
      <c r="Y3060">
        <v>64976.14</v>
      </c>
    </row>
    <row r="3061" spans="1:25" x14ac:dyDescent="0.25">
      <c r="A3061" t="s">
        <v>3117</v>
      </c>
      <c r="B3061" s="1">
        <v>45784</v>
      </c>
      <c r="C3061">
        <v>2025</v>
      </c>
      <c r="D3061">
        <v>5</v>
      </c>
      <c r="E3061" t="s">
        <v>468</v>
      </c>
      <c r="F3061" t="s">
        <v>358</v>
      </c>
      <c r="G3061" t="s">
        <v>28</v>
      </c>
      <c r="H3061" t="s">
        <v>36</v>
      </c>
      <c r="I3061" t="s">
        <v>37</v>
      </c>
      <c r="J3061">
        <v>48</v>
      </c>
      <c r="K3061">
        <v>1684.71</v>
      </c>
      <c r="L3061">
        <v>80865.960000000006</v>
      </c>
      <c r="M3061">
        <v>51426.559999999998</v>
      </c>
      <c r="N3061">
        <v>6726.85</v>
      </c>
      <c r="O3061">
        <v>2621.65</v>
      </c>
      <c r="P3061">
        <v>3549.25</v>
      </c>
      <c r="Q3061">
        <v>1250.83</v>
      </c>
      <c r="R3061">
        <v>3378.25</v>
      </c>
      <c r="S3061">
        <v>1899.79</v>
      </c>
      <c r="T3061">
        <v>70853.19</v>
      </c>
      <c r="U3061">
        <v>29439.4</v>
      </c>
      <c r="V3061">
        <v>10012.77</v>
      </c>
      <c r="W3061">
        <v>9922.2900000000009</v>
      </c>
      <c r="X3061">
        <v>89619.97</v>
      </c>
      <c r="Y3061">
        <v>69549.27</v>
      </c>
    </row>
    <row r="3062" spans="1:25" x14ac:dyDescent="0.25">
      <c r="A3062" t="s">
        <v>3118</v>
      </c>
      <c r="B3062" s="1">
        <v>45784</v>
      </c>
      <c r="C3062">
        <v>2025</v>
      </c>
      <c r="D3062">
        <v>5</v>
      </c>
      <c r="E3062" t="s">
        <v>468</v>
      </c>
      <c r="F3062" t="s">
        <v>358</v>
      </c>
      <c r="G3062" t="s">
        <v>35</v>
      </c>
      <c r="H3062" t="s">
        <v>53</v>
      </c>
      <c r="I3062" t="s">
        <v>33</v>
      </c>
      <c r="J3062">
        <v>81</v>
      </c>
      <c r="K3062">
        <v>854.68</v>
      </c>
      <c r="L3062">
        <v>69229.259999999995</v>
      </c>
      <c r="M3062">
        <v>33486.29</v>
      </c>
      <c r="N3062">
        <v>7326.22</v>
      </c>
      <c r="O3062">
        <v>1912.49</v>
      </c>
      <c r="P3062">
        <v>2364.64</v>
      </c>
      <c r="Q3062">
        <v>907.02</v>
      </c>
      <c r="R3062">
        <v>4060.96</v>
      </c>
      <c r="S3062">
        <v>713.44</v>
      </c>
      <c r="T3062">
        <v>50771.05</v>
      </c>
      <c r="U3062">
        <v>35742.959999999999</v>
      </c>
      <c r="V3062">
        <v>18458.2</v>
      </c>
      <c r="W3062">
        <v>18657.16</v>
      </c>
      <c r="X3062">
        <v>64814.32</v>
      </c>
      <c r="Y3062">
        <v>47794.35</v>
      </c>
    </row>
    <row r="3063" spans="1:25" x14ac:dyDescent="0.25">
      <c r="A3063" t="s">
        <v>3119</v>
      </c>
      <c r="B3063" s="1">
        <v>45785</v>
      </c>
      <c r="C3063">
        <v>2025</v>
      </c>
      <c r="D3063">
        <v>5</v>
      </c>
      <c r="E3063" t="s">
        <v>468</v>
      </c>
      <c r="F3063" t="s">
        <v>358</v>
      </c>
      <c r="G3063" t="s">
        <v>28</v>
      </c>
      <c r="H3063" t="s">
        <v>53</v>
      </c>
      <c r="I3063" t="s">
        <v>50</v>
      </c>
      <c r="J3063">
        <v>23</v>
      </c>
      <c r="K3063">
        <v>1510.1</v>
      </c>
      <c r="L3063">
        <v>34732.19</v>
      </c>
      <c r="M3063">
        <v>20853.43</v>
      </c>
      <c r="N3063">
        <v>3144.68</v>
      </c>
      <c r="O3063">
        <v>1034.1099999999999</v>
      </c>
      <c r="P3063">
        <v>1468.21</v>
      </c>
      <c r="Q3063">
        <v>179.96</v>
      </c>
      <c r="R3063">
        <v>1851.81</v>
      </c>
      <c r="S3063">
        <v>345.72</v>
      </c>
      <c r="T3063">
        <v>28877.919999999998</v>
      </c>
      <c r="U3063">
        <v>13878.76</v>
      </c>
      <c r="V3063">
        <v>5854.27</v>
      </c>
      <c r="W3063">
        <v>5402.09</v>
      </c>
      <c r="X3063">
        <v>32247.64</v>
      </c>
      <c r="Y3063">
        <v>28608.42</v>
      </c>
    </row>
    <row r="3064" spans="1:25" x14ac:dyDescent="0.25">
      <c r="A3064" t="s">
        <v>3120</v>
      </c>
      <c r="B3064" s="1">
        <v>45785</v>
      </c>
      <c r="C3064">
        <v>2025</v>
      </c>
      <c r="D3064">
        <v>5</v>
      </c>
      <c r="E3064" t="s">
        <v>468</v>
      </c>
      <c r="F3064" t="s">
        <v>358</v>
      </c>
      <c r="G3064" t="s">
        <v>28</v>
      </c>
      <c r="H3064" t="s">
        <v>29</v>
      </c>
      <c r="I3064" t="s">
        <v>65</v>
      </c>
      <c r="J3064">
        <v>49</v>
      </c>
      <c r="K3064">
        <v>1517.09</v>
      </c>
      <c r="L3064">
        <v>74337.34</v>
      </c>
      <c r="M3064">
        <v>36311.39</v>
      </c>
      <c r="N3064">
        <v>6207.73</v>
      </c>
      <c r="O3064">
        <v>3290.16</v>
      </c>
      <c r="P3064">
        <v>1458.07</v>
      </c>
      <c r="Q3064">
        <v>1163.28</v>
      </c>
      <c r="R3064">
        <v>3658.21</v>
      </c>
      <c r="S3064">
        <v>1536</v>
      </c>
      <c r="T3064">
        <v>53624.85</v>
      </c>
      <c r="U3064">
        <v>38025.949999999997</v>
      </c>
      <c r="V3064">
        <v>20712.490000000002</v>
      </c>
      <c r="W3064">
        <v>19093.34</v>
      </c>
      <c r="X3064">
        <v>68758.05</v>
      </c>
      <c r="Y3064">
        <v>54208.68</v>
      </c>
    </row>
    <row r="3065" spans="1:25" x14ac:dyDescent="0.25">
      <c r="A3065" t="s">
        <v>3121</v>
      </c>
      <c r="B3065" s="1">
        <v>45785</v>
      </c>
      <c r="C3065">
        <v>2025</v>
      </c>
      <c r="D3065">
        <v>5</v>
      </c>
      <c r="E3065" t="s">
        <v>468</v>
      </c>
      <c r="F3065" t="s">
        <v>358</v>
      </c>
      <c r="G3065" t="s">
        <v>28</v>
      </c>
      <c r="H3065" t="s">
        <v>32</v>
      </c>
      <c r="I3065" t="s">
        <v>50</v>
      </c>
      <c r="J3065">
        <v>58</v>
      </c>
      <c r="K3065">
        <v>1373.55</v>
      </c>
      <c r="L3065">
        <v>79665.81</v>
      </c>
      <c r="M3065">
        <v>44357.15</v>
      </c>
      <c r="N3065">
        <v>7050.19</v>
      </c>
      <c r="O3065">
        <v>2844.3</v>
      </c>
      <c r="P3065">
        <v>1383.88</v>
      </c>
      <c r="Q3065">
        <v>1359.44</v>
      </c>
      <c r="R3065">
        <v>3826.57</v>
      </c>
      <c r="S3065">
        <v>1891.82</v>
      </c>
      <c r="T3065">
        <v>62713.35</v>
      </c>
      <c r="U3065">
        <v>35308.660000000003</v>
      </c>
      <c r="V3065">
        <v>16952.47</v>
      </c>
      <c r="W3065">
        <v>15270.69</v>
      </c>
      <c r="X3065">
        <v>86955.35</v>
      </c>
      <c r="Y3065">
        <v>58690.94</v>
      </c>
    </row>
    <row r="3066" spans="1:25" x14ac:dyDescent="0.25">
      <c r="A3066" t="s">
        <v>3122</v>
      </c>
      <c r="B3066" s="1">
        <v>45785</v>
      </c>
      <c r="C3066">
        <v>2025</v>
      </c>
      <c r="D3066">
        <v>5</v>
      </c>
      <c r="E3066" t="s">
        <v>468</v>
      </c>
      <c r="F3066" t="s">
        <v>358</v>
      </c>
      <c r="G3066" t="s">
        <v>28</v>
      </c>
      <c r="H3066" t="s">
        <v>58</v>
      </c>
      <c r="I3066" t="s">
        <v>45</v>
      </c>
      <c r="J3066">
        <v>36</v>
      </c>
      <c r="K3066">
        <v>1508.73</v>
      </c>
      <c r="L3066">
        <v>54314.21</v>
      </c>
      <c r="M3066">
        <v>28030.38</v>
      </c>
      <c r="N3066">
        <v>6068.81</v>
      </c>
      <c r="O3066">
        <v>2477.12</v>
      </c>
      <c r="P3066">
        <v>1155.08</v>
      </c>
      <c r="Q3066">
        <v>442.81</v>
      </c>
      <c r="R3066">
        <v>2418.34</v>
      </c>
      <c r="S3066">
        <v>810.3</v>
      </c>
      <c r="T3066">
        <v>41402.839999999997</v>
      </c>
      <c r="U3066">
        <v>26283.83</v>
      </c>
      <c r="V3066">
        <v>12911.37</v>
      </c>
      <c r="W3066">
        <v>12861.72</v>
      </c>
      <c r="X3066">
        <v>51890.95</v>
      </c>
      <c r="Y3066">
        <v>43475.71</v>
      </c>
    </row>
    <row r="3067" spans="1:25" x14ac:dyDescent="0.25">
      <c r="A3067" t="s">
        <v>3123</v>
      </c>
      <c r="B3067" s="1">
        <v>45785</v>
      </c>
      <c r="C3067">
        <v>2025</v>
      </c>
      <c r="D3067">
        <v>5</v>
      </c>
      <c r="E3067" t="s">
        <v>468</v>
      </c>
      <c r="F3067" t="s">
        <v>358</v>
      </c>
      <c r="G3067" t="s">
        <v>44</v>
      </c>
      <c r="H3067" t="s">
        <v>53</v>
      </c>
      <c r="I3067" t="s">
        <v>39</v>
      </c>
      <c r="J3067">
        <v>19</v>
      </c>
      <c r="K3067">
        <v>1675.39</v>
      </c>
      <c r="L3067">
        <v>31832.5</v>
      </c>
      <c r="M3067">
        <v>18565.099999999999</v>
      </c>
      <c r="N3067">
        <v>3933.87</v>
      </c>
      <c r="O3067">
        <v>1071.5899999999999</v>
      </c>
      <c r="P3067">
        <v>839.75</v>
      </c>
      <c r="Q3067">
        <v>516.26</v>
      </c>
      <c r="R3067">
        <v>844.88</v>
      </c>
      <c r="S3067">
        <v>651.09</v>
      </c>
      <c r="T3067">
        <v>26422.55</v>
      </c>
      <c r="U3067">
        <v>13267.4</v>
      </c>
      <c r="V3067">
        <v>5409.95</v>
      </c>
      <c r="W3067">
        <v>4815.04</v>
      </c>
      <c r="X3067">
        <v>34198.46</v>
      </c>
      <c r="Y3067">
        <v>27289.08</v>
      </c>
    </row>
    <row r="3068" spans="1:25" x14ac:dyDescent="0.25">
      <c r="A3068" t="s">
        <v>3124</v>
      </c>
      <c r="B3068" s="1">
        <v>45786</v>
      </c>
      <c r="C3068">
        <v>2025</v>
      </c>
      <c r="D3068">
        <v>5</v>
      </c>
      <c r="E3068" t="s">
        <v>468</v>
      </c>
      <c r="F3068" t="s">
        <v>358</v>
      </c>
      <c r="G3068" t="s">
        <v>28</v>
      </c>
      <c r="H3068" t="s">
        <v>32</v>
      </c>
      <c r="I3068" t="s">
        <v>50</v>
      </c>
      <c r="J3068">
        <v>52</v>
      </c>
      <c r="K3068">
        <v>980.01</v>
      </c>
      <c r="L3068">
        <v>50960.37</v>
      </c>
      <c r="M3068">
        <v>26120.35</v>
      </c>
      <c r="N3068">
        <v>5065.1000000000004</v>
      </c>
      <c r="O3068">
        <v>1852.84</v>
      </c>
      <c r="P3068">
        <v>1105.5899999999999</v>
      </c>
      <c r="Q3068">
        <v>516.5</v>
      </c>
      <c r="R3068">
        <v>3089.61</v>
      </c>
      <c r="S3068">
        <v>1006.22</v>
      </c>
      <c r="T3068">
        <v>38756.22</v>
      </c>
      <c r="U3068">
        <v>24840.02</v>
      </c>
      <c r="V3068">
        <v>12204.15</v>
      </c>
      <c r="W3068">
        <v>11029.06</v>
      </c>
      <c r="X3068">
        <v>48686.67</v>
      </c>
      <c r="Y3068">
        <v>39577.21</v>
      </c>
    </row>
    <row r="3069" spans="1:25" x14ac:dyDescent="0.25">
      <c r="A3069" t="s">
        <v>3125</v>
      </c>
      <c r="B3069" s="1">
        <v>45786</v>
      </c>
      <c r="C3069">
        <v>2025</v>
      </c>
      <c r="D3069">
        <v>5</v>
      </c>
      <c r="E3069" t="s">
        <v>468</v>
      </c>
      <c r="F3069" t="s">
        <v>358</v>
      </c>
      <c r="G3069" t="s">
        <v>35</v>
      </c>
      <c r="H3069" t="s">
        <v>32</v>
      </c>
      <c r="I3069" t="s">
        <v>39</v>
      </c>
      <c r="J3069">
        <v>40</v>
      </c>
      <c r="K3069">
        <v>1156.8</v>
      </c>
      <c r="L3069">
        <v>46271.88</v>
      </c>
      <c r="M3069">
        <v>23221.89</v>
      </c>
      <c r="N3069">
        <v>3979.1</v>
      </c>
      <c r="O3069">
        <v>1636.85</v>
      </c>
      <c r="P3069">
        <v>1313.76</v>
      </c>
      <c r="Q3069">
        <v>761.22</v>
      </c>
      <c r="R3069">
        <v>1737.64</v>
      </c>
      <c r="S3069">
        <v>625.84</v>
      </c>
      <c r="T3069">
        <v>33276.31</v>
      </c>
      <c r="U3069">
        <v>23049.99</v>
      </c>
      <c r="V3069">
        <v>12995.57</v>
      </c>
      <c r="W3069">
        <v>12992.29</v>
      </c>
      <c r="X3069">
        <v>51420.66</v>
      </c>
      <c r="Y3069">
        <v>35112.400000000001</v>
      </c>
    </row>
    <row r="3070" spans="1:25" x14ac:dyDescent="0.25">
      <c r="A3070" t="s">
        <v>3126</v>
      </c>
      <c r="B3070" s="1">
        <v>45786</v>
      </c>
      <c r="C3070">
        <v>2025</v>
      </c>
      <c r="D3070">
        <v>5</v>
      </c>
      <c r="E3070" t="s">
        <v>468</v>
      </c>
      <c r="F3070" t="s">
        <v>358</v>
      </c>
      <c r="G3070" t="s">
        <v>44</v>
      </c>
      <c r="H3070" t="s">
        <v>29</v>
      </c>
      <c r="I3070" t="s">
        <v>50</v>
      </c>
      <c r="J3070">
        <v>27</v>
      </c>
      <c r="K3070">
        <v>1682.35</v>
      </c>
      <c r="L3070">
        <v>45423.41</v>
      </c>
      <c r="M3070">
        <v>29229.86</v>
      </c>
      <c r="N3070">
        <v>5615.1</v>
      </c>
      <c r="O3070">
        <v>1143.55</v>
      </c>
      <c r="P3070">
        <v>1245.5</v>
      </c>
      <c r="Q3070">
        <v>511.8</v>
      </c>
      <c r="R3070">
        <v>2720.77</v>
      </c>
      <c r="S3070">
        <v>541.37</v>
      </c>
      <c r="T3070">
        <v>41007.949999999997</v>
      </c>
      <c r="U3070">
        <v>16193.55</v>
      </c>
      <c r="V3070">
        <v>4415.47</v>
      </c>
      <c r="W3070">
        <v>4141.04</v>
      </c>
      <c r="X3070">
        <v>42802.67</v>
      </c>
      <c r="Y3070">
        <v>44242.17</v>
      </c>
    </row>
    <row r="3071" spans="1:25" x14ac:dyDescent="0.25">
      <c r="A3071" t="s">
        <v>3127</v>
      </c>
      <c r="B3071" s="1">
        <v>45787</v>
      </c>
      <c r="C3071">
        <v>2025</v>
      </c>
      <c r="D3071">
        <v>5</v>
      </c>
      <c r="E3071" t="s">
        <v>468</v>
      </c>
      <c r="F3071" t="s">
        <v>358</v>
      </c>
      <c r="G3071" t="s">
        <v>28</v>
      </c>
      <c r="H3071" t="s">
        <v>36</v>
      </c>
      <c r="I3071" t="s">
        <v>56</v>
      </c>
      <c r="J3071">
        <v>30</v>
      </c>
      <c r="K3071">
        <v>1510.33</v>
      </c>
      <c r="L3071">
        <v>45309.96</v>
      </c>
      <c r="M3071">
        <v>22616.61</v>
      </c>
      <c r="N3071">
        <v>3693.47</v>
      </c>
      <c r="O3071">
        <v>1782.89</v>
      </c>
      <c r="P3071">
        <v>1063.44</v>
      </c>
      <c r="Q3071">
        <v>533.19000000000005</v>
      </c>
      <c r="R3071">
        <v>2031.11</v>
      </c>
      <c r="S3071">
        <v>368.26</v>
      </c>
      <c r="T3071">
        <v>32088.959999999999</v>
      </c>
      <c r="U3071">
        <v>22693.35</v>
      </c>
      <c r="V3071">
        <v>13221</v>
      </c>
      <c r="W3071">
        <v>13339.45</v>
      </c>
      <c r="X3071">
        <v>49609.88</v>
      </c>
      <c r="Y3071">
        <v>30754.83</v>
      </c>
    </row>
    <row r="3072" spans="1:25" x14ac:dyDescent="0.25">
      <c r="A3072" t="s">
        <v>3128</v>
      </c>
      <c r="B3072" s="1">
        <v>45787</v>
      </c>
      <c r="C3072">
        <v>2025</v>
      </c>
      <c r="D3072">
        <v>5</v>
      </c>
      <c r="E3072" t="s">
        <v>468</v>
      </c>
      <c r="F3072" t="s">
        <v>358</v>
      </c>
      <c r="G3072" t="s">
        <v>28</v>
      </c>
      <c r="H3072" t="s">
        <v>32</v>
      </c>
      <c r="I3072" t="s">
        <v>30</v>
      </c>
      <c r="J3072">
        <v>119</v>
      </c>
      <c r="K3072">
        <v>873.77</v>
      </c>
      <c r="L3072">
        <v>103978.9</v>
      </c>
      <c r="M3072">
        <v>69694.69</v>
      </c>
      <c r="N3072">
        <v>10831.87</v>
      </c>
      <c r="O3072">
        <v>3179.46</v>
      </c>
      <c r="P3072">
        <v>4392.28</v>
      </c>
      <c r="Q3072">
        <v>1001.5</v>
      </c>
      <c r="R3072">
        <v>3277.67</v>
      </c>
      <c r="S3072">
        <v>981.41</v>
      </c>
      <c r="T3072">
        <v>93358.89</v>
      </c>
      <c r="U3072">
        <v>34284.21</v>
      </c>
      <c r="V3072">
        <v>10620.01</v>
      </c>
      <c r="W3072">
        <v>9606.98</v>
      </c>
      <c r="X3072">
        <v>104377.25</v>
      </c>
      <c r="Y3072">
        <v>95054.68</v>
      </c>
    </row>
    <row r="3073" spans="1:25" x14ac:dyDescent="0.25">
      <c r="A3073" t="s">
        <v>3129</v>
      </c>
      <c r="B3073" s="1">
        <v>45787</v>
      </c>
      <c r="C3073">
        <v>2025</v>
      </c>
      <c r="D3073">
        <v>5</v>
      </c>
      <c r="E3073" t="s">
        <v>468</v>
      </c>
      <c r="F3073" t="s">
        <v>358</v>
      </c>
      <c r="G3073" t="s">
        <v>44</v>
      </c>
      <c r="H3073" t="s">
        <v>53</v>
      </c>
      <c r="I3073" t="s">
        <v>65</v>
      </c>
      <c r="J3073">
        <v>70</v>
      </c>
      <c r="K3073">
        <v>898.36</v>
      </c>
      <c r="L3073">
        <v>62884.86</v>
      </c>
      <c r="M3073">
        <v>34652.49</v>
      </c>
      <c r="N3073">
        <v>4580.55</v>
      </c>
      <c r="O3073">
        <v>4489.0200000000004</v>
      </c>
      <c r="P3073">
        <v>2533.9299999999998</v>
      </c>
      <c r="Q3073">
        <v>625.62</v>
      </c>
      <c r="R3073">
        <v>1718.39</v>
      </c>
      <c r="S3073">
        <v>1367.63</v>
      </c>
      <c r="T3073">
        <v>49967.62</v>
      </c>
      <c r="U3073">
        <v>28232.37</v>
      </c>
      <c r="V3073">
        <v>12917.24</v>
      </c>
      <c r="W3073">
        <v>13122.39</v>
      </c>
      <c r="X3073">
        <v>63905.63</v>
      </c>
      <c r="Y3073">
        <v>50207.63</v>
      </c>
    </row>
    <row r="3074" spans="1:25" x14ac:dyDescent="0.25">
      <c r="A3074" t="s">
        <v>3130</v>
      </c>
      <c r="B3074" s="1">
        <v>45788</v>
      </c>
      <c r="C3074">
        <v>2025</v>
      </c>
      <c r="D3074">
        <v>5</v>
      </c>
      <c r="E3074" t="s">
        <v>468</v>
      </c>
      <c r="F3074" t="s">
        <v>358</v>
      </c>
      <c r="G3074" t="s">
        <v>55</v>
      </c>
      <c r="H3074" t="s">
        <v>58</v>
      </c>
      <c r="I3074" t="s">
        <v>45</v>
      </c>
      <c r="J3074">
        <v>45</v>
      </c>
      <c r="K3074">
        <v>823.84</v>
      </c>
      <c r="L3074">
        <v>37072.76</v>
      </c>
      <c r="M3074">
        <v>22164.77</v>
      </c>
      <c r="N3074">
        <v>3868.15</v>
      </c>
      <c r="O3074">
        <v>1045.75</v>
      </c>
      <c r="P3074">
        <v>1003.6</v>
      </c>
      <c r="Q3074">
        <v>296.27</v>
      </c>
      <c r="R3074">
        <v>1842.22</v>
      </c>
      <c r="S3074">
        <v>602.01</v>
      </c>
      <c r="T3074">
        <v>30822.77</v>
      </c>
      <c r="U3074">
        <v>14907.99</v>
      </c>
      <c r="V3074">
        <v>6249.98</v>
      </c>
      <c r="W3074">
        <v>6182.5</v>
      </c>
      <c r="X3074">
        <v>34433.769999999997</v>
      </c>
      <c r="Y3074">
        <v>31541.91</v>
      </c>
    </row>
    <row r="3075" spans="1:25" x14ac:dyDescent="0.25">
      <c r="A3075" t="s">
        <v>3131</v>
      </c>
      <c r="B3075" s="1">
        <v>45788</v>
      </c>
      <c r="C3075">
        <v>2025</v>
      </c>
      <c r="D3075">
        <v>5</v>
      </c>
      <c r="E3075" t="s">
        <v>468</v>
      </c>
      <c r="F3075" t="s">
        <v>358</v>
      </c>
      <c r="G3075" t="s">
        <v>44</v>
      </c>
      <c r="H3075" t="s">
        <v>58</v>
      </c>
      <c r="I3075" t="s">
        <v>50</v>
      </c>
      <c r="J3075">
        <v>52</v>
      </c>
      <c r="K3075">
        <v>1055.47</v>
      </c>
      <c r="L3075">
        <v>54884.22</v>
      </c>
      <c r="M3075">
        <v>30018.87</v>
      </c>
      <c r="N3075">
        <v>3861.68</v>
      </c>
      <c r="O3075">
        <v>1538.59</v>
      </c>
      <c r="P3075">
        <v>1042.9100000000001</v>
      </c>
      <c r="Q3075">
        <v>699.71</v>
      </c>
      <c r="R3075">
        <v>2239.9</v>
      </c>
      <c r="S3075">
        <v>870.35</v>
      </c>
      <c r="T3075">
        <v>40272.01</v>
      </c>
      <c r="U3075">
        <v>24865.35</v>
      </c>
      <c r="V3075">
        <v>14612.22</v>
      </c>
      <c r="W3075">
        <v>12976.64</v>
      </c>
      <c r="X3075">
        <v>59860.38</v>
      </c>
      <c r="Y3075">
        <v>42875.9</v>
      </c>
    </row>
    <row r="3076" spans="1:25" x14ac:dyDescent="0.25">
      <c r="A3076" t="s">
        <v>3132</v>
      </c>
      <c r="B3076" s="1">
        <v>45788</v>
      </c>
      <c r="C3076">
        <v>2025</v>
      </c>
      <c r="D3076">
        <v>5</v>
      </c>
      <c r="E3076" t="s">
        <v>468</v>
      </c>
      <c r="F3076" t="s">
        <v>358</v>
      </c>
      <c r="G3076" t="s">
        <v>28</v>
      </c>
      <c r="H3076" t="s">
        <v>32</v>
      </c>
      <c r="I3076" t="s">
        <v>33</v>
      </c>
      <c r="J3076">
        <v>101</v>
      </c>
      <c r="K3076">
        <v>1132.5999999999999</v>
      </c>
      <c r="L3076">
        <v>114392.91</v>
      </c>
      <c r="M3076">
        <v>67392.39</v>
      </c>
      <c r="N3076">
        <v>12558.67</v>
      </c>
      <c r="O3076">
        <v>5533.85</v>
      </c>
      <c r="P3076">
        <v>2028.55</v>
      </c>
      <c r="Q3076">
        <v>1083.75</v>
      </c>
      <c r="R3076">
        <v>2896.13</v>
      </c>
      <c r="S3076">
        <v>1608.19</v>
      </c>
      <c r="T3076">
        <v>93101.53</v>
      </c>
      <c r="U3076">
        <v>47000.52</v>
      </c>
      <c r="V3076">
        <v>21291.38</v>
      </c>
      <c r="W3076">
        <v>21295.72</v>
      </c>
      <c r="X3076">
        <v>106037.5</v>
      </c>
      <c r="Y3076">
        <v>97961.76</v>
      </c>
    </row>
    <row r="3077" spans="1:25" x14ac:dyDescent="0.25">
      <c r="A3077" t="s">
        <v>3133</v>
      </c>
      <c r="B3077" s="1">
        <v>45788</v>
      </c>
      <c r="C3077">
        <v>2025</v>
      </c>
      <c r="D3077">
        <v>5</v>
      </c>
      <c r="E3077" t="s">
        <v>468</v>
      </c>
      <c r="F3077" t="s">
        <v>358</v>
      </c>
      <c r="G3077" t="s">
        <v>44</v>
      </c>
      <c r="H3077" t="s">
        <v>32</v>
      </c>
      <c r="I3077" t="s">
        <v>56</v>
      </c>
      <c r="J3077">
        <v>40</v>
      </c>
      <c r="K3077">
        <v>932.68</v>
      </c>
      <c r="L3077">
        <v>37307.11</v>
      </c>
      <c r="M3077">
        <v>21469.23</v>
      </c>
      <c r="N3077">
        <v>2628.09</v>
      </c>
      <c r="O3077">
        <v>2672.5</v>
      </c>
      <c r="P3077">
        <v>1466.24</v>
      </c>
      <c r="Q3077">
        <v>609.09</v>
      </c>
      <c r="R3077">
        <v>2326.3000000000002</v>
      </c>
      <c r="S3077">
        <v>502.78</v>
      </c>
      <c r="T3077">
        <v>31674.22</v>
      </c>
      <c r="U3077">
        <v>15837.88</v>
      </c>
      <c r="V3077">
        <v>5632.89</v>
      </c>
      <c r="W3077">
        <v>5435.9</v>
      </c>
      <c r="X3077">
        <v>35348.300000000003</v>
      </c>
      <c r="Y3077">
        <v>34425.71</v>
      </c>
    </row>
    <row r="3078" spans="1:25" x14ac:dyDescent="0.25">
      <c r="A3078" t="s">
        <v>3134</v>
      </c>
      <c r="B3078" s="1">
        <v>45789</v>
      </c>
      <c r="C3078">
        <v>2025</v>
      </c>
      <c r="D3078">
        <v>5</v>
      </c>
      <c r="E3078" t="s">
        <v>468</v>
      </c>
      <c r="F3078" t="s">
        <v>358</v>
      </c>
      <c r="G3078" t="s">
        <v>28</v>
      </c>
      <c r="H3078" t="s">
        <v>36</v>
      </c>
      <c r="I3078" t="s">
        <v>45</v>
      </c>
      <c r="J3078">
        <v>41</v>
      </c>
      <c r="K3078">
        <v>983.17</v>
      </c>
      <c r="L3078">
        <v>40309.870000000003</v>
      </c>
      <c r="M3078">
        <v>23164.78</v>
      </c>
      <c r="N3078">
        <v>4032.52</v>
      </c>
      <c r="O3078">
        <v>2019.4</v>
      </c>
      <c r="P3078">
        <v>1808.74</v>
      </c>
      <c r="Q3078">
        <v>672.32</v>
      </c>
      <c r="R3078">
        <v>1809.51</v>
      </c>
      <c r="S3078">
        <v>991.55</v>
      </c>
      <c r="T3078">
        <v>34498.82</v>
      </c>
      <c r="U3078">
        <v>17145.080000000002</v>
      </c>
      <c r="V3078">
        <v>5811.04</v>
      </c>
      <c r="W3078">
        <v>5164.93</v>
      </c>
      <c r="X3078">
        <v>37666.879999999997</v>
      </c>
      <c r="Y3078">
        <v>33840.43</v>
      </c>
    </row>
    <row r="3079" spans="1:25" x14ac:dyDescent="0.25">
      <c r="A3079" t="s">
        <v>3135</v>
      </c>
      <c r="B3079" s="1">
        <v>45789</v>
      </c>
      <c r="C3079">
        <v>2025</v>
      </c>
      <c r="D3079">
        <v>5</v>
      </c>
      <c r="E3079" t="s">
        <v>468</v>
      </c>
      <c r="F3079" t="s">
        <v>358</v>
      </c>
      <c r="G3079" t="s">
        <v>44</v>
      </c>
      <c r="H3079" t="s">
        <v>29</v>
      </c>
      <c r="I3079" t="s">
        <v>65</v>
      </c>
      <c r="J3079">
        <v>63</v>
      </c>
      <c r="K3079">
        <v>964.89</v>
      </c>
      <c r="L3079">
        <v>60788.22</v>
      </c>
      <c r="M3079">
        <v>36203.980000000003</v>
      </c>
      <c r="N3079">
        <v>5828.92</v>
      </c>
      <c r="O3079">
        <v>2935.8</v>
      </c>
      <c r="P3079">
        <v>2514.5700000000002</v>
      </c>
      <c r="Q3079">
        <v>673.8</v>
      </c>
      <c r="R3079">
        <v>1968.62</v>
      </c>
      <c r="S3079">
        <v>986.36</v>
      </c>
      <c r="T3079">
        <v>51112.05</v>
      </c>
      <c r="U3079">
        <v>24584.240000000002</v>
      </c>
      <c r="V3079">
        <v>9676.16</v>
      </c>
      <c r="W3079">
        <v>9411.56</v>
      </c>
      <c r="X3079">
        <v>56493.96</v>
      </c>
      <c r="Y3079">
        <v>52829.15</v>
      </c>
    </row>
    <row r="3080" spans="1:25" x14ac:dyDescent="0.25">
      <c r="A3080" t="s">
        <v>3136</v>
      </c>
      <c r="B3080" s="1">
        <v>45789</v>
      </c>
      <c r="C3080">
        <v>2025</v>
      </c>
      <c r="D3080">
        <v>5</v>
      </c>
      <c r="E3080" t="s">
        <v>468</v>
      </c>
      <c r="F3080" t="s">
        <v>358</v>
      </c>
      <c r="G3080" t="s">
        <v>44</v>
      </c>
      <c r="H3080" t="s">
        <v>29</v>
      </c>
      <c r="I3080" t="s">
        <v>45</v>
      </c>
      <c r="J3080">
        <v>23</v>
      </c>
      <c r="K3080">
        <v>1616</v>
      </c>
      <c r="L3080">
        <v>37168.1</v>
      </c>
      <c r="M3080">
        <v>22140.35</v>
      </c>
      <c r="N3080">
        <v>4779.6099999999997</v>
      </c>
      <c r="O3080">
        <v>2735.46</v>
      </c>
      <c r="P3080">
        <v>813.64</v>
      </c>
      <c r="Q3080">
        <v>613.77</v>
      </c>
      <c r="R3080">
        <v>973.06</v>
      </c>
      <c r="S3080">
        <v>729.63</v>
      </c>
      <c r="T3080">
        <v>32785.519999999997</v>
      </c>
      <c r="U3080">
        <v>15027.76</v>
      </c>
      <c r="V3080">
        <v>4382.58</v>
      </c>
      <c r="W3080">
        <v>4149.46</v>
      </c>
      <c r="X3080">
        <v>39048.76</v>
      </c>
      <c r="Y3080">
        <v>33605.01</v>
      </c>
    </row>
    <row r="3081" spans="1:25" x14ac:dyDescent="0.25">
      <c r="A3081" t="s">
        <v>3137</v>
      </c>
      <c r="B3081" s="1">
        <v>45789</v>
      </c>
      <c r="C3081">
        <v>2025</v>
      </c>
      <c r="D3081">
        <v>5</v>
      </c>
      <c r="E3081" t="s">
        <v>468</v>
      </c>
      <c r="F3081" t="s">
        <v>358</v>
      </c>
      <c r="G3081" t="s">
        <v>55</v>
      </c>
      <c r="H3081" t="s">
        <v>36</v>
      </c>
      <c r="I3081" t="s">
        <v>45</v>
      </c>
      <c r="J3081">
        <v>48</v>
      </c>
      <c r="K3081">
        <v>1147.4100000000001</v>
      </c>
      <c r="L3081">
        <v>55075.66</v>
      </c>
      <c r="M3081">
        <v>29364.639999999999</v>
      </c>
      <c r="N3081">
        <v>6328.08</v>
      </c>
      <c r="O3081">
        <v>1981.07</v>
      </c>
      <c r="P3081">
        <v>1076.8399999999999</v>
      </c>
      <c r="Q3081">
        <v>871.91</v>
      </c>
      <c r="R3081">
        <v>2245.7399999999998</v>
      </c>
      <c r="S3081">
        <v>933.3</v>
      </c>
      <c r="T3081">
        <v>42801.57</v>
      </c>
      <c r="U3081">
        <v>25711.02</v>
      </c>
      <c r="V3081">
        <v>12274.09</v>
      </c>
      <c r="W3081">
        <v>12366.88</v>
      </c>
      <c r="X3081">
        <v>60263.71</v>
      </c>
      <c r="Y3081">
        <v>41648.57</v>
      </c>
    </row>
    <row r="3082" spans="1:25" x14ac:dyDescent="0.25">
      <c r="A3082" t="s">
        <v>3138</v>
      </c>
      <c r="B3082" s="1">
        <v>45790</v>
      </c>
      <c r="C3082">
        <v>2025</v>
      </c>
      <c r="D3082">
        <v>5</v>
      </c>
      <c r="E3082" t="s">
        <v>468</v>
      </c>
      <c r="F3082" t="s">
        <v>358</v>
      </c>
      <c r="G3082" t="s">
        <v>28</v>
      </c>
      <c r="H3082" t="s">
        <v>36</v>
      </c>
      <c r="I3082" t="s">
        <v>39</v>
      </c>
      <c r="J3082">
        <v>38</v>
      </c>
      <c r="K3082">
        <v>1359.2</v>
      </c>
      <c r="L3082">
        <v>51649.73</v>
      </c>
      <c r="M3082">
        <v>32536.48</v>
      </c>
      <c r="N3082">
        <v>4183.6099999999997</v>
      </c>
      <c r="O3082">
        <v>2049.04</v>
      </c>
      <c r="P3082">
        <v>2087.8000000000002</v>
      </c>
      <c r="Q3082">
        <v>648.25</v>
      </c>
      <c r="R3082">
        <v>1316.88</v>
      </c>
      <c r="S3082">
        <v>1163.04</v>
      </c>
      <c r="T3082">
        <v>43985.1</v>
      </c>
      <c r="U3082">
        <v>19113.25</v>
      </c>
      <c r="V3082">
        <v>7664.62</v>
      </c>
      <c r="W3082">
        <v>7339.82</v>
      </c>
      <c r="X3082">
        <v>56615.58</v>
      </c>
      <c r="Y3082">
        <v>42573.16</v>
      </c>
    </row>
    <row r="3083" spans="1:25" x14ac:dyDescent="0.25">
      <c r="A3083" t="s">
        <v>3139</v>
      </c>
      <c r="B3083" s="1">
        <v>45790</v>
      </c>
      <c r="C3083">
        <v>2025</v>
      </c>
      <c r="D3083">
        <v>5</v>
      </c>
      <c r="E3083" t="s">
        <v>468</v>
      </c>
      <c r="F3083" t="s">
        <v>358</v>
      </c>
      <c r="G3083" t="s">
        <v>35</v>
      </c>
      <c r="H3083" t="s">
        <v>36</v>
      </c>
      <c r="I3083" t="s">
        <v>30</v>
      </c>
      <c r="J3083">
        <v>95</v>
      </c>
      <c r="K3083">
        <v>1004.87</v>
      </c>
      <c r="L3083">
        <v>95462.9</v>
      </c>
      <c r="M3083">
        <v>48016.92</v>
      </c>
      <c r="N3083">
        <v>8606.08</v>
      </c>
      <c r="O3083">
        <v>6661.17</v>
      </c>
      <c r="P3083">
        <v>2708.23</v>
      </c>
      <c r="Q3083">
        <v>824.7</v>
      </c>
      <c r="R3083">
        <v>4811.8</v>
      </c>
      <c r="S3083">
        <v>1229.05</v>
      </c>
      <c r="T3083">
        <v>72857.97</v>
      </c>
      <c r="U3083">
        <v>47445.97</v>
      </c>
      <c r="V3083">
        <v>22604.93</v>
      </c>
      <c r="W3083">
        <v>21654.05</v>
      </c>
      <c r="X3083">
        <v>88612.36</v>
      </c>
      <c r="Y3083">
        <v>76512.94</v>
      </c>
    </row>
    <row r="3084" spans="1:25" x14ac:dyDescent="0.25">
      <c r="A3084" t="s">
        <v>3140</v>
      </c>
      <c r="B3084" s="1">
        <v>45790</v>
      </c>
      <c r="C3084">
        <v>2025</v>
      </c>
      <c r="D3084">
        <v>5</v>
      </c>
      <c r="E3084" t="s">
        <v>468</v>
      </c>
      <c r="F3084" t="s">
        <v>358</v>
      </c>
      <c r="G3084" t="s">
        <v>55</v>
      </c>
      <c r="H3084" t="s">
        <v>53</v>
      </c>
      <c r="I3084" t="s">
        <v>56</v>
      </c>
      <c r="J3084">
        <v>22</v>
      </c>
      <c r="K3084">
        <v>1331.1</v>
      </c>
      <c r="L3084">
        <v>29284.13</v>
      </c>
      <c r="M3084">
        <v>16391.169999999998</v>
      </c>
      <c r="N3084">
        <v>3062.97</v>
      </c>
      <c r="O3084">
        <v>2148.16</v>
      </c>
      <c r="P3084">
        <v>689.5</v>
      </c>
      <c r="Q3084">
        <v>413.57</v>
      </c>
      <c r="R3084">
        <v>1053.79</v>
      </c>
      <c r="S3084">
        <v>656.2</v>
      </c>
      <c r="T3084">
        <v>24415.38</v>
      </c>
      <c r="U3084">
        <v>12892.96</v>
      </c>
      <c r="V3084">
        <v>4868.76</v>
      </c>
      <c r="W3084">
        <v>4890.22</v>
      </c>
      <c r="X3084">
        <v>31440.62</v>
      </c>
      <c r="Y3084">
        <v>24717.33</v>
      </c>
    </row>
    <row r="3085" spans="1:25" x14ac:dyDescent="0.25">
      <c r="A3085" t="s">
        <v>3141</v>
      </c>
      <c r="B3085" s="1">
        <v>45790</v>
      </c>
      <c r="C3085">
        <v>2025</v>
      </c>
      <c r="D3085">
        <v>5</v>
      </c>
      <c r="E3085" t="s">
        <v>468</v>
      </c>
      <c r="F3085" t="s">
        <v>358</v>
      </c>
      <c r="G3085" t="s">
        <v>28</v>
      </c>
      <c r="H3085" t="s">
        <v>32</v>
      </c>
      <c r="I3085" t="s">
        <v>33</v>
      </c>
      <c r="J3085">
        <v>70</v>
      </c>
      <c r="K3085">
        <v>1010.91</v>
      </c>
      <c r="L3085">
        <v>70763.679999999993</v>
      </c>
      <c r="M3085">
        <v>35489.230000000003</v>
      </c>
      <c r="N3085">
        <v>8992.44</v>
      </c>
      <c r="O3085">
        <v>2837.56</v>
      </c>
      <c r="P3085">
        <v>1389.43</v>
      </c>
      <c r="Q3085">
        <v>547.91999999999996</v>
      </c>
      <c r="R3085">
        <v>3939.72</v>
      </c>
      <c r="S3085">
        <v>1537.83</v>
      </c>
      <c r="T3085">
        <v>54734.14</v>
      </c>
      <c r="U3085">
        <v>35274.44</v>
      </c>
      <c r="V3085">
        <v>16029.54</v>
      </c>
      <c r="W3085">
        <v>15261.71</v>
      </c>
      <c r="X3085">
        <v>77909.259999999995</v>
      </c>
      <c r="Y3085">
        <v>55390.78</v>
      </c>
    </row>
    <row r="3086" spans="1:25" x14ac:dyDescent="0.25">
      <c r="A3086" t="s">
        <v>3142</v>
      </c>
      <c r="B3086" s="1">
        <v>45791</v>
      </c>
      <c r="C3086">
        <v>2025</v>
      </c>
      <c r="D3086">
        <v>5</v>
      </c>
      <c r="E3086" t="s">
        <v>468</v>
      </c>
      <c r="F3086" t="s">
        <v>358</v>
      </c>
      <c r="G3086" t="s">
        <v>28</v>
      </c>
      <c r="H3086" t="s">
        <v>36</v>
      </c>
      <c r="I3086" t="s">
        <v>56</v>
      </c>
      <c r="J3086">
        <v>20</v>
      </c>
      <c r="K3086">
        <v>1466.16</v>
      </c>
      <c r="L3086">
        <v>29323.27</v>
      </c>
      <c r="M3086">
        <v>19475.71</v>
      </c>
      <c r="N3086">
        <v>2248.34</v>
      </c>
      <c r="O3086">
        <v>1583.89</v>
      </c>
      <c r="P3086">
        <v>1230.3</v>
      </c>
      <c r="Q3086">
        <v>374.5</v>
      </c>
      <c r="R3086">
        <v>1670.5</v>
      </c>
      <c r="S3086">
        <v>268.29000000000002</v>
      </c>
      <c r="T3086">
        <v>26851.54</v>
      </c>
      <c r="U3086">
        <v>9847.56</v>
      </c>
      <c r="V3086">
        <v>2471.73</v>
      </c>
      <c r="W3086">
        <v>2436.4899999999998</v>
      </c>
      <c r="X3086">
        <v>32264.19</v>
      </c>
      <c r="Y3086">
        <v>28124.62</v>
      </c>
    </row>
    <row r="3087" spans="1:25" x14ac:dyDescent="0.25">
      <c r="A3087" t="s">
        <v>3143</v>
      </c>
      <c r="B3087" s="1">
        <v>45791</v>
      </c>
      <c r="C3087">
        <v>2025</v>
      </c>
      <c r="D3087">
        <v>5</v>
      </c>
      <c r="E3087" t="s">
        <v>468</v>
      </c>
      <c r="F3087" t="s">
        <v>358</v>
      </c>
      <c r="G3087" t="s">
        <v>44</v>
      </c>
      <c r="H3087" t="s">
        <v>32</v>
      </c>
      <c r="I3087" t="s">
        <v>39</v>
      </c>
      <c r="J3087">
        <v>40</v>
      </c>
      <c r="K3087">
        <v>1472.98</v>
      </c>
      <c r="L3087">
        <v>58919.37</v>
      </c>
      <c r="M3087">
        <v>32513.919999999998</v>
      </c>
      <c r="N3087">
        <v>6334.18</v>
      </c>
      <c r="O3087">
        <v>3432.61</v>
      </c>
      <c r="P3087">
        <v>990.21</v>
      </c>
      <c r="Q3087">
        <v>443.72</v>
      </c>
      <c r="R3087">
        <v>2181</v>
      </c>
      <c r="S3087">
        <v>950.42</v>
      </c>
      <c r="T3087">
        <v>46846.06</v>
      </c>
      <c r="U3087">
        <v>26405.45</v>
      </c>
      <c r="V3087">
        <v>12073.31</v>
      </c>
      <c r="W3087">
        <v>11724.63</v>
      </c>
      <c r="X3087">
        <v>64284.78</v>
      </c>
      <c r="Y3087">
        <v>45477.07</v>
      </c>
    </row>
    <row r="3088" spans="1:25" x14ac:dyDescent="0.25">
      <c r="A3088" t="s">
        <v>3144</v>
      </c>
      <c r="B3088" s="1">
        <v>45791</v>
      </c>
      <c r="C3088">
        <v>2025</v>
      </c>
      <c r="D3088">
        <v>5</v>
      </c>
      <c r="E3088" t="s">
        <v>468</v>
      </c>
      <c r="F3088" t="s">
        <v>358</v>
      </c>
      <c r="G3088" t="s">
        <v>44</v>
      </c>
      <c r="H3088" t="s">
        <v>32</v>
      </c>
      <c r="I3088" t="s">
        <v>56</v>
      </c>
      <c r="J3088">
        <v>35</v>
      </c>
      <c r="K3088">
        <v>1354.82</v>
      </c>
      <c r="L3088">
        <v>47418.58</v>
      </c>
      <c r="M3088">
        <v>30264.33</v>
      </c>
      <c r="N3088">
        <v>5093.32</v>
      </c>
      <c r="O3088">
        <v>2559.37</v>
      </c>
      <c r="P3088">
        <v>1305.8</v>
      </c>
      <c r="Q3088">
        <v>421.97</v>
      </c>
      <c r="R3088">
        <v>2305.12</v>
      </c>
      <c r="S3088">
        <v>1062.9000000000001</v>
      </c>
      <c r="T3088">
        <v>43012.81</v>
      </c>
      <c r="U3088">
        <v>17154.25</v>
      </c>
      <c r="V3088">
        <v>4405.7700000000004</v>
      </c>
      <c r="W3088">
        <v>4367.88</v>
      </c>
      <c r="X3088">
        <v>51938.400000000001</v>
      </c>
      <c r="Y3088">
        <v>43339.67</v>
      </c>
    </row>
    <row r="3089" spans="1:25" x14ac:dyDescent="0.25">
      <c r="A3089" t="s">
        <v>3145</v>
      </c>
      <c r="B3089" s="1">
        <v>45792</v>
      </c>
      <c r="C3089">
        <v>2025</v>
      </c>
      <c r="D3089">
        <v>5</v>
      </c>
      <c r="E3089" t="s">
        <v>468</v>
      </c>
      <c r="F3089" t="s">
        <v>358</v>
      </c>
      <c r="G3089" t="s">
        <v>55</v>
      </c>
      <c r="H3089" t="s">
        <v>36</v>
      </c>
      <c r="I3089" t="s">
        <v>45</v>
      </c>
      <c r="J3089">
        <v>52</v>
      </c>
      <c r="K3089">
        <v>838.18</v>
      </c>
      <c r="L3089">
        <v>43585.49</v>
      </c>
      <c r="M3089">
        <v>25755.200000000001</v>
      </c>
      <c r="N3089">
        <v>4709.8500000000004</v>
      </c>
      <c r="O3089">
        <v>2300.75</v>
      </c>
      <c r="P3089">
        <v>1158.9100000000001</v>
      </c>
      <c r="Q3089">
        <v>253.47</v>
      </c>
      <c r="R3089">
        <v>1365.61</v>
      </c>
      <c r="S3089">
        <v>351.67</v>
      </c>
      <c r="T3089">
        <v>35895.449999999997</v>
      </c>
      <c r="U3089">
        <v>17830.3</v>
      </c>
      <c r="V3089">
        <v>7690.04</v>
      </c>
      <c r="W3089">
        <v>6779.82</v>
      </c>
      <c r="X3089">
        <v>46286.5</v>
      </c>
      <c r="Y3089">
        <v>36952.39</v>
      </c>
    </row>
    <row r="3090" spans="1:25" x14ac:dyDescent="0.25">
      <c r="A3090" t="s">
        <v>3146</v>
      </c>
      <c r="B3090" s="1">
        <v>45792</v>
      </c>
      <c r="C3090">
        <v>2025</v>
      </c>
      <c r="D3090">
        <v>5</v>
      </c>
      <c r="E3090" t="s">
        <v>468</v>
      </c>
      <c r="F3090" t="s">
        <v>358</v>
      </c>
      <c r="G3090" t="s">
        <v>44</v>
      </c>
      <c r="H3090" t="s">
        <v>32</v>
      </c>
      <c r="I3090" t="s">
        <v>37</v>
      </c>
      <c r="J3090">
        <v>47</v>
      </c>
      <c r="K3090">
        <v>1194.1300000000001</v>
      </c>
      <c r="L3090">
        <v>56124.2</v>
      </c>
      <c r="M3090">
        <v>32097.79</v>
      </c>
      <c r="N3090">
        <v>5629.07</v>
      </c>
      <c r="O3090">
        <v>2562.5500000000002</v>
      </c>
      <c r="P3090">
        <v>1930.01</v>
      </c>
      <c r="Q3090">
        <v>308.68</v>
      </c>
      <c r="R3090">
        <v>1973.81</v>
      </c>
      <c r="S3090">
        <v>1248.03</v>
      </c>
      <c r="T3090">
        <v>45749.94</v>
      </c>
      <c r="U3090">
        <v>24026.41</v>
      </c>
      <c r="V3090">
        <v>10374.26</v>
      </c>
      <c r="W3090">
        <v>9330.42</v>
      </c>
      <c r="X3090">
        <v>60248.63</v>
      </c>
      <c r="Y3090">
        <v>43207.37</v>
      </c>
    </row>
    <row r="3091" spans="1:25" x14ac:dyDescent="0.25">
      <c r="A3091" t="s">
        <v>3147</v>
      </c>
      <c r="B3091" s="1">
        <v>45792</v>
      </c>
      <c r="C3091">
        <v>2025</v>
      </c>
      <c r="D3091">
        <v>5</v>
      </c>
      <c r="E3091" t="s">
        <v>468</v>
      </c>
      <c r="F3091" t="s">
        <v>358</v>
      </c>
      <c r="G3091" t="s">
        <v>55</v>
      </c>
      <c r="H3091" t="s">
        <v>32</v>
      </c>
      <c r="I3091" t="s">
        <v>56</v>
      </c>
      <c r="J3091">
        <v>23</v>
      </c>
      <c r="K3091">
        <v>1530.92</v>
      </c>
      <c r="L3091">
        <v>35211.22</v>
      </c>
      <c r="M3091">
        <v>17517.490000000002</v>
      </c>
      <c r="N3091">
        <v>2741.94</v>
      </c>
      <c r="O3091">
        <v>971.5</v>
      </c>
      <c r="P3091">
        <v>810.16</v>
      </c>
      <c r="Q3091">
        <v>421.73</v>
      </c>
      <c r="R3091">
        <v>1147.3499999999999</v>
      </c>
      <c r="S3091">
        <v>813.08</v>
      </c>
      <c r="T3091">
        <v>24423.24</v>
      </c>
      <c r="U3091">
        <v>17693.73</v>
      </c>
      <c r="V3091">
        <v>10787.98</v>
      </c>
      <c r="W3091">
        <v>10461.530000000001</v>
      </c>
      <c r="X3091">
        <v>35693.120000000003</v>
      </c>
      <c r="Y3091">
        <v>25990.94</v>
      </c>
    </row>
    <row r="3092" spans="1:25" x14ac:dyDescent="0.25">
      <c r="A3092" t="s">
        <v>3148</v>
      </c>
      <c r="B3092" s="1">
        <v>45792</v>
      </c>
      <c r="C3092">
        <v>2025</v>
      </c>
      <c r="D3092">
        <v>5</v>
      </c>
      <c r="E3092" t="s">
        <v>468</v>
      </c>
      <c r="F3092" t="s">
        <v>358</v>
      </c>
      <c r="G3092" t="s">
        <v>44</v>
      </c>
      <c r="H3092" t="s">
        <v>32</v>
      </c>
      <c r="I3092" t="s">
        <v>50</v>
      </c>
      <c r="J3092">
        <v>38</v>
      </c>
      <c r="K3092">
        <v>1292.56</v>
      </c>
      <c r="L3092">
        <v>49117.26</v>
      </c>
      <c r="M3092">
        <v>33346.800000000003</v>
      </c>
      <c r="N3092">
        <v>4921.03</v>
      </c>
      <c r="O3092">
        <v>2523.9899999999998</v>
      </c>
      <c r="P3092">
        <v>1246.02</v>
      </c>
      <c r="Q3092">
        <v>822.74</v>
      </c>
      <c r="R3092">
        <v>3159.72</v>
      </c>
      <c r="S3092">
        <v>584.82000000000005</v>
      </c>
      <c r="T3092">
        <v>46605.13</v>
      </c>
      <c r="U3092">
        <v>15770.46</v>
      </c>
      <c r="V3092">
        <v>2512.13</v>
      </c>
      <c r="W3092">
        <v>2550.8200000000002</v>
      </c>
      <c r="X3092">
        <v>45988.75</v>
      </c>
      <c r="Y3092">
        <v>45706.07</v>
      </c>
    </row>
    <row r="3093" spans="1:25" x14ac:dyDescent="0.25">
      <c r="A3093" t="s">
        <v>3149</v>
      </c>
      <c r="B3093" s="1">
        <v>45793</v>
      </c>
      <c r="C3093">
        <v>2025</v>
      </c>
      <c r="D3093">
        <v>5</v>
      </c>
      <c r="E3093" t="s">
        <v>468</v>
      </c>
      <c r="F3093" t="s">
        <v>358</v>
      </c>
      <c r="G3093" t="s">
        <v>44</v>
      </c>
      <c r="H3093" t="s">
        <v>32</v>
      </c>
      <c r="I3093" t="s">
        <v>50</v>
      </c>
      <c r="J3093">
        <v>71</v>
      </c>
      <c r="K3093">
        <v>974.55</v>
      </c>
      <c r="L3093">
        <v>69192.86</v>
      </c>
      <c r="M3093">
        <v>35963.019999999997</v>
      </c>
      <c r="N3093">
        <v>7903.03</v>
      </c>
      <c r="O3093">
        <v>1867.35</v>
      </c>
      <c r="P3093">
        <v>1263.27</v>
      </c>
      <c r="Q3093">
        <v>513.99</v>
      </c>
      <c r="R3093">
        <v>3436.12</v>
      </c>
      <c r="S3093">
        <v>1184.8399999999999</v>
      </c>
      <c r="T3093">
        <v>52131.63</v>
      </c>
      <c r="U3093">
        <v>33229.839999999997</v>
      </c>
      <c r="V3093">
        <v>17061.23</v>
      </c>
      <c r="W3093">
        <v>16690.560000000001</v>
      </c>
      <c r="X3093">
        <v>64119.56</v>
      </c>
      <c r="Y3093">
        <v>56906.55</v>
      </c>
    </row>
    <row r="3094" spans="1:25" x14ac:dyDescent="0.25">
      <c r="A3094" t="s">
        <v>3150</v>
      </c>
      <c r="B3094" s="1">
        <v>45793</v>
      </c>
      <c r="C3094">
        <v>2025</v>
      </c>
      <c r="D3094">
        <v>5</v>
      </c>
      <c r="E3094" t="s">
        <v>468</v>
      </c>
      <c r="F3094" t="s">
        <v>358</v>
      </c>
      <c r="G3094" t="s">
        <v>28</v>
      </c>
      <c r="H3094" t="s">
        <v>36</v>
      </c>
      <c r="I3094" t="s">
        <v>45</v>
      </c>
      <c r="J3094">
        <v>42</v>
      </c>
      <c r="K3094">
        <v>1263.04</v>
      </c>
      <c r="L3094">
        <v>53047.72</v>
      </c>
      <c r="M3094">
        <v>32380.48</v>
      </c>
      <c r="N3094">
        <v>4282.62</v>
      </c>
      <c r="O3094">
        <v>2105.71</v>
      </c>
      <c r="P3094">
        <v>1666.68</v>
      </c>
      <c r="Q3094">
        <v>438.05</v>
      </c>
      <c r="R3094">
        <v>2109.7800000000002</v>
      </c>
      <c r="S3094">
        <v>444.91</v>
      </c>
      <c r="T3094">
        <v>43428.24</v>
      </c>
      <c r="U3094">
        <v>20667.240000000002</v>
      </c>
      <c r="V3094">
        <v>9619.48</v>
      </c>
      <c r="W3094">
        <v>9292.83</v>
      </c>
      <c r="X3094">
        <v>49878.46</v>
      </c>
      <c r="Y3094">
        <v>41635.760000000002</v>
      </c>
    </row>
    <row r="3095" spans="1:25" x14ac:dyDescent="0.25">
      <c r="A3095" t="s">
        <v>3151</v>
      </c>
      <c r="B3095" s="1">
        <v>45793</v>
      </c>
      <c r="C3095">
        <v>2025</v>
      </c>
      <c r="D3095">
        <v>5</v>
      </c>
      <c r="E3095" t="s">
        <v>468</v>
      </c>
      <c r="F3095" t="s">
        <v>358</v>
      </c>
      <c r="G3095" t="s">
        <v>55</v>
      </c>
      <c r="H3095" t="s">
        <v>36</v>
      </c>
      <c r="I3095" t="s">
        <v>56</v>
      </c>
      <c r="J3095">
        <v>18</v>
      </c>
      <c r="K3095">
        <v>1711.63</v>
      </c>
      <c r="L3095">
        <v>30809.34</v>
      </c>
      <c r="M3095">
        <v>16485.28</v>
      </c>
      <c r="N3095">
        <v>3353.72</v>
      </c>
      <c r="O3095">
        <v>1542.96</v>
      </c>
      <c r="P3095">
        <v>1063.0899999999999</v>
      </c>
      <c r="Q3095">
        <v>404.44</v>
      </c>
      <c r="R3095">
        <v>1546.98</v>
      </c>
      <c r="S3095">
        <v>483.67</v>
      </c>
      <c r="T3095">
        <v>24880.14</v>
      </c>
      <c r="U3095">
        <v>14324.06</v>
      </c>
      <c r="V3095">
        <v>5929.2</v>
      </c>
      <c r="W3095">
        <v>5853.74</v>
      </c>
      <c r="X3095">
        <v>34290.14</v>
      </c>
      <c r="Y3095">
        <v>24797.49</v>
      </c>
    </row>
    <row r="3096" spans="1:25" x14ac:dyDescent="0.25">
      <c r="A3096" t="s">
        <v>3152</v>
      </c>
      <c r="B3096" s="1">
        <v>45793</v>
      </c>
      <c r="C3096">
        <v>2025</v>
      </c>
      <c r="D3096">
        <v>5</v>
      </c>
      <c r="E3096" t="s">
        <v>468</v>
      </c>
      <c r="F3096" t="s">
        <v>358</v>
      </c>
      <c r="G3096" t="s">
        <v>44</v>
      </c>
      <c r="H3096" t="s">
        <v>36</v>
      </c>
      <c r="I3096" t="s">
        <v>45</v>
      </c>
      <c r="J3096">
        <v>26</v>
      </c>
      <c r="K3096">
        <v>1281.31</v>
      </c>
      <c r="L3096">
        <v>33314.160000000003</v>
      </c>
      <c r="M3096">
        <v>21716.58</v>
      </c>
      <c r="N3096">
        <v>2448.56</v>
      </c>
      <c r="O3096">
        <v>1735.16</v>
      </c>
      <c r="P3096">
        <v>924.88</v>
      </c>
      <c r="Q3096">
        <v>337.09</v>
      </c>
      <c r="R3096">
        <v>1418.79</v>
      </c>
      <c r="S3096">
        <v>812.48</v>
      </c>
      <c r="T3096">
        <v>29393.53</v>
      </c>
      <c r="U3096">
        <v>11597.58</v>
      </c>
      <c r="V3096">
        <v>3920.62</v>
      </c>
      <c r="W3096">
        <v>3477.74</v>
      </c>
      <c r="X3096">
        <v>33681.480000000003</v>
      </c>
      <c r="Y3096">
        <v>29156.02</v>
      </c>
    </row>
    <row r="3097" spans="1:25" x14ac:dyDescent="0.25">
      <c r="A3097" t="s">
        <v>3153</v>
      </c>
      <c r="B3097" s="1">
        <v>45793</v>
      </c>
      <c r="C3097">
        <v>2025</v>
      </c>
      <c r="D3097">
        <v>5</v>
      </c>
      <c r="E3097" t="s">
        <v>468</v>
      </c>
      <c r="F3097" t="s">
        <v>358</v>
      </c>
      <c r="G3097" t="s">
        <v>28</v>
      </c>
      <c r="H3097" t="s">
        <v>53</v>
      </c>
      <c r="I3097" t="s">
        <v>30</v>
      </c>
      <c r="J3097">
        <v>62</v>
      </c>
      <c r="K3097">
        <v>1348.74</v>
      </c>
      <c r="L3097">
        <v>83621.64</v>
      </c>
      <c r="M3097">
        <v>51080.36</v>
      </c>
      <c r="N3097">
        <v>9075.67</v>
      </c>
      <c r="O3097">
        <v>4173.04</v>
      </c>
      <c r="P3097">
        <v>3286.76</v>
      </c>
      <c r="Q3097">
        <v>562.34</v>
      </c>
      <c r="R3097">
        <v>2735.01</v>
      </c>
      <c r="S3097">
        <v>852.51</v>
      </c>
      <c r="T3097">
        <v>71765.69</v>
      </c>
      <c r="U3097">
        <v>32541.29</v>
      </c>
      <c r="V3097">
        <v>11855.95</v>
      </c>
      <c r="W3097">
        <v>12028.26</v>
      </c>
      <c r="X3097">
        <v>93467.47</v>
      </c>
      <c r="Y3097">
        <v>71881.509999999995</v>
      </c>
    </row>
    <row r="3098" spans="1:25" x14ac:dyDescent="0.25">
      <c r="A3098" t="s">
        <v>3154</v>
      </c>
      <c r="B3098" s="1">
        <v>45794</v>
      </c>
      <c r="C3098">
        <v>2025</v>
      </c>
      <c r="D3098">
        <v>5</v>
      </c>
      <c r="E3098" t="s">
        <v>468</v>
      </c>
      <c r="F3098" t="s">
        <v>358</v>
      </c>
      <c r="G3098" t="s">
        <v>35</v>
      </c>
      <c r="H3098" t="s">
        <v>32</v>
      </c>
      <c r="I3098" t="s">
        <v>33</v>
      </c>
      <c r="J3098">
        <v>57</v>
      </c>
      <c r="K3098">
        <v>1357.79</v>
      </c>
      <c r="L3098">
        <v>77394.16</v>
      </c>
      <c r="M3098">
        <v>44857.26</v>
      </c>
      <c r="N3098">
        <v>8691.33</v>
      </c>
      <c r="O3098">
        <v>2108.08</v>
      </c>
      <c r="P3098">
        <v>1237.73</v>
      </c>
      <c r="Q3098">
        <v>1202.8399999999999</v>
      </c>
      <c r="R3098">
        <v>3980.7</v>
      </c>
      <c r="S3098">
        <v>764.75</v>
      </c>
      <c r="T3098">
        <v>62842.69</v>
      </c>
      <c r="U3098">
        <v>32536.9</v>
      </c>
      <c r="V3098">
        <v>14551.47</v>
      </c>
      <c r="W3098">
        <v>13660.34</v>
      </c>
      <c r="X3098">
        <v>76516.149999999994</v>
      </c>
      <c r="Y3098">
        <v>61316.12</v>
      </c>
    </row>
    <row r="3099" spans="1:25" x14ac:dyDescent="0.25">
      <c r="A3099" t="s">
        <v>3155</v>
      </c>
      <c r="B3099" s="1">
        <v>45794</v>
      </c>
      <c r="C3099">
        <v>2025</v>
      </c>
      <c r="D3099">
        <v>5</v>
      </c>
      <c r="E3099" t="s">
        <v>468</v>
      </c>
      <c r="F3099" t="s">
        <v>358</v>
      </c>
      <c r="G3099" t="s">
        <v>35</v>
      </c>
      <c r="H3099" t="s">
        <v>36</v>
      </c>
      <c r="I3099" t="s">
        <v>65</v>
      </c>
      <c r="J3099">
        <v>27</v>
      </c>
      <c r="K3099">
        <v>1430.3</v>
      </c>
      <c r="L3099">
        <v>38617.97</v>
      </c>
      <c r="M3099">
        <v>21613.34</v>
      </c>
      <c r="N3099">
        <v>4062.07</v>
      </c>
      <c r="O3099">
        <v>1172.81</v>
      </c>
      <c r="P3099">
        <v>760.85</v>
      </c>
      <c r="Q3099">
        <v>333.37</v>
      </c>
      <c r="R3099">
        <v>1256.27</v>
      </c>
      <c r="S3099">
        <v>700.25</v>
      </c>
      <c r="T3099">
        <v>29898.959999999999</v>
      </c>
      <c r="U3099">
        <v>17004.63</v>
      </c>
      <c r="V3099">
        <v>8719.01</v>
      </c>
      <c r="W3099">
        <v>8606.7000000000007</v>
      </c>
      <c r="X3099">
        <v>42236.53</v>
      </c>
      <c r="Y3099">
        <v>31804.12</v>
      </c>
    </row>
    <row r="3100" spans="1:25" x14ac:dyDescent="0.25">
      <c r="A3100" t="s">
        <v>3156</v>
      </c>
      <c r="B3100" s="1">
        <v>45794</v>
      </c>
      <c r="C3100">
        <v>2025</v>
      </c>
      <c r="D3100">
        <v>5</v>
      </c>
      <c r="E3100" t="s">
        <v>468</v>
      </c>
      <c r="F3100" t="s">
        <v>358</v>
      </c>
      <c r="G3100" t="s">
        <v>28</v>
      </c>
      <c r="H3100" t="s">
        <v>36</v>
      </c>
      <c r="I3100" t="s">
        <v>50</v>
      </c>
      <c r="J3100">
        <v>54</v>
      </c>
      <c r="K3100">
        <v>1181.27</v>
      </c>
      <c r="L3100">
        <v>63788.43</v>
      </c>
      <c r="M3100">
        <v>41594.300000000003</v>
      </c>
      <c r="N3100">
        <v>5593.8</v>
      </c>
      <c r="O3100">
        <v>3966.81</v>
      </c>
      <c r="P3100">
        <v>1321.75</v>
      </c>
      <c r="Q3100">
        <v>367.64</v>
      </c>
      <c r="R3100">
        <v>1946.82</v>
      </c>
      <c r="S3100">
        <v>669.34</v>
      </c>
      <c r="T3100">
        <v>55460.45</v>
      </c>
      <c r="U3100">
        <v>22194.13</v>
      </c>
      <c r="V3100">
        <v>8327.98</v>
      </c>
      <c r="W3100">
        <v>7690.89</v>
      </c>
      <c r="X3100">
        <v>66219.53</v>
      </c>
      <c r="Y3100">
        <v>53594.400000000001</v>
      </c>
    </row>
    <row r="3101" spans="1:25" x14ac:dyDescent="0.25">
      <c r="A3101" t="s">
        <v>3157</v>
      </c>
      <c r="B3101" s="1">
        <v>45794</v>
      </c>
      <c r="C3101">
        <v>2025</v>
      </c>
      <c r="D3101">
        <v>5</v>
      </c>
      <c r="E3101" t="s">
        <v>468</v>
      </c>
      <c r="F3101" t="s">
        <v>358</v>
      </c>
      <c r="G3101" t="s">
        <v>44</v>
      </c>
      <c r="H3101" t="s">
        <v>32</v>
      </c>
      <c r="I3101" t="s">
        <v>37</v>
      </c>
      <c r="J3101">
        <v>69</v>
      </c>
      <c r="K3101">
        <v>1282.03</v>
      </c>
      <c r="L3101">
        <v>88460.14</v>
      </c>
      <c r="M3101">
        <v>53824.43</v>
      </c>
      <c r="N3101">
        <v>7306.64</v>
      </c>
      <c r="O3101">
        <v>4220.08</v>
      </c>
      <c r="P3101">
        <v>2826.07</v>
      </c>
      <c r="Q3101">
        <v>594.9</v>
      </c>
      <c r="R3101">
        <v>5557.18</v>
      </c>
      <c r="S3101">
        <v>1101.21</v>
      </c>
      <c r="T3101">
        <v>75430.509999999995</v>
      </c>
      <c r="U3101">
        <v>34635.72</v>
      </c>
      <c r="V3101">
        <v>13029.64</v>
      </c>
      <c r="W3101">
        <v>12189.41</v>
      </c>
      <c r="X3101">
        <v>82971.990000000005</v>
      </c>
      <c r="Y3101">
        <v>78822.820000000007</v>
      </c>
    </row>
    <row r="3102" spans="1:25" x14ac:dyDescent="0.25">
      <c r="A3102" t="s">
        <v>3158</v>
      </c>
      <c r="B3102" s="1">
        <v>45795</v>
      </c>
      <c r="C3102">
        <v>2025</v>
      </c>
      <c r="D3102">
        <v>5</v>
      </c>
      <c r="E3102" t="s">
        <v>468</v>
      </c>
      <c r="F3102" t="s">
        <v>358</v>
      </c>
      <c r="G3102" t="s">
        <v>28</v>
      </c>
      <c r="H3102" t="s">
        <v>29</v>
      </c>
      <c r="I3102" t="s">
        <v>39</v>
      </c>
      <c r="J3102">
        <v>31</v>
      </c>
      <c r="K3102">
        <v>1570.58</v>
      </c>
      <c r="L3102">
        <v>48687.98</v>
      </c>
      <c r="M3102">
        <v>24795.93</v>
      </c>
      <c r="N3102">
        <v>3788.42</v>
      </c>
      <c r="O3102">
        <v>3116.33</v>
      </c>
      <c r="P3102">
        <v>2138.69</v>
      </c>
      <c r="Q3102">
        <v>431.4</v>
      </c>
      <c r="R3102">
        <v>1784.06</v>
      </c>
      <c r="S3102">
        <v>757.45</v>
      </c>
      <c r="T3102">
        <v>36812.28</v>
      </c>
      <c r="U3102">
        <v>23892.05</v>
      </c>
      <c r="V3102">
        <v>11875.7</v>
      </c>
      <c r="W3102">
        <v>11625.45</v>
      </c>
      <c r="X3102">
        <v>51212.65</v>
      </c>
      <c r="Y3102">
        <v>39774.519999999997</v>
      </c>
    </row>
    <row r="3103" spans="1:25" x14ac:dyDescent="0.25">
      <c r="A3103" t="s">
        <v>3159</v>
      </c>
      <c r="B3103" s="1">
        <v>45795</v>
      </c>
      <c r="C3103">
        <v>2025</v>
      </c>
      <c r="D3103">
        <v>5</v>
      </c>
      <c r="E3103" t="s">
        <v>468</v>
      </c>
      <c r="F3103" t="s">
        <v>358</v>
      </c>
      <c r="G3103" t="s">
        <v>35</v>
      </c>
      <c r="H3103" t="s">
        <v>58</v>
      </c>
      <c r="I3103" t="s">
        <v>56</v>
      </c>
      <c r="J3103">
        <v>20</v>
      </c>
      <c r="K3103">
        <v>1194.57</v>
      </c>
      <c r="L3103">
        <v>23891.42</v>
      </c>
      <c r="M3103">
        <v>15258.82</v>
      </c>
      <c r="N3103">
        <v>2401.7800000000002</v>
      </c>
      <c r="O3103">
        <v>1085.5899999999999</v>
      </c>
      <c r="P3103">
        <v>956.27</v>
      </c>
      <c r="Q3103">
        <v>268.27999999999997</v>
      </c>
      <c r="R3103">
        <v>1124.03</v>
      </c>
      <c r="S3103">
        <v>218.42</v>
      </c>
      <c r="T3103">
        <v>21313.18</v>
      </c>
      <c r="U3103">
        <v>8632.6</v>
      </c>
      <c r="V3103">
        <v>2578.2399999999998</v>
      </c>
      <c r="W3103">
        <v>2365.65</v>
      </c>
      <c r="X3103">
        <v>25321.32</v>
      </c>
      <c r="Y3103">
        <v>23269.82</v>
      </c>
    </row>
    <row r="3104" spans="1:25" x14ac:dyDescent="0.25">
      <c r="A3104" t="s">
        <v>3160</v>
      </c>
      <c r="B3104" s="1">
        <v>45795</v>
      </c>
      <c r="C3104">
        <v>2025</v>
      </c>
      <c r="D3104">
        <v>5</v>
      </c>
      <c r="E3104" t="s">
        <v>468</v>
      </c>
      <c r="F3104" t="s">
        <v>358</v>
      </c>
      <c r="G3104" t="s">
        <v>35</v>
      </c>
      <c r="H3104" t="s">
        <v>32</v>
      </c>
      <c r="I3104" t="s">
        <v>65</v>
      </c>
      <c r="J3104">
        <v>62</v>
      </c>
      <c r="K3104">
        <v>861.2</v>
      </c>
      <c r="L3104">
        <v>53394.38</v>
      </c>
      <c r="M3104">
        <v>32530.34</v>
      </c>
      <c r="N3104">
        <v>3835.68</v>
      </c>
      <c r="O3104">
        <v>1906.13</v>
      </c>
      <c r="P3104">
        <v>1975.61</v>
      </c>
      <c r="Q3104">
        <v>607.16</v>
      </c>
      <c r="R3104">
        <v>2367.09</v>
      </c>
      <c r="S3104">
        <v>916.12</v>
      </c>
      <c r="T3104">
        <v>44138.13</v>
      </c>
      <c r="U3104">
        <v>20864.03</v>
      </c>
      <c r="V3104">
        <v>9256.24</v>
      </c>
      <c r="W3104">
        <v>8311.19</v>
      </c>
      <c r="X3104">
        <v>52570.38</v>
      </c>
      <c r="Y3104">
        <v>46576.14</v>
      </c>
    </row>
    <row r="3105" spans="1:25" x14ac:dyDescent="0.25">
      <c r="A3105" t="s">
        <v>3161</v>
      </c>
      <c r="B3105" s="1">
        <v>45795</v>
      </c>
      <c r="C3105">
        <v>2025</v>
      </c>
      <c r="D3105">
        <v>5</v>
      </c>
      <c r="E3105" t="s">
        <v>468</v>
      </c>
      <c r="F3105" t="s">
        <v>358</v>
      </c>
      <c r="G3105" t="s">
        <v>28</v>
      </c>
      <c r="H3105" t="s">
        <v>32</v>
      </c>
      <c r="I3105" t="s">
        <v>56</v>
      </c>
      <c r="J3105">
        <v>54</v>
      </c>
      <c r="K3105">
        <v>1013.21</v>
      </c>
      <c r="L3105">
        <v>54713.599999999999</v>
      </c>
      <c r="M3105">
        <v>34511.25</v>
      </c>
      <c r="N3105">
        <v>6778.77</v>
      </c>
      <c r="O3105">
        <v>3773.85</v>
      </c>
      <c r="P3105">
        <v>1952.67</v>
      </c>
      <c r="Q3105">
        <v>434.4</v>
      </c>
      <c r="R3105">
        <v>3515.5</v>
      </c>
      <c r="S3105">
        <v>1171.77</v>
      </c>
      <c r="T3105">
        <v>52138.21</v>
      </c>
      <c r="U3105">
        <v>20202.349999999999</v>
      </c>
      <c r="V3105">
        <v>2575.39</v>
      </c>
      <c r="W3105">
        <v>2602.4</v>
      </c>
      <c r="X3105">
        <v>55559.71</v>
      </c>
      <c r="Y3105">
        <v>54380.23</v>
      </c>
    </row>
    <row r="3106" spans="1:25" x14ac:dyDescent="0.25">
      <c r="A3106" t="s">
        <v>3162</v>
      </c>
      <c r="B3106" s="1">
        <v>45796</v>
      </c>
      <c r="C3106">
        <v>2025</v>
      </c>
      <c r="D3106">
        <v>5</v>
      </c>
      <c r="E3106" t="s">
        <v>468</v>
      </c>
      <c r="F3106" t="s">
        <v>358</v>
      </c>
      <c r="G3106" t="s">
        <v>35</v>
      </c>
      <c r="H3106" t="s">
        <v>32</v>
      </c>
      <c r="I3106" t="s">
        <v>37</v>
      </c>
      <c r="J3106">
        <v>56</v>
      </c>
      <c r="K3106">
        <v>1476.8</v>
      </c>
      <c r="L3106">
        <v>82701.05</v>
      </c>
      <c r="M3106">
        <v>40058.129999999997</v>
      </c>
      <c r="N3106">
        <v>6369.3</v>
      </c>
      <c r="O3106">
        <v>5584.36</v>
      </c>
      <c r="P3106">
        <v>2015.31</v>
      </c>
      <c r="Q3106">
        <v>656.6</v>
      </c>
      <c r="R3106">
        <v>5199.8599999999997</v>
      </c>
      <c r="S3106">
        <v>1446.52</v>
      </c>
      <c r="T3106">
        <v>61330.080000000002</v>
      </c>
      <c r="U3106">
        <v>42642.92</v>
      </c>
      <c r="V3106">
        <v>21370.98</v>
      </c>
      <c r="W3106">
        <v>20225.52</v>
      </c>
      <c r="X3106">
        <v>91367.25</v>
      </c>
      <c r="Y3106">
        <v>62470.54</v>
      </c>
    </row>
    <row r="3107" spans="1:25" x14ac:dyDescent="0.25">
      <c r="A3107" t="s">
        <v>3163</v>
      </c>
      <c r="B3107" s="1">
        <v>45796</v>
      </c>
      <c r="C3107">
        <v>2025</v>
      </c>
      <c r="D3107">
        <v>5</v>
      </c>
      <c r="E3107" t="s">
        <v>468</v>
      </c>
      <c r="F3107" t="s">
        <v>358</v>
      </c>
      <c r="G3107" t="s">
        <v>55</v>
      </c>
      <c r="H3107" t="s">
        <v>36</v>
      </c>
      <c r="I3107" t="s">
        <v>33</v>
      </c>
      <c r="J3107">
        <v>68</v>
      </c>
      <c r="K3107">
        <v>1155.4100000000001</v>
      </c>
      <c r="L3107">
        <v>78567.539999999994</v>
      </c>
      <c r="M3107">
        <v>39043.58</v>
      </c>
      <c r="N3107">
        <v>7364.56</v>
      </c>
      <c r="O3107">
        <v>4680.12</v>
      </c>
      <c r="P3107">
        <v>3117.71</v>
      </c>
      <c r="Q3107">
        <v>1158.3900000000001</v>
      </c>
      <c r="R3107">
        <v>3430.74</v>
      </c>
      <c r="S3107">
        <v>849.41</v>
      </c>
      <c r="T3107">
        <v>59644.51</v>
      </c>
      <c r="U3107">
        <v>39523.96</v>
      </c>
      <c r="V3107">
        <v>18923.03</v>
      </c>
      <c r="W3107">
        <v>17601.3</v>
      </c>
      <c r="X3107">
        <v>84428.58</v>
      </c>
      <c r="Y3107">
        <v>60462.07</v>
      </c>
    </row>
    <row r="3108" spans="1:25" x14ac:dyDescent="0.25">
      <c r="A3108" t="s">
        <v>3164</v>
      </c>
      <c r="B3108" s="1">
        <v>45797</v>
      </c>
      <c r="C3108">
        <v>2025</v>
      </c>
      <c r="D3108">
        <v>5</v>
      </c>
      <c r="E3108" t="s">
        <v>468</v>
      </c>
      <c r="F3108" t="s">
        <v>358</v>
      </c>
      <c r="G3108" t="s">
        <v>35</v>
      </c>
      <c r="H3108" t="s">
        <v>32</v>
      </c>
      <c r="I3108" t="s">
        <v>39</v>
      </c>
      <c r="J3108">
        <v>63</v>
      </c>
      <c r="K3108">
        <v>879.51</v>
      </c>
      <c r="L3108">
        <v>55408.88</v>
      </c>
      <c r="M3108">
        <v>33679.07</v>
      </c>
      <c r="N3108">
        <v>3991.46</v>
      </c>
      <c r="O3108">
        <v>2532.9699999999998</v>
      </c>
      <c r="P3108">
        <v>2036.83</v>
      </c>
      <c r="Q3108">
        <v>816.05</v>
      </c>
      <c r="R3108">
        <v>2628.01</v>
      </c>
      <c r="S3108">
        <v>1290.33</v>
      </c>
      <c r="T3108">
        <v>46974.720000000001</v>
      </c>
      <c r="U3108">
        <v>21729.8</v>
      </c>
      <c r="V3108">
        <v>8434.16</v>
      </c>
      <c r="W3108">
        <v>8082.78</v>
      </c>
      <c r="X3108">
        <v>57478.63</v>
      </c>
      <c r="Y3108">
        <v>50261</v>
      </c>
    </row>
    <row r="3109" spans="1:25" x14ac:dyDescent="0.25">
      <c r="A3109" t="s">
        <v>3165</v>
      </c>
      <c r="B3109" s="1">
        <v>45797</v>
      </c>
      <c r="C3109">
        <v>2025</v>
      </c>
      <c r="D3109">
        <v>5</v>
      </c>
      <c r="E3109" t="s">
        <v>468</v>
      </c>
      <c r="F3109" t="s">
        <v>358</v>
      </c>
      <c r="G3109" t="s">
        <v>35</v>
      </c>
      <c r="H3109" t="s">
        <v>53</v>
      </c>
      <c r="I3109" t="s">
        <v>39</v>
      </c>
      <c r="J3109">
        <v>37</v>
      </c>
      <c r="K3109">
        <v>987.42</v>
      </c>
      <c r="L3109">
        <v>36534.370000000003</v>
      </c>
      <c r="M3109">
        <v>21151.17</v>
      </c>
      <c r="N3109">
        <v>3896.41</v>
      </c>
      <c r="O3109">
        <v>2491.44</v>
      </c>
      <c r="P3109">
        <v>1155</v>
      </c>
      <c r="Q3109">
        <v>589.79</v>
      </c>
      <c r="R3109">
        <v>1362.52</v>
      </c>
      <c r="S3109">
        <v>620.49</v>
      </c>
      <c r="T3109">
        <v>31266.82</v>
      </c>
      <c r="U3109">
        <v>15383.19</v>
      </c>
      <c r="V3109">
        <v>5267.54</v>
      </c>
      <c r="W3109">
        <v>4765.28</v>
      </c>
      <c r="X3109">
        <v>35389.15</v>
      </c>
      <c r="Y3109">
        <v>29796.49</v>
      </c>
    </row>
    <row r="3110" spans="1:25" x14ac:dyDescent="0.25">
      <c r="A3110" t="s">
        <v>3166</v>
      </c>
      <c r="B3110" s="1">
        <v>45797</v>
      </c>
      <c r="C3110">
        <v>2025</v>
      </c>
      <c r="D3110">
        <v>5</v>
      </c>
      <c r="E3110" t="s">
        <v>468</v>
      </c>
      <c r="F3110" t="s">
        <v>358</v>
      </c>
      <c r="G3110" t="s">
        <v>55</v>
      </c>
      <c r="H3110" t="s">
        <v>58</v>
      </c>
      <c r="I3110" t="s">
        <v>45</v>
      </c>
      <c r="J3110">
        <v>28</v>
      </c>
      <c r="K3110">
        <v>1506.11</v>
      </c>
      <c r="L3110">
        <v>42171.1</v>
      </c>
      <c r="M3110">
        <v>27617.87</v>
      </c>
      <c r="N3110">
        <v>3194.28</v>
      </c>
      <c r="O3110">
        <v>2787.09</v>
      </c>
      <c r="P3110">
        <v>1489.29</v>
      </c>
      <c r="Q3110">
        <v>576.92999999999995</v>
      </c>
      <c r="R3110">
        <v>1711.56</v>
      </c>
      <c r="S3110">
        <v>1038.1099999999999</v>
      </c>
      <c r="T3110">
        <v>38415.14</v>
      </c>
      <c r="U3110">
        <v>14553.23</v>
      </c>
      <c r="V3110">
        <v>3755.96</v>
      </c>
      <c r="W3110">
        <v>3374.08</v>
      </c>
      <c r="X3110">
        <v>40291.5</v>
      </c>
      <c r="Y3110">
        <v>37199.360000000001</v>
      </c>
    </row>
    <row r="3111" spans="1:25" x14ac:dyDescent="0.25">
      <c r="A3111" t="s">
        <v>3167</v>
      </c>
      <c r="B3111" s="1">
        <v>45797</v>
      </c>
      <c r="C3111">
        <v>2025</v>
      </c>
      <c r="D3111">
        <v>5</v>
      </c>
      <c r="E3111" t="s">
        <v>468</v>
      </c>
      <c r="F3111" t="s">
        <v>358</v>
      </c>
      <c r="G3111" t="s">
        <v>28</v>
      </c>
      <c r="H3111" t="s">
        <v>32</v>
      </c>
      <c r="I3111" t="s">
        <v>56</v>
      </c>
      <c r="J3111">
        <v>50</v>
      </c>
      <c r="K3111">
        <v>912.77</v>
      </c>
      <c r="L3111">
        <v>45638.69</v>
      </c>
      <c r="M3111">
        <v>25424.82</v>
      </c>
      <c r="N3111">
        <v>3753.11</v>
      </c>
      <c r="O3111">
        <v>2968.02</v>
      </c>
      <c r="P3111">
        <v>1485.96</v>
      </c>
      <c r="Q3111">
        <v>395.93</v>
      </c>
      <c r="R3111">
        <v>2540.9</v>
      </c>
      <c r="S3111">
        <v>679.28</v>
      </c>
      <c r="T3111">
        <v>37248.03</v>
      </c>
      <c r="U3111">
        <v>20213.87</v>
      </c>
      <c r="V3111">
        <v>8390.67</v>
      </c>
      <c r="W3111">
        <v>7408.97</v>
      </c>
      <c r="X3111">
        <v>46433.8</v>
      </c>
      <c r="Y3111">
        <v>35372.67</v>
      </c>
    </row>
    <row r="3112" spans="1:25" x14ac:dyDescent="0.25">
      <c r="A3112" t="s">
        <v>3168</v>
      </c>
      <c r="B3112" s="1">
        <v>45797</v>
      </c>
      <c r="C3112">
        <v>2025</v>
      </c>
      <c r="D3112">
        <v>5</v>
      </c>
      <c r="E3112" t="s">
        <v>468</v>
      </c>
      <c r="F3112" t="s">
        <v>358</v>
      </c>
      <c r="G3112" t="s">
        <v>28</v>
      </c>
      <c r="H3112" t="s">
        <v>32</v>
      </c>
      <c r="I3112" t="s">
        <v>65</v>
      </c>
      <c r="J3112">
        <v>56</v>
      </c>
      <c r="K3112">
        <v>1375.86</v>
      </c>
      <c r="L3112">
        <v>77048.33</v>
      </c>
      <c r="M3112">
        <v>42032.63</v>
      </c>
      <c r="N3112">
        <v>5993.43</v>
      </c>
      <c r="O3112">
        <v>2424.0500000000002</v>
      </c>
      <c r="P3112">
        <v>1251.46</v>
      </c>
      <c r="Q3112">
        <v>1251.18</v>
      </c>
      <c r="R3112">
        <v>3538.25</v>
      </c>
      <c r="S3112">
        <v>816.47</v>
      </c>
      <c r="T3112">
        <v>57307.48</v>
      </c>
      <c r="U3112">
        <v>35015.699999999997</v>
      </c>
      <c r="V3112">
        <v>19740.849999999999</v>
      </c>
      <c r="W3112">
        <v>18142.52</v>
      </c>
      <c r="X3112">
        <v>72282.75</v>
      </c>
      <c r="Y3112">
        <v>56212.94</v>
      </c>
    </row>
    <row r="3113" spans="1:25" x14ac:dyDescent="0.25">
      <c r="A3113" t="s">
        <v>3169</v>
      </c>
      <c r="B3113" s="1">
        <v>45797</v>
      </c>
      <c r="C3113">
        <v>2025</v>
      </c>
      <c r="D3113">
        <v>5</v>
      </c>
      <c r="E3113" t="s">
        <v>468</v>
      </c>
      <c r="F3113" t="s">
        <v>358</v>
      </c>
      <c r="G3113" t="s">
        <v>28</v>
      </c>
      <c r="H3113" t="s">
        <v>29</v>
      </c>
      <c r="I3113" t="s">
        <v>56</v>
      </c>
      <c r="J3113">
        <v>36</v>
      </c>
      <c r="K3113">
        <v>1088.75</v>
      </c>
      <c r="L3113">
        <v>39194.86</v>
      </c>
      <c r="M3113">
        <v>22371.599999999999</v>
      </c>
      <c r="N3113">
        <v>3371.16</v>
      </c>
      <c r="O3113">
        <v>1501</v>
      </c>
      <c r="P3113">
        <v>1292.94</v>
      </c>
      <c r="Q3113">
        <v>339.32</v>
      </c>
      <c r="R3113">
        <v>2213.5300000000002</v>
      </c>
      <c r="S3113">
        <v>711.09</v>
      </c>
      <c r="T3113">
        <v>31800.639999999999</v>
      </c>
      <c r="U3113">
        <v>16823.259999999998</v>
      </c>
      <c r="V3113">
        <v>7394.22</v>
      </c>
      <c r="W3113">
        <v>6573.86</v>
      </c>
      <c r="X3113">
        <v>40190.019999999997</v>
      </c>
      <c r="Y3113">
        <v>34663.14</v>
      </c>
    </row>
    <row r="3114" spans="1:25" x14ac:dyDescent="0.25">
      <c r="A3114" t="s">
        <v>3170</v>
      </c>
      <c r="B3114" s="1">
        <v>45798</v>
      </c>
      <c r="C3114">
        <v>2025</v>
      </c>
      <c r="D3114">
        <v>5</v>
      </c>
      <c r="E3114" t="s">
        <v>468</v>
      </c>
      <c r="F3114" t="s">
        <v>358</v>
      </c>
      <c r="G3114" t="s">
        <v>28</v>
      </c>
      <c r="H3114" t="s">
        <v>32</v>
      </c>
      <c r="I3114" t="s">
        <v>50</v>
      </c>
      <c r="J3114">
        <v>29</v>
      </c>
      <c r="K3114">
        <v>1711.46</v>
      </c>
      <c r="L3114">
        <v>49632.41</v>
      </c>
      <c r="M3114">
        <v>25394.52</v>
      </c>
      <c r="N3114">
        <v>4411.46</v>
      </c>
      <c r="O3114">
        <v>2628.41</v>
      </c>
      <c r="P3114">
        <v>2180.4499999999998</v>
      </c>
      <c r="Q3114">
        <v>609.25</v>
      </c>
      <c r="R3114">
        <v>2457.21</v>
      </c>
      <c r="S3114">
        <v>651</v>
      </c>
      <c r="T3114">
        <v>38332.300000000003</v>
      </c>
      <c r="U3114">
        <v>24237.89</v>
      </c>
      <c r="V3114">
        <v>11300.11</v>
      </c>
      <c r="W3114">
        <v>10957.26</v>
      </c>
      <c r="X3114">
        <v>47064.51</v>
      </c>
      <c r="Y3114">
        <v>40408.43</v>
      </c>
    </row>
    <row r="3115" spans="1:25" x14ac:dyDescent="0.25">
      <c r="A3115" t="s">
        <v>3171</v>
      </c>
      <c r="B3115" s="1">
        <v>45798</v>
      </c>
      <c r="C3115">
        <v>2025</v>
      </c>
      <c r="D3115">
        <v>5</v>
      </c>
      <c r="E3115" t="s">
        <v>468</v>
      </c>
      <c r="F3115" t="s">
        <v>358</v>
      </c>
      <c r="G3115" t="s">
        <v>35</v>
      </c>
      <c r="H3115" t="s">
        <v>58</v>
      </c>
      <c r="I3115" t="s">
        <v>50</v>
      </c>
      <c r="J3115">
        <v>58</v>
      </c>
      <c r="K3115">
        <v>890.79</v>
      </c>
      <c r="L3115">
        <v>51665.71</v>
      </c>
      <c r="M3115">
        <v>27609.54</v>
      </c>
      <c r="N3115">
        <v>5188.82</v>
      </c>
      <c r="O3115">
        <v>1766.59</v>
      </c>
      <c r="P3115">
        <v>856.27</v>
      </c>
      <c r="Q3115">
        <v>650.05999999999995</v>
      </c>
      <c r="R3115">
        <v>1745.71</v>
      </c>
      <c r="S3115">
        <v>1181.01</v>
      </c>
      <c r="T3115">
        <v>38998.01</v>
      </c>
      <c r="U3115">
        <v>24056.16</v>
      </c>
      <c r="V3115">
        <v>12667.7</v>
      </c>
      <c r="W3115">
        <v>12745.53</v>
      </c>
      <c r="X3115">
        <v>55026.05</v>
      </c>
      <c r="Y3115">
        <v>38742.15</v>
      </c>
    </row>
    <row r="3116" spans="1:25" x14ac:dyDescent="0.25">
      <c r="A3116" t="s">
        <v>3172</v>
      </c>
      <c r="B3116" s="1">
        <v>45798</v>
      </c>
      <c r="C3116">
        <v>2025</v>
      </c>
      <c r="D3116">
        <v>5</v>
      </c>
      <c r="E3116" t="s">
        <v>468</v>
      </c>
      <c r="F3116" t="s">
        <v>358</v>
      </c>
      <c r="G3116" t="s">
        <v>28</v>
      </c>
      <c r="H3116" t="s">
        <v>32</v>
      </c>
      <c r="I3116" t="s">
        <v>65</v>
      </c>
      <c r="J3116">
        <v>73</v>
      </c>
      <c r="K3116">
        <v>1070.29</v>
      </c>
      <c r="L3116">
        <v>78131.429999999993</v>
      </c>
      <c r="M3116">
        <v>48966.73</v>
      </c>
      <c r="N3116">
        <v>9987.07</v>
      </c>
      <c r="O3116">
        <v>3131.49</v>
      </c>
      <c r="P3116">
        <v>1375.24</v>
      </c>
      <c r="Q3116">
        <v>962.09</v>
      </c>
      <c r="R3116">
        <v>4416.84</v>
      </c>
      <c r="S3116">
        <v>726.88</v>
      </c>
      <c r="T3116">
        <v>69566.350000000006</v>
      </c>
      <c r="U3116">
        <v>29164.71</v>
      </c>
      <c r="V3116">
        <v>8565.09</v>
      </c>
      <c r="W3116">
        <v>8421.36</v>
      </c>
      <c r="X3116">
        <v>76145.02</v>
      </c>
      <c r="Y3116">
        <v>66893.16</v>
      </c>
    </row>
    <row r="3117" spans="1:25" x14ac:dyDescent="0.25">
      <c r="A3117" t="s">
        <v>3173</v>
      </c>
      <c r="B3117" s="1">
        <v>45798</v>
      </c>
      <c r="C3117">
        <v>2025</v>
      </c>
      <c r="D3117">
        <v>5</v>
      </c>
      <c r="E3117" t="s">
        <v>468</v>
      </c>
      <c r="F3117" t="s">
        <v>358</v>
      </c>
      <c r="G3117" t="s">
        <v>44</v>
      </c>
      <c r="H3117" t="s">
        <v>29</v>
      </c>
      <c r="I3117" t="s">
        <v>65</v>
      </c>
      <c r="J3117">
        <v>30</v>
      </c>
      <c r="K3117">
        <v>1518.9</v>
      </c>
      <c r="L3117">
        <v>45567.05</v>
      </c>
      <c r="M3117">
        <v>26117.56</v>
      </c>
      <c r="N3117">
        <v>5065.5</v>
      </c>
      <c r="O3117">
        <v>2105.36</v>
      </c>
      <c r="P3117">
        <v>1118.99</v>
      </c>
      <c r="Q3117">
        <v>815.74</v>
      </c>
      <c r="R3117">
        <v>2768.62</v>
      </c>
      <c r="S3117">
        <v>599.42999999999995</v>
      </c>
      <c r="T3117">
        <v>38591.19</v>
      </c>
      <c r="U3117">
        <v>19449.490000000002</v>
      </c>
      <c r="V3117">
        <v>6975.85</v>
      </c>
      <c r="W3117">
        <v>6751.84</v>
      </c>
      <c r="X3117">
        <v>43390.71</v>
      </c>
      <c r="Y3117">
        <v>37615.18</v>
      </c>
    </row>
    <row r="3118" spans="1:25" x14ac:dyDescent="0.25">
      <c r="A3118" t="s">
        <v>3174</v>
      </c>
      <c r="B3118" s="1">
        <v>45799</v>
      </c>
      <c r="C3118">
        <v>2025</v>
      </c>
      <c r="D3118">
        <v>5</v>
      </c>
      <c r="E3118" t="s">
        <v>468</v>
      </c>
      <c r="F3118" t="s">
        <v>358</v>
      </c>
      <c r="G3118" t="s">
        <v>28</v>
      </c>
      <c r="H3118" t="s">
        <v>29</v>
      </c>
      <c r="I3118" t="s">
        <v>30</v>
      </c>
      <c r="J3118">
        <v>73</v>
      </c>
      <c r="K3118">
        <v>1435.38</v>
      </c>
      <c r="L3118">
        <v>104782.47</v>
      </c>
      <c r="M3118">
        <v>53187.89</v>
      </c>
      <c r="N3118">
        <v>8790.9</v>
      </c>
      <c r="O3118">
        <v>7214.66</v>
      </c>
      <c r="P3118">
        <v>3984.74</v>
      </c>
      <c r="Q3118">
        <v>1106.3599999999999</v>
      </c>
      <c r="R3118">
        <v>5390.5</v>
      </c>
      <c r="S3118">
        <v>1979.02</v>
      </c>
      <c r="T3118">
        <v>81654.06</v>
      </c>
      <c r="U3118">
        <v>51594.58</v>
      </c>
      <c r="V3118">
        <v>23128.400000000001</v>
      </c>
      <c r="W3118">
        <v>20524.919999999998</v>
      </c>
      <c r="X3118">
        <v>105393.15</v>
      </c>
      <c r="Y3118">
        <v>80153.399999999994</v>
      </c>
    </row>
    <row r="3119" spans="1:25" x14ac:dyDescent="0.25">
      <c r="A3119" t="s">
        <v>3175</v>
      </c>
      <c r="B3119" s="1">
        <v>45799</v>
      </c>
      <c r="C3119">
        <v>2025</v>
      </c>
      <c r="D3119">
        <v>5</v>
      </c>
      <c r="E3119" t="s">
        <v>468</v>
      </c>
      <c r="F3119" t="s">
        <v>358</v>
      </c>
      <c r="G3119" t="s">
        <v>28</v>
      </c>
      <c r="H3119" t="s">
        <v>36</v>
      </c>
      <c r="I3119" t="s">
        <v>37</v>
      </c>
      <c r="J3119">
        <v>80</v>
      </c>
      <c r="K3119">
        <v>1042.43</v>
      </c>
      <c r="L3119">
        <v>83394.3</v>
      </c>
      <c r="M3119">
        <v>47947.35</v>
      </c>
      <c r="N3119">
        <v>6655.11</v>
      </c>
      <c r="O3119">
        <v>4861</v>
      </c>
      <c r="P3119">
        <v>2664.61</v>
      </c>
      <c r="Q3119">
        <v>867.54</v>
      </c>
      <c r="R3119">
        <v>3278.24</v>
      </c>
      <c r="S3119">
        <v>765</v>
      </c>
      <c r="T3119">
        <v>67038.84</v>
      </c>
      <c r="U3119">
        <v>35446.959999999999</v>
      </c>
      <c r="V3119">
        <v>16355.46</v>
      </c>
      <c r="W3119">
        <v>15906.35</v>
      </c>
      <c r="X3119">
        <v>90236.11</v>
      </c>
      <c r="Y3119">
        <v>66834.05</v>
      </c>
    </row>
    <row r="3120" spans="1:25" x14ac:dyDescent="0.25">
      <c r="A3120" t="s">
        <v>3176</v>
      </c>
      <c r="B3120" s="1">
        <v>45799</v>
      </c>
      <c r="C3120">
        <v>2025</v>
      </c>
      <c r="D3120">
        <v>5</v>
      </c>
      <c r="E3120" t="s">
        <v>468</v>
      </c>
      <c r="F3120" t="s">
        <v>358</v>
      </c>
      <c r="G3120" t="s">
        <v>44</v>
      </c>
      <c r="H3120" t="s">
        <v>36</v>
      </c>
      <c r="I3120" t="s">
        <v>39</v>
      </c>
      <c r="J3120">
        <v>34</v>
      </c>
      <c r="K3120">
        <v>910.59</v>
      </c>
      <c r="L3120">
        <v>30960.13</v>
      </c>
      <c r="M3120">
        <v>15720.76</v>
      </c>
      <c r="N3120">
        <v>3544.18</v>
      </c>
      <c r="O3120">
        <v>1281.55</v>
      </c>
      <c r="P3120">
        <v>702.41</v>
      </c>
      <c r="Q3120">
        <v>317.73</v>
      </c>
      <c r="R3120">
        <v>845.54</v>
      </c>
      <c r="S3120">
        <v>721.85</v>
      </c>
      <c r="T3120">
        <v>23134.03</v>
      </c>
      <c r="U3120">
        <v>15239.37</v>
      </c>
      <c r="V3120">
        <v>7826.1</v>
      </c>
      <c r="W3120">
        <v>7756.36</v>
      </c>
      <c r="X3120">
        <v>31111.37</v>
      </c>
      <c r="Y3120">
        <v>24597.96</v>
      </c>
    </row>
    <row r="3121" spans="1:25" x14ac:dyDescent="0.25">
      <c r="A3121" t="s">
        <v>3177</v>
      </c>
      <c r="B3121" s="1">
        <v>45799</v>
      </c>
      <c r="C3121">
        <v>2025</v>
      </c>
      <c r="D3121">
        <v>5</v>
      </c>
      <c r="E3121" t="s">
        <v>468</v>
      </c>
      <c r="F3121" t="s">
        <v>358</v>
      </c>
      <c r="G3121" t="s">
        <v>28</v>
      </c>
      <c r="H3121" t="s">
        <v>53</v>
      </c>
      <c r="I3121" t="s">
        <v>45</v>
      </c>
      <c r="J3121">
        <v>46</v>
      </c>
      <c r="K3121">
        <v>1108.0999999999999</v>
      </c>
      <c r="L3121">
        <v>50972.45</v>
      </c>
      <c r="M3121">
        <v>25584.78</v>
      </c>
      <c r="N3121">
        <v>3708.5</v>
      </c>
      <c r="O3121">
        <v>1660.89</v>
      </c>
      <c r="P3121">
        <v>963.87</v>
      </c>
      <c r="Q3121">
        <v>878.04</v>
      </c>
      <c r="R3121">
        <v>2402.73</v>
      </c>
      <c r="S3121">
        <v>508.68</v>
      </c>
      <c r="T3121">
        <v>35707.480000000003</v>
      </c>
      <c r="U3121">
        <v>25387.67</v>
      </c>
      <c r="V3121">
        <v>15264.97</v>
      </c>
      <c r="W3121">
        <v>15287.56</v>
      </c>
      <c r="X3121">
        <v>56208.79</v>
      </c>
      <c r="Y3121">
        <v>37748.949999999997</v>
      </c>
    </row>
    <row r="3122" spans="1:25" x14ac:dyDescent="0.25">
      <c r="A3122" t="s">
        <v>3178</v>
      </c>
      <c r="B3122" s="1">
        <v>45799</v>
      </c>
      <c r="C3122">
        <v>2025</v>
      </c>
      <c r="D3122">
        <v>5</v>
      </c>
      <c r="E3122" t="s">
        <v>468</v>
      </c>
      <c r="F3122" t="s">
        <v>358</v>
      </c>
      <c r="G3122" t="s">
        <v>35</v>
      </c>
      <c r="H3122" t="s">
        <v>29</v>
      </c>
      <c r="I3122" t="s">
        <v>65</v>
      </c>
      <c r="J3122">
        <v>70</v>
      </c>
      <c r="K3122">
        <v>811.6</v>
      </c>
      <c r="L3122">
        <v>56811.839999999997</v>
      </c>
      <c r="M3122">
        <v>29071.360000000001</v>
      </c>
      <c r="N3122">
        <v>7203.68</v>
      </c>
      <c r="O3122">
        <v>3344.45</v>
      </c>
      <c r="P3122">
        <v>1548.34</v>
      </c>
      <c r="Q3122">
        <v>823.67</v>
      </c>
      <c r="R3122">
        <v>1574.28</v>
      </c>
      <c r="S3122">
        <v>575.75</v>
      </c>
      <c r="T3122">
        <v>44141.53</v>
      </c>
      <c r="U3122">
        <v>27740.48</v>
      </c>
      <c r="V3122">
        <v>12670.31</v>
      </c>
      <c r="W3122">
        <v>11160.49</v>
      </c>
      <c r="X3122">
        <v>52370.720000000001</v>
      </c>
      <c r="Y3122">
        <v>48255.85</v>
      </c>
    </row>
    <row r="3123" spans="1:25" x14ac:dyDescent="0.25">
      <c r="A3123" t="s">
        <v>3179</v>
      </c>
      <c r="B3123" s="1">
        <v>45800</v>
      </c>
      <c r="C3123">
        <v>2025</v>
      </c>
      <c r="D3123">
        <v>5</v>
      </c>
      <c r="E3123" t="s">
        <v>468</v>
      </c>
      <c r="F3123" t="s">
        <v>358</v>
      </c>
      <c r="G3123" t="s">
        <v>28</v>
      </c>
      <c r="H3123" t="s">
        <v>32</v>
      </c>
      <c r="I3123" t="s">
        <v>39</v>
      </c>
      <c r="J3123">
        <v>63</v>
      </c>
      <c r="K3123">
        <v>944.73</v>
      </c>
      <c r="L3123">
        <v>59518.16</v>
      </c>
      <c r="M3123">
        <v>39433.620000000003</v>
      </c>
      <c r="N3123">
        <v>7416.93</v>
      </c>
      <c r="O3123">
        <v>3911.37</v>
      </c>
      <c r="P3123">
        <v>2285.42</v>
      </c>
      <c r="Q3123">
        <v>406.25</v>
      </c>
      <c r="R3123">
        <v>2888.59</v>
      </c>
      <c r="S3123">
        <v>1077.93</v>
      </c>
      <c r="T3123">
        <v>57420.12</v>
      </c>
      <c r="U3123">
        <v>20084.54</v>
      </c>
      <c r="V3123">
        <v>2098.04</v>
      </c>
      <c r="W3123">
        <v>1960.02</v>
      </c>
      <c r="X3123">
        <v>61070.38</v>
      </c>
      <c r="Y3123">
        <v>54059.76</v>
      </c>
    </row>
    <row r="3124" spans="1:25" x14ac:dyDescent="0.25">
      <c r="A3124" t="s">
        <v>3180</v>
      </c>
      <c r="B3124" s="1">
        <v>45800</v>
      </c>
      <c r="C3124">
        <v>2025</v>
      </c>
      <c r="D3124">
        <v>5</v>
      </c>
      <c r="E3124" t="s">
        <v>468</v>
      </c>
      <c r="F3124" t="s">
        <v>358</v>
      </c>
      <c r="G3124" t="s">
        <v>55</v>
      </c>
      <c r="H3124" t="s">
        <v>36</v>
      </c>
      <c r="I3124" t="s">
        <v>39</v>
      </c>
      <c r="J3124">
        <v>55</v>
      </c>
      <c r="K3124">
        <v>908.32</v>
      </c>
      <c r="L3124">
        <v>49957.8</v>
      </c>
      <c r="M3124">
        <v>31992.400000000001</v>
      </c>
      <c r="N3124">
        <v>5239.92</v>
      </c>
      <c r="O3124">
        <v>1997.59</v>
      </c>
      <c r="P3124">
        <v>1962.36</v>
      </c>
      <c r="Q3124">
        <v>497.55</v>
      </c>
      <c r="R3124">
        <v>1830.95</v>
      </c>
      <c r="S3124">
        <v>1039.6300000000001</v>
      </c>
      <c r="T3124">
        <v>44560.39</v>
      </c>
      <c r="U3124">
        <v>17965.400000000001</v>
      </c>
      <c r="V3124">
        <v>5397.41</v>
      </c>
      <c r="W3124">
        <v>4916.1000000000004</v>
      </c>
      <c r="X3124">
        <v>54228.12</v>
      </c>
      <c r="Y3124">
        <v>42494.67</v>
      </c>
    </row>
    <row r="3125" spans="1:25" x14ac:dyDescent="0.25">
      <c r="A3125" t="s">
        <v>3181</v>
      </c>
      <c r="B3125" s="1">
        <v>45800</v>
      </c>
      <c r="C3125">
        <v>2025</v>
      </c>
      <c r="D3125">
        <v>5</v>
      </c>
      <c r="E3125" t="s">
        <v>468</v>
      </c>
      <c r="F3125" t="s">
        <v>358</v>
      </c>
      <c r="G3125" t="s">
        <v>28</v>
      </c>
      <c r="H3125" t="s">
        <v>53</v>
      </c>
      <c r="I3125" t="s">
        <v>45</v>
      </c>
      <c r="J3125">
        <v>39</v>
      </c>
      <c r="K3125">
        <v>1368.74</v>
      </c>
      <c r="L3125">
        <v>53380.71</v>
      </c>
      <c r="M3125">
        <v>31646</v>
      </c>
      <c r="N3125">
        <v>5467.64</v>
      </c>
      <c r="O3125">
        <v>2285.38</v>
      </c>
      <c r="P3125">
        <v>1634.14</v>
      </c>
      <c r="Q3125">
        <v>883.04</v>
      </c>
      <c r="R3125">
        <v>2658.28</v>
      </c>
      <c r="S3125">
        <v>738.62</v>
      </c>
      <c r="T3125">
        <v>45313.11</v>
      </c>
      <c r="U3125">
        <v>21734.71</v>
      </c>
      <c r="V3125">
        <v>8067.6</v>
      </c>
      <c r="W3125">
        <v>7347.15</v>
      </c>
      <c r="X3125">
        <v>57140.28</v>
      </c>
      <c r="Y3125">
        <v>49484.800000000003</v>
      </c>
    </row>
    <row r="3126" spans="1:25" x14ac:dyDescent="0.25">
      <c r="A3126" t="s">
        <v>3182</v>
      </c>
      <c r="B3126" s="1">
        <v>45801</v>
      </c>
      <c r="C3126">
        <v>2025</v>
      </c>
      <c r="D3126">
        <v>5</v>
      </c>
      <c r="E3126" t="s">
        <v>468</v>
      </c>
      <c r="F3126" t="s">
        <v>358</v>
      </c>
      <c r="G3126" t="s">
        <v>28</v>
      </c>
      <c r="H3126" t="s">
        <v>32</v>
      </c>
      <c r="I3126" t="s">
        <v>65</v>
      </c>
      <c r="J3126">
        <v>37</v>
      </c>
      <c r="K3126">
        <v>1751.83</v>
      </c>
      <c r="L3126">
        <v>64817.760000000002</v>
      </c>
      <c r="M3126">
        <v>33891.199999999997</v>
      </c>
      <c r="N3126">
        <v>7378.9</v>
      </c>
      <c r="O3126">
        <v>2672.76</v>
      </c>
      <c r="P3126">
        <v>1682.81</v>
      </c>
      <c r="Q3126">
        <v>454.2</v>
      </c>
      <c r="R3126">
        <v>3226.73</v>
      </c>
      <c r="S3126">
        <v>683.69</v>
      </c>
      <c r="T3126">
        <v>49990.3</v>
      </c>
      <c r="U3126">
        <v>30926.55</v>
      </c>
      <c r="V3126">
        <v>14827.46</v>
      </c>
      <c r="W3126">
        <v>14956.5</v>
      </c>
      <c r="X3126">
        <v>69146.75</v>
      </c>
      <c r="Y3126">
        <v>54242.79</v>
      </c>
    </row>
    <row r="3127" spans="1:25" x14ac:dyDescent="0.25">
      <c r="A3127" t="s">
        <v>3183</v>
      </c>
      <c r="B3127" s="1">
        <v>45801</v>
      </c>
      <c r="C3127">
        <v>2025</v>
      </c>
      <c r="D3127">
        <v>5</v>
      </c>
      <c r="E3127" t="s">
        <v>468</v>
      </c>
      <c r="F3127" t="s">
        <v>358</v>
      </c>
      <c r="G3127" t="s">
        <v>44</v>
      </c>
      <c r="H3127" t="s">
        <v>32</v>
      </c>
      <c r="I3127" t="s">
        <v>56</v>
      </c>
      <c r="J3127">
        <v>25</v>
      </c>
      <c r="K3127">
        <v>1290.3800000000001</v>
      </c>
      <c r="L3127">
        <v>32259.55</v>
      </c>
      <c r="M3127">
        <v>19104.96</v>
      </c>
      <c r="N3127">
        <v>4008.97</v>
      </c>
      <c r="O3127">
        <v>2334.0700000000002</v>
      </c>
      <c r="P3127">
        <v>1306.77</v>
      </c>
      <c r="Q3127">
        <v>204.82</v>
      </c>
      <c r="R3127">
        <v>1786.05</v>
      </c>
      <c r="S3127">
        <v>363.54</v>
      </c>
      <c r="T3127">
        <v>29109.18</v>
      </c>
      <c r="U3127">
        <v>13154.59</v>
      </c>
      <c r="V3127">
        <v>3150.36</v>
      </c>
      <c r="W3127">
        <v>2966.69</v>
      </c>
      <c r="X3127">
        <v>33235.980000000003</v>
      </c>
      <c r="Y3127">
        <v>28597.46</v>
      </c>
    </row>
    <row r="3128" spans="1:25" x14ac:dyDescent="0.25">
      <c r="A3128" t="s">
        <v>3184</v>
      </c>
      <c r="B3128" s="1">
        <v>45802</v>
      </c>
      <c r="C3128">
        <v>2025</v>
      </c>
      <c r="D3128">
        <v>5</v>
      </c>
      <c r="E3128" t="s">
        <v>468</v>
      </c>
      <c r="F3128" t="s">
        <v>358</v>
      </c>
      <c r="G3128" t="s">
        <v>28</v>
      </c>
      <c r="H3128" t="s">
        <v>36</v>
      </c>
      <c r="I3128" t="s">
        <v>39</v>
      </c>
      <c r="J3128">
        <v>31</v>
      </c>
      <c r="K3128">
        <v>1591.35</v>
      </c>
      <c r="L3128">
        <v>49332</v>
      </c>
      <c r="M3128">
        <v>26708.76</v>
      </c>
      <c r="N3128">
        <v>4310.55</v>
      </c>
      <c r="O3128">
        <v>2555.0700000000002</v>
      </c>
      <c r="P3128">
        <v>1400.42</v>
      </c>
      <c r="Q3128">
        <v>575.11</v>
      </c>
      <c r="R3128">
        <v>1702.74</v>
      </c>
      <c r="S3128">
        <v>548.41999999999996</v>
      </c>
      <c r="T3128">
        <v>37801.06</v>
      </c>
      <c r="U3128">
        <v>22623.24</v>
      </c>
      <c r="V3128">
        <v>11530.94</v>
      </c>
      <c r="W3128">
        <v>10626.17</v>
      </c>
      <c r="X3128">
        <v>48884</v>
      </c>
      <c r="Y3128">
        <v>35939.300000000003</v>
      </c>
    </row>
    <row r="3129" spans="1:25" x14ac:dyDescent="0.25">
      <c r="A3129" t="s">
        <v>3185</v>
      </c>
      <c r="B3129" s="1">
        <v>45802</v>
      </c>
      <c r="C3129">
        <v>2025</v>
      </c>
      <c r="D3129">
        <v>5</v>
      </c>
      <c r="E3129" t="s">
        <v>468</v>
      </c>
      <c r="F3129" t="s">
        <v>358</v>
      </c>
      <c r="G3129" t="s">
        <v>35</v>
      </c>
      <c r="H3129" t="s">
        <v>29</v>
      </c>
      <c r="I3129" t="s">
        <v>39</v>
      </c>
      <c r="J3129">
        <v>30</v>
      </c>
      <c r="K3129">
        <v>1472.81</v>
      </c>
      <c r="L3129">
        <v>44184.22</v>
      </c>
      <c r="M3129">
        <v>26040.02</v>
      </c>
      <c r="N3129">
        <v>4430.3500000000004</v>
      </c>
      <c r="O3129">
        <v>1814.65</v>
      </c>
      <c r="P3129">
        <v>1646.41</v>
      </c>
      <c r="Q3129">
        <v>793.61</v>
      </c>
      <c r="R3129">
        <v>1549.06</v>
      </c>
      <c r="S3129">
        <v>691.33</v>
      </c>
      <c r="T3129">
        <v>36965.43</v>
      </c>
      <c r="U3129">
        <v>18144.2</v>
      </c>
      <c r="V3129">
        <v>7218.79</v>
      </c>
      <c r="W3129">
        <v>6757.31</v>
      </c>
      <c r="X3129">
        <v>44175.22</v>
      </c>
      <c r="Y3129">
        <v>35719.22</v>
      </c>
    </row>
    <row r="3130" spans="1:25" x14ac:dyDescent="0.25">
      <c r="A3130" t="s">
        <v>3186</v>
      </c>
      <c r="B3130" s="1">
        <v>45802</v>
      </c>
      <c r="C3130">
        <v>2025</v>
      </c>
      <c r="D3130">
        <v>5</v>
      </c>
      <c r="E3130" t="s">
        <v>468</v>
      </c>
      <c r="F3130" t="s">
        <v>358</v>
      </c>
      <c r="G3130" t="s">
        <v>35</v>
      </c>
      <c r="H3130" t="s">
        <v>53</v>
      </c>
      <c r="I3130" t="s">
        <v>45</v>
      </c>
      <c r="J3130">
        <v>26</v>
      </c>
      <c r="K3130">
        <v>1475.47</v>
      </c>
      <c r="L3130">
        <v>38362.33</v>
      </c>
      <c r="M3130">
        <v>25360.68</v>
      </c>
      <c r="N3130">
        <v>4264.3100000000004</v>
      </c>
      <c r="O3130">
        <v>1042.56</v>
      </c>
      <c r="P3130">
        <v>1472.96</v>
      </c>
      <c r="Q3130">
        <v>652.83000000000004</v>
      </c>
      <c r="R3130">
        <v>1335.24</v>
      </c>
      <c r="S3130">
        <v>582.67999999999995</v>
      </c>
      <c r="T3130">
        <v>34711.269999999997</v>
      </c>
      <c r="U3130">
        <v>13001.65</v>
      </c>
      <c r="V3130">
        <v>3651.06</v>
      </c>
      <c r="W3130">
        <v>3498.72</v>
      </c>
      <c r="X3130">
        <v>41482.089999999997</v>
      </c>
      <c r="Y3130">
        <v>36813.03</v>
      </c>
    </row>
    <row r="3131" spans="1:25" x14ac:dyDescent="0.25">
      <c r="A3131" t="s">
        <v>3187</v>
      </c>
      <c r="B3131" s="1">
        <v>45802</v>
      </c>
      <c r="C3131">
        <v>2025</v>
      </c>
      <c r="D3131">
        <v>5</v>
      </c>
      <c r="E3131" t="s">
        <v>468</v>
      </c>
      <c r="F3131" t="s">
        <v>358</v>
      </c>
      <c r="G3131" t="s">
        <v>28</v>
      </c>
      <c r="H3131" t="s">
        <v>36</v>
      </c>
      <c r="I3131" t="s">
        <v>33</v>
      </c>
      <c r="J3131">
        <v>63</v>
      </c>
      <c r="K3131">
        <v>1404.52</v>
      </c>
      <c r="L3131">
        <v>88484.88</v>
      </c>
      <c r="M3131">
        <v>51811.53</v>
      </c>
      <c r="N3131">
        <v>8816.01</v>
      </c>
      <c r="O3131">
        <v>6367.24</v>
      </c>
      <c r="P3131">
        <v>3119.03</v>
      </c>
      <c r="Q3131">
        <v>701.11</v>
      </c>
      <c r="R3131">
        <v>2989.21</v>
      </c>
      <c r="S3131">
        <v>1057.0999999999999</v>
      </c>
      <c r="T3131">
        <v>74861.23</v>
      </c>
      <c r="U3131">
        <v>36673.35</v>
      </c>
      <c r="V3131">
        <v>13623.66</v>
      </c>
      <c r="W3131">
        <v>13893.42</v>
      </c>
      <c r="X3131">
        <v>81700.600000000006</v>
      </c>
      <c r="Y3131">
        <v>75931.37</v>
      </c>
    </row>
    <row r="3132" spans="1:25" x14ac:dyDescent="0.25">
      <c r="A3132" t="s">
        <v>3188</v>
      </c>
      <c r="B3132" s="1">
        <v>45803</v>
      </c>
      <c r="C3132">
        <v>2025</v>
      </c>
      <c r="D3132">
        <v>5</v>
      </c>
      <c r="E3132" t="s">
        <v>468</v>
      </c>
      <c r="F3132" t="s">
        <v>358</v>
      </c>
      <c r="G3132" t="s">
        <v>55</v>
      </c>
      <c r="H3132" t="s">
        <v>29</v>
      </c>
      <c r="I3132" t="s">
        <v>45</v>
      </c>
      <c r="J3132">
        <v>51</v>
      </c>
      <c r="K3132">
        <v>1012.05</v>
      </c>
      <c r="L3132">
        <v>51614.31</v>
      </c>
      <c r="M3132">
        <v>25899.11</v>
      </c>
      <c r="N3132">
        <v>3653.98</v>
      </c>
      <c r="O3132">
        <v>1820.52</v>
      </c>
      <c r="P3132">
        <v>1634.94</v>
      </c>
      <c r="Q3132">
        <v>829.94</v>
      </c>
      <c r="R3132">
        <v>3095.92</v>
      </c>
      <c r="S3132">
        <v>1013.19</v>
      </c>
      <c r="T3132">
        <v>37947.599999999999</v>
      </c>
      <c r="U3132">
        <v>25715.200000000001</v>
      </c>
      <c r="V3132">
        <v>13666.71</v>
      </c>
      <c r="W3132">
        <v>13864.03</v>
      </c>
      <c r="X3132">
        <v>48501.48</v>
      </c>
      <c r="Y3132">
        <v>35723.11</v>
      </c>
    </row>
    <row r="3133" spans="1:25" x14ac:dyDescent="0.25">
      <c r="A3133" t="s">
        <v>3189</v>
      </c>
      <c r="B3133" s="1">
        <v>45803</v>
      </c>
      <c r="C3133">
        <v>2025</v>
      </c>
      <c r="D3133">
        <v>5</v>
      </c>
      <c r="E3133" t="s">
        <v>468</v>
      </c>
      <c r="F3133" t="s">
        <v>358</v>
      </c>
      <c r="G3133" t="s">
        <v>55</v>
      </c>
      <c r="H3133" t="s">
        <v>32</v>
      </c>
      <c r="I3133" t="s">
        <v>56</v>
      </c>
      <c r="J3133">
        <v>45</v>
      </c>
      <c r="K3133">
        <v>894.03</v>
      </c>
      <c r="L3133">
        <v>40231.199999999997</v>
      </c>
      <c r="M3133">
        <v>25860.46</v>
      </c>
      <c r="N3133">
        <v>4893.97</v>
      </c>
      <c r="O3133">
        <v>1774.5</v>
      </c>
      <c r="P3133">
        <v>653.46</v>
      </c>
      <c r="Q3133">
        <v>381.31</v>
      </c>
      <c r="R3133">
        <v>2059.39</v>
      </c>
      <c r="S3133">
        <v>967.83</v>
      </c>
      <c r="T3133">
        <v>36590.93</v>
      </c>
      <c r="U3133">
        <v>14370.74</v>
      </c>
      <c r="V3133">
        <v>3640.28</v>
      </c>
      <c r="W3133">
        <v>3313.11</v>
      </c>
      <c r="X3133">
        <v>37351.01</v>
      </c>
      <c r="Y3133">
        <v>38863.629999999997</v>
      </c>
    </row>
    <row r="3134" spans="1:25" x14ac:dyDescent="0.25">
      <c r="A3134" t="s">
        <v>3190</v>
      </c>
      <c r="B3134" s="1">
        <v>45803</v>
      </c>
      <c r="C3134">
        <v>2025</v>
      </c>
      <c r="D3134">
        <v>5</v>
      </c>
      <c r="E3134" t="s">
        <v>468</v>
      </c>
      <c r="F3134" t="s">
        <v>358</v>
      </c>
      <c r="G3134" t="s">
        <v>28</v>
      </c>
      <c r="H3134" t="s">
        <v>53</v>
      </c>
      <c r="I3134" t="s">
        <v>39</v>
      </c>
      <c r="J3134">
        <v>36</v>
      </c>
      <c r="K3134">
        <v>1273.8800000000001</v>
      </c>
      <c r="L3134">
        <v>45859.64</v>
      </c>
      <c r="M3134">
        <v>30613.27</v>
      </c>
      <c r="N3134">
        <v>3943.37</v>
      </c>
      <c r="O3134">
        <v>1304.68</v>
      </c>
      <c r="P3134">
        <v>1356.24</v>
      </c>
      <c r="Q3134">
        <v>719.59</v>
      </c>
      <c r="R3134">
        <v>2187.75</v>
      </c>
      <c r="S3134">
        <v>913.62</v>
      </c>
      <c r="T3134">
        <v>41038.5</v>
      </c>
      <c r="U3134">
        <v>15246.37</v>
      </c>
      <c r="V3134">
        <v>4821.1400000000003</v>
      </c>
      <c r="W3134">
        <v>4466.38</v>
      </c>
      <c r="X3134">
        <v>43322.080000000002</v>
      </c>
      <c r="Y3134">
        <v>40511.910000000003</v>
      </c>
    </row>
    <row r="3135" spans="1:25" x14ac:dyDescent="0.25">
      <c r="A3135" t="s">
        <v>3191</v>
      </c>
      <c r="B3135" s="1">
        <v>45803</v>
      </c>
      <c r="C3135">
        <v>2025</v>
      </c>
      <c r="D3135">
        <v>5</v>
      </c>
      <c r="E3135" t="s">
        <v>468</v>
      </c>
      <c r="F3135" t="s">
        <v>358</v>
      </c>
      <c r="G3135" t="s">
        <v>35</v>
      </c>
      <c r="H3135" t="s">
        <v>58</v>
      </c>
      <c r="I3135" t="s">
        <v>39</v>
      </c>
      <c r="J3135">
        <v>36</v>
      </c>
      <c r="K3135">
        <v>1089.69</v>
      </c>
      <c r="L3135">
        <v>39228.9</v>
      </c>
      <c r="M3135">
        <v>26340.78</v>
      </c>
      <c r="N3135">
        <v>5082.09</v>
      </c>
      <c r="O3135">
        <v>1673.61</v>
      </c>
      <c r="P3135">
        <v>680.36</v>
      </c>
      <c r="Q3135">
        <v>368.3</v>
      </c>
      <c r="R3135">
        <v>1405.1</v>
      </c>
      <c r="S3135">
        <v>545.91999999999996</v>
      </c>
      <c r="T3135">
        <v>36096.160000000003</v>
      </c>
      <c r="U3135">
        <v>12888.12</v>
      </c>
      <c r="V3135">
        <v>3132.74</v>
      </c>
      <c r="W3135">
        <v>2870.94</v>
      </c>
      <c r="X3135">
        <v>43242.16</v>
      </c>
      <c r="Y3135">
        <v>39255.160000000003</v>
      </c>
    </row>
    <row r="3136" spans="1:25" x14ac:dyDescent="0.25">
      <c r="A3136" t="s">
        <v>3192</v>
      </c>
      <c r="B3136" s="1">
        <v>45803</v>
      </c>
      <c r="C3136">
        <v>2025</v>
      </c>
      <c r="D3136">
        <v>5</v>
      </c>
      <c r="E3136" t="s">
        <v>468</v>
      </c>
      <c r="F3136" t="s">
        <v>358</v>
      </c>
      <c r="G3136" t="s">
        <v>44</v>
      </c>
      <c r="H3136" t="s">
        <v>53</v>
      </c>
      <c r="I3136" t="s">
        <v>30</v>
      </c>
      <c r="J3136">
        <v>61</v>
      </c>
      <c r="K3136">
        <v>1356.75</v>
      </c>
      <c r="L3136">
        <v>82761.960000000006</v>
      </c>
      <c r="M3136">
        <v>52301.03</v>
      </c>
      <c r="N3136">
        <v>8727.7999999999993</v>
      </c>
      <c r="O3136">
        <v>3315.36</v>
      </c>
      <c r="P3136">
        <v>2088.3200000000002</v>
      </c>
      <c r="Q3136">
        <v>1369.1</v>
      </c>
      <c r="R3136">
        <v>4446.1899999999996</v>
      </c>
      <c r="S3136">
        <v>1381.85</v>
      </c>
      <c r="T3136">
        <v>73629.66</v>
      </c>
      <c r="U3136">
        <v>30460.94</v>
      </c>
      <c r="V3136">
        <v>9132.2999999999993</v>
      </c>
      <c r="W3136">
        <v>8734.67</v>
      </c>
      <c r="X3136">
        <v>79176.92</v>
      </c>
      <c r="Y3136">
        <v>72831.56</v>
      </c>
    </row>
    <row r="3137" spans="1:25" x14ac:dyDescent="0.25">
      <c r="A3137" t="s">
        <v>3193</v>
      </c>
      <c r="B3137" s="1">
        <v>45803</v>
      </c>
      <c r="C3137">
        <v>2025</v>
      </c>
      <c r="D3137">
        <v>5</v>
      </c>
      <c r="E3137" t="s">
        <v>468</v>
      </c>
      <c r="F3137" t="s">
        <v>358</v>
      </c>
      <c r="G3137" t="s">
        <v>55</v>
      </c>
      <c r="H3137" t="s">
        <v>53</v>
      </c>
      <c r="I3137" t="s">
        <v>37</v>
      </c>
      <c r="J3137">
        <v>42</v>
      </c>
      <c r="K3137">
        <v>1417.97</v>
      </c>
      <c r="L3137">
        <v>59554.84</v>
      </c>
      <c r="M3137">
        <v>32297.5</v>
      </c>
      <c r="N3137">
        <v>7719.06</v>
      </c>
      <c r="O3137">
        <v>3563.55</v>
      </c>
      <c r="P3137">
        <v>1995.9</v>
      </c>
      <c r="Q3137">
        <v>578.54</v>
      </c>
      <c r="R3137">
        <v>3734.35</v>
      </c>
      <c r="S3137">
        <v>1026.3800000000001</v>
      </c>
      <c r="T3137">
        <v>50915.28</v>
      </c>
      <c r="U3137">
        <v>27257.34</v>
      </c>
      <c r="V3137">
        <v>8639.56</v>
      </c>
      <c r="W3137">
        <v>8658.7099999999991</v>
      </c>
      <c r="X3137">
        <v>55080.7</v>
      </c>
      <c r="Y3137">
        <v>54066.92</v>
      </c>
    </row>
    <row r="3138" spans="1:25" x14ac:dyDescent="0.25">
      <c r="A3138" t="s">
        <v>3194</v>
      </c>
      <c r="B3138" s="1">
        <v>45804</v>
      </c>
      <c r="C3138">
        <v>2025</v>
      </c>
      <c r="D3138">
        <v>5</v>
      </c>
      <c r="E3138" t="s">
        <v>468</v>
      </c>
      <c r="F3138" t="s">
        <v>358</v>
      </c>
      <c r="G3138" t="s">
        <v>28</v>
      </c>
      <c r="H3138" t="s">
        <v>32</v>
      </c>
      <c r="I3138" t="s">
        <v>33</v>
      </c>
      <c r="J3138">
        <v>116</v>
      </c>
      <c r="K3138">
        <v>920.12</v>
      </c>
      <c r="L3138">
        <v>106734</v>
      </c>
      <c r="M3138">
        <v>70684.28</v>
      </c>
      <c r="N3138">
        <v>10443.43</v>
      </c>
      <c r="O3138">
        <v>3757.53</v>
      </c>
      <c r="P3138">
        <v>3392.08</v>
      </c>
      <c r="Q3138">
        <v>1608</v>
      </c>
      <c r="R3138">
        <v>5743.88</v>
      </c>
      <c r="S3138">
        <v>1780.86</v>
      </c>
      <c r="T3138">
        <v>97410.06</v>
      </c>
      <c r="U3138">
        <v>36049.72</v>
      </c>
      <c r="V3138">
        <v>9323.94</v>
      </c>
      <c r="W3138">
        <v>8229.52</v>
      </c>
      <c r="X3138">
        <v>104577.94</v>
      </c>
      <c r="Y3138">
        <v>95728.51</v>
      </c>
    </row>
    <row r="3139" spans="1:25" x14ac:dyDescent="0.25">
      <c r="A3139" t="s">
        <v>3195</v>
      </c>
      <c r="B3139" s="1">
        <v>45805</v>
      </c>
      <c r="C3139">
        <v>2025</v>
      </c>
      <c r="D3139">
        <v>5</v>
      </c>
      <c r="E3139" t="s">
        <v>468</v>
      </c>
      <c r="F3139" t="s">
        <v>358</v>
      </c>
      <c r="G3139" t="s">
        <v>44</v>
      </c>
      <c r="H3139" t="s">
        <v>36</v>
      </c>
      <c r="I3139" t="s">
        <v>65</v>
      </c>
      <c r="J3139">
        <v>29</v>
      </c>
      <c r="K3139">
        <v>1494.31</v>
      </c>
      <c r="L3139">
        <v>43335.11</v>
      </c>
      <c r="M3139">
        <v>21954.42</v>
      </c>
      <c r="N3139">
        <v>3498.29</v>
      </c>
      <c r="O3139">
        <v>2348.2600000000002</v>
      </c>
      <c r="P3139">
        <v>1103.75</v>
      </c>
      <c r="Q3139">
        <v>318.17</v>
      </c>
      <c r="R3139">
        <v>2584.92</v>
      </c>
      <c r="S3139">
        <v>649.48</v>
      </c>
      <c r="T3139">
        <v>32457.3</v>
      </c>
      <c r="U3139">
        <v>21380.69</v>
      </c>
      <c r="V3139">
        <v>10877.82</v>
      </c>
      <c r="W3139">
        <v>11008.28</v>
      </c>
      <c r="X3139">
        <v>43571.72</v>
      </c>
      <c r="Y3139">
        <v>33307.769999999997</v>
      </c>
    </row>
    <row r="3140" spans="1:25" x14ac:dyDescent="0.25">
      <c r="A3140" t="s">
        <v>3196</v>
      </c>
      <c r="B3140" s="1">
        <v>45805</v>
      </c>
      <c r="C3140">
        <v>2025</v>
      </c>
      <c r="D3140">
        <v>5</v>
      </c>
      <c r="E3140" t="s">
        <v>468</v>
      </c>
      <c r="F3140" t="s">
        <v>358</v>
      </c>
      <c r="G3140" t="s">
        <v>35</v>
      </c>
      <c r="H3140" t="s">
        <v>53</v>
      </c>
      <c r="I3140" t="s">
        <v>30</v>
      </c>
      <c r="J3140">
        <v>33</v>
      </c>
      <c r="K3140">
        <v>1781.96</v>
      </c>
      <c r="L3140">
        <v>58804.81</v>
      </c>
      <c r="M3140">
        <v>31438.98</v>
      </c>
      <c r="N3140">
        <v>6469.76</v>
      </c>
      <c r="O3140">
        <v>1738.74</v>
      </c>
      <c r="P3140">
        <v>1104.8399999999999</v>
      </c>
      <c r="Q3140">
        <v>734.1</v>
      </c>
      <c r="R3140">
        <v>3284.29</v>
      </c>
      <c r="S3140">
        <v>1097.75</v>
      </c>
      <c r="T3140">
        <v>45868.45</v>
      </c>
      <c r="U3140">
        <v>27365.84</v>
      </c>
      <c r="V3140">
        <v>12936.36</v>
      </c>
      <c r="W3140">
        <v>11440.93</v>
      </c>
      <c r="X3140">
        <v>65023.29</v>
      </c>
      <c r="Y3140">
        <v>45695.74</v>
      </c>
    </row>
    <row r="3141" spans="1:25" x14ac:dyDescent="0.25">
      <c r="A3141" t="s">
        <v>3197</v>
      </c>
      <c r="B3141" s="1">
        <v>45805</v>
      </c>
      <c r="C3141">
        <v>2025</v>
      </c>
      <c r="D3141">
        <v>5</v>
      </c>
      <c r="E3141" t="s">
        <v>468</v>
      </c>
      <c r="F3141" t="s">
        <v>358</v>
      </c>
      <c r="G3141" t="s">
        <v>55</v>
      </c>
      <c r="H3141" t="s">
        <v>36</v>
      </c>
      <c r="I3141" t="s">
        <v>33</v>
      </c>
      <c r="J3141">
        <v>50</v>
      </c>
      <c r="K3141">
        <v>1499.55</v>
      </c>
      <c r="L3141">
        <v>74977.7</v>
      </c>
      <c r="M3141">
        <v>48756.160000000003</v>
      </c>
      <c r="N3141">
        <v>6250.08</v>
      </c>
      <c r="O3141">
        <v>3795.63</v>
      </c>
      <c r="P3141">
        <v>3082.93</v>
      </c>
      <c r="Q3141">
        <v>1269.23</v>
      </c>
      <c r="R3141">
        <v>2617.14</v>
      </c>
      <c r="S3141">
        <v>1763.32</v>
      </c>
      <c r="T3141">
        <v>67534.490000000005</v>
      </c>
      <c r="U3141">
        <v>26221.54</v>
      </c>
      <c r="V3141">
        <v>7443.21</v>
      </c>
      <c r="W3141">
        <v>7044.53</v>
      </c>
      <c r="X3141">
        <v>73481.820000000007</v>
      </c>
      <c r="Y3141">
        <v>66291.7</v>
      </c>
    </row>
    <row r="3142" spans="1:25" x14ac:dyDescent="0.25">
      <c r="A3142" t="s">
        <v>3198</v>
      </c>
      <c r="B3142" s="1">
        <v>45807</v>
      </c>
      <c r="C3142">
        <v>2025</v>
      </c>
      <c r="D3142">
        <v>5</v>
      </c>
      <c r="E3142" t="s">
        <v>468</v>
      </c>
      <c r="F3142" t="s">
        <v>358</v>
      </c>
      <c r="G3142" t="s">
        <v>35</v>
      </c>
      <c r="H3142" t="s">
        <v>58</v>
      </c>
      <c r="I3142" t="s">
        <v>65</v>
      </c>
      <c r="J3142">
        <v>48</v>
      </c>
      <c r="K3142">
        <v>1299.67</v>
      </c>
      <c r="L3142">
        <v>62384.38</v>
      </c>
      <c r="M3142">
        <v>38470.519999999997</v>
      </c>
      <c r="N3142">
        <v>6591.16</v>
      </c>
      <c r="O3142">
        <v>3179.29</v>
      </c>
      <c r="P3142">
        <v>1169.26</v>
      </c>
      <c r="Q3142">
        <v>381.94</v>
      </c>
      <c r="R3142">
        <v>3566.06</v>
      </c>
      <c r="S3142">
        <v>1326.8</v>
      </c>
      <c r="T3142">
        <v>54685.03</v>
      </c>
      <c r="U3142">
        <v>23913.86</v>
      </c>
      <c r="V3142">
        <v>7699.35</v>
      </c>
      <c r="W3142">
        <v>7334.44</v>
      </c>
      <c r="X3142">
        <v>64637.7</v>
      </c>
      <c r="Y3142">
        <v>55500.95</v>
      </c>
    </row>
    <row r="3143" spans="1:25" x14ac:dyDescent="0.25">
      <c r="A3143" t="s">
        <v>3199</v>
      </c>
      <c r="B3143" s="1">
        <v>45807</v>
      </c>
      <c r="C3143">
        <v>2025</v>
      </c>
      <c r="D3143">
        <v>5</v>
      </c>
      <c r="E3143" t="s">
        <v>468</v>
      </c>
      <c r="F3143" t="s">
        <v>358</v>
      </c>
      <c r="G3143" t="s">
        <v>55</v>
      </c>
      <c r="H3143" t="s">
        <v>32</v>
      </c>
      <c r="I3143" t="s">
        <v>30</v>
      </c>
      <c r="J3143">
        <v>68</v>
      </c>
      <c r="K3143">
        <v>1424.56</v>
      </c>
      <c r="L3143">
        <v>96869.98</v>
      </c>
      <c r="M3143">
        <v>62360.32</v>
      </c>
      <c r="N3143">
        <v>10331.299999999999</v>
      </c>
      <c r="O3143">
        <v>3549.27</v>
      </c>
      <c r="P3143">
        <v>2715.76</v>
      </c>
      <c r="Q3143">
        <v>586.57000000000005</v>
      </c>
      <c r="R3143">
        <v>5844.49</v>
      </c>
      <c r="S3143">
        <v>1799.47</v>
      </c>
      <c r="T3143">
        <v>87187.18</v>
      </c>
      <c r="U3143">
        <v>34509.660000000003</v>
      </c>
      <c r="V3143">
        <v>9682.7999999999993</v>
      </c>
      <c r="W3143">
        <v>8908.4</v>
      </c>
      <c r="X3143">
        <v>90241.16</v>
      </c>
      <c r="Y3143">
        <v>91627.98</v>
      </c>
    </row>
    <row r="3144" spans="1:25" x14ac:dyDescent="0.25">
      <c r="A3144" t="s">
        <v>3200</v>
      </c>
      <c r="B3144" s="1">
        <v>45807</v>
      </c>
      <c r="C3144">
        <v>2025</v>
      </c>
      <c r="D3144">
        <v>5</v>
      </c>
      <c r="E3144" t="s">
        <v>468</v>
      </c>
      <c r="F3144" t="s">
        <v>358</v>
      </c>
      <c r="G3144" t="s">
        <v>35</v>
      </c>
      <c r="H3144" t="s">
        <v>32</v>
      </c>
      <c r="I3144" t="s">
        <v>30</v>
      </c>
      <c r="J3144">
        <v>43</v>
      </c>
      <c r="K3144">
        <v>1743.26</v>
      </c>
      <c r="L3144">
        <v>74960.100000000006</v>
      </c>
      <c r="M3144">
        <v>41175.57</v>
      </c>
      <c r="N3144">
        <v>7955.21</v>
      </c>
      <c r="O3144">
        <v>3358.77</v>
      </c>
      <c r="P3144">
        <v>1948.78</v>
      </c>
      <c r="Q3144">
        <v>868.09</v>
      </c>
      <c r="R3144">
        <v>2693.05</v>
      </c>
      <c r="S3144">
        <v>1617.56</v>
      </c>
      <c r="T3144">
        <v>59617.03</v>
      </c>
      <c r="U3144">
        <v>33784.54</v>
      </c>
      <c r="V3144">
        <v>15343.07</v>
      </c>
      <c r="W3144">
        <v>13615.07</v>
      </c>
      <c r="X3144">
        <v>79316.92</v>
      </c>
      <c r="Y3144">
        <v>63486.93</v>
      </c>
    </row>
    <row r="3145" spans="1:25" x14ac:dyDescent="0.25">
      <c r="A3145" t="s">
        <v>3201</v>
      </c>
      <c r="B3145" s="1">
        <v>45807</v>
      </c>
      <c r="C3145">
        <v>2025</v>
      </c>
      <c r="D3145">
        <v>5</v>
      </c>
      <c r="E3145" t="s">
        <v>468</v>
      </c>
      <c r="F3145" t="s">
        <v>358</v>
      </c>
      <c r="G3145" t="s">
        <v>44</v>
      </c>
      <c r="H3145" t="s">
        <v>32</v>
      </c>
      <c r="I3145" t="s">
        <v>65</v>
      </c>
      <c r="J3145">
        <v>75</v>
      </c>
      <c r="K3145">
        <v>1134.75</v>
      </c>
      <c r="L3145">
        <v>85106.37</v>
      </c>
      <c r="M3145">
        <v>42567.34</v>
      </c>
      <c r="N3145">
        <v>6052.3</v>
      </c>
      <c r="O3145">
        <v>5823.42</v>
      </c>
      <c r="P3145">
        <v>1801.65</v>
      </c>
      <c r="Q3145">
        <v>724.29</v>
      </c>
      <c r="R3145">
        <v>4798.07</v>
      </c>
      <c r="S3145">
        <v>1393.82</v>
      </c>
      <c r="T3145">
        <v>63160.89</v>
      </c>
      <c r="U3145">
        <v>42539.03</v>
      </c>
      <c r="V3145">
        <v>21945.48</v>
      </c>
      <c r="W3145">
        <v>20374.580000000002</v>
      </c>
      <c r="X3145">
        <v>92827.19</v>
      </c>
      <c r="Y3145">
        <v>69474.320000000007</v>
      </c>
    </row>
    <row r="3146" spans="1:25" x14ac:dyDescent="0.25">
      <c r="A3146" t="s">
        <v>3202</v>
      </c>
      <c r="B3146" s="1">
        <v>45807</v>
      </c>
      <c r="C3146">
        <v>2025</v>
      </c>
      <c r="D3146">
        <v>5</v>
      </c>
      <c r="E3146" t="s">
        <v>468</v>
      </c>
      <c r="F3146" t="s">
        <v>358</v>
      </c>
      <c r="G3146" t="s">
        <v>28</v>
      </c>
      <c r="H3146" t="s">
        <v>36</v>
      </c>
      <c r="I3146" t="s">
        <v>30</v>
      </c>
      <c r="J3146">
        <v>79</v>
      </c>
      <c r="K3146">
        <v>930.96</v>
      </c>
      <c r="L3146">
        <v>73546</v>
      </c>
      <c r="M3146">
        <v>46417.47</v>
      </c>
      <c r="N3146">
        <v>8254.52</v>
      </c>
      <c r="O3146">
        <v>5102.28</v>
      </c>
      <c r="P3146">
        <v>1687.21</v>
      </c>
      <c r="Q3146">
        <v>572.41</v>
      </c>
      <c r="R3146">
        <v>4435.68</v>
      </c>
      <c r="S3146">
        <v>1667.4</v>
      </c>
      <c r="T3146">
        <v>68136.960000000006</v>
      </c>
      <c r="U3146">
        <v>27128.53</v>
      </c>
      <c r="V3146">
        <v>5409.04</v>
      </c>
      <c r="W3146">
        <v>5012.1099999999997</v>
      </c>
      <c r="X3146">
        <v>71077.69</v>
      </c>
      <c r="Y3146">
        <v>68377.81</v>
      </c>
    </row>
    <row r="3147" spans="1:25" x14ac:dyDescent="0.25">
      <c r="A3147" t="s">
        <v>3203</v>
      </c>
      <c r="B3147" s="1">
        <v>45807</v>
      </c>
      <c r="C3147">
        <v>2025</v>
      </c>
      <c r="D3147">
        <v>5</v>
      </c>
      <c r="E3147" t="s">
        <v>468</v>
      </c>
      <c r="F3147" t="s">
        <v>358</v>
      </c>
      <c r="G3147" t="s">
        <v>55</v>
      </c>
      <c r="H3147" t="s">
        <v>32</v>
      </c>
      <c r="I3147" t="s">
        <v>65</v>
      </c>
      <c r="J3147">
        <v>77</v>
      </c>
      <c r="K3147">
        <v>1148.1199999999999</v>
      </c>
      <c r="L3147">
        <v>88405.37</v>
      </c>
      <c r="M3147">
        <v>50713.85</v>
      </c>
      <c r="N3147">
        <v>8857.92</v>
      </c>
      <c r="O3147">
        <v>2407.37</v>
      </c>
      <c r="P3147">
        <v>2578.75</v>
      </c>
      <c r="Q3147">
        <v>1582.91</v>
      </c>
      <c r="R3147">
        <v>5017.3999999999996</v>
      </c>
      <c r="S3147">
        <v>1747.48</v>
      </c>
      <c r="T3147">
        <v>72905.679999999993</v>
      </c>
      <c r="U3147">
        <v>37691.519999999997</v>
      </c>
      <c r="V3147">
        <v>15499.69</v>
      </c>
      <c r="W3147">
        <v>13925.5</v>
      </c>
      <c r="X3147">
        <v>93747.24</v>
      </c>
      <c r="Y3147">
        <v>69235.539999999994</v>
      </c>
    </row>
    <row r="3148" spans="1:25" x14ac:dyDescent="0.25">
      <c r="A3148" t="s">
        <v>3204</v>
      </c>
      <c r="B3148" s="1">
        <v>45807</v>
      </c>
      <c r="C3148">
        <v>2025</v>
      </c>
      <c r="D3148">
        <v>5</v>
      </c>
      <c r="E3148" t="s">
        <v>468</v>
      </c>
      <c r="F3148" t="s">
        <v>358</v>
      </c>
      <c r="G3148" t="s">
        <v>55</v>
      </c>
      <c r="H3148" t="s">
        <v>36</v>
      </c>
      <c r="I3148" t="s">
        <v>33</v>
      </c>
      <c r="J3148">
        <v>59</v>
      </c>
      <c r="K3148">
        <v>1017.53</v>
      </c>
      <c r="L3148">
        <v>60034.21</v>
      </c>
      <c r="M3148">
        <v>31259.25</v>
      </c>
      <c r="N3148">
        <v>4542.28</v>
      </c>
      <c r="O3148">
        <v>3005.35</v>
      </c>
      <c r="P3148">
        <v>1338.36</v>
      </c>
      <c r="Q3148">
        <v>332.44</v>
      </c>
      <c r="R3148">
        <v>3484.07</v>
      </c>
      <c r="S3148">
        <v>621.17999999999995</v>
      </c>
      <c r="T3148">
        <v>44582.94</v>
      </c>
      <c r="U3148">
        <v>28774.959999999999</v>
      </c>
      <c r="V3148">
        <v>15451.28</v>
      </c>
      <c r="W3148">
        <v>14498.42</v>
      </c>
      <c r="X3148">
        <v>63510.07</v>
      </c>
      <c r="Y3148">
        <v>45769.7</v>
      </c>
    </row>
    <row r="3149" spans="1:25" x14ac:dyDescent="0.25">
      <c r="A3149" t="s">
        <v>3205</v>
      </c>
      <c r="B3149" s="1">
        <v>45807</v>
      </c>
      <c r="C3149">
        <v>2025</v>
      </c>
      <c r="D3149">
        <v>5</v>
      </c>
      <c r="E3149" t="s">
        <v>468</v>
      </c>
      <c r="F3149" t="s">
        <v>358</v>
      </c>
      <c r="G3149" t="s">
        <v>55</v>
      </c>
      <c r="H3149" t="s">
        <v>32</v>
      </c>
      <c r="I3149" t="s">
        <v>65</v>
      </c>
      <c r="J3149">
        <v>57</v>
      </c>
      <c r="K3149">
        <v>1739.8</v>
      </c>
      <c r="L3149">
        <v>99168.76</v>
      </c>
      <c r="M3149">
        <v>58638.14</v>
      </c>
      <c r="N3149">
        <v>10721.61</v>
      </c>
      <c r="O3149">
        <v>2744.22</v>
      </c>
      <c r="P3149">
        <v>3330.07</v>
      </c>
      <c r="Q3149">
        <v>1758.98</v>
      </c>
      <c r="R3149">
        <v>4914.53</v>
      </c>
      <c r="S3149">
        <v>1359.79</v>
      </c>
      <c r="T3149">
        <v>83467.33</v>
      </c>
      <c r="U3149">
        <v>40530.620000000003</v>
      </c>
      <c r="V3149">
        <v>15701.42</v>
      </c>
      <c r="W3149">
        <v>15307.84</v>
      </c>
      <c r="X3149">
        <v>91619.62</v>
      </c>
      <c r="Y3149">
        <v>80518.429999999993</v>
      </c>
    </row>
    <row r="3150" spans="1:25" x14ac:dyDescent="0.25">
      <c r="A3150" t="s">
        <v>3206</v>
      </c>
      <c r="B3150" s="1">
        <v>45807</v>
      </c>
      <c r="C3150">
        <v>2025</v>
      </c>
      <c r="D3150">
        <v>5</v>
      </c>
      <c r="E3150" t="s">
        <v>468</v>
      </c>
      <c r="F3150" t="s">
        <v>358</v>
      </c>
      <c r="G3150" t="s">
        <v>28</v>
      </c>
      <c r="H3150" t="s">
        <v>32</v>
      </c>
      <c r="I3150" t="s">
        <v>30</v>
      </c>
      <c r="J3150">
        <v>97</v>
      </c>
      <c r="K3150">
        <v>1045.8</v>
      </c>
      <c r="L3150">
        <v>101442.38</v>
      </c>
      <c r="M3150">
        <v>59253.82</v>
      </c>
      <c r="N3150">
        <v>9364.74</v>
      </c>
      <c r="O3150">
        <v>7341.37</v>
      </c>
      <c r="P3150">
        <v>3255.51</v>
      </c>
      <c r="Q3150">
        <v>761.19</v>
      </c>
      <c r="R3150">
        <v>3561.78</v>
      </c>
      <c r="S3150">
        <v>1337.86</v>
      </c>
      <c r="T3150">
        <v>84876.27</v>
      </c>
      <c r="U3150">
        <v>42188.56</v>
      </c>
      <c r="V3150">
        <v>16566.099999999999</v>
      </c>
      <c r="W3150">
        <v>15087.4</v>
      </c>
      <c r="X3150">
        <v>100431.61</v>
      </c>
      <c r="Y3150">
        <v>92002.58</v>
      </c>
    </row>
    <row r="3151" spans="1:25" x14ac:dyDescent="0.25">
      <c r="A3151" t="s">
        <v>3207</v>
      </c>
      <c r="B3151" s="1">
        <v>45807</v>
      </c>
      <c r="C3151">
        <v>2025</v>
      </c>
      <c r="D3151">
        <v>5</v>
      </c>
      <c r="E3151" t="s">
        <v>468</v>
      </c>
      <c r="F3151" t="s">
        <v>358</v>
      </c>
      <c r="G3151" t="s">
        <v>55</v>
      </c>
      <c r="H3151" t="s">
        <v>36</v>
      </c>
      <c r="I3151" t="s">
        <v>50</v>
      </c>
      <c r="J3151">
        <v>54</v>
      </c>
      <c r="K3151">
        <v>902.66</v>
      </c>
      <c r="L3151">
        <v>48743.82</v>
      </c>
      <c r="M3151">
        <v>30236.79</v>
      </c>
      <c r="N3151">
        <v>4192.83</v>
      </c>
      <c r="O3151">
        <v>1475.21</v>
      </c>
      <c r="P3151">
        <v>1265.22</v>
      </c>
      <c r="Q3151">
        <v>386.97</v>
      </c>
      <c r="R3151">
        <v>3151.31</v>
      </c>
      <c r="S3151">
        <v>845.1</v>
      </c>
      <c r="T3151">
        <v>41553.440000000002</v>
      </c>
      <c r="U3151">
        <v>18507.03</v>
      </c>
      <c r="V3151">
        <v>7190.38</v>
      </c>
      <c r="W3151">
        <v>6420.18</v>
      </c>
      <c r="X3151">
        <v>50713.919999999998</v>
      </c>
      <c r="Y3151">
        <v>42226.99</v>
      </c>
    </row>
    <row r="3152" spans="1:25" x14ac:dyDescent="0.25">
      <c r="A3152" t="s">
        <v>3208</v>
      </c>
      <c r="B3152" s="1">
        <v>45809</v>
      </c>
      <c r="C3152">
        <v>2025</v>
      </c>
      <c r="D3152">
        <v>6</v>
      </c>
      <c r="E3152" t="s">
        <v>585</v>
      </c>
      <c r="F3152" t="s">
        <v>358</v>
      </c>
      <c r="G3152" t="s">
        <v>44</v>
      </c>
      <c r="H3152" t="s">
        <v>36</v>
      </c>
      <c r="I3152" t="s">
        <v>37</v>
      </c>
      <c r="J3152">
        <v>38</v>
      </c>
      <c r="K3152">
        <v>1267.4100000000001</v>
      </c>
      <c r="L3152">
        <v>48161.54</v>
      </c>
      <c r="M3152">
        <v>25667.82</v>
      </c>
      <c r="N3152">
        <v>5389.84</v>
      </c>
      <c r="O3152">
        <v>2787.25</v>
      </c>
      <c r="P3152">
        <v>941.28</v>
      </c>
      <c r="Q3152">
        <v>285.82</v>
      </c>
      <c r="R3152">
        <v>2756.27</v>
      </c>
      <c r="S3152">
        <v>461.2</v>
      </c>
      <c r="T3152">
        <v>38289.47</v>
      </c>
      <c r="U3152">
        <v>22493.73</v>
      </c>
      <c r="V3152">
        <v>9872.08</v>
      </c>
      <c r="W3152">
        <v>9081.75</v>
      </c>
      <c r="X3152">
        <v>52701.57</v>
      </c>
      <c r="Y3152">
        <v>40185.86</v>
      </c>
    </row>
    <row r="3153" spans="1:25" x14ac:dyDescent="0.25">
      <c r="A3153" t="s">
        <v>3209</v>
      </c>
      <c r="B3153" s="1">
        <v>45809</v>
      </c>
      <c r="C3153">
        <v>2025</v>
      </c>
      <c r="D3153">
        <v>6</v>
      </c>
      <c r="E3153" t="s">
        <v>585</v>
      </c>
      <c r="F3153" t="s">
        <v>358</v>
      </c>
      <c r="G3153" t="s">
        <v>28</v>
      </c>
      <c r="H3153" t="s">
        <v>58</v>
      </c>
      <c r="I3153" t="s">
        <v>50</v>
      </c>
      <c r="J3153">
        <v>29</v>
      </c>
      <c r="K3153">
        <v>1435.8</v>
      </c>
      <c r="L3153">
        <v>41638.15</v>
      </c>
      <c r="M3153">
        <v>20665.23</v>
      </c>
      <c r="N3153">
        <v>4076.18</v>
      </c>
      <c r="O3153">
        <v>2108.75</v>
      </c>
      <c r="P3153">
        <v>752.07</v>
      </c>
      <c r="Q3153">
        <v>220.45</v>
      </c>
      <c r="R3153">
        <v>1855.12</v>
      </c>
      <c r="S3153">
        <v>455.09</v>
      </c>
      <c r="T3153">
        <v>30132.89</v>
      </c>
      <c r="U3153">
        <v>20972.92</v>
      </c>
      <c r="V3153">
        <v>11505.25</v>
      </c>
      <c r="W3153">
        <v>11437.55</v>
      </c>
      <c r="X3153">
        <v>39170.57</v>
      </c>
      <c r="Y3153">
        <v>32787.839999999997</v>
      </c>
    </row>
    <row r="3154" spans="1:25" x14ac:dyDescent="0.25">
      <c r="A3154" t="s">
        <v>3210</v>
      </c>
      <c r="B3154" s="1">
        <v>45809</v>
      </c>
      <c r="C3154">
        <v>2025</v>
      </c>
      <c r="D3154">
        <v>6</v>
      </c>
      <c r="E3154" t="s">
        <v>585</v>
      </c>
      <c r="F3154" t="s">
        <v>358</v>
      </c>
      <c r="G3154" t="s">
        <v>55</v>
      </c>
      <c r="H3154" t="s">
        <v>32</v>
      </c>
      <c r="I3154" t="s">
        <v>37</v>
      </c>
      <c r="J3154">
        <v>61</v>
      </c>
      <c r="K3154">
        <v>1757.84</v>
      </c>
      <c r="L3154">
        <v>107228.03</v>
      </c>
      <c r="M3154">
        <v>63752.3</v>
      </c>
      <c r="N3154">
        <v>10635.52</v>
      </c>
      <c r="O3154">
        <v>6664.15</v>
      </c>
      <c r="P3154">
        <v>4685.53</v>
      </c>
      <c r="Q3154">
        <v>843.94</v>
      </c>
      <c r="R3154">
        <v>3130.32</v>
      </c>
      <c r="S3154">
        <v>1217.4000000000001</v>
      </c>
      <c r="T3154">
        <v>90929.17</v>
      </c>
      <c r="U3154">
        <v>43475.73</v>
      </c>
      <c r="V3154">
        <v>16298.86</v>
      </c>
      <c r="W3154">
        <v>15448.93</v>
      </c>
      <c r="X3154">
        <v>101486.17</v>
      </c>
      <c r="Y3154">
        <v>96032.06</v>
      </c>
    </row>
    <row r="3155" spans="1:25" x14ac:dyDescent="0.25">
      <c r="A3155" t="s">
        <v>3211</v>
      </c>
      <c r="B3155" s="1">
        <v>45809</v>
      </c>
      <c r="C3155">
        <v>2025</v>
      </c>
      <c r="D3155">
        <v>6</v>
      </c>
      <c r="E3155" t="s">
        <v>585</v>
      </c>
      <c r="F3155" t="s">
        <v>358</v>
      </c>
      <c r="G3155" t="s">
        <v>28</v>
      </c>
      <c r="H3155" t="s">
        <v>53</v>
      </c>
      <c r="I3155" t="s">
        <v>37</v>
      </c>
      <c r="J3155">
        <v>65</v>
      </c>
      <c r="K3155">
        <v>889.35</v>
      </c>
      <c r="L3155">
        <v>57807.82</v>
      </c>
      <c r="M3155">
        <v>28217.21</v>
      </c>
      <c r="N3155">
        <v>5008.1099999999997</v>
      </c>
      <c r="O3155">
        <v>2705.26</v>
      </c>
      <c r="P3155">
        <v>2528.0700000000002</v>
      </c>
      <c r="Q3155">
        <v>351.21</v>
      </c>
      <c r="R3155">
        <v>3606.71</v>
      </c>
      <c r="S3155">
        <v>1150.98</v>
      </c>
      <c r="T3155">
        <v>43567.56</v>
      </c>
      <c r="U3155">
        <v>29590.61</v>
      </c>
      <c r="V3155">
        <v>14240.26</v>
      </c>
      <c r="W3155">
        <v>14071.46</v>
      </c>
      <c r="X3155">
        <v>56347.19</v>
      </c>
      <c r="Y3155">
        <v>45268.65</v>
      </c>
    </row>
    <row r="3156" spans="1:25" x14ac:dyDescent="0.25">
      <c r="A3156" t="s">
        <v>3212</v>
      </c>
      <c r="B3156" s="1">
        <v>45809</v>
      </c>
      <c r="C3156">
        <v>2025</v>
      </c>
      <c r="D3156">
        <v>6</v>
      </c>
      <c r="E3156" t="s">
        <v>585</v>
      </c>
      <c r="F3156" t="s">
        <v>358</v>
      </c>
      <c r="G3156" t="s">
        <v>55</v>
      </c>
      <c r="H3156" t="s">
        <v>36</v>
      </c>
      <c r="I3156" t="s">
        <v>39</v>
      </c>
      <c r="J3156">
        <v>33</v>
      </c>
      <c r="K3156">
        <v>1267.3800000000001</v>
      </c>
      <c r="L3156">
        <v>41823.4</v>
      </c>
      <c r="M3156">
        <v>20915.580000000002</v>
      </c>
      <c r="N3156">
        <v>5101.5200000000004</v>
      </c>
      <c r="O3156">
        <v>2548.96</v>
      </c>
      <c r="P3156">
        <v>1200.3</v>
      </c>
      <c r="Q3156">
        <v>624.29999999999995</v>
      </c>
      <c r="R3156">
        <v>1435.19</v>
      </c>
      <c r="S3156">
        <v>577.66999999999996</v>
      </c>
      <c r="T3156">
        <v>32403.53</v>
      </c>
      <c r="U3156">
        <v>20907.82</v>
      </c>
      <c r="V3156">
        <v>9419.8700000000008</v>
      </c>
      <c r="W3156">
        <v>9369.24</v>
      </c>
      <c r="X3156">
        <v>39902.42</v>
      </c>
      <c r="Y3156">
        <v>34399.9</v>
      </c>
    </row>
    <row r="3157" spans="1:25" x14ac:dyDescent="0.25">
      <c r="A3157" t="s">
        <v>3213</v>
      </c>
      <c r="B3157" s="1">
        <v>45809</v>
      </c>
      <c r="C3157">
        <v>2025</v>
      </c>
      <c r="D3157">
        <v>6</v>
      </c>
      <c r="E3157" t="s">
        <v>585</v>
      </c>
      <c r="F3157" t="s">
        <v>358</v>
      </c>
      <c r="G3157" t="s">
        <v>35</v>
      </c>
      <c r="H3157" t="s">
        <v>58</v>
      </c>
      <c r="I3157" t="s">
        <v>33</v>
      </c>
      <c r="J3157">
        <v>47</v>
      </c>
      <c r="K3157">
        <v>1302.18</v>
      </c>
      <c r="L3157">
        <v>61202.28</v>
      </c>
      <c r="M3157">
        <v>33276.32</v>
      </c>
      <c r="N3157">
        <v>4443.03</v>
      </c>
      <c r="O3157">
        <v>4551.07</v>
      </c>
      <c r="P3157">
        <v>2731.17</v>
      </c>
      <c r="Q3157">
        <v>753.21</v>
      </c>
      <c r="R3157">
        <v>2843.12</v>
      </c>
      <c r="S3157">
        <v>1359.74</v>
      </c>
      <c r="T3157">
        <v>49957.66</v>
      </c>
      <c r="U3157">
        <v>27925.96</v>
      </c>
      <c r="V3157">
        <v>11244.62</v>
      </c>
      <c r="W3157">
        <v>10590.42</v>
      </c>
      <c r="X3157">
        <v>64812.7</v>
      </c>
      <c r="Y3157">
        <v>49880.61</v>
      </c>
    </row>
    <row r="3158" spans="1:25" x14ac:dyDescent="0.25">
      <c r="A3158" t="s">
        <v>3214</v>
      </c>
      <c r="B3158" s="1">
        <v>45809</v>
      </c>
      <c r="C3158">
        <v>2025</v>
      </c>
      <c r="D3158">
        <v>6</v>
      </c>
      <c r="E3158" t="s">
        <v>585</v>
      </c>
      <c r="F3158" t="s">
        <v>358</v>
      </c>
      <c r="G3158" t="s">
        <v>55</v>
      </c>
      <c r="H3158" t="s">
        <v>58</v>
      </c>
      <c r="I3158" t="s">
        <v>39</v>
      </c>
      <c r="J3158">
        <v>42</v>
      </c>
      <c r="K3158">
        <v>1173.5</v>
      </c>
      <c r="L3158">
        <v>49286.8</v>
      </c>
      <c r="M3158">
        <v>29181.49</v>
      </c>
      <c r="N3158">
        <v>3785.25</v>
      </c>
      <c r="O3158">
        <v>1244.3800000000001</v>
      </c>
      <c r="P3158">
        <v>955.26</v>
      </c>
      <c r="Q3158">
        <v>700.14</v>
      </c>
      <c r="R3158">
        <v>2218.08</v>
      </c>
      <c r="S3158">
        <v>835.74</v>
      </c>
      <c r="T3158">
        <v>38920.35</v>
      </c>
      <c r="U3158">
        <v>20105.3</v>
      </c>
      <c r="V3158">
        <v>10366.44</v>
      </c>
      <c r="W3158">
        <v>9568.25</v>
      </c>
      <c r="X3158">
        <v>53921.87</v>
      </c>
      <c r="Y3158">
        <v>37970.480000000003</v>
      </c>
    </row>
    <row r="3159" spans="1:25" x14ac:dyDescent="0.25">
      <c r="A3159" t="s">
        <v>3215</v>
      </c>
      <c r="B3159" s="1">
        <v>45809</v>
      </c>
      <c r="C3159">
        <v>2025</v>
      </c>
      <c r="D3159">
        <v>6</v>
      </c>
      <c r="E3159" t="s">
        <v>585</v>
      </c>
      <c r="F3159" t="s">
        <v>358</v>
      </c>
      <c r="G3159" t="s">
        <v>28</v>
      </c>
      <c r="H3159" t="s">
        <v>32</v>
      </c>
      <c r="I3159" t="s">
        <v>37</v>
      </c>
      <c r="J3159">
        <v>89</v>
      </c>
      <c r="K3159">
        <v>1196.29</v>
      </c>
      <c r="L3159">
        <v>106470.11</v>
      </c>
      <c r="M3159">
        <v>51740.95</v>
      </c>
      <c r="N3159">
        <v>8690.91</v>
      </c>
      <c r="O3159">
        <v>6376.05</v>
      </c>
      <c r="P3159">
        <v>4422.58</v>
      </c>
      <c r="Q3159">
        <v>1501.29</v>
      </c>
      <c r="R3159">
        <v>3477.81</v>
      </c>
      <c r="S3159">
        <v>2420.4899999999998</v>
      </c>
      <c r="T3159">
        <v>78630.070000000007</v>
      </c>
      <c r="U3159">
        <v>54729.16</v>
      </c>
      <c r="V3159">
        <v>27840.04</v>
      </c>
      <c r="W3159">
        <v>27842.61</v>
      </c>
      <c r="X3159">
        <v>104948.55</v>
      </c>
      <c r="Y3159">
        <v>82409.87</v>
      </c>
    </row>
    <row r="3160" spans="1:25" x14ac:dyDescent="0.25">
      <c r="A3160" t="s">
        <v>3216</v>
      </c>
      <c r="B3160" s="1">
        <v>45810</v>
      </c>
      <c r="C3160">
        <v>2025</v>
      </c>
      <c r="D3160">
        <v>6</v>
      </c>
      <c r="E3160" t="s">
        <v>585</v>
      </c>
      <c r="F3160" t="s">
        <v>358</v>
      </c>
      <c r="G3160" t="s">
        <v>35</v>
      </c>
      <c r="H3160" t="s">
        <v>29</v>
      </c>
      <c r="I3160" t="s">
        <v>33</v>
      </c>
      <c r="J3160">
        <v>29</v>
      </c>
      <c r="K3160">
        <v>1778.26</v>
      </c>
      <c r="L3160">
        <v>51569.49</v>
      </c>
      <c r="M3160">
        <v>30240.2</v>
      </c>
      <c r="N3160">
        <v>3753.62</v>
      </c>
      <c r="O3160">
        <v>3270.53</v>
      </c>
      <c r="P3160">
        <v>1006.19</v>
      </c>
      <c r="Q3160">
        <v>307.07</v>
      </c>
      <c r="R3160">
        <v>2568.6</v>
      </c>
      <c r="S3160">
        <v>1163.32</v>
      </c>
      <c r="T3160">
        <v>42309.53</v>
      </c>
      <c r="U3160">
        <v>21329.29</v>
      </c>
      <c r="V3160">
        <v>9259.9699999999993</v>
      </c>
      <c r="W3160">
        <v>8842.44</v>
      </c>
      <c r="X3160">
        <v>57238.89</v>
      </c>
      <c r="Y3160">
        <v>40530.400000000001</v>
      </c>
    </row>
    <row r="3161" spans="1:25" x14ac:dyDescent="0.25">
      <c r="A3161" t="s">
        <v>3217</v>
      </c>
      <c r="B3161" s="1">
        <v>45810</v>
      </c>
      <c r="C3161">
        <v>2025</v>
      </c>
      <c r="D3161">
        <v>6</v>
      </c>
      <c r="E3161" t="s">
        <v>585</v>
      </c>
      <c r="F3161" t="s">
        <v>358</v>
      </c>
      <c r="G3161" t="s">
        <v>44</v>
      </c>
      <c r="H3161" t="s">
        <v>36</v>
      </c>
      <c r="I3161" t="s">
        <v>56</v>
      </c>
      <c r="J3161">
        <v>24</v>
      </c>
      <c r="K3161">
        <v>1672.71</v>
      </c>
      <c r="L3161">
        <v>40145</v>
      </c>
      <c r="M3161">
        <v>25958.63</v>
      </c>
      <c r="N3161">
        <v>3826.46</v>
      </c>
      <c r="O3161">
        <v>1384.83</v>
      </c>
      <c r="P3161">
        <v>653.65</v>
      </c>
      <c r="Q3161">
        <v>317.82</v>
      </c>
      <c r="R3161">
        <v>2445.88</v>
      </c>
      <c r="S3161">
        <v>753.52</v>
      </c>
      <c r="T3161">
        <v>35340.78</v>
      </c>
      <c r="U3161">
        <v>14186.36</v>
      </c>
      <c r="V3161">
        <v>4804.22</v>
      </c>
      <c r="W3161">
        <v>4363.3999999999996</v>
      </c>
      <c r="X3161">
        <v>38307.82</v>
      </c>
      <c r="Y3161">
        <v>38323</v>
      </c>
    </row>
    <row r="3162" spans="1:25" x14ac:dyDescent="0.25">
      <c r="A3162" t="s">
        <v>3218</v>
      </c>
      <c r="B3162" s="1">
        <v>45810</v>
      </c>
      <c r="C3162">
        <v>2025</v>
      </c>
      <c r="D3162">
        <v>6</v>
      </c>
      <c r="E3162" t="s">
        <v>585</v>
      </c>
      <c r="F3162" t="s">
        <v>358</v>
      </c>
      <c r="G3162" t="s">
        <v>28</v>
      </c>
      <c r="H3162" t="s">
        <v>53</v>
      </c>
      <c r="I3162" t="s">
        <v>33</v>
      </c>
      <c r="J3162">
        <v>56</v>
      </c>
      <c r="K3162">
        <v>1431.58</v>
      </c>
      <c r="L3162">
        <v>80168.759999999995</v>
      </c>
      <c r="M3162">
        <v>43912.42</v>
      </c>
      <c r="N3162">
        <v>8185.41</v>
      </c>
      <c r="O3162">
        <v>4165.51</v>
      </c>
      <c r="P3162">
        <v>2087.5300000000002</v>
      </c>
      <c r="Q3162">
        <v>414.77</v>
      </c>
      <c r="R3162">
        <v>5122.25</v>
      </c>
      <c r="S3162">
        <v>1932.1</v>
      </c>
      <c r="T3162">
        <v>65819.98</v>
      </c>
      <c r="U3162">
        <v>36256.339999999997</v>
      </c>
      <c r="V3162">
        <v>14348.78</v>
      </c>
      <c r="W3162">
        <v>13361.95</v>
      </c>
      <c r="X3162">
        <v>87141.89</v>
      </c>
      <c r="Y3162">
        <v>67345.77</v>
      </c>
    </row>
    <row r="3163" spans="1:25" x14ac:dyDescent="0.25">
      <c r="A3163" t="s">
        <v>3219</v>
      </c>
      <c r="B3163" s="1">
        <v>45810</v>
      </c>
      <c r="C3163">
        <v>2025</v>
      </c>
      <c r="D3163">
        <v>6</v>
      </c>
      <c r="E3163" t="s">
        <v>585</v>
      </c>
      <c r="F3163" t="s">
        <v>358</v>
      </c>
      <c r="G3163" t="s">
        <v>28</v>
      </c>
      <c r="H3163" t="s">
        <v>32</v>
      </c>
      <c r="I3163" t="s">
        <v>37</v>
      </c>
      <c r="J3163">
        <v>72</v>
      </c>
      <c r="K3163">
        <v>916.53</v>
      </c>
      <c r="L3163">
        <v>65990</v>
      </c>
      <c r="M3163">
        <v>37678.199999999997</v>
      </c>
      <c r="N3163">
        <v>6013.46</v>
      </c>
      <c r="O3163">
        <v>4715.13</v>
      </c>
      <c r="P3163">
        <v>2121.5700000000002</v>
      </c>
      <c r="Q3163">
        <v>1097.48</v>
      </c>
      <c r="R3163">
        <v>4221.7</v>
      </c>
      <c r="S3163">
        <v>1273.03</v>
      </c>
      <c r="T3163">
        <v>57120.57</v>
      </c>
      <c r="U3163">
        <v>28311.8</v>
      </c>
      <c r="V3163">
        <v>8869.44</v>
      </c>
      <c r="W3163">
        <v>8208.9500000000007</v>
      </c>
      <c r="X3163">
        <v>63251.5</v>
      </c>
      <c r="Y3163">
        <v>59681.88</v>
      </c>
    </row>
    <row r="3164" spans="1:25" x14ac:dyDescent="0.25">
      <c r="A3164" t="s">
        <v>3220</v>
      </c>
      <c r="B3164" s="1">
        <v>45810</v>
      </c>
      <c r="C3164">
        <v>2025</v>
      </c>
      <c r="D3164">
        <v>6</v>
      </c>
      <c r="E3164" t="s">
        <v>585</v>
      </c>
      <c r="F3164" t="s">
        <v>358</v>
      </c>
      <c r="G3164" t="s">
        <v>35</v>
      </c>
      <c r="H3164" t="s">
        <v>53</v>
      </c>
      <c r="I3164" t="s">
        <v>39</v>
      </c>
      <c r="J3164">
        <v>34</v>
      </c>
      <c r="K3164">
        <v>914.87</v>
      </c>
      <c r="L3164">
        <v>31105.64</v>
      </c>
      <c r="M3164">
        <v>19153.89</v>
      </c>
      <c r="N3164">
        <v>2638.92</v>
      </c>
      <c r="O3164">
        <v>864.03</v>
      </c>
      <c r="P3164">
        <v>809.56</v>
      </c>
      <c r="Q3164">
        <v>167.33</v>
      </c>
      <c r="R3164">
        <v>1841.87</v>
      </c>
      <c r="S3164">
        <v>278.99</v>
      </c>
      <c r="T3164">
        <v>25754.59</v>
      </c>
      <c r="U3164">
        <v>11951.75</v>
      </c>
      <c r="V3164">
        <v>5351.04</v>
      </c>
      <c r="W3164">
        <v>4756.0200000000004</v>
      </c>
      <c r="X3164">
        <v>31690.42</v>
      </c>
      <c r="Y3164">
        <v>26382.32</v>
      </c>
    </row>
    <row r="3165" spans="1:25" x14ac:dyDescent="0.25">
      <c r="A3165" t="s">
        <v>3221</v>
      </c>
      <c r="B3165" s="1">
        <v>45811</v>
      </c>
      <c r="C3165">
        <v>2025</v>
      </c>
      <c r="D3165">
        <v>6</v>
      </c>
      <c r="E3165" t="s">
        <v>585</v>
      </c>
      <c r="F3165" t="s">
        <v>358</v>
      </c>
      <c r="G3165" t="s">
        <v>44</v>
      </c>
      <c r="H3165" t="s">
        <v>32</v>
      </c>
      <c r="I3165" t="s">
        <v>45</v>
      </c>
      <c r="J3165">
        <v>45</v>
      </c>
      <c r="K3165">
        <v>1185.23</v>
      </c>
      <c r="L3165">
        <v>53335.26</v>
      </c>
      <c r="M3165">
        <v>26839.439999999999</v>
      </c>
      <c r="N3165">
        <v>5674.07</v>
      </c>
      <c r="O3165">
        <v>2622.02</v>
      </c>
      <c r="P3165">
        <v>965.3</v>
      </c>
      <c r="Q3165">
        <v>928.54</v>
      </c>
      <c r="R3165">
        <v>2709.01</v>
      </c>
      <c r="S3165">
        <v>1262.2</v>
      </c>
      <c r="T3165">
        <v>41000.58</v>
      </c>
      <c r="U3165">
        <v>26495.82</v>
      </c>
      <c r="V3165">
        <v>12334.68</v>
      </c>
      <c r="W3165">
        <v>12455.03</v>
      </c>
      <c r="X3165">
        <v>52717.22</v>
      </c>
      <c r="Y3165">
        <v>38684.46</v>
      </c>
    </row>
    <row r="3166" spans="1:25" x14ac:dyDescent="0.25">
      <c r="A3166" t="s">
        <v>3222</v>
      </c>
      <c r="B3166" s="1">
        <v>45811</v>
      </c>
      <c r="C3166">
        <v>2025</v>
      </c>
      <c r="D3166">
        <v>6</v>
      </c>
      <c r="E3166" t="s">
        <v>585</v>
      </c>
      <c r="F3166" t="s">
        <v>358</v>
      </c>
      <c r="G3166" t="s">
        <v>28</v>
      </c>
      <c r="H3166" t="s">
        <v>32</v>
      </c>
      <c r="I3166" t="s">
        <v>30</v>
      </c>
      <c r="J3166">
        <v>74</v>
      </c>
      <c r="K3166">
        <v>1711.69</v>
      </c>
      <c r="L3166">
        <v>126665.36</v>
      </c>
      <c r="M3166">
        <v>78804.070000000007</v>
      </c>
      <c r="N3166">
        <v>10650.1</v>
      </c>
      <c r="O3166">
        <v>7238.06</v>
      </c>
      <c r="P3166">
        <v>4450.59</v>
      </c>
      <c r="Q3166">
        <v>1330.79</v>
      </c>
      <c r="R3166">
        <v>7401.78</v>
      </c>
      <c r="S3166">
        <v>1109.21</v>
      </c>
      <c r="T3166">
        <v>110984.61</v>
      </c>
      <c r="U3166">
        <v>47861.29</v>
      </c>
      <c r="V3166">
        <v>15680.75</v>
      </c>
      <c r="W3166">
        <v>15389.62</v>
      </c>
      <c r="X3166">
        <v>128233.3</v>
      </c>
      <c r="Y3166">
        <v>110457.29</v>
      </c>
    </row>
    <row r="3167" spans="1:25" x14ac:dyDescent="0.25">
      <c r="A3167" t="s">
        <v>3223</v>
      </c>
      <c r="B3167" s="1">
        <v>45811</v>
      </c>
      <c r="C3167">
        <v>2025</v>
      </c>
      <c r="D3167">
        <v>6</v>
      </c>
      <c r="E3167" t="s">
        <v>585</v>
      </c>
      <c r="F3167" t="s">
        <v>358</v>
      </c>
      <c r="G3167" t="s">
        <v>28</v>
      </c>
      <c r="H3167" t="s">
        <v>53</v>
      </c>
      <c r="I3167" t="s">
        <v>33</v>
      </c>
      <c r="J3167">
        <v>38</v>
      </c>
      <c r="K3167">
        <v>1693.67</v>
      </c>
      <c r="L3167">
        <v>64359.6</v>
      </c>
      <c r="M3167">
        <v>32788.06</v>
      </c>
      <c r="N3167">
        <v>5191.38</v>
      </c>
      <c r="O3167">
        <v>3372.77</v>
      </c>
      <c r="P3167">
        <v>2772.77</v>
      </c>
      <c r="Q3167">
        <v>1066.24</v>
      </c>
      <c r="R3167">
        <v>1989.5</v>
      </c>
      <c r="S3167">
        <v>1024.7</v>
      </c>
      <c r="T3167">
        <v>48205.42</v>
      </c>
      <c r="U3167">
        <v>31571.55</v>
      </c>
      <c r="V3167">
        <v>16154.18</v>
      </c>
      <c r="W3167">
        <v>14978.08</v>
      </c>
      <c r="X3167">
        <v>64225.72</v>
      </c>
      <c r="Y3167">
        <v>49046.2</v>
      </c>
    </row>
    <row r="3168" spans="1:25" x14ac:dyDescent="0.25">
      <c r="A3168" t="s">
        <v>3224</v>
      </c>
      <c r="B3168" s="1">
        <v>45812</v>
      </c>
      <c r="C3168">
        <v>2025</v>
      </c>
      <c r="D3168">
        <v>6</v>
      </c>
      <c r="E3168" t="s">
        <v>585</v>
      </c>
      <c r="F3168" t="s">
        <v>358</v>
      </c>
      <c r="G3168" t="s">
        <v>44</v>
      </c>
      <c r="H3168" t="s">
        <v>32</v>
      </c>
      <c r="I3168" t="s">
        <v>39</v>
      </c>
      <c r="J3168">
        <v>40</v>
      </c>
      <c r="K3168">
        <v>1372.94</v>
      </c>
      <c r="L3168">
        <v>54917.5</v>
      </c>
      <c r="M3168">
        <v>28940.83</v>
      </c>
      <c r="N3168">
        <v>5576.84</v>
      </c>
      <c r="O3168">
        <v>2012.5</v>
      </c>
      <c r="P3168">
        <v>1499.66</v>
      </c>
      <c r="Q3168">
        <v>394.91</v>
      </c>
      <c r="R3168">
        <v>1665.77</v>
      </c>
      <c r="S3168">
        <v>1147.8599999999999</v>
      </c>
      <c r="T3168">
        <v>41238.36</v>
      </c>
      <c r="U3168">
        <v>25976.67</v>
      </c>
      <c r="V3168">
        <v>13679.14</v>
      </c>
      <c r="W3168">
        <v>12317.85</v>
      </c>
      <c r="X3168">
        <v>53811.99</v>
      </c>
      <c r="Y3168">
        <v>38987.379999999997</v>
      </c>
    </row>
    <row r="3169" spans="1:25" x14ac:dyDescent="0.25">
      <c r="A3169" t="s">
        <v>3225</v>
      </c>
      <c r="B3169" s="1">
        <v>45812</v>
      </c>
      <c r="C3169">
        <v>2025</v>
      </c>
      <c r="D3169">
        <v>6</v>
      </c>
      <c r="E3169" t="s">
        <v>585</v>
      </c>
      <c r="F3169" t="s">
        <v>358</v>
      </c>
      <c r="G3169" t="s">
        <v>35</v>
      </c>
      <c r="H3169" t="s">
        <v>53</v>
      </c>
      <c r="I3169" t="s">
        <v>37</v>
      </c>
      <c r="J3169">
        <v>39</v>
      </c>
      <c r="K3169">
        <v>1111.94</v>
      </c>
      <c r="L3169">
        <v>43365.58</v>
      </c>
      <c r="M3169">
        <v>26144.75</v>
      </c>
      <c r="N3169">
        <v>3385.39</v>
      </c>
      <c r="O3169">
        <v>2282.0100000000002</v>
      </c>
      <c r="P3169">
        <v>1464.89</v>
      </c>
      <c r="Q3169">
        <v>763.42</v>
      </c>
      <c r="R3169">
        <v>2356.7600000000002</v>
      </c>
      <c r="S3169">
        <v>776.11</v>
      </c>
      <c r="T3169">
        <v>37173.33</v>
      </c>
      <c r="U3169">
        <v>17220.830000000002</v>
      </c>
      <c r="V3169">
        <v>6192.25</v>
      </c>
      <c r="W3169">
        <v>6246.79</v>
      </c>
      <c r="X3169">
        <v>42866.35</v>
      </c>
      <c r="Y3169">
        <v>35771.879999999997</v>
      </c>
    </row>
    <row r="3170" spans="1:25" x14ac:dyDescent="0.25">
      <c r="A3170" t="s">
        <v>3226</v>
      </c>
      <c r="B3170" s="1">
        <v>45812</v>
      </c>
      <c r="C3170">
        <v>2025</v>
      </c>
      <c r="D3170">
        <v>6</v>
      </c>
      <c r="E3170" t="s">
        <v>585</v>
      </c>
      <c r="F3170" t="s">
        <v>358</v>
      </c>
      <c r="G3170" t="s">
        <v>28</v>
      </c>
      <c r="H3170" t="s">
        <v>36</v>
      </c>
      <c r="I3170" t="s">
        <v>37</v>
      </c>
      <c r="J3170">
        <v>48</v>
      </c>
      <c r="K3170">
        <v>1791.38</v>
      </c>
      <c r="L3170">
        <v>85986.4</v>
      </c>
      <c r="M3170">
        <v>56934.96</v>
      </c>
      <c r="N3170">
        <v>7530.19</v>
      </c>
      <c r="O3170">
        <v>3242.56</v>
      </c>
      <c r="P3170">
        <v>1944.4</v>
      </c>
      <c r="Q3170">
        <v>1232.94</v>
      </c>
      <c r="R3170">
        <v>5509.52</v>
      </c>
      <c r="S3170">
        <v>2021.5</v>
      </c>
      <c r="T3170">
        <v>78416.070000000007</v>
      </c>
      <c r="U3170">
        <v>29051.439999999999</v>
      </c>
      <c r="V3170">
        <v>7570.33</v>
      </c>
      <c r="W3170">
        <v>7125.25</v>
      </c>
      <c r="X3170">
        <v>85647.29</v>
      </c>
      <c r="Y3170">
        <v>76075.7</v>
      </c>
    </row>
    <row r="3171" spans="1:25" x14ac:dyDescent="0.25">
      <c r="A3171" t="s">
        <v>3227</v>
      </c>
      <c r="B3171" s="1">
        <v>45812</v>
      </c>
      <c r="C3171">
        <v>2025</v>
      </c>
      <c r="D3171">
        <v>6</v>
      </c>
      <c r="E3171" t="s">
        <v>585</v>
      </c>
      <c r="F3171" t="s">
        <v>358</v>
      </c>
      <c r="G3171" t="s">
        <v>35</v>
      </c>
      <c r="H3171" t="s">
        <v>36</v>
      </c>
      <c r="I3171" t="s">
        <v>39</v>
      </c>
      <c r="J3171">
        <v>32</v>
      </c>
      <c r="K3171">
        <v>1052.45</v>
      </c>
      <c r="L3171">
        <v>33678.31</v>
      </c>
      <c r="M3171">
        <v>16319.71</v>
      </c>
      <c r="N3171">
        <v>3844.26</v>
      </c>
      <c r="O3171">
        <v>1949.43</v>
      </c>
      <c r="P3171">
        <v>840.18</v>
      </c>
      <c r="Q3171">
        <v>378.51</v>
      </c>
      <c r="R3171">
        <v>2153.2600000000002</v>
      </c>
      <c r="S3171">
        <v>561.11</v>
      </c>
      <c r="T3171">
        <v>26046.46</v>
      </c>
      <c r="U3171">
        <v>17358.599999999999</v>
      </c>
      <c r="V3171">
        <v>7631.84</v>
      </c>
      <c r="W3171">
        <v>7709.16</v>
      </c>
      <c r="X3171">
        <v>35803.379999999997</v>
      </c>
      <c r="Y3171">
        <v>27441.41</v>
      </c>
    </row>
    <row r="3172" spans="1:25" x14ac:dyDescent="0.25">
      <c r="A3172" t="s">
        <v>3228</v>
      </c>
      <c r="B3172" s="1">
        <v>45813</v>
      </c>
      <c r="C3172">
        <v>2025</v>
      </c>
      <c r="D3172">
        <v>6</v>
      </c>
      <c r="E3172" t="s">
        <v>585</v>
      </c>
      <c r="F3172" t="s">
        <v>358</v>
      </c>
      <c r="G3172" t="s">
        <v>35</v>
      </c>
      <c r="H3172" t="s">
        <v>32</v>
      </c>
      <c r="I3172" t="s">
        <v>45</v>
      </c>
      <c r="J3172">
        <v>54</v>
      </c>
      <c r="K3172">
        <v>1036.5899999999999</v>
      </c>
      <c r="L3172">
        <v>55976.02</v>
      </c>
      <c r="M3172">
        <v>28099.23</v>
      </c>
      <c r="N3172">
        <v>4615.49</v>
      </c>
      <c r="O3172">
        <v>2727.29</v>
      </c>
      <c r="P3172">
        <v>970.02</v>
      </c>
      <c r="Q3172">
        <v>525.15</v>
      </c>
      <c r="R3172">
        <v>2301.04</v>
      </c>
      <c r="S3172">
        <v>1270.22</v>
      </c>
      <c r="T3172">
        <v>40508.44</v>
      </c>
      <c r="U3172">
        <v>27876.79</v>
      </c>
      <c r="V3172">
        <v>15467.58</v>
      </c>
      <c r="W3172">
        <v>13914.09</v>
      </c>
      <c r="X3172">
        <v>54945.18</v>
      </c>
      <c r="Y3172">
        <v>42973.9</v>
      </c>
    </row>
    <row r="3173" spans="1:25" x14ac:dyDescent="0.25">
      <c r="A3173" t="s">
        <v>3229</v>
      </c>
      <c r="B3173" s="1">
        <v>45813</v>
      </c>
      <c r="C3173">
        <v>2025</v>
      </c>
      <c r="D3173">
        <v>6</v>
      </c>
      <c r="E3173" t="s">
        <v>585</v>
      </c>
      <c r="F3173" t="s">
        <v>358</v>
      </c>
      <c r="G3173" t="s">
        <v>44</v>
      </c>
      <c r="H3173" t="s">
        <v>36</v>
      </c>
      <c r="I3173" t="s">
        <v>30</v>
      </c>
      <c r="J3173">
        <v>44</v>
      </c>
      <c r="K3173">
        <v>1491.03</v>
      </c>
      <c r="L3173">
        <v>65605.22</v>
      </c>
      <c r="M3173">
        <v>36246.51</v>
      </c>
      <c r="N3173">
        <v>5844.99</v>
      </c>
      <c r="O3173">
        <v>3648.05</v>
      </c>
      <c r="P3173">
        <v>1873.62</v>
      </c>
      <c r="Q3173">
        <v>893.32</v>
      </c>
      <c r="R3173">
        <v>3985.55</v>
      </c>
      <c r="S3173">
        <v>830.38</v>
      </c>
      <c r="T3173">
        <v>53322.41</v>
      </c>
      <c r="U3173">
        <v>29358.71</v>
      </c>
      <c r="V3173">
        <v>12282.81</v>
      </c>
      <c r="W3173">
        <v>11251.91</v>
      </c>
      <c r="X3173">
        <v>72918.77</v>
      </c>
      <c r="Y3173">
        <v>58492.86</v>
      </c>
    </row>
    <row r="3174" spans="1:25" x14ac:dyDescent="0.25">
      <c r="A3174" t="s">
        <v>3230</v>
      </c>
      <c r="B3174" s="1">
        <v>45813</v>
      </c>
      <c r="C3174">
        <v>2025</v>
      </c>
      <c r="D3174">
        <v>6</v>
      </c>
      <c r="E3174" t="s">
        <v>585</v>
      </c>
      <c r="F3174" t="s">
        <v>358</v>
      </c>
      <c r="G3174" t="s">
        <v>55</v>
      </c>
      <c r="H3174" t="s">
        <v>32</v>
      </c>
      <c r="I3174" t="s">
        <v>39</v>
      </c>
      <c r="J3174">
        <v>35</v>
      </c>
      <c r="K3174">
        <v>1588.62</v>
      </c>
      <c r="L3174">
        <v>55601.86</v>
      </c>
      <c r="M3174">
        <v>33825.800000000003</v>
      </c>
      <c r="N3174">
        <v>4990.0200000000004</v>
      </c>
      <c r="O3174">
        <v>2202.94</v>
      </c>
      <c r="P3174">
        <v>892.16</v>
      </c>
      <c r="Q3174">
        <v>851.11</v>
      </c>
      <c r="R3174">
        <v>1973.38</v>
      </c>
      <c r="S3174">
        <v>917.19</v>
      </c>
      <c r="T3174">
        <v>45652.61</v>
      </c>
      <c r="U3174">
        <v>21776.07</v>
      </c>
      <c r="V3174">
        <v>9949.25</v>
      </c>
      <c r="W3174">
        <v>10017.33</v>
      </c>
      <c r="X3174">
        <v>60531.25</v>
      </c>
      <c r="Y3174">
        <v>46171.519999999997</v>
      </c>
    </row>
    <row r="3175" spans="1:25" x14ac:dyDescent="0.25">
      <c r="A3175" t="s">
        <v>3231</v>
      </c>
      <c r="B3175" s="1">
        <v>45813</v>
      </c>
      <c r="C3175">
        <v>2025</v>
      </c>
      <c r="D3175">
        <v>6</v>
      </c>
      <c r="E3175" t="s">
        <v>585</v>
      </c>
      <c r="F3175" t="s">
        <v>358</v>
      </c>
      <c r="G3175" t="s">
        <v>44</v>
      </c>
      <c r="H3175" t="s">
        <v>53</v>
      </c>
      <c r="I3175" t="s">
        <v>45</v>
      </c>
      <c r="J3175">
        <v>19</v>
      </c>
      <c r="K3175">
        <v>1658.55</v>
      </c>
      <c r="L3175">
        <v>31512.52</v>
      </c>
      <c r="M3175">
        <v>18913.02</v>
      </c>
      <c r="N3175">
        <v>3806.03</v>
      </c>
      <c r="O3175">
        <v>916.76</v>
      </c>
      <c r="P3175">
        <v>1014.94</v>
      </c>
      <c r="Q3175">
        <v>402.53</v>
      </c>
      <c r="R3175">
        <v>1048.8</v>
      </c>
      <c r="S3175">
        <v>310.97000000000003</v>
      </c>
      <c r="T3175">
        <v>26413.06</v>
      </c>
      <c r="U3175">
        <v>12599.49</v>
      </c>
      <c r="V3175">
        <v>5099.46</v>
      </c>
      <c r="W3175">
        <v>5034.2</v>
      </c>
      <c r="X3175">
        <v>29322.93</v>
      </c>
      <c r="Y3175">
        <v>24584.7</v>
      </c>
    </row>
    <row r="3176" spans="1:25" x14ac:dyDescent="0.25">
      <c r="A3176" t="s">
        <v>3232</v>
      </c>
      <c r="B3176" s="1">
        <v>45813</v>
      </c>
      <c r="C3176">
        <v>2025</v>
      </c>
      <c r="D3176">
        <v>6</v>
      </c>
      <c r="E3176" t="s">
        <v>585</v>
      </c>
      <c r="F3176" t="s">
        <v>358</v>
      </c>
      <c r="G3176" t="s">
        <v>35</v>
      </c>
      <c r="H3176" t="s">
        <v>32</v>
      </c>
      <c r="I3176" t="s">
        <v>33</v>
      </c>
      <c r="J3176">
        <v>37</v>
      </c>
      <c r="K3176">
        <v>1640.96</v>
      </c>
      <c r="L3176">
        <v>60715.45</v>
      </c>
      <c r="M3176">
        <v>38886.47</v>
      </c>
      <c r="N3176">
        <v>6200.7</v>
      </c>
      <c r="O3176">
        <v>4067.75</v>
      </c>
      <c r="P3176">
        <v>1435.99</v>
      </c>
      <c r="Q3176">
        <v>674.27</v>
      </c>
      <c r="R3176">
        <v>1941.11</v>
      </c>
      <c r="S3176">
        <v>1215.33</v>
      </c>
      <c r="T3176">
        <v>54421.61</v>
      </c>
      <c r="U3176">
        <v>21828.98</v>
      </c>
      <c r="V3176">
        <v>6293.83</v>
      </c>
      <c r="W3176">
        <v>6139.88</v>
      </c>
      <c r="X3176">
        <v>63781.25</v>
      </c>
      <c r="Y3176">
        <v>57831.53</v>
      </c>
    </row>
    <row r="3177" spans="1:25" x14ac:dyDescent="0.25">
      <c r="A3177" t="s">
        <v>3233</v>
      </c>
      <c r="B3177" s="1">
        <v>45814</v>
      </c>
      <c r="C3177">
        <v>2025</v>
      </c>
      <c r="D3177">
        <v>6</v>
      </c>
      <c r="E3177" t="s">
        <v>585</v>
      </c>
      <c r="F3177" t="s">
        <v>358</v>
      </c>
      <c r="G3177" t="s">
        <v>28</v>
      </c>
      <c r="H3177" t="s">
        <v>32</v>
      </c>
      <c r="I3177" t="s">
        <v>33</v>
      </c>
      <c r="J3177">
        <v>108</v>
      </c>
      <c r="K3177">
        <v>1030.18</v>
      </c>
      <c r="L3177">
        <v>111258.95</v>
      </c>
      <c r="M3177">
        <v>56774.77</v>
      </c>
      <c r="N3177">
        <v>11186.02</v>
      </c>
      <c r="O3177">
        <v>7270.71</v>
      </c>
      <c r="P3177">
        <v>2430.7199999999998</v>
      </c>
      <c r="Q3177">
        <v>1548</v>
      </c>
      <c r="R3177">
        <v>2829.03</v>
      </c>
      <c r="S3177">
        <v>2465.71</v>
      </c>
      <c r="T3177">
        <v>84504.95</v>
      </c>
      <c r="U3177">
        <v>54484.18</v>
      </c>
      <c r="V3177">
        <v>26754</v>
      </c>
      <c r="W3177">
        <v>25061.37</v>
      </c>
      <c r="X3177">
        <v>109954.6</v>
      </c>
      <c r="Y3177">
        <v>81835.210000000006</v>
      </c>
    </row>
    <row r="3178" spans="1:25" x14ac:dyDescent="0.25">
      <c r="A3178" t="s">
        <v>3234</v>
      </c>
      <c r="B3178" s="1">
        <v>45814</v>
      </c>
      <c r="C3178">
        <v>2025</v>
      </c>
      <c r="D3178">
        <v>6</v>
      </c>
      <c r="E3178" t="s">
        <v>585</v>
      </c>
      <c r="F3178" t="s">
        <v>358</v>
      </c>
      <c r="G3178" t="s">
        <v>35</v>
      </c>
      <c r="H3178" t="s">
        <v>36</v>
      </c>
      <c r="I3178" t="s">
        <v>56</v>
      </c>
      <c r="J3178">
        <v>22</v>
      </c>
      <c r="K3178">
        <v>1431.58</v>
      </c>
      <c r="L3178">
        <v>31494.76</v>
      </c>
      <c r="M3178">
        <v>18267.41</v>
      </c>
      <c r="N3178">
        <v>3348.53</v>
      </c>
      <c r="O3178">
        <v>1903.24</v>
      </c>
      <c r="P3178">
        <v>711.16</v>
      </c>
      <c r="Q3178">
        <v>558.64</v>
      </c>
      <c r="R3178">
        <v>1041.22</v>
      </c>
      <c r="S3178">
        <v>718.98</v>
      </c>
      <c r="T3178">
        <v>26549.17</v>
      </c>
      <c r="U3178">
        <v>13227.35</v>
      </c>
      <c r="V3178">
        <v>4945.6000000000004</v>
      </c>
      <c r="W3178">
        <v>4403.97</v>
      </c>
      <c r="X3178">
        <v>32965.870000000003</v>
      </c>
      <c r="Y3178">
        <v>26902.36</v>
      </c>
    </row>
    <row r="3179" spans="1:25" x14ac:dyDescent="0.25">
      <c r="A3179" t="s">
        <v>3235</v>
      </c>
      <c r="B3179" s="1">
        <v>45814</v>
      </c>
      <c r="C3179">
        <v>2025</v>
      </c>
      <c r="D3179">
        <v>6</v>
      </c>
      <c r="E3179" t="s">
        <v>585</v>
      </c>
      <c r="F3179" t="s">
        <v>358</v>
      </c>
      <c r="G3179" t="s">
        <v>28</v>
      </c>
      <c r="H3179" t="s">
        <v>36</v>
      </c>
      <c r="I3179" t="s">
        <v>50</v>
      </c>
      <c r="J3179">
        <v>24</v>
      </c>
      <c r="K3179">
        <v>1662.62</v>
      </c>
      <c r="L3179">
        <v>39902.980000000003</v>
      </c>
      <c r="M3179">
        <v>23613.87</v>
      </c>
      <c r="N3179">
        <v>4758.67</v>
      </c>
      <c r="O3179">
        <v>2162.02</v>
      </c>
      <c r="P3179">
        <v>1657.43</v>
      </c>
      <c r="Q3179">
        <v>612.04</v>
      </c>
      <c r="R3179">
        <v>1304.19</v>
      </c>
      <c r="S3179">
        <v>993.46</v>
      </c>
      <c r="T3179">
        <v>35101.67</v>
      </c>
      <c r="U3179">
        <v>16289.12</v>
      </c>
      <c r="V3179">
        <v>4801.3100000000004</v>
      </c>
      <c r="W3179">
        <v>4471.8599999999997</v>
      </c>
      <c r="X3179">
        <v>42678.23</v>
      </c>
      <c r="Y3179">
        <v>35615.230000000003</v>
      </c>
    </row>
    <row r="3180" spans="1:25" x14ac:dyDescent="0.25">
      <c r="A3180" t="s">
        <v>3236</v>
      </c>
      <c r="B3180" s="1">
        <v>45814</v>
      </c>
      <c r="C3180">
        <v>2025</v>
      </c>
      <c r="D3180">
        <v>6</v>
      </c>
      <c r="E3180" t="s">
        <v>585</v>
      </c>
      <c r="F3180" t="s">
        <v>358</v>
      </c>
      <c r="G3180" t="s">
        <v>28</v>
      </c>
      <c r="H3180" t="s">
        <v>32</v>
      </c>
      <c r="I3180" t="s">
        <v>37</v>
      </c>
      <c r="J3180">
        <v>43</v>
      </c>
      <c r="K3180">
        <v>1520.03</v>
      </c>
      <c r="L3180">
        <v>65361.14</v>
      </c>
      <c r="M3180">
        <v>35978.43</v>
      </c>
      <c r="N3180">
        <v>6086.65</v>
      </c>
      <c r="O3180">
        <v>3077.21</v>
      </c>
      <c r="P3180">
        <v>2206.63</v>
      </c>
      <c r="Q3180">
        <v>977.91</v>
      </c>
      <c r="R3180">
        <v>2884.56</v>
      </c>
      <c r="S3180">
        <v>1272.3900000000001</v>
      </c>
      <c r="T3180">
        <v>52483.79</v>
      </c>
      <c r="U3180">
        <v>29382.71</v>
      </c>
      <c r="V3180">
        <v>12877.35</v>
      </c>
      <c r="W3180">
        <v>12782.56</v>
      </c>
      <c r="X3180">
        <v>73050.83</v>
      </c>
      <c r="Y3180">
        <v>48863.82</v>
      </c>
    </row>
    <row r="3181" spans="1:25" x14ac:dyDescent="0.25">
      <c r="A3181" t="s">
        <v>3237</v>
      </c>
      <c r="B3181" s="1">
        <v>45814</v>
      </c>
      <c r="C3181">
        <v>2025</v>
      </c>
      <c r="D3181">
        <v>6</v>
      </c>
      <c r="E3181" t="s">
        <v>585</v>
      </c>
      <c r="F3181" t="s">
        <v>358</v>
      </c>
      <c r="G3181" t="s">
        <v>55</v>
      </c>
      <c r="H3181" t="s">
        <v>53</v>
      </c>
      <c r="I3181" t="s">
        <v>37</v>
      </c>
      <c r="J3181">
        <v>39</v>
      </c>
      <c r="K3181">
        <v>1550.3</v>
      </c>
      <c r="L3181">
        <v>60461.57</v>
      </c>
      <c r="M3181">
        <v>38822.22</v>
      </c>
      <c r="N3181">
        <v>7544.65</v>
      </c>
      <c r="O3181">
        <v>2784.77</v>
      </c>
      <c r="P3181">
        <v>918.89</v>
      </c>
      <c r="Q3181">
        <v>805.95</v>
      </c>
      <c r="R3181">
        <v>3470.85</v>
      </c>
      <c r="S3181">
        <v>1372.6</v>
      </c>
      <c r="T3181">
        <v>55719.93</v>
      </c>
      <c r="U3181">
        <v>21639.35</v>
      </c>
      <c r="V3181">
        <v>4741.6400000000003</v>
      </c>
      <c r="W3181">
        <v>4833.2</v>
      </c>
      <c r="X3181">
        <v>66912.75</v>
      </c>
      <c r="Y3181">
        <v>60893.08</v>
      </c>
    </row>
    <row r="3182" spans="1:25" x14ac:dyDescent="0.25">
      <c r="A3182" t="s">
        <v>3238</v>
      </c>
      <c r="B3182" s="1">
        <v>45815</v>
      </c>
      <c r="C3182">
        <v>2025</v>
      </c>
      <c r="D3182">
        <v>6</v>
      </c>
      <c r="E3182" t="s">
        <v>585</v>
      </c>
      <c r="F3182" t="s">
        <v>358</v>
      </c>
      <c r="G3182" t="s">
        <v>44</v>
      </c>
      <c r="H3182" t="s">
        <v>29</v>
      </c>
      <c r="I3182" t="s">
        <v>33</v>
      </c>
      <c r="J3182">
        <v>49</v>
      </c>
      <c r="K3182">
        <v>1521.7</v>
      </c>
      <c r="L3182">
        <v>74563.100000000006</v>
      </c>
      <c r="M3182">
        <v>38981.85</v>
      </c>
      <c r="N3182">
        <v>7511.6</v>
      </c>
      <c r="O3182">
        <v>4593.7700000000004</v>
      </c>
      <c r="P3182">
        <v>1858.88</v>
      </c>
      <c r="Q3182">
        <v>1302.54</v>
      </c>
      <c r="R3182">
        <v>2360.9699999999998</v>
      </c>
      <c r="S3182">
        <v>1415.96</v>
      </c>
      <c r="T3182">
        <v>58025.57</v>
      </c>
      <c r="U3182">
        <v>35581.24</v>
      </c>
      <c r="V3182">
        <v>16537.52</v>
      </c>
      <c r="W3182">
        <v>16694.7</v>
      </c>
      <c r="X3182">
        <v>82643.09</v>
      </c>
      <c r="Y3182">
        <v>55519.03</v>
      </c>
    </row>
    <row r="3183" spans="1:25" x14ac:dyDescent="0.25">
      <c r="A3183" t="s">
        <v>3239</v>
      </c>
      <c r="B3183" s="1">
        <v>45815</v>
      </c>
      <c r="C3183">
        <v>2025</v>
      </c>
      <c r="D3183">
        <v>6</v>
      </c>
      <c r="E3183" t="s">
        <v>585</v>
      </c>
      <c r="F3183" t="s">
        <v>358</v>
      </c>
      <c r="G3183" t="s">
        <v>35</v>
      </c>
      <c r="H3183" t="s">
        <v>58</v>
      </c>
      <c r="I3183" t="s">
        <v>65</v>
      </c>
      <c r="J3183">
        <v>23</v>
      </c>
      <c r="K3183">
        <v>1784.98</v>
      </c>
      <c r="L3183">
        <v>41054.639999999999</v>
      </c>
      <c r="M3183">
        <v>21819.7</v>
      </c>
      <c r="N3183">
        <v>5102.33</v>
      </c>
      <c r="O3183">
        <v>2026.92</v>
      </c>
      <c r="P3183">
        <v>1666.71</v>
      </c>
      <c r="Q3183">
        <v>665.17</v>
      </c>
      <c r="R3183">
        <v>2324.21</v>
      </c>
      <c r="S3183">
        <v>693.34</v>
      </c>
      <c r="T3183">
        <v>34298.39</v>
      </c>
      <c r="U3183">
        <v>19234.939999999999</v>
      </c>
      <c r="V3183">
        <v>6756.25</v>
      </c>
      <c r="W3183">
        <v>6220.22</v>
      </c>
      <c r="X3183">
        <v>38584.67</v>
      </c>
      <c r="Y3183">
        <v>32311.93</v>
      </c>
    </row>
    <row r="3184" spans="1:25" x14ac:dyDescent="0.25">
      <c r="A3184" t="s">
        <v>3240</v>
      </c>
      <c r="B3184" s="1">
        <v>45815</v>
      </c>
      <c r="C3184">
        <v>2025</v>
      </c>
      <c r="D3184">
        <v>6</v>
      </c>
      <c r="E3184" t="s">
        <v>585</v>
      </c>
      <c r="F3184" t="s">
        <v>358</v>
      </c>
      <c r="G3184" t="s">
        <v>55</v>
      </c>
      <c r="H3184" t="s">
        <v>36</v>
      </c>
      <c r="I3184" t="s">
        <v>56</v>
      </c>
      <c r="J3184">
        <v>50</v>
      </c>
      <c r="K3184">
        <v>845.51</v>
      </c>
      <c r="L3184">
        <v>42275.46</v>
      </c>
      <c r="M3184">
        <v>27116.18</v>
      </c>
      <c r="N3184">
        <v>4711.04</v>
      </c>
      <c r="O3184">
        <v>3100.52</v>
      </c>
      <c r="P3184">
        <v>730.75</v>
      </c>
      <c r="Q3184">
        <v>591.74</v>
      </c>
      <c r="R3184">
        <v>1615.29</v>
      </c>
      <c r="S3184">
        <v>434.04</v>
      </c>
      <c r="T3184">
        <v>38299.54</v>
      </c>
      <c r="U3184">
        <v>15159.28</v>
      </c>
      <c r="V3184">
        <v>3975.92</v>
      </c>
      <c r="W3184">
        <v>3552.84</v>
      </c>
      <c r="X3184">
        <v>46528.4</v>
      </c>
      <c r="Y3184">
        <v>37077.79</v>
      </c>
    </row>
    <row r="3185" spans="1:25" x14ac:dyDescent="0.25">
      <c r="A3185" t="s">
        <v>3241</v>
      </c>
      <c r="B3185" s="1">
        <v>45815</v>
      </c>
      <c r="C3185">
        <v>2025</v>
      </c>
      <c r="D3185">
        <v>6</v>
      </c>
      <c r="E3185" t="s">
        <v>585</v>
      </c>
      <c r="F3185" t="s">
        <v>358</v>
      </c>
      <c r="G3185" t="s">
        <v>55</v>
      </c>
      <c r="H3185" t="s">
        <v>32</v>
      </c>
      <c r="I3185" t="s">
        <v>56</v>
      </c>
      <c r="J3185">
        <v>34</v>
      </c>
      <c r="K3185">
        <v>1279.8</v>
      </c>
      <c r="L3185">
        <v>43513.17</v>
      </c>
      <c r="M3185">
        <v>24638.37</v>
      </c>
      <c r="N3185">
        <v>5431.02</v>
      </c>
      <c r="O3185">
        <v>2233.75</v>
      </c>
      <c r="P3185">
        <v>1689.79</v>
      </c>
      <c r="Q3185">
        <v>380.56</v>
      </c>
      <c r="R3185">
        <v>2267.35</v>
      </c>
      <c r="S3185">
        <v>1044.68</v>
      </c>
      <c r="T3185">
        <v>37685.519999999997</v>
      </c>
      <c r="U3185">
        <v>18874.8</v>
      </c>
      <c r="V3185">
        <v>5827.65</v>
      </c>
      <c r="W3185">
        <v>5741.13</v>
      </c>
      <c r="X3185">
        <v>45994.32</v>
      </c>
      <c r="Y3185">
        <v>36633.86</v>
      </c>
    </row>
    <row r="3186" spans="1:25" x14ac:dyDescent="0.25">
      <c r="A3186" t="s">
        <v>3242</v>
      </c>
      <c r="B3186" s="1">
        <v>45817</v>
      </c>
      <c r="C3186">
        <v>2025</v>
      </c>
      <c r="D3186">
        <v>6</v>
      </c>
      <c r="E3186" t="s">
        <v>585</v>
      </c>
      <c r="F3186" t="s">
        <v>358</v>
      </c>
      <c r="G3186" t="s">
        <v>44</v>
      </c>
      <c r="H3186" t="s">
        <v>32</v>
      </c>
      <c r="I3186" t="s">
        <v>45</v>
      </c>
      <c r="J3186">
        <v>68</v>
      </c>
      <c r="K3186">
        <v>873.52</v>
      </c>
      <c r="L3186">
        <v>59399.6</v>
      </c>
      <c r="M3186">
        <v>34679.480000000003</v>
      </c>
      <c r="N3186">
        <v>5145.1099999999997</v>
      </c>
      <c r="O3186">
        <v>3103.14</v>
      </c>
      <c r="P3186">
        <v>1480.46</v>
      </c>
      <c r="Q3186">
        <v>931.84</v>
      </c>
      <c r="R3186">
        <v>3204.34</v>
      </c>
      <c r="S3186">
        <v>1298.6400000000001</v>
      </c>
      <c r="T3186">
        <v>49843.02</v>
      </c>
      <c r="U3186">
        <v>24720.12</v>
      </c>
      <c r="V3186">
        <v>9556.58</v>
      </c>
      <c r="W3186">
        <v>9731.7800000000007</v>
      </c>
      <c r="X3186">
        <v>63151.9</v>
      </c>
      <c r="Y3186">
        <v>47521.59</v>
      </c>
    </row>
    <row r="3187" spans="1:25" x14ac:dyDescent="0.25">
      <c r="A3187" t="s">
        <v>3243</v>
      </c>
      <c r="B3187" s="1">
        <v>45817</v>
      </c>
      <c r="C3187">
        <v>2025</v>
      </c>
      <c r="D3187">
        <v>6</v>
      </c>
      <c r="E3187" t="s">
        <v>585</v>
      </c>
      <c r="F3187" t="s">
        <v>358</v>
      </c>
      <c r="G3187" t="s">
        <v>44</v>
      </c>
      <c r="H3187" t="s">
        <v>36</v>
      </c>
      <c r="I3187" t="s">
        <v>56</v>
      </c>
      <c r="J3187">
        <v>36</v>
      </c>
      <c r="K3187">
        <v>1027.47</v>
      </c>
      <c r="L3187">
        <v>36989.03</v>
      </c>
      <c r="M3187">
        <v>19618.919999999998</v>
      </c>
      <c r="N3187">
        <v>2838.34</v>
      </c>
      <c r="O3187">
        <v>2746.67</v>
      </c>
      <c r="P3187">
        <v>1311.19</v>
      </c>
      <c r="Q3187">
        <v>341.93</v>
      </c>
      <c r="R3187">
        <v>1303.3499999999999</v>
      </c>
      <c r="S3187">
        <v>665.1</v>
      </c>
      <c r="T3187">
        <v>28825.51</v>
      </c>
      <c r="U3187">
        <v>17370.11</v>
      </c>
      <c r="V3187">
        <v>8163.52</v>
      </c>
      <c r="W3187">
        <v>7382.47</v>
      </c>
      <c r="X3187">
        <v>39106.910000000003</v>
      </c>
      <c r="Y3187">
        <v>30504.35</v>
      </c>
    </row>
    <row r="3188" spans="1:25" x14ac:dyDescent="0.25">
      <c r="A3188" t="s">
        <v>3244</v>
      </c>
      <c r="B3188" s="1">
        <v>45817</v>
      </c>
      <c r="C3188">
        <v>2025</v>
      </c>
      <c r="D3188">
        <v>6</v>
      </c>
      <c r="E3188" t="s">
        <v>585</v>
      </c>
      <c r="F3188" t="s">
        <v>358</v>
      </c>
      <c r="G3188" t="s">
        <v>44</v>
      </c>
      <c r="H3188" t="s">
        <v>53</v>
      </c>
      <c r="I3188" t="s">
        <v>39</v>
      </c>
      <c r="J3188">
        <v>24</v>
      </c>
      <c r="K3188">
        <v>1689.49</v>
      </c>
      <c r="L3188">
        <v>40547.74</v>
      </c>
      <c r="M3188">
        <v>22894.42</v>
      </c>
      <c r="N3188">
        <v>3052.1</v>
      </c>
      <c r="O3188">
        <v>2174.92</v>
      </c>
      <c r="P3188">
        <v>1239.43</v>
      </c>
      <c r="Q3188">
        <v>474.67</v>
      </c>
      <c r="R3188">
        <v>1220.44</v>
      </c>
      <c r="S3188">
        <v>560.77</v>
      </c>
      <c r="T3188">
        <v>31616.75</v>
      </c>
      <c r="U3188">
        <v>17653.32</v>
      </c>
      <c r="V3188">
        <v>8930.99</v>
      </c>
      <c r="W3188">
        <v>8716.49</v>
      </c>
      <c r="X3188">
        <v>42970.57</v>
      </c>
      <c r="Y3188">
        <v>30139.31</v>
      </c>
    </row>
    <row r="3189" spans="1:25" x14ac:dyDescent="0.25">
      <c r="A3189" t="s">
        <v>3245</v>
      </c>
      <c r="B3189" s="1">
        <v>45817</v>
      </c>
      <c r="C3189">
        <v>2025</v>
      </c>
      <c r="D3189">
        <v>6</v>
      </c>
      <c r="E3189" t="s">
        <v>585</v>
      </c>
      <c r="F3189" t="s">
        <v>358</v>
      </c>
      <c r="G3189" t="s">
        <v>35</v>
      </c>
      <c r="H3189" t="s">
        <v>32</v>
      </c>
      <c r="I3189" t="s">
        <v>39</v>
      </c>
      <c r="J3189">
        <v>41</v>
      </c>
      <c r="K3189">
        <v>1057.99</v>
      </c>
      <c r="L3189">
        <v>43377.78</v>
      </c>
      <c r="M3189">
        <v>23225.7</v>
      </c>
      <c r="N3189">
        <v>4775.37</v>
      </c>
      <c r="O3189">
        <v>2286.25</v>
      </c>
      <c r="P3189">
        <v>1587.56</v>
      </c>
      <c r="Q3189">
        <v>381.35</v>
      </c>
      <c r="R3189">
        <v>1244.1400000000001</v>
      </c>
      <c r="S3189">
        <v>1039.4100000000001</v>
      </c>
      <c r="T3189">
        <v>34539.78</v>
      </c>
      <c r="U3189">
        <v>20152.080000000002</v>
      </c>
      <c r="V3189">
        <v>8838</v>
      </c>
      <c r="W3189">
        <v>8386.42</v>
      </c>
      <c r="X3189">
        <v>45253.89</v>
      </c>
      <c r="Y3189">
        <v>36069.82</v>
      </c>
    </row>
    <row r="3190" spans="1:25" x14ac:dyDescent="0.25">
      <c r="A3190" t="s">
        <v>3246</v>
      </c>
      <c r="B3190" s="1">
        <v>45817</v>
      </c>
      <c r="C3190">
        <v>2025</v>
      </c>
      <c r="D3190">
        <v>6</v>
      </c>
      <c r="E3190" t="s">
        <v>585</v>
      </c>
      <c r="F3190" t="s">
        <v>358</v>
      </c>
      <c r="G3190" t="s">
        <v>55</v>
      </c>
      <c r="H3190" t="s">
        <v>53</v>
      </c>
      <c r="I3190" t="s">
        <v>39</v>
      </c>
      <c r="J3190">
        <v>29</v>
      </c>
      <c r="K3190">
        <v>1355.53</v>
      </c>
      <c r="L3190">
        <v>39310.35</v>
      </c>
      <c r="M3190">
        <v>20978.15</v>
      </c>
      <c r="N3190">
        <v>3030.06</v>
      </c>
      <c r="O3190">
        <v>2526.71</v>
      </c>
      <c r="P3190">
        <v>1711.94</v>
      </c>
      <c r="Q3190">
        <v>295.89999999999998</v>
      </c>
      <c r="R3190">
        <v>1795.13</v>
      </c>
      <c r="S3190">
        <v>481.16</v>
      </c>
      <c r="T3190">
        <v>30819.05</v>
      </c>
      <c r="U3190">
        <v>18332.189999999999</v>
      </c>
      <c r="V3190">
        <v>8491.2999999999993</v>
      </c>
      <c r="W3190">
        <v>7916.77</v>
      </c>
      <c r="X3190">
        <v>43326.02</v>
      </c>
      <c r="Y3190">
        <v>33713.519999999997</v>
      </c>
    </row>
    <row r="3191" spans="1:25" x14ac:dyDescent="0.25">
      <c r="A3191" t="s">
        <v>3247</v>
      </c>
      <c r="B3191" s="1">
        <v>45817</v>
      </c>
      <c r="C3191">
        <v>2025</v>
      </c>
      <c r="D3191">
        <v>6</v>
      </c>
      <c r="E3191" t="s">
        <v>585</v>
      </c>
      <c r="F3191" t="s">
        <v>358</v>
      </c>
      <c r="G3191" t="s">
        <v>44</v>
      </c>
      <c r="H3191" t="s">
        <v>32</v>
      </c>
      <c r="I3191" t="s">
        <v>45</v>
      </c>
      <c r="J3191">
        <v>37</v>
      </c>
      <c r="K3191">
        <v>1391.73</v>
      </c>
      <c r="L3191">
        <v>51493.91</v>
      </c>
      <c r="M3191">
        <v>32763.65</v>
      </c>
      <c r="N3191">
        <v>5109.28</v>
      </c>
      <c r="O3191">
        <v>1503.03</v>
      </c>
      <c r="P3191">
        <v>1262.29</v>
      </c>
      <c r="Q3191">
        <v>555.21</v>
      </c>
      <c r="R3191">
        <v>1405.36</v>
      </c>
      <c r="S3191">
        <v>1078.74</v>
      </c>
      <c r="T3191">
        <v>43677.55</v>
      </c>
      <c r="U3191">
        <v>18730.259999999998</v>
      </c>
      <c r="V3191">
        <v>7816.36</v>
      </c>
      <c r="W3191">
        <v>7903.6</v>
      </c>
      <c r="X3191">
        <v>50785.88</v>
      </c>
      <c r="Y3191">
        <v>45708.47</v>
      </c>
    </row>
    <row r="3192" spans="1:25" x14ac:dyDescent="0.25">
      <c r="A3192" t="s">
        <v>3248</v>
      </c>
      <c r="B3192" s="1">
        <v>45818</v>
      </c>
      <c r="C3192">
        <v>2025</v>
      </c>
      <c r="D3192">
        <v>6</v>
      </c>
      <c r="E3192" t="s">
        <v>585</v>
      </c>
      <c r="F3192" t="s">
        <v>358</v>
      </c>
      <c r="G3192" t="s">
        <v>35</v>
      </c>
      <c r="H3192" t="s">
        <v>32</v>
      </c>
      <c r="I3192" t="s">
        <v>30</v>
      </c>
      <c r="J3192">
        <v>86</v>
      </c>
      <c r="K3192">
        <v>1179.44</v>
      </c>
      <c r="L3192">
        <v>101432.06</v>
      </c>
      <c r="M3192">
        <v>51604.38</v>
      </c>
      <c r="N3192">
        <v>10639.27</v>
      </c>
      <c r="O3192">
        <v>7478.01</v>
      </c>
      <c r="P3192">
        <v>1982.12</v>
      </c>
      <c r="Q3192">
        <v>653.53</v>
      </c>
      <c r="R3192">
        <v>5824.61</v>
      </c>
      <c r="S3192">
        <v>1060.03</v>
      </c>
      <c r="T3192">
        <v>79241.94</v>
      </c>
      <c r="U3192">
        <v>49827.68</v>
      </c>
      <c r="V3192">
        <v>22190.12</v>
      </c>
      <c r="W3192">
        <v>20957.12</v>
      </c>
      <c r="X3192">
        <v>112436.33</v>
      </c>
      <c r="Y3192">
        <v>80188.899999999994</v>
      </c>
    </row>
    <row r="3193" spans="1:25" x14ac:dyDescent="0.25">
      <c r="A3193" t="s">
        <v>3249</v>
      </c>
      <c r="B3193" s="1">
        <v>45818</v>
      </c>
      <c r="C3193">
        <v>2025</v>
      </c>
      <c r="D3193">
        <v>6</v>
      </c>
      <c r="E3193" t="s">
        <v>585</v>
      </c>
      <c r="F3193" t="s">
        <v>358</v>
      </c>
      <c r="G3193" t="s">
        <v>55</v>
      </c>
      <c r="H3193" t="s">
        <v>32</v>
      </c>
      <c r="I3193" t="s">
        <v>39</v>
      </c>
      <c r="J3193">
        <v>84</v>
      </c>
      <c r="K3193">
        <v>811.32</v>
      </c>
      <c r="L3193">
        <v>68151.08</v>
      </c>
      <c r="M3193">
        <v>33732.720000000001</v>
      </c>
      <c r="N3193">
        <v>5656.68</v>
      </c>
      <c r="O3193">
        <v>3935.01</v>
      </c>
      <c r="P3193">
        <v>1983.79</v>
      </c>
      <c r="Q3193">
        <v>363.99</v>
      </c>
      <c r="R3193">
        <v>3231.06</v>
      </c>
      <c r="S3193">
        <v>639.62</v>
      </c>
      <c r="T3193">
        <v>49542.879999999997</v>
      </c>
      <c r="U3193">
        <v>34418.36</v>
      </c>
      <c r="V3193">
        <v>18608.2</v>
      </c>
      <c r="W3193">
        <v>17979.509999999998</v>
      </c>
      <c r="X3193">
        <v>75800.11</v>
      </c>
      <c r="Y3193">
        <v>51627.77</v>
      </c>
    </row>
    <row r="3194" spans="1:25" x14ac:dyDescent="0.25">
      <c r="A3194" t="s">
        <v>3250</v>
      </c>
      <c r="B3194" s="1">
        <v>45818</v>
      </c>
      <c r="C3194">
        <v>2025</v>
      </c>
      <c r="D3194">
        <v>6</v>
      </c>
      <c r="E3194" t="s">
        <v>585</v>
      </c>
      <c r="F3194" t="s">
        <v>358</v>
      </c>
      <c r="G3194" t="s">
        <v>55</v>
      </c>
      <c r="H3194" t="s">
        <v>53</v>
      </c>
      <c r="I3194" t="s">
        <v>50</v>
      </c>
      <c r="J3194">
        <v>42</v>
      </c>
      <c r="K3194">
        <v>1208.24</v>
      </c>
      <c r="L3194">
        <v>50745.89</v>
      </c>
      <c r="M3194">
        <v>29627.95</v>
      </c>
      <c r="N3194">
        <v>4683.93</v>
      </c>
      <c r="O3194">
        <v>1642.57</v>
      </c>
      <c r="P3194">
        <v>1805.65</v>
      </c>
      <c r="Q3194">
        <v>585.6</v>
      </c>
      <c r="R3194">
        <v>2432.6999999999998</v>
      </c>
      <c r="S3194">
        <v>466.09</v>
      </c>
      <c r="T3194">
        <v>41244.49</v>
      </c>
      <c r="U3194">
        <v>21117.93</v>
      </c>
      <c r="V3194">
        <v>9501.4</v>
      </c>
      <c r="W3194">
        <v>9129.5499999999993</v>
      </c>
      <c r="X3194">
        <v>52005.39</v>
      </c>
      <c r="Y3194">
        <v>42307.29</v>
      </c>
    </row>
    <row r="3195" spans="1:25" x14ac:dyDescent="0.25">
      <c r="A3195" t="s">
        <v>3251</v>
      </c>
      <c r="B3195" s="1">
        <v>45818</v>
      </c>
      <c r="C3195">
        <v>2025</v>
      </c>
      <c r="D3195">
        <v>6</v>
      </c>
      <c r="E3195" t="s">
        <v>585</v>
      </c>
      <c r="F3195" t="s">
        <v>358</v>
      </c>
      <c r="G3195" t="s">
        <v>35</v>
      </c>
      <c r="H3195" t="s">
        <v>32</v>
      </c>
      <c r="I3195" t="s">
        <v>45</v>
      </c>
      <c r="J3195">
        <v>33</v>
      </c>
      <c r="K3195">
        <v>1326.45</v>
      </c>
      <c r="L3195">
        <v>43772.89</v>
      </c>
      <c r="M3195">
        <v>29452.38</v>
      </c>
      <c r="N3195">
        <v>4926.8999999999996</v>
      </c>
      <c r="O3195">
        <v>2195.64</v>
      </c>
      <c r="P3195">
        <v>1655.79</v>
      </c>
      <c r="Q3195">
        <v>713.72</v>
      </c>
      <c r="R3195">
        <v>2412.9899999999998</v>
      </c>
      <c r="S3195">
        <v>513.23</v>
      </c>
      <c r="T3195">
        <v>41870.660000000003</v>
      </c>
      <c r="U3195">
        <v>14320.51</v>
      </c>
      <c r="V3195">
        <v>1902.23</v>
      </c>
      <c r="W3195">
        <v>1905.64</v>
      </c>
      <c r="X3195">
        <v>47381.91</v>
      </c>
      <c r="Y3195">
        <v>40144.730000000003</v>
      </c>
    </row>
    <row r="3196" spans="1:25" x14ac:dyDescent="0.25">
      <c r="A3196" t="s">
        <v>3252</v>
      </c>
      <c r="B3196" s="1">
        <v>45818</v>
      </c>
      <c r="C3196">
        <v>2025</v>
      </c>
      <c r="D3196">
        <v>6</v>
      </c>
      <c r="E3196" t="s">
        <v>585</v>
      </c>
      <c r="F3196" t="s">
        <v>358</v>
      </c>
      <c r="G3196" t="s">
        <v>55</v>
      </c>
      <c r="H3196" t="s">
        <v>36</v>
      </c>
      <c r="I3196" t="s">
        <v>39</v>
      </c>
      <c r="J3196">
        <v>36</v>
      </c>
      <c r="K3196">
        <v>1400.96</v>
      </c>
      <c r="L3196">
        <v>50434.62</v>
      </c>
      <c r="M3196">
        <v>31326.33</v>
      </c>
      <c r="N3196">
        <v>4864.54</v>
      </c>
      <c r="O3196">
        <v>3474.59</v>
      </c>
      <c r="P3196">
        <v>1899.41</v>
      </c>
      <c r="Q3196">
        <v>673.95</v>
      </c>
      <c r="R3196">
        <v>2992.1</v>
      </c>
      <c r="S3196">
        <v>626.88</v>
      </c>
      <c r="T3196">
        <v>45857.81</v>
      </c>
      <c r="U3196">
        <v>19108.29</v>
      </c>
      <c r="V3196">
        <v>4576.8100000000004</v>
      </c>
      <c r="W3196">
        <v>4443.66</v>
      </c>
      <c r="X3196">
        <v>46777.22</v>
      </c>
      <c r="Y3196">
        <v>49323.72</v>
      </c>
    </row>
    <row r="3197" spans="1:25" x14ac:dyDescent="0.25">
      <c r="A3197" t="s">
        <v>3253</v>
      </c>
      <c r="B3197" s="1">
        <v>45819</v>
      </c>
      <c r="C3197">
        <v>2025</v>
      </c>
      <c r="D3197">
        <v>6</v>
      </c>
      <c r="E3197" t="s">
        <v>585</v>
      </c>
      <c r="F3197" t="s">
        <v>358</v>
      </c>
      <c r="G3197" t="s">
        <v>55</v>
      </c>
      <c r="H3197" t="s">
        <v>32</v>
      </c>
      <c r="I3197" t="s">
        <v>39</v>
      </c>
      <c r="J3197">
        <v>41</v>
      </c>
      <c r="K3197">
        <v>1705.64</v>
      </c>
      <c r="L3197">
        <v>69931.34</v>
      </c>
      <c r="M3197">
        <v>35598.699999999997</v>
      </c>
      <c r="N3197">
        <v>5921.69</v>
      </c>
      <c r="O3197">
        <v>3339.73</v>
      </c>
      <c r="P3197">
        <v>1213.57</v>
      </c>
      <c r="Q3197">
        <v>895.17</v>
      </c>
      <c r="R3197">
        <v>3454.74</v>
      </c>
      <c r="S3197">
        <v>1220.55</v>
      </c>
      <c r="T3197">
        <v>51644.17</v>
      </c>
      <c r="U3197">
        <v>34332.629999999997</v>
      </c>
      <c r="V3197">
        <v>18287.169999999998</v>
      </c>
      <c r="W3197">
        <v>17800.23</v>
      </c>
      <c r="X3197">
        <v>69188.69</v>
      </c>
      <c r="Y3197">
        <v>51044.95</v>
      </c>
    </row>
    <row r="3198" spans="1:25" x14ac:dyDescent="0.25">
      <c r="A3198" t="s">
        <v>3254</v>
      </c>
      <c r="B3198" s="1">
        <v>45819</v>
      </c>
      <c r="C3198">
        <v>2025</v>
      </c>
      <c r="D3198">
        <v>6</v>
      </c>
      <c r="E3198" t="s">
        <v>585</v>
      </c>
      <c r="F3198" t="s">
        <v>358</v>
      </c>
      <c r="G3198" t="s">
        <v>55</v>
      </c>
      <c r="H3198" t="s">
        <v>58</v>
      </c>
      <c r="I3198" t="s">
        <v>56</v>
      </c>
      <c r="J3198">
        <v>21</v>
      </c>
      <c r="K3198">
        <v>1614.37</v>
      </c>
      <c r="L3198">
        <v>33901.730000000003</v>
      </c>
      <c r="M3198">
        <v>21602.91</v>
      </c>
      <c r="N3198">
        <v>3366.16</v>
      </c>
      <c r="O3198">
        <v>1542.92</v>
      </c>
      <c r="P3198">
        <v>622.66</v>
      </c>
      <c r="Q3198">
        <v>242.22</v>
      </c>
      <c r="R3198">
        <v>1062.31</v>
      </c>
      <c r="S3198">
        <v>582.48</v>
      </c>
      <c r="T3198">
        <v>29021.67</v>
      </c>
      <c r="U3198">
        <v>12298.81</v>
      </c>
      <c r="V3198">
        <v>4880.0600000000004</v>
      </c>
      <c r="W3198">
        <v>4485</v>
      </c>
      <c r="X3198">
        <v>33023.08</v>
      </c>
      <c r="Y3198">
        <v>27717.71</v>
      </c>
    </row>
    <row r="3199" spans="1:25" x14ac:dyDescent="0.25">
      <c r="A3199" t="s">
        <v>3255</v>
      </c>
      <c r="B3199" s="1">
        <v>45819</v>
      </c>
      <c r="C3199">
        <v>2025</v>
      </c>
      <c r="D3199">
        <v>6</v>
      </c>
      <c r="E3199" t="s">
        <v>585</v>
      </c>
      <c r="F3199" t="s">
        <v>358</v>
      </c>
      <c r="G3199" t="s">
        <v>35</v>
      </c>
      <c r="H3199" t="s">
        <v>53</v>
      </c>
      <c r="I3199" t="s">
        <v>30</v>
      </c>
      <c r="J3199">
        <v>64</v>
      </c>
      <c r="K3199">
        <v>1184.49</v>
      </c>
      <c r="L3199">
        <v>75807.399999999994</v>
      </c>
      <c r="M3199">
        <v>39818.28</v>
      </c>
      <c r="N3199">
        <v>5500.04</v>
      </c>
      <c r="O3199">
        <v>4389.05</v>
      </c>
      <c r="P3199">
        <v>2594.54</v>
      </c>
      <c r="Q3199">
        <v>701.68</v>
      </c>
      <c r="R3199">
        <v>4085.17</v>
      </c>
      <c r="S3199">
        <v>1121.98</v>
      </c>
      <c r="T3199">
        <v>58210.74</v>
      </c>
      <c r="U3199">
        <v>35989.120000000003</v>
      </c>
      <c r="V3199">
        <v>17596.66</v>
      </c>
      <c r="W3199">
        <v>17497.64</v>
      </c>
      <c r="X3199">
        <v>81016.740000000005</v>
      </c>
      <c r="Y3199">
        <v>61000.47</v>
      </c>
    </row>
    <row r="3200" spans="1:25" x14ac:dyDescent="0.25">
      <c r="A3200" t="s">
        <v>3256</v>
      </c>
      <c r="B3200" s="1">
        <v>45819</v>
      </c>
      <c r="C3200">
        <v>2025</v>
      </c>
      <c r="D3200">
        <v>6</v>
      </c>
      <c r="E3200" t="s">
        <v>585</v>
      </c>
      <c r="F3200" t="s">
        <v>358</v>
      </c>
      <c r="G3200" t="s">
        <v>55</v>
      </c>
      <c r="H3200" t="s">
        <v>29</v>
      </c>
      <c r="I3200" t="s">
        <v>39</v>
      </c>
      <c r="J3200">
        <v>34</v>
      </c>
      <c r="K3200">
        <v>1718.96</v>
      </c>
      <c r="L3200">
        <v>58444.79</v>
      </c>
      <c r="M3200">
        <v>28513.759999999998</v>
      </c>
      <c r="N3200">
        <v>6499</v>
      </c>
      <c r="O3200">
        <v>1895.9</v>
      </c>
      <c r="P3200">
        <v>1614.99</v>
      </c>
      <c r="Q3200">
        <v>621.27</v>
      </c>
      <c r="R3200">
        <v>1854.6</v>
      </c>
      <c r="S3200">
        <v>1190.83</v>
      </c>
      <c r="T3200">
        <v>42190.35</v>
      </c>
      <c r="U3200">
        <v>29931.040000000001</v>
      </c>
      <c r="V3200">
        <v>16254.44</v>
      </c>
      <c r="W3200">
        <v>14765.17</v>
      </c>
      <c r="X3200">
        <v>56972.65</v>
      </c>
      <c r="Y3200">
        <v>44388.37</v>
      </c>
    </row>
    <row r="3201" spans="1:25" x14ac:dyDescent="0.25">
      <c r="A3201" t="s">
        <v>3257</v>
      </c>
      <c r="B3201" s="1">
        <v>45820</v>
      </c>
      <c r="C3201">
        <v>2025</v>
      </c>
      <c r="D3201">
        <v>6</v>
      </c>
      <c r="E3201" t="s">
        <v>585</v>
      </c>
      <c r="F3201" t="s">
        <v>358</v>
      </c>
      <c r="G3201" t="s">
        <v>44</v>
      </c>
      <c r="H3201" t="s">
        <v>29</v>
      </c>
      <c r="I3201" t="s">
        <v>33</v>
      </c>
      <c r="J3201">
        <v>54</v>
      </c>
      <c r="K3201">
        <v>1314.76</v>
      </c>
      <c r="L3201">
        <v>70997.070000000007</v>
      </c>
      <c r="M3201">
        <v>44086.01</v>
      </c>
      <c r="N3201">
        <v>6319.97</v>
      </c>
      <c r="O3201">
        <v>4623.96</v>
      </c>
      <c r="P3201">
        <v>2943.76</v>
      </c>
      <c r="Q3201">
        <v>620.4</v>
      </c>
      <c r="R3201">
        <v>3079.57</v>
      </c>
      <c r="S3201">
        <v>950.75</v>
      </c>
      <c r="T3201">
        <v>62624.42</v>
      </c>
      <c r="U3201">
        <v>26911.06</v>
      </c>
      <c r="V3201">
        <v>8372.65</v>
      </c>
      <c r="W3201">
        <v>7580.79</v>
      </c>
      <c r="X3201">
        <v>66253.52</v>
      </c>
      <c r="Y3201">
        <v>60805.919999999998</v>
      </c>
    </row>
    <row r="3202" spans="1:25" x14ac:dyDescent="0.25">
      <c r="A3202" t="s">
        <v>3258</v>
      </c>
      <c r="B3202" s="1">
        <v>45821</v>
      </c>
      <c r="C3202">
        <v>2025</v>
      </c>
      <c r="D3202">
        <v>6</v>
      </c>
      <c r="E3202" t="s">
        <v>585</v>
      </c>
      <c r="F3202" t="s">
        <v>358</v>
      </c>
      <c r="G3202" t="s">
        <v>55</v>
      </c>
      <c r="H3202" t="s">
        <v>36</v>
      </c>
      <c r="I3202" t="s">
        <v>37</v>
      </c>
      <c r="J3202">
        <v>45</v>
      </c>
      <c r="K3202">
        <v>1765.65</v>
      </c>
      <c r="L3202">
        <v>79454.19</v>
      </c>
      <c r="M3202">
        <v>41213.160000000003</v>
      </c>
      <c r="N3202">
        <v>8612.7800000000007</v>
      </c>
      <c r="O3202">
        <v>4669.0200000000004</v>
      </c>
      <c r="P3202">
        <v>2475.2600000000002</v>
      </c>
      <c r="Q3202">
        <v>763.17</v>
      </c>
      <c r="R3202">
        <v>3343.23</v>
      </c>
      <c r="S3202">
        <v>877.53</v>
      </c>
      <c r="T3202">
        <v>61954.15</v>
      </c>
      <c r="U3202">
        <v>38241.03</v>
      </c>
      <c r="V3202">
        <v>17500.04</v>
      </c>
      <c r="W3202">
        <v>17793.990000000002</v>
      </c>
      <c r="X3202">
        <v>88444.04</v>
      </c>
      <c r="Y3202">
        <v>59147.33</v>
      </c>
    </row>
    <row r="3203" spans="1:25" x14ac:dyDescent="0.25">
      <c r="A3203" t="s">
        <v>3259</v>
      </c>
      <c r="B3203" s="1">
        <v>45821</v>
      </c>
      <c r="C3203">
        <v>2025</v>
      </c>
      <c r="D3203">
        <v>6</v>
      </c>
      <c r="E3203" t="s">
        <v>585</v>
      </c>
      <c r="F3203" t="s">
        <v>358</v>
      </c>
      <c r="G3203" t="s">
        <v>44</v>
      </c>
      <c r="H3203" t="s">
        <v>32</v>
      </c>
      <c r="I3203" t="s">
        <v>65</v>
      </c>
      <c r="J3203">
        <v>60</v>
      </c>
      <c r="K3203">
        <v>1060.17</v>
      </c>
      <c r="L3203">
        <v>63610.01</v>
      </c>
      <c r="M3203">
        <v>31448.55</v>
      </c>
      <c r="N3203">
        <v>6536.26</v>
      </c>
      <c r="O3203">
        <v>2117.04</v>
      </c>
      <c r="P3203">
        <v>1670.79</v>
      </c>
      <c r="Q3203">
        <v>522.29</v>
      </c>
      <c r="R3203">
        <v>2407.5</v>
      </c>
      <c r="S3203">
        <v>920.6</v>
      </c>
      <c r="T3203">
        <v>45623.03</v>
      </c>
      <c r="U3203">
        <v>32161.46</v>
      </c>
      <c r="V3203">
        <v>17986.97</v>
      </c>
      <c r="W3203">
        <v>15910.59</v>
      </c>
      <c r="X3203">
        <v>66870.7</v>
      </c>
      <c r="Y3203">
        <v>48251.43</v>
      </c>
    </row>
    <row r="3204" spans="1:25" x14ac:dyDescent="0.25">
      <c r="A3204" t="s">
        <v>3260</v>
      </c>
      <c r="B3204" s="1">
        <v>45821</v>
      </c>
      <c r="C3204">
        <v>2025</v>
      </c>
      <c r="D3204">
        <v>6</v>
      </c>
      <c r="E3204" t="s">
        <v>585</v>
      </c>
      <c r="F3204" t="s">
        <v>358</v>
      </c>
      <c r="G3204" t="s">
        <v>55</v>
      </c>
      <c r="H3204" t="s">
        <v>36</v>
      </c>
      <c r="I3204" t="s">
        <v>37</v>
      </c>
      <c r="J3204">
        <v>92</v>
      </c>
      <c r="K3204">
        <v>957.4</v>
      </c>
      <c r="L3204">
        <v>88080.69</v>
      </c>
      <c r="M3204">
        <v>54641.02</v>
      </c>
      <c r="N3204">
        <v>9950.66</v>
      </c>
      <c r="O3204">
        <v>6372.27</v>
      </c>
      <c r="P3204">
        <v>3751.97</v>
      </c>
      <c r="Q3204">
        <v>1226.04</v>
      </c>
      <c r="R3204">
        <v>2219.9699999999998</v>
      </c>
      <c r="S3204">
        <v>1468.79</v>
      </c>
      <c r="T3204">
        <v>79630.720000000001</v>
      </c>
      <c r="U3204">
        <v>33439.68</v>
      </c>
      <c r="V3204">
        <v>8449.9699999999993</v>
      </c>
      <c r="W3204">
        <v>8142.92</v>
      </c>
      <c r="X3204">
        <v>90688.39</v>
      </c>
      <c r="Y3204">
        <v>76347</v>
      </c>
    </row>
    <row r="3205" spans="1:25" x14ac:dyDescent="0.25">
      <c r="A3205" t="s">
        <v>3261</v>
      </c>
      <c r="B3205" s="1">
        <v>45821</v>
      </c>
      <c r="C3205">
        <v>2025</v>
      </c>
      <c r="D3205">
        <v>6</v>
      </c>
      <c r="E3205" t="s">
        <v>585</v>
      </c>
      <c r="F3205" t="s">
        <v>358</v>
      </c>
      <c r="G3205" t="s">
        <v>55</v>
      </c>
      <c r="H3205" t="s">
        <v>36</v>
      </c>
      <c r="I3205" t="s">
        <v>33</v>
      </c>
      <c r="J3205">
        <v>55</v>
      </c>
      <c r="K3205">
        <v>1230.98</v>
      </c>
      <c r="L3205">
        <v>67704.13</v>
      </c>
      <c r="M3205">
        <v>36233.22</v>
      </c>
      <c r="N3205">
        <v>4930.05</v>
      </c>
      <c r="O3205">
        <v>4346.16</v>
      </c>
      <c r="P3205">
        <v>2618.2600000000002</v>
      </c>
      <c r="Q3205">
        <v>873.82</v>
      </c>
      <c r="R3205">
        <v>2517.61</v>
      </c>
      <c r="S3205">
        <v>1680.26</v>
      </c>
      <c r="T3205">
        <v>53199.38</v>
      </c>
      <c r="U3205">
        <v>31470.91</v>
      </c>
      <c r="V3205">
        <v>14504.75</v>
      </c>
      <c r="W3205">
        <v>13915.66</v>
      </c>
      <c r="X3205">
        <v>67909.58</v>
      </c>
      <c r="Y3205">
        <v>50954.91</v>
      </c>
    </row>
    <row r="3206" spans="1:25" x14ac:dyDescent="0.25">
      <c r="A3206" t="s">
        <v>3262</v>
      </c>
      <c r="B3206" s="1">
        <v>45821</v>
      </c>
      <c r="C3206">
        <v>2025</v>
      </c>
      <c r="D3206">
        <v>6</v>
      </c>
      <c r="E3206" t="s">
        <v>585</v>
      </c>
      <c r="F3206" t="s">
        <v>358</v>
      </c>
      <c r="G3206" t="s">
        <v>55</v>
      </c>
      <c r="H3206" t="s">
        <v>36</v>
      </c>
      <c r="I3206" t="s">
        <v>45</v>
      </c>
      <c r="J3206">
        <v>33</v>
      </c>
      <c r="K3206">
        <v>1302.49</v>
      </c>
      <c r="L3206">
        <v>42982.1</v>
      </c>
      <c r="M3206">
        <v>22690.23</v>
      </c>
      <c r="N3206">
        <v>4168.95</v>
      </c>
      <c r="O3206">
        <v>2933.63</v>
      </c>
      <c r="P3206">
        <v>1797.47</v>
      </c>
      <c r="Q3206">
        <v>773.65</v>
      </c>
      <c r="R3206">
        <v>1515.27</v>
      </c>
      <c r="S3206">
        <v>567.07000000000005</v>
      </c>
      <c r="T3206">
        <v>34446.269999999997</v>
      </c>
      <c r="U3206">
        <v>20291.88</v>
      </c>
      <c r="V3206">
        <v>8535.84</v>
      </c>
      <c r="W3206">
        <v>7516</v>
      </c>
      <c r="X3206">
        <v>44695.77</v>
      </c>
      <c r="Y3206">
        <v>32337.47</v>
      </c>
    </row>
    <row r="3207" spans="1:25" x14ac:dyDescent="0.25">
      <c r="A3207" t="s">
        <v>3263</v>
      </c>
      <c r="B3207" s="1">
        <v>45821</v>
      </c>
      <c r="C3207">
        <v>2025</v>
      </c>
      <c r="D3207">
        <v>6</v>
      </c>
      <c r="E3207" t="s">
        <v>585</v>
      </c>
      <c r="F3207" t="s">
        <v>358</v>
      </c>
      <c r="G3207" t="s">
        <v>44</v>
      </c>
      <c r="H3207" t="s">
        <v>58</v>
      </c>
      <c r="I3207" t="s">
        <v>45</v>
      </c>
      <c r="J3207">
        <v>30</v>
      </c>
      <c r="K3207">
        <v>1587.5</v>
      </c>
      <c r="L3207">
        <v>47624.88</v>
      </c>
      <c r="M3207">
        <v>30501.29</v>
      </c>
      <c r="N3207">
        <v>5186.62</v>
      </c>
      <c r="O3207">
        <v>2285.0300000000002</v>
      </c>
      <c r="P3207">
        <v>986.08</v>
      </c>
      <c r="Q3207">
        <v>571.34</v>
      </c>
      <c r="R3207">
        <v>2146.9</v>
      </c>
      <c r="S3207">
        <v>442.92</v>
      </c>
      <c r="T3207">
        <v>42120.18</v>
      </c>
      <c r="U3207">
        <v>17123.59</v>
      </c>
      <c r="V3207">
        <v>5504.7</v>
      </c>
      <c r="W3207">
        <v>5399.46</v>
      </c>
      <c r="X3207">
        <v>49293.34</v>
      </c>
      <c r="Y3207">
        <v>43490.06</v>
      </c>
    </row>
    <row r="3208" spans="1:25" x14ac:dyDescent="0.25">
      <c r="A3208" t="s">
        <v>3264</v>
      </c>
      <c r="B3208" s="1">
        <v>45822</v>
      </c>
      <c r="C3208">
        <v>2025</v>
      </c>
      <c r="D3208">
        <v>6</v>
      </c>
      <c r="E3208" t="s">
        <v>585</v>
      </c>
      <c r="F3208" t="s">
        <v>358</v>
      </c>
      <c r="G3208" t="s">
        <v>55</v>
      </c>
      <c r="H3208" t="s">
        <v>32</v>
      </c>
      <c r="I3208" t="s">
        <v>45</v>
      </c>
      <c r="J3208">
        <v>43</v>
      </c>
      <c r="K3208">
        <v>1576.23</v>
      </c>
      <c r="L3208">
        <v>67777.789999999994</v>
      </c>
      <c r="M3208">
        <v>36082.42</v>
      </c>
      <c r="N3208">
        <v>7764.51</v>
      </c>
      <c r="O3208">
        <v>2520.54</v>
      </c>
      <c r="P3208">
        <v>1133.74</v>
      </c>
      <c r="Q3208">
        <v>856.9</v>
      </c>
      <c r="R3208">
        <v>1907.21</v>
      </c>
      <c r="S3208">
        <v>1614.56</v>
      </c>
      <c r="T3208">
        <v>51879.88</v>
      </c>
      <c r="U3208">
        <v>31695.37</v>
      </c>
      <c r="V3208">
        <v>15897.92</v>
      </c>
      <c r="W3208">
        <v>15669.09</v>
      </c>
      <c r="X3208">
        <v>70686.05</v>
      </c>
      <c r="Y3208">
        <v>54801.37</v>
      </c>
    </row>
    <row r="3209" spans="1:25" x14ac:dyDescent="0.25">
      <c r="A3209" t="s">
        <v>3265</v>
      </c>
      <c r="B3209" s="1">
        <v>45822</v>
      </c>
      <c r="C3209">
        <v>2025</v>
      </c>
      <c r="D3209">
        <v>6</v>
      </c>
      <c r="E3209" t="s">
        <v>585</v>
      </c>
      <c r="F3209" t="s">
        <v>358</v>
      </c>
      <c r="G3209" t="s">
        <v>28</v>
      </c>
      <c r="H3209" t="s">
        <v>32</v>
      </c>
      <c r="I3209" t="s">
        <v>39</v>
      </c>
      <c r="J3209">
        <v>40</v>
      </c>
      <c r="K3209">
        <v>1145.3800000000001</v>
      </c>
      <c r="L3209">
        <v>45815.21</v>
      </c>
      <c r="M3209">
        <v>26200.07</v>
      </c>
      <c r="N3209">
        <v>4366.22</v>
      </c>
      <c r="O3209">
        <v>1718.53</v>
      </c>
      <c r="P3209">
        <v>1122.29</v>
      </c>
      <c r="Q3209">
        <v>305.85000000000002</v>
      </c>
      <c r="R3209">
        <v>2092.65</v>
      </c>
      <c r="S3209">
        <v>570.79999999999995</v>
      </c>
      <c r="T3209">
        <v>36376.410000000003</v>
      </c>
      <c r="U3209">
        <v>19615.14</v>
      </c>
      <c r="V3209">
        <v>9438.7999999999993</v>
      </c>
      <c r="W3209">
        <v>8530.9</v>
      </c>
      <c r="X3209">
        <v>44701.98</v>
      </c>
      <c r="Y3209">
        <v>38769.589999999997</v>
      </c>
    </row>
    <row r="3210" spans="1:25" x14ac:dyDescent="0.25">
      <c r="A3210" t="s">
        <v>3266</v>
      </c>
      <c r="B3210" s="1">
        <v>45822</v>
      </c>
      <c r="C3210">
        <v>2025</v>
      </c>
      <c r="D3210">
        <v>6</v>
      </c>
      <c r="E3210" t="s">
        <v>585</v>
      </c>
      <c r="F3210" t="s">
        <v>358</v>
      </c>
      <c r="G3210" t="s">
        <v>28</v>
      </c>
      <c r="H3210" t="s">
        <v>29</v>
      </c>
      <c r="I3210" t="s">
        <v>33</v>
      </c>
      <c r="J3210">
        <v>81</v>
      </c>
      <c r="K3210">
        <v>1104.21</v>
      </c>
      <c r="L3210">
        <v>89441.23</v>
      </c>
      <c r="M3210">
        <v>44178.53</v>
      </c>
      <c r="N3210">
        <v>6881.71</v>
      </c>
      <c r="O3210">
        <v>3986.3</v>
      </c>
      <c r="P3210">
        <v>3395.31</v>
      </c>
      <c r="Q3210">
        <v>743.6</v>
      </c>
      <c r="R3210">
        <v>3227.6</v>
      </c>
      <c r="S3210">
        <v>2108.1</v>
      </c>
      <c r="T3210">
        <v>64521.15</v>
      </c>
      <c r="U3210">
        <v>45262.71</v>
      </c>
      <c r="V3210">
        <v>24920.09</v>
      </c>
      <c r="W3210">
        <v>24288.73</v>
      </c>
      <c r="X3210">
        <v>87714.55</v>
      </c>
      <c r="Y3210">
        <v>62037.05</v>
      </c>
    </row>
    <row r="3211" spans="1:25" x14ac:dyDescent="0.25">
      <c r="A3211" t="s">
        <v>3267</v>
      </c>
      <c r="B3211" s="1">
        <v>45823</v>
      </c>
      <c r="C3211">
        <v>2025</v>
      </c>
      <c r="D3211">
        <v>6</v>
      </c>
      <c r="E3211" t="s">
        <v>585</v>
      </c>
      <c r="F3211" t="s">
        <v>358</v>
      </c>
      <c r="G3211" t="s">
        <v>28</v>
      </c>
      <c r="H3211" t="s">
        <v>36</v>
      </c>
      <c r="I3211" t="s">
        <v>56</v>
      </c>
      <c r="J3211">
        <v>31</v>
      </c>
      <c r="K3211">
        <v>1241.1500000000001</v>
      </c>
      <c r="L3211">
        <v>38475.51</v>
      </c>
      <c r="M3211">
        <v>25780</v>
      </c>
      <c r="N3211">
        <v>4897.0200000000004</v>
      </c>
      <c r="O3211">
        <v>1065.72</v>
      </c>
      <c r="P3211">
        <v>1660.49</v>
      </c>
      <c r="Q3211">
        <v>421.95</v>
      </c>
      <c r="R3211">
        <v>2190.81</v>
      </c>
      <c r="S3211">
        <v>339.77</v>
      </c>
      <c r="T3211">
        <v>36355.75</v>
      </c>
      <c r="U3211">
        <v>12695.52</v>
      </c>
      <c r="V3211">
        <v>2119.7600000000002</v>
      </c>
      <c r="W3211">
        <v>2070.7399999999998</v>
      </c>
      <c r="X3211">
        <v>36942.19</v>
      </c>
      <c r="Y3211">
        <v>35020.550000000003</v>
      </c>
    </row>
    <row r="3212" spans="1:25" x14ac:dyDescent="0.25">
      <c r="A3212" t="s">
        <v>3268</v>
      </c>
      <c r="B3212" s="1">
        <v>45823</v>
      </c>
      <c r="C3212">
        <v>2025</v>
      </c>
      <c r="D3212">
        <v>6</v>
      </c>
      <c r="E3212" t="s">
        <v>585</v>
      </c>
      <c r="F3212" t="s">
        <v>358</v>
      </c>
      <c r="G3212" t="s">
        <v>55</v>
      </c>
      <c r="H3212" t="s">
        <v>32</v>
      </c>
      <c r="I3212" t="s">
        <v>33</v>
      </c>
      <c r="J3212">
        <v>91</v>
      </c>
      <c r="K3212">
        <v>1154.8599999999999</v>
      </c>
      <c r="L3212">
        <v>105092.1</v>
      </c>
      <c r="M3212">
        <v>70771.460000000006</v>
      </c>
      <c r="N3212">
        <v>13486.82</v>
      </c>
      <c r="O3212">
        <v>6597.63</v>
      </c>
      <c r="P3212">
        <v>2365.5500000000002</v>
      </c>
      <c r="Q3212">
        <v>982.25</v>
      </c>
      <c r="R3212">
        <v>5711.36</v>
      </c>
      <c r="S3212">
        <v>1460.81</v>
      </c>
      <c r="T3212">
        <v>101375.89</v>
      </c>
      <c r="U3212">
        <v>34320.629999999997</v>
      </c>
      <c r="V3212">
        <v>3716.21</v>
      </c>
      <c r="W3212">
        <v>3394.38</v>
      </c>
      <c r="X3212">
        <v>116255.38</v>
      </c>
      <c r="Y3212">
        <v>103882.03</v>
      </c>
    </row>
    <row r="3213" spans="1:25" x14ac:dyDescent="0.25">
      <c r="A3213" t="s">
        <v>3269</v>
      </c>
      <c r="B3213" s="1">
        <v>45823</v>
      </c>
      <c r="C3213">
        <v>2025</v>
      </c>
      <c r="D3213">
        <v>6</v>
      </c>
      <c r="E3213" t="s">
        <v>585</v>
      </c>
      <c r="F3213" t="s">
        <v>358</v>
      </c>
      <c r="G3213" t="s">
        <v>44</v>
      </c>
      <c r="H3213" t="s">
        <v>32</v>
      </c>
      <c r="I3213" t="s">
        <v>30</v>
      </c>
      <c r="J3213">
        <v>52</v>
      </c>
      <c r="K3213">
        <v>1590.43</v>
      </c>
      <c r="L3213">
        <v>82702.61</v>
      </c>
      <c r="M3213">
        <v>46018.14</v>
      </c>
      <c r="N3213">
        <v>8884.99</v>
      </c>
      <c r="O3213">
        <v>4878.1000000000004</v>
      </c>
      <c r="P3213">
        <v>2545.42</v>
      </c>
      <c r="Q3213">
        <v>1236.1199999999999</v>
      </c>
      <c r="R3213">
        <v>4143.5</v>
      </c>
      <c r="S3213">
        <v>1830.09</v>
      </c>
      <c r="T3213">
        <v>69536.37</v>
      </c>
      <c r="U3213">
        <v>36684.46</v>
      </c>
      <c r="V3213">
        <v>13166.23</v>
      </c>
      <c r="W3213">
        <v>12701.07</v>
      </c>
      <c r="X3213">
        <v>88096.82</v>
      </c>
      <c r="Y3213">
        <v>75622.960000000006</v>
      </c>
    </row>
    <row r="3214" spans="1:25" x14ac:dyDescent="0.25">
      <c r="A3214" t="s">
        <v>3270</v>
      </c>
      <c r="B3214" s="1">
        <v>45824</v>
      </c>
      <c r="C3214">
        <v>2025</v>
      </c>
      <c r="D3214">
        <v>6</v>
      </c>
      <c r="E3214" t="s">
        <v>585</v>
      </c>
      <c r="F3214" t="s">
        <v>358</v>
      </c>
      <c r="G3214" t="s">
        <v>35</v>
      </c>
      <c r="H3214" t="s">
        <v>58</v>
      </c>
      <c r="I3214" t="s">
        <v>30</v>
      </c>
      <c r="J3214">
        <v>43</v>
      </c>
      <c r="K3214">
        <v>1627.23</v>
      </c>
      <c r="L3214">
        <v>69970.89</v>
      </c>
      <c r="M3214">
        <v>40627.879999999997</v>
      </c>
      <c r="N3214">
        <v>5733.12</v>
      </c>
      <c r="O3214">
        <v>2908.59</v>
      </c>
      <c r="P3214">
        <v>1484.05</v>
      </c>
      <c r="Q3214">
        <v>1179.02</v>
      </c>
      <c r="R3214">
        <v>4517.8999999999996</v>
      </c>
      <c r="S3214">
        <v>891.82</v>
      </c>
      <c r="T3214">
        <v>57342.38</v>
      </c>
      <c r="U3214">
        <v>29343.02</v>
      </c>
      <c r="V3214">
        <v>12628.51</v>
      </c>
      <c r="W3214">
        <v>12676.12</v>
      </c>
      <c r="X3214">
        <v>75258.61</v>
      </c>
      <c r="Y3214">
        <v>58696.18</v>
      </c>
    </row>
    <row r="3215" spans="1:25" x14ac:dyDescent="0.25">
      <c r="A3215" t="s">
        <v>3271</v>
      </c>
      <c r="B3215" s="1">
        <v>45824</v>
      </c>
      <c r="C3215">
        <v>2025</v>
      </c>
      <c r="D3215">
        <v>6</v>
      </c>
      <c r="E3215" t="s">
        <v>585</v>
      </c>
      <c r="F3215" t="s">
        <v>358</v>
      </c>
      <c r="G3215" t="s">
        <v>28</v>
      </c>
      <c r="H3215" t="s">
        <v>32</v>
      </c>
      <c r="I3215" t="s">
        <v>65</v>
      </c>
      <c r="J3215">
        <v>58</v>
      </c>
      <c r="K3215">
        <v>1307.6400000000001</v>
      </c>
      <c r="L3215">
        <v>75843.19</v>
      </c>
      <c r="M3215">
        <v>39484.85</v>
      </c>
      <c r="N3215">
        <v>7699.78</v>
      </c>
      <c r="O3215">
        <v>5375.4</v>
      </c>
      <c r="P3215">
        <v>2719.68</v>
      </c>
      <c r="Q3215">
        <v>751.15</v>
      </c>
      <c r="R3215">
        <v>2875.33</v>
      </c>
      <c r="S3215">
        <v>1006.45</v>
      </c>
      <c r="T3215">
        <v>59912.63</v>
      </c>
      <c r="U3215">
        <v>36358.339999999997</v>
      </c>
      <c r="V3215">
        <v>15930.56</v>
      </c>
      <c r="W3215">
        <v>15561.47</v>
      </c>
      <c r="X3215">
        <v>79402.39</v>
      </c>
      <c r="Y3215">
        <v>65281.85</v>
      </c>
    </row>
    <row r="3216" spans="1:25" x14ac:dyDescent="0.25">
      <c r="A3216" t="s">
        <v>3272</v>
      </c>
      <c r="B3216" s="1">
        <v>45824</v>
      </c>
      <c r="C3216">
        <v>2025</v>
      </c>
      <c r="D3216">
        <v>6</v>
      </c>
      <c r="E3216" t="s">
        <v>585</v>
      </c>
      <c r="F3216" t="s">
        <v>358</v>
      </c>
      <c r="G3216" t="s">
        <v>55</v>
      </c>
      <c r="H3216" t="s">
        <v>29</v>
      </c>
      <c r="I3216" t="s">
        <v>37</v>
      </c>
      <c r="J3216">
        <v>48</v>
      </c>
      <c r="K3216">
        <v>1473.29</v>
      </c>
      <c r="L3216">
        <v>70717.88</v>
      </c>
      <c r="M3216">
        <v>41459.879999999997</v>
      </c>
      <c r="N3216">
        <v>5883.84</v>
      </c>
      <c r="O3216">
        <v>3402.66</v>
      </c>
      <c r="P3216">
        <v>2246.48</v>
      </c>
      <c r="Q3216">
        <v>1138.1300000000001</v>
      </c>
      <c r="R3216">
        <v>3910.7</v>
      </c>
      <c r="S3216">
        <v>1604.49</v>
      </c>
      <c r="T3216">
        <v>59646.18</v>
      </c>
      <c r="U3216">
        <v>29258</v>
      </c>
      <c r="V3216">
        <v>11071.7</v>
      </c>
      <c r="W3216">
        <v>11201.03</v>
      </c>
      <c r="X3216">
        <v>75681.02</v>
      </c>
      <c r="Y3216">
        <v>63939</v>
      </c>
    </row>
    <row r="3217" spans="1:25" x14ac:dyDescent="0.25">
      <c r="A3217" t="s">
        <v>3273</v>
      </c>
      <c r="B3217" s="1">
        <v>45824</v>
      </c>
      <c r="C3217">
        <v>2025</v>
      </c>
      <c r="D3217">
        <v>6</v>
      </c>
      <c r="E3217" t="s">
        <v>585</v>
      </c>
      <c r="F3217" t="s">
        <v>358</v>
      </c>
      <c r="G3217" t="s">
        <v>44</v>
      </c>
      <c r="H3217" t="s">
        <v>32</v>
      </c>
      <c r="I3217" t="s">
        <v>65</v>
      </c>
      <c r="J3217">
        <v>36</v>
      </c>
      <c r="K3217">
        <v>1734.74</v>
      </c>
      <c r="L3217">
        <v>62450.61</v>
      </c>
      <c r="M3217">
        <v>33351.49</v>
      </c>
      <c r="N3217">
        <v>6658.65</v>
      </c>
      <c r="O3217">
        <v>2253.1</v>
      </c>
      <c r="P3217">
        <v>2161.0500000000002</v>
      </c>
      <c r="Q3217">
        <v>343.91</v>
      </c>
      <c r="R3217">
        <v>1736.06</v>
      </c>
      <c r="S3217">
        <v>679.01</v>
      </c>
      <c r="T3217">
        <v>47183.26</v>
      </c>
      <c r="U3217">
        <v>29099.119999999999</v>
      </c>
      <c r="V3217">
        <v>15267.35</v>
      </c>
      <c r="W3217">
        <v>14966.53</v>
      </c>
      <c r="X3217">
        <v>68934.78</v>
      </c>
      <c r="Y3217">
        <v>49232.59</v>
      </c>
    </row>
    <row r="3218" spans="1:25" x14ac:dyDescent="0.25">
      <c r="A3218" t="s">
        <v>3274</v>
      </c>
      <c r="B3218" s="1">
        <v>45825</v>
      </c>
      <c r="C3218">
        <v>2025</v>
      </c>
      <c r="D3218">
        <v>6</v>
      </c>
      <c r="E3218" t="s">
        <v>585</v>
      </c>
      <c r="F3218" t="s">
        <v>358</v>
      </c>
      <c r="G3218" t="s">
        <v>28</v>
      </c>
      <c r="H3218" t="s">
        <v>53</v>
      </c>
      <c r="I3218" t="s">
        <v>37</v>
      </c>
      <c r="J3218">
        <v>73</v>
      </c>
      <c r="K3218">
        <v>1111.33</v>
      </c>
      <c r="L3218">
        <v>81127.149999999994</v>
      </c>
      <c r="M3218">
        <v>53225.32</v>
      </c>
      <c r="N3218">
        <v>9035.4599999999991</v>
      </c>
      <c r="O3218">
        <v>4733.8</v>
      </c>
      <c r="P3218">
        <v>1889.78</v>
      </c>
      <c r="Q3218">
        <v>908.7</v>
      </c>
      <c r="R3218">
        <v>3981.32</v>
      </c>
      <c r="S3218">
        <v>2002.88</v>
      </c>
      <c r="T3218">
        <v>75777.259999999995</v>
      </c>
      <c r="U3218">
        <v>27901.83</v>
      </c>
      <c r="V3218">
        <v>5349.88</v>
      </c>
      <c r="W3218">
        <v>5130.3100000000004</v>
      </c>
      <c r="X3218">
        <v>85593.73</v>
      </c>
      <c r="Y3218">
        <v>73548</v>
      </c>
    </row>
    <row r="3219" spans="1:25" x14ac:dyDescent="0.25">
      <c r="A3219" t="s">
        <v>3275</v>
      </c>
      <c r="B3219" s="1">
        <v>45825</v>
      </c>
      <c r="C3219">
        <v>2025</v>
      </c>
      <c r="D3219">
        <v>6</v>
      </c>
      <c r="E3219" t="s">
        <v>585</v>
      </c>
      <c r="F3219" t="s">
        <v>358</v>
      </c>
      <c r="G3219" t="s">
        <v>35</v>
      </c>
      <c r="H3219" t="s">
        <v>36</v>
      </c>
      <c r="I3219" t="s">
        <v>45</v>
      </c>
      <c r="J3219">
        <v>52</v>
      </c>
      <c r="K3219">
        <v>811.95</v>
      </c>
      <c r="L3219">
        <v>42221.23</v>
      </c>
      <c r="M3219">
        <v>27156.5</v>
      </c>
      <c r="N3219">
        <v>3211.16</v>
      </c>
      <c r="O3219">
        <v>1530.72</v>
      </c>
      <c r="P3219">
        <v>1415.64</v>
      </c>
      <c r="Q3219">
        <v>658.73</v>
      </c>
      <c r="R3219">
        <v>1332.41</v>
      </c>
      <c r="S3219">
        <v>558.97</v>
      </c>
      <c r="T3219">
        <v>35864.14</v>
      </c>
      <c r="U3219">
        <v>15064.73</v>
      </c>
      <c r="V3219">
        <v>6357.09</v>
      </c>
      <c r="W3219">
        <v>6252.23</v>
      </c>
      <c r="X3219">
        <v>44405.57</v>
      </c>
      <c r="Y3219">
        <v>37206.17</v>
      </c>
    </row>
    <row r="3220" spans="1:25" x14ac:dyDescent="0.25">
      <c r="A3220" t="s">
        <v>3276</v>
      </c>
      <c r="B3220" s="1">
        <v>45825</v>
      </c>
      <c r="C3220">
        <v>2025</v>
      </c>
      <c r="D3220">
        <v>6</v>
      </c>
      <c r="E3220" t="s">
        <v>585</v>
      </c>
      <c r="F3220" t="s">
        <v>358</v>
      </c>
      <c r="G3220" t="s">
        <v>35</v>
      </c>
      <c r="H3220" t="s">
        <v>32</v>
      </c>
      <c r="I3220" t="s">
        <v>65</v>
      </c>
      <c r="J3220">
        <v>49</v>
      </c>
      <c r="K3220">
        <v>1379.25</v>
      </c>
      <c r="L3220">
        <v>67583.23</v>
      </c>
      <c r="M3220">
        <v>44365.56</v>
      </c>
      <c r="N3220">
        <v>5615.33</v>
      </c>
      <c r="O3220">
        <v>1766.97</v>
      </c>
      <c r="P3220">
        <v>1497.54</v>
      </c>
      <c r="Q3220">
        <v>604.83000000000004</v>
      </c>
      <c r="R3220">
        <v>2598.46</v>
      </c>
      <c r="S3220">
        <v>1606.92</v>
      </c>
      <c r="T3220">
        <v>58055.61</v>
      </c>
      <c r="U3220">
        <v>23217.66</v>
      </c>
      <c r="V3220">
        <v>9527.61</v>
      </c>
      <c r="W3220">
        <v>8522.43</v>
      </c>
      <c r="X3220">
        <v>73503.320000000007</v>
      </c>
      <c r="Y3220">
        <v>60662.92</v>
      </c>
    </row>
    <row r="3221" spans="1:25" x14ac:dyDescent="0.25">
      <c r="A3221" t="s">
        <v>3277</v>
      </c>
      <c r="B3221" s="1">
        <v>45825</v>
      </c>
      <c r="C3221">
        <v>2025</v>
      </c>
      <c r="D3221">
        <v>6</v>
      </c>
      <c r="E3221" t="s">
        <v>585</v>
      </c>
      <c r="F3221" t="s">
        <v>358</v>
      </c>
      <c r="G3221" t="s">
        <v>55</v>
      </c>
      <c r="H3221" t="s">
        <v>53</v>
      </c>
      <c r="I3221" t="s">
        <v>37</v>
      </c>
      <c r="J3221">
        <v>56</v>
      </c>
      <c r="K3221">
        <v>1068.03</v>
      </c>
      <c r="L3221">
        <v>59809.46</v>
      </c>
      <c r="M3221">
        <v>36387.29</v>
      </c>
      <c r="N3221">
        <v>4417.1000000000004</v>
      </c>
      <c r="O3221">
        <v>4475.12</v>
      </c>
      <c r="P3221">
        <v>1139.98</v>
      </c>
      <c r="Q3221">
        <v>635.36</v>
      </c>
      <c r="R3221">
        <v>2098.94</v>
      </c>
      <c r="S3221">
        <v>861.39</v>
      </c>
      <c r="T3221">
        <v>50015.18</v>
      </c>
      <c r="U3221">
        <v>23422.17</v>
      </c>
      <c r="V3221">
        <v>9794.2800000000007</v>
      </c>
      <c r="W3221">
        <v>9837.81</v>
      </c>
      <c r="X3221">
        <v>57245.66</v>
      </c>
      <c r="Y3221">
        <v>50286.41</v>
      </c>
    </row>
    <row r="3222" spans="1:25" x14ac:dyDescent="0.25">
      <c r="A3222" t="s">
        <v>3278</v>
      </c>
      <c r="B3222" s="1">
        <v>45825</v>
      </c>
      <c r="C3222">
        <v>2025</v>
      </c>
      <c r="D3222">
        <v>6</v>
      </c>
      <c r="E3222" t="s">
        <v>585</v>
      </c>
      <c r="F3222" t="s">
        <v>358</v>
      </c>
      <c r="G3222" t="s">
        <v>44</v>
      </c>
      <c r="H3222" t="s">
        <v>53</v>
      </c>
      <c r="I3222" t="s">
        <v>30</v>
      </c>
      <c r="J3222">
        <v>54</v>
      </c>
      <c r="K3222">
        <v>1743.63</v>
      </c>
      <c r="L3222">
        <v>94155.99</v>
      </c>
      <c r="M3222">
        <v>54139.07</v>
      </c>
      <c r="N3222">
        <v>10995.39</v>
      </c>
      <c r="O3222">
        <v>3462.5</v>
      </c>
      <c r="P3222">
        <v>2792.25</v>
      </c>
      <c r="Q3222">
        <v>558.22</v>
      </c>
      <c r="R3222">
        <v>5839.23</v>
      </c>
      <c r="S3222">
        <v>925.32</v>
      </c>
      <c r="T3222">
        <v>78711.990000000005</v>
      </c>
      <c r="U3222">
        <v>40016.910000000003</v>
      </c>
      <c r="V3222">
        <v>15444</v>
      </c>
      <c r="W3222">
        <v>13856.96</v>
      </c>
      <c r="X3222">
        <v>100898.11</v>
      </c>
      <c r="Y3222">
        <v>75101.69</v>
      </c>
    </row>
    <row r="3223" spans="1:25" x14ac:dyDescent="0.25">
      <c r="A3223" t="s">
        <v>3279</v>
      </c>
      <c r="B3223" s="1">
        <v>45825</v>
      </c>
      <c r="C3223">
        <v>2025</v>
      </c>
      <c r="D3223">
        <v>6</v>
      </c>
      <c r="E3223" t="s">
        <v>585</v>
      </c>
      <c r="F3223" t="s">
        <v>358</v>
      </c>
      <c r="G3223" t="s">
        <v>44</v>
      </c>
      <c r="H3223" t="s">
        <v>32</v>
      </c>
      <c r="I3223" t="s">
        <v>37</v>
      </c>
      <c r="J3223">
        <v>89</v>
      </c>
      <c r="K3223">
        <v>927.42</v>
      </c>
      <c r="L3223">
        <v>82540.55</v>
      </c>
      <c r="M3223">
        <v>54663.5</v>
      </c>
      <c r="N3223">
        <v>8326.32</v>
      </c>
      <c r="O3223">
        <v>4391.3500000000004</v>
      </c>
      <c r="P3223">
        <v>1312.22</v>
      </c>
      <c r="Q3223">
        <v>533.02</v>
      </c>
      <c r="R3223">
        <v>2364.84</v>
      </c>
      <c r="S3223">
        <v>892.03</v>
      </c>
      <c r="T3223">
        <v>72483.28</v>
      </c>
      <c r="U3223">
        <v>27877.05</v>
      </c>
      <c r="V3223">
        <v>10057.27</v>
      </c>
      <c r="W3223">
        <v>9869.31</v>
      </c>
      <c r="X3223">
        <v>85615.69</v>
      </c>
      <c r="Y3223">
        <v>78364.22</v>
      </c>
    </row>
    <row r="3224" spans="1:25" x14ac:dyDescent="0.25">
      <c r="A3224" t="s">
        <v>3280</v>
      </c>
      <c r="B3224" s="1">
        <v>45825</v>
      </c>
      <c r="C3224">
        <v>2025</v>
      </c>
      <c r="D3224">
        <v>6</v>
      </c>
      <c r="E3224" t="s">
        <v>585</v>
      </c>
      <c r="F3224" t="s">
        <v>358</v>
      </c>
      <c r="G3224" t="s">
        <v>35</v>
      </c>
      <c r="H3224" t="s">
        <v>29</v>
      </c>
      <c r="I3224" t="s">
        <v>37</v>
      </c>
      <c r="J3224">
        <v>50</v>
      </c>
      <c r="K3224">
        <v>1025.95</v>
      </c>
      <c r="L3224">
        <v>51297.69</v>
      </c>
      <c r="M3224">
        <v>30395.119999999999</v>
      </c>
      <c r="N3224">
        <v>3670.67</v>
      </c>
      <c r="O3224">
        <v>1859.06</v>
      </c>
      <c r="P3224">
        <v>1981.56</v>
      </c>
      <c r="Q3224">
        <v>527.54999999999995</v>
      </c>
      <c r="R3224">
        <v>1466.71</v>
      </c>
      <c r="S3224">
        <v>640.87</v>
      </c>
      <c r="T3224">
        <v>40541.54</v>
      </c>
      <c r="U3224">
        <v>20902.57</v>
      </c>
      <c r="V3224">
        <v>10756.15</v>
      </c>
      <c r="W3224">
        <v>9721.64</v>
      </c>
      <c r="X3224">
        <v>51185.13</v>
      </c>
      <c r="Y3224">
        <v>40388.68</v>
      </c>
    </row>
    <row r="3225" spans="1:25" x14ac:dyDescent="0.25">
      <c r="A3225" t="s">
        <v>3281</v>
      </c>
      <c r="B3225" s="1">
        <v>45826</v>
      </c>
      <c r="C3225">
        <v>2025</v>
      </c>
      <c r="D3225">
        <v>6</v>
      </c>
      <c r="E3225" t="s">
        <v>585</v>
      </c>
      <c r="F3225" t="s">
        <v>358</v>
      </c>
      <c r="G3225" t="s">
        <v>35</v>
      </c>
      <c r="H3225" t="s">
        <v>58</v>
      </c>
      <c r="I3225" t="s">
        <v>39</v>
      </c>
      <c r="J3225">
        <v>34</v>
      </c>
      <c r="K3225">
        <v>1138.97</v>
      </c>
      <c r="L3225">
        <v>38725.01</v>
      </c>
      <c r="M3225">
        <v>23798.86</v>
      </c>
      <c r="N3225">
        <v>3082.75</v>
      </c>
      <c r="O3225">
        <v>2804.97</v>
      </c>
      <c r="P3225">
        <v>909.13</v>
      </c>
      <c r="Q3225">
        <v>664.25</v>
      </c>
      <c r="R3225">
        <v>1384.02</v>
      </c>
      <c r="S3225">
        <v>821.15</v>
      </c>
      <c r="T3225">
        <v>33465.129999999997</v>
      </c>
      <c r="U3225">
        <v>14926.16</v>
      </c>
      <c r="V3225">
        <v>5259.88</v>
      </c>
      <c r="W3225">
        <v>4645.05</v>
      </c>
      <c r="X3225">
        <v>37195.21</v>
      </c>
      <c r="Y3225">
        <v>35043.379999999997</v>
      </c>
    </row>
    <row r="3226" spans="1:25" x14ac:dyDescent="0.25">
      <c r="A3226" t="s">
        <v>3282</v>
      </c>
      <c r="B3226" s="1">
        <v>45826</v>
      </c>
      <c r="C3226">
        <v>2025</v>
      </c>
      <c r="D3226">
        <v>6</v>
      </c>
      <c r="E3226" t="s">
        <v>585</v>
      </c>
      <c r="F3226" t="s">
        <v>358</v>
      </c>
      <c r="G3226" t="s">
        <v>55</v>
      </c>
      <c r="H3226" t="s">
        <v>53</v>
      </c>
      <c r="I3226" t="s">
        <v>56</v>
      </c>
      <c r="J3226">
        <v>31</v>
      </c>
      <c r="K3226">
        <v>887.16</v>
      </c>
      <c r="L3226">
        <v>27501.81</v>
      </c>
      <c r="M3226">
        <v>18177.88</v>
      </c>
      <c r="N3226">
        <v>2768.51</v>
      </c>
      <c r="O3226">
        <v>874.79</v>
      </c>
      <c r="P3226">
        <v>1232.0899999999999</v>
      </c>
      <c r="Q3226">
        <v>420</v>
      </c>
      <c r="R3226">
        <v>1350.39</v>
      </c>
      <c r="S3226">
        <v>586.30999999999995</v>
      </c>
      <c r="T3226">
        <v>25409.98</v>
      </c>
      <c r="U3226">
        <v>9323.93</v>
      </c>
      <c r="V3226">
        <v>2091.83</v>
      </c>
      <c r="W3226">
        <v>2109.09</v>
      </c>
      <c r="X3226">
        <v>30684.14</v>
      </c>
      <c r="Y3226">
        <v>26157.48</v>
      </c>
    </row>
    <row r="3227" spans="1:25" x14ac:dyDescent="0.25">
      <c r="A3227" t="s">
        <v>3283</v>
      </c>
      <c r="B3227" s="1">
        <v>45826</v>
      </c>
      <c r="C3227">
        <v>2025</v>
      </c>
      <c r="D3227">
        <v>6</v>
      </c>
      <c r="E3227" t="s">
        <v>585</v>
      </c>
      <c r="F3227" t="s">
        <v>358</v>
      </c>
      <c r="G3227" t="s">
        <v>35</v>
      </c>
      <c r="H3227" t="s">
        <v>32</v>
      </c>
      <c r="I3227" t="s">
        <v>56</v>
      </c>
      <c r="J3227">
        <v>47</v>
      </c>
      <c r="K3227">
        <v>965.59</v>
      </c>
      <c r="L3227">
        <v>45382.81</v>
      </c>
      <c r="M3227">
        <v>25357.74</v>
      </c>
      <c r="N3227">
        <v>5652.29</v>
      </c>
      <c r="O3227">
        <v>1382.28</v>
      </c>
      <c r="P3227">
        <v>1938.31</v>
      </c>
      <c r="Q3227">
        <v>365.95</v>
      </c>
      <c r="R3227">
        <v>1715.73</v>
      </c>
      <c r="S3227">
        <v>676.01</v>
      </c>
      <c r="T3227">
        <v>37088.31</v>
      </c>
      <c r="U3227">
        <v>20025.07</v>
      </c>
      <c r="V3227">
        <v>8294.51</v>
      </c>
      <c r="W3227">
        <v>7790.19</v>
      </c>
      <c r="X3227">
        <v>47369.03</v>
      </c>
      <c r="Y3227">
        <v>35627.99</v>
      </c>
    </row>
    <row r="3228" spans="1:25" x14ac:dyDescent="0.25">
      <c r="A3228" t="s">
        <v>3284</v>
      </c>
      <c r="B3228" s="1">
        <v>45826</v>
      </c>
      <c r="C3228">
        <v>2025</v>
      </c>
      <c r="D3228">
        <v>6</v>
      </c>
      <c r="E3228" t="s">
        <v>585</v>
      </c>
      <c r="F3228" t="s">
        <v>358</v>
      </c>
      <c r="G3228" t="s">
        <v>44</v>
      </c>
      <c r="H3228" t="s">
        <v>58</v>
      </c>
      <c r="I3228" t="s">
        <v>56</v>
      </c>
      <c r="J3228">
        <v>33</v>
      </c>
      <c r="K3228">
        <v>817.14</v>
      </c>
      <c r="L3228">
        <v>26965.71</v>
      </c>
      <c r="M3228">
        <v>14472.33</v>
      </c>
      <c r="N3228">
        <v>2427.16</v>
      </c>
      <c r="O3228">
        <v>806.54</v>
      </c>
      <c r="P3228">
        <v>722.49</v>
      </c>
      <c r="Q3228">
        <v>212.59</v>
      </c>
      <c r="R3228">
        <v>1517.63</v>
      </c>
      <c r="S3228">
        <v>324.19</v>
      </c>
      <c r="T3228">
        <v>20482.919999999998</v>
      </c>
      <c r="U3228">
        <v>12493.38</v>
      </c>
      <c r="V3228">
        <v>6482.78</v>
      </c>
      <c r="W3228">
        <v>5832.19</v>
      </c>
      <c r="X3228">
        <v>27694.77</v>
      </c>
      <c r="Y3228">
        <v>20027.82</v>
      </c>
    </row>
    <row r="3229" spans="1:25" x14ac:dyDescent="0.25">
      <c r="A3229" t="s">
        <v>3285</v>
      </c>
      <c r="B3229" s="1">
        <v>45826</v>
      </c>
      <c r="C3229">
        <v>2025</v>
      </c>
      <c r="D3229">
        <v>6</v>
      </c>
      <c r="E3229" t="s">
        <v>585</v>
      </c>
      <c r="F3229" t="s">
        <v>358</v>
      </c>
      <c r="G3229" t="s">
        <v>35</v>
      </c>
      <c r="H3229" t="s">
        <v>29</v>
      </c>
      <c r="I3229" t="s">
        <v>30</v>
      </c>
      <c r="J3229">
        <v>79</v>
      </c>
      <c r="K3229">
        <v>921.16</v>
      </c>
      <c r="L3229">
        <v>72771.27</v>
      </c>
      <c r="M3229">
        <v>48021.440000000002</v>
      </c>
      <c r="N3229">
        <v>6614.91</v>
      </c>
      <c r="O3229">
        <v>3507.17</v>
      </c>
      <c r="P3229">
        <v>1255.08</v>
      </c>
      <c r="Q3229">
        <v>1267.4100000000001</v>
      </c>
      <c r="R3229">
        <v>3169.15</v>
      </c>
      <c r="S3229">
        <v>1457.12</v>
      </c>
      <c r="T3229">
        <v>65292.28</v>
      </c>
      <c r="U3229">
        <v>24749.82</v>
      </c>
      <c r="V3229">
        <v>7478.99</v>
      </c>
      <c r="W3229">
        <v>6791.37</v>
      </c>
      <c r="X3229">
        <v>78341.59</v>
      </c>
      <c r="Y3229">
        <v>69355.48</v>
      </c>
    </row>
    <row r="3230" spans="1:25" x14ac:dyDescent="0.25">
      <c r="A3230" t="s">
        <v>3286</v>
      </c>
      <c r="B3230" s="1">
        <v>45826</v>
      </c>
      <c r="C3230">
        <v>2025</v>
      </c>
      <c r="D3230">
        <v>6</v>
      </c>
      <c r="E3230" t="s">
        <v>585</v>
      </c>
      <c r="F3230" t="s">
        <v>358</v>
      </c>
      <c r="G3230" t="s">
        <v>28</v>
      </c>
      <c r="H3230" t="s">
        <v>32</v>
      </c>
      <c r="I3230" t="s">
        <v>65</v>
      </c>
      <c r="J3230">
        <v>90</v>
      </c>
      <c r="K3230">
        <v>856.13</v>
      </c>
      <c r="L3230">
        <v>77051.75</v>
      </c>
      <c r="M3230">
        <v>50141.1</v>
      </c>
      <c r="N3230">
        <v>7310.02</v>
      </c>
      <c r="O3230">
        <v>2575.86</v>
      </c>
      <c r="P3230">
        <v>3291.92</v>
      </c>
      <c r="Q3230">
        <v>534.86</v>
      </c>
      <c r="R3230">
        <v>3599.5</v>
      </c>
      <c r="S3230">
        <v>1078.07</v>
      </c>
      <c r="T3230">
        <v>68531.33</v>
      </c>
      <c r="U3230">
        <v>26910.65</v>
      </c>
      <c r="V3230">
        <v>8520.42</v>
      </c>
      <c r="W3230">
        <v>8272.77</v>
      </c>
      <c r="X3230">
        <v>80348.58</v>
      </c>
      <c r="Y3230">
        <v>72878.67</v>
      </c>
    </row>
    <row r="3231" spans="1:25" x14ac:dyDescent="0.25">
      <c r="A3231" t="s">
        <v>3287</v>
      </c>
      <c r="B3231" s="1">
        <v>45827</v>
      </c>
      <c r="C3231">
        <v>2025</v>
      </c>
      <c r="D3231">
        <v>6</v>
      </c>
      <c r="E3231" t="s">
        <v>585</v>
      </c>
      <c r="F3231" t="s">
        <v>358</v>
      </c>
      <c r="G3231" t="s">
        <v>35</v>
      </c>
      <c r="H3231" t="s">
        <v>36</v>
      </c>
      <c r="I3231" t="s">
        <v>30</v>
      </c>
      <c r="J3231">
        <v>82</v>
      </c>
      <c r="K3231">
        <v>912.27</v>
      </c>
      <c r="L3231">
        <v>74806.009999999995</v>
      </c>
      <c r="M3231">
        <v>49332.49</v>
      </c>
      <c r="N3231">
        <v>6246.83</v>
      </c>
      <c r="O3231">
        <v>4208.82</v>
      </c>
      <c r="P3231">
        <v>1123.47</v>
      </c>
      <c r="Q3231">
        <v>940.64</v>
      </c>
      <c r="R3231">
        <v>2965.16</v>
      </c>
      <c r="S3231">
        <v>615.30999999999995</v>
      </c>
      <c r="T3231">
        <v>65432.72</v>
      </c>
      <c r="U3231">
        <v>25473.52</v>
      </c>
      <c r="V3231">
        <v>9373.2900000000009</v>
      </c>
      <c r="W3231">
        <v>9313.7999999999993</v>
      </c>
      <c r="X3231">
        <v>80924.570000000007</v>
      </c>
      <c r="Y3231">
        <v>64207.63</v>
      </c>
    </row>
    <row r="3232" spans="1:25" x14ac:dyDescent="0.25">
      <c r="A3232" t="s">
        <v>3288</v>
      </c>
      <c r="B3232" s="1">
        <v>45827</v>
      </c>
      <c r="C3232">
        <v>2025</v>
      </c>
      <c r="D3232">
        <v>6</v>
      </c>
      <c r="E3232" t="s">
        <v>585</v>
      </c>
      <c r="F3232" t="s">
        <v>358</v>
      </c>
      <c r="G3232" t="s">
        <v>44</v>
      </c>
      <c r="H3232" t="s">
        <v>36</v>
      </c>
      <c r="I3232" t="s">
        <v>65</v>
      </c>
      <c r="J3232">
        <v>68</v>
      </c>
      <c r="K3232">
        <v>1020.63</v>
      </c>
      <c r="L3232">
        <v>69403.17</v>
      </c>
      <c r="M3232">
        <v>37480.94</v>
      </c>
      <c r="N3232">
        <v>5988.65</v>
      </c>
      <c r="O3232">
        <v>3007.52</v>
      </c>
      <c r="P3232">
        <v>1722.78</v>
      </c>
      <c r="Q3232">
        <v>786.6</v>
      </c>
      <c r="R3232">
        <v>4014.49</v>
      </c>
      <c r="S3232">
        <v>1102.49</v>
      </c>
      <c r="T3232">
        <v>54103.46</v>
      </c>
      <c r="U3232">
        <v>31922.23</v>
      </c>
      <c r="V3232">
        <v>15299.71</v>
      </c>
      <c r="W3232">
        <v>14084.28</v>
      </c>
      <c r="X3232">
        <v>68873.19</v>
      </c>
      <c r="Y3232">
        <v>51021.09</v>
      </c>
    </row>
    <row r="3233" spans="1:25" x14ac:dyDescent="0.25">
      <c r="A3233" t="s">
        <v>3289</v>
      </c>
      <c r="B3233" s="1">
        <v>45828</v>
      </c>
      <c r="C3233">
        <v>2025</v>
      </c>
      <c r="D3233">
        <v>6</v>
      </c>
      <c r="E3233" t="s">
        <v>585</v>
      </c>
      <c r="F3233" t="s">
        <v>358</v>
      </c>
      <c r="G3233" t="s">
        <v>44</v>
      </c>
      <c r="H3233" t="s">
        <v>53</v>
      </c>
      <c r="I3233" t="s">
        <v>65</v>
      </c>
      <c r="J3233">
        <v>55</v>
      </c>
      <c r="K3233">
        <v>802.59</v>
      </c>
      <c r="L3233">
        <v>44142.7</v>
      </c>
      <c r="M3233">
        <v>25583.32</v>
      </c>
      <c r="N3233">
        <v>4369.03</v>
      </c>
      <c r="O3233">
        <v>1406.76</v>
      </c>
      <c r="P3233">
        <v>781.76</v>
      </c>
      <c r="Q3233">
        <v>275</v>
      </c>
      <c r="R3233">
        <v>2064.94</v>
      </c>
      <c r="S3233">
        <v>676.21</v>
      </c>
      <c r="T3233">
        <v>35157.019999999997</v>
      </c>
      <c r="U3233">
        <v>18559.39</v>
      </c>
      <c r="V3233">
        <v>8985.68</v>
      </c>
      <c r="W3233">
        <v>8537.86</v>
      </c>
      <c r="X3233">
        <v>44028.51</v>
      </c>
      <c r="Y3233">
        <v>37816.660000000003</v>
      </c>
    </row>
    <row r="3234" spans="1:25" x14ac:dyDescent="0.25">
      <c r="A3234" t="s">
        <v>3290</v>
      </c>
      <c r="B3234" s="1">
        <v>45828</v>
      </c>
      <c r="C3234">
        <v>2025</v>
      </c>
      <c r="D3234">
        <v>6</v>
      </c>
      <c r="E3234" t="s">
        <v>585</v>
      </c>
      <c r="F3234" t="s">
        <v>358</v>
      </c>
      <c r="G3234" t="s">
        <v>44</v>
      </c>
      <c r="H3234" t="s">
        <v>36</v>
      </c>
      <c r="I3234" t="s">
        <v>56</v>
      </c>
      <c r="J3234">
        <v>18</v>
      </c>
      <c r="K3234">
        <v>1410.67</v>
      </c>
      <c r="L3234">
        <v>25392.12</v>
      </c>
      <c r="M3234">
        <v>14408.58</v>
      </c>
      <c r="N3234">
        <v>2227.7800000000002</v>
      </c>
      <c r="O3234">
        <v>1160.22</v>
      </c>
      <c r="P3234">
        <v>1103.6099999999999</v>
      </c>
      <c r="Q3234">
        <v>230.33</v>
      </c>
      <c r="R3234">
        <v>1349.46</v>
      </c>
      <c r="S3234">
        <v>625.07000000000005</v>
      </c>
      <c r="T3234">
        <v>21105.06</v>
      </c>
      <c r="U3234">
        <v>10983.54</v>
      </c>
      <c r="V3234">
        <v>4287.0600000000004</v>
      </c>
      <c r="W3234">
        <v>3918.1</v>
      </c>
      <c r="X3234">
        <v>25885.52</v>
      </c>
      <c r="Y3234">
        <v>21650.17</v>
      </c>
    </row>
    <row r="3235" spans="1:25" x14ac:dyDescent="0.25">
      <c r="A3235" t="s">
        <v>3291</v>
      </c>
      <c r="B3235" s="1">
        <v>45828</v>
      </c>
      <c r="C3235">
        <v>2025</v>
      </c>
      <c r="D3235">
        <v>6</v>
      </c>
      <c r="E3235" t="s">
        <v>585</v>
      </c>
      <c r="F3235" t="s">
        <v>358</v>
      </c>
      <c r="G3235" t="s">
        <v>28</v>
      </c>
      <c r="H3235" t="s">
        <v>32</v>
      </c>
      <c r="I3235" t="s">
        <v>50</v>
      </c>
      <c r="J3235">
        <v>39</v>
      </c>
      <c r="K3235">
        <v>1699.39</v>
      </c>
      <c r="L3235">
        <v>66276.28</v>
      </c>
      <c r="M3235">
        <v>42001.51</v>
      </c>
      <c r="N3235">
        <v>7731.48</v>
      </c>
      <c r="O3235">
        <v>4930.59</v>
      </c>
      <c r="P3235">
        <v>1658.88</v>
      </c>
      <c r="Q3235">
        <v>431.68</v>
      </c>
      <c r="R3235">
        <v>3223.86</v>
      </c>
      <c r="S3235">
        <v>1419.22</v>
      </c>
      <c r="T3235">
        <v>61397.21</v>
      </c>
      <c r="U3235">
        <v>24274.77</v>
      </c>
      <c r="V3235">
        <v>4879.07</v>
      </c>
      <c r="W3235">
        <v>4419.59</v>
      </c>
      <c r="X3235">
        <v>63337.25</v>
      </c>
      <c r="Y3235">
        <v>64528.23</v>
      </c>
    </row>
    <row r="3236" spans="1:25" x14ac:dyDescent="0.25">
      <c r="A3236" t="s">
        <v>3292</v>
      </c>
      <c r="B3236" s="1">
        <v>45828</v>
      </c>
      <c r="C3236">
        <v>2025</v>
      </c>
      <c r="D3236">
        <v>6</v>
      </c>
      <c r="E3236" t="s">
        <v>585</v>
      </c>
      <c r="F3236" t="s">
        <v>358</v>
      </c>
      <c r="G3236" t="s">
        <v>55</v>
      </c>
      <c r="H3236" t="s">
        <v>36</v>
      </c>
      <c r="I3236" t="s">
        <v>45</v>
      </c>
      <c r="J3236">
        <v>29</v>
      </c>
      <c r="K3236">
        <v>1292.79</v>
      </c>
      <c r="L3236">
        <v>37491</v>
      </c>
      <c r="M3236">
        <v>24817.94</v>
      </c>
      <c r="N3236">
        <v>4457.1899999999996</v>
      </c>
      <c r="O3236">
        <v>2414.4899999999998</v>
      </c>
      <c r="P3236">
        <v>794.77</v>
      </c>
      <c r="Q3236">
        <v>188.18</v>
      </c>
      <c r="R3236">
        <v>1703.78</v>
      </c>
      <c r="S3236">
        <v>599.38</v>
      </c>
      <c r="T3236">
        <v>34975.74</v>
      </c>
      <c r="U3236">
        <v>12673.05</v>
      </c>
      <c r="V3236">
        <v>2515.25</v>
      </c>
      <c r="W3236">
        <v>2296.31</v>
      </c>
      <c r="X3236">
        <v>34505.31</v>
      </c>
      <c r="Y3236">
        <v>37804.959999999999</v>
      </c>
    </row>
    <row r="3237" spans="1:25" x14ac:dyDescent="0.25">
      <c r="A3237" t="s">
        <v>3293</v>
      </c>
      <c r="B3237" s="1">
        <v>45828</v>
      </c>
      <c r="C3237">
        <v>2025</v>
      </c>
      <c r="D3237">
        <v>6</v>
      </c>
      <c r="E3237" t="s">
        <v>585</v>
      </c>
      <c r="F3237" t="s">
        <v>358</v>
      </c>
      <c r="G3237" t="s">
        <v>44</v>
      </c>
      <c r="H3237" t="s">
        <v>36</v>
      </c>
      <c r="I3237" t="s">
        <v>56</v>
      </c>
      <c r="J3237">
        <v>21</v>
      </c>
      <c r="K3237">
        <v>1784.06</v>
      </c>
      <c r="L3237">
        <v>37465.17</v>
      </c>
      <c r="M3237">
        <v>20576.45</v>
      </c>
      <c r="N3237">
        <v>3019.5</v>
      </c>
      <c r="O3237">
        <v>1076.57</v>
      </c>
      <c r="P3237">
        <v>730.1</v>
      </c>
      <c r="Q3237">
        <v>630.47</v>
      </c>
      <c r="R3237">
        <v>1076.19</v>
      </c>
      <c r="S3237">
        <v>637.57000000000005</v>
      </c>
      <c r="T3237">
        <v>27746.85</v>
      </c>
      <c r="U3237">
        <v>16888.72</v>
      </c>
      <c r="V3237">
        <v>9718.32</v>
      </c>
      <c r="W3237">
        <v>9189.67</v>
      </c>
      <c r="X3237">
        <v>39659.78</v>
      </c>
      <c r="Y3237">
        <v>29092.62</v>
      </c>
    </row>
    <row r="3238" spans="1:25" x14ac:dyDescent="0.25">
      <c r="A3238" t="s">
        <v>3294</v>
      </c>
      <c r="B3238" s="1">
        <v>45829</v>
      </c>
      <c r="C3238">
        <v>2025</v>
      </c>
      <c r="D3238">
        <v>6</v>
      </c>
      <c r="E3238" t="s">
        <v>585</v>
      </c>
      <c r="F3238" t="s">
        <v>358</v>
      </c>
      <c r="G3238" t="s">
        <v>28</v>
      </c>
      <c r="H3238" t="s">
        <v>32</v>
      </c>
      <c r="I3238" t="s">
        <v>33</v>
      </c>
      <c r="J3238">
        <v>56</v>
      </c>
      <c r="K3238">
        <v>1322.81</v>
      </c>
      <c r="L3238">
        <v>74077.490000000005</v>
      </c>
      <c r="M3238">
        <v>40344.75</v>
      </c>
      <c r="N3238">
        <v>7581.11</v>
      </c>
      <c r="O3238">
        <v>3510.9</v>
      </c>
      <c r="P3238">
        <v>2660.74</v>
      </c>
      <c r="Q3238">
        <v>1226.8800000000001</v>
      </c>
      <c r="R3238">
        <v>4594.6400000000003</v>
      </c>
      <c r="S3238">
        <v>815.09</v>
      </c>
      <c r="T3238">
        <v>60734.11</v>
      </c>
      <c r="U3238">
        <v>33732.74</v>
      </c>
      <c r="V3238">
        <v>13343.38</v>
      </c>
      <c r="W3238">
        <v>11868.41</v>
      </c>
      <c r="X3238">
        <v>72962.070000000007</v>
      </c>
      <c r="Y3238">
        <v>63062.45</v>
      </c>
    </row>
    <row r="3239" spans="1:25" x14ac:dyDescent="0.25">
      <c r="A3239" t="s">
        <v>3295</v>
      </c>
      <c r="B3239" s="1">
        <v>45829</v>
      </c>
      <c r="C3239">
        <v>2025</v>
      </c>
      <c r="D3239">
        <v>6</v>
      </c>
      <c r="E3239" t="s">
        <v>585</v>
      </c>
      <c r="F3239" t="s">
        <v>358</v>
      </c>
      <c r="G3239" t="s">
        <v>55</v>
      </c>
      <c r="H3239" t="s">
        <v>32</v>
      </c>
      <c r="I3239" t="s">
        <v>65</v>
      </c>
      <c r="J3239">
        <v>65</v>
      </c>
      <c r="K3239">
        <v>1285.19</v>
      </c>
      <c r="L3239">
        <v>83537.399999999994</v>
      </c>
      <c r="M3239">
        <v>49890.9</v>
      </c>
      <c r="N3239">
        <v>7746.59</v>
      </c>
      <c r="O3239">
        <v>5339.49</v>
      </c>
      <c r="P3239">
        <v>3289.26</v>
      </c>
      <c r="Q3239">
        <v>695.9</v>
      </c>
      <c r="R3239">
        <v>3323.8</v>
      </c>
      <c r="S3239">
        <v>1445.77</v>
      </c>
      <c r="T3239">
        <v>71731.710000000006</v>
      </c>
      <c r="U3239">
        <v>33646.5</v>
      </c>
      <c r="V3239">
        <v>11805.68</v>
      </c>
      <c r="W3239">
        <v>11195.84</v>
      </c>
      <c r="X3239">
        <v>89515.11</v>
      </c>
      <c r="Y3239">
        <v>67522.320000000007</v>
      </c>
    </row>
    <row r="3240" spans="1:25" x14ac:dyDescent="0.25">
      <c r="A3240" t="s">
        <v>3296</v>
      </c>
      <c r="B3240" s="1">
        <v>45829</v>
      </c>
      <c r="C3240">
        <v>2025</v>
      </c>
      <c r="D3240">
        <v>6</v>
      </c>
      <c r="E3240" t="s">
        <v>585</v>
      </c>
      <c r="F3240" t="s">
        <v>358</v>
      </c>
      <c r="G3240" t="s">
        <v>44</v>
      </c>
      <c r="H3240" t="s">
        <v>29</v>
      </c>
      <c r="I3240" t="s">
        <v>65</v>
      </c>
      <c r="J3240">
        <v>50</v>
      </c>
      <c r="K3240">
        <v>1064.97</v>
      </c>
      <c r="L3240">
        <v>53248.34</v>
      </c>
      <c r="M3240">
        <v>34039.29</v>
      </c>
      <c r="N3240">
        <v>6324.51</v>
      </c>
      <c r="O3240">
        <v>2898.8</v>
      </c>
      <c r="P3240">
        <v>2329.67</v>
      </c>
      <c r="Q3240">
        <v>916.87</v>
      </c>
      <c r="R3240">
        <v>2068.9299999999998</v>
      </c>
      <c r="S3240">
        <v>664.6</v>
      </c>
      <c r="T3240">
        <v>49242.67</v>
      </c>
      <c r="U3240">
        <v>19209.05</v>
      </c>
      <c r="V3240">
        <v>4005.67</v>
      </c>
      <c r="W3240">
        <v>3940.07</v>
      </c>
      <c r="X3240">
        <v>58885.74</v>
      </c>
      <c r="Y3240">
        <v>51094.1</v>
      </c>
    </row>
    <row r="3241" spans="1:25" x14ac:dyDescent="0.25">
      <c r="A3241" t="s">
        <v>3297</v>
      </c>
      <c r="B3241" s="1">
        <v>45829</v>
      </c>
      <c r="C3241">
        <v>2025</v>
      </c>
      <c r="D3241">
        <v>6</v>
      </c>
      <c r="E3241" t="s">
        <v>585</v>
      </c>
      <c r="F3241" t="s">
        <v>358</v>
      </c>
      <c r="G3241" t="s">
        <v>28</v>
      </c>
      <c r="H3241" t="s">
        <v>32</v>
      </c>
      <c r="I3241" t="s">
        <v>45</v>
      </c>
      <c r="J3241">
        <v>55</v>
      </c>
      <c r="K3241">
        <v>1181.9100000000001</v>
      </c>
      <c r="L3241">
        <v>65005.03</v>
      </c>
      <c r="M3241">
        <v>38923.47</v>
      </c>
      <c r="N3241">
        <v>6907.66</v>
      </c>
      <c r="O3241">
        <v>2379.91</v>
      </c>
      <c r="P3241">
        <v>1282.95</v>
      </c>
      <c r="Q3241">
        <v>343.77</v>
      </c>
      <c r="R3241">
        <v>2079.69</v>
      </c>
      <c r="S3241">
        <v>1549.61</v>
      </c>
      <c r="T3241">
        <v>53467.06</v>
      </c>
      <c r="U3241">
        <v>26081.56</v>
      </c>
      <c r="V3241">
        <v>11537.98</v>
      </c>
      <c r="W3241">
        <v>11506.97</v>
      </c>
      <c r="X3241">
        <v>71120.800000000003</v>
      </c>
      <c r="Y3241">
        <v>56949.34</v>
      </c>
    </row>
    <row r="3242" spans="1:25" x14ac:dyDescent="0.25">
      <c r="A3242" t="s">
        <v>3298</v>
      </c>
      <c r="B3242" s="1">
        <v>45829</v>
      </c>
      <c r="C3242">
        <v>2025</v>
      </c>
      <c r="D3242">
        <v>6</v>
      </c>
      <c r="E3242" t="s">
        <v>585</v>
      </c>
      <c r="F3242" t="s">
        <v>358</v>
      </c>
      <c r="G3242" t="s">
        <v>28</v>
      </c>
      <c r="H3242" t="s">
        <v>32</v>
      </c>
      <c r="I3242" t="s">
        <v>65</v>
      </c>
      <c r="J3242">
        <v>73</v>
      </c>
      <c r="K3242">
        <v>1268.68</v>
      </c>
      <c r="L3242">
        <v>92613.41</v>
      </c>
      <c r="M3242">
        <v>53048.91</v>
      </c>
      <c r="N3242">
        <v>10441.18</v>
      </c>
      <c r="O3242">
        <v>6159.56</v>
      </c>
      <c r="P3242">
        <v>2647.74</v>
      </c>
      <c r="Q3242">
        <v>717.48</v>
      </c>
      <c r="R3242">
        <v>4437.13</v>
      </c>
      <c r="S3242">
        <v>1307.47</v>
      </c>
      <c r="T3242">
        <v>78759.48</v>
      </c>
      <c r="U3242">
        <v>39564.5</v>
      </c>
      <c r="V3242">
        <v>13853.94</v>
      </c>
      <c r="W3242">
        <v>12883.6</v>
      </c>
      <c r="X3242">
        <v>97552.44</v>
      </c>
      <c r="Y3242">
        <v>75535.63</v>
      </c>
    </row>
    <row r="3243" spans="1:25" x14ac:dyDescent="0.25">
      <c r="A3243" t="s">
        <v>3299</v>
      </c>
      <c r="B3243" s="1">
        <v>45830</v>
      </c>
      <c r="C3243">
        <v>2025</v>
      </c>
      <c r="D3243">
        <v>6</v>
      </c>
      <c r="E3243" t="s">
        <v>585</v>
      </c>
      <c r="F3243" t="s">
        <v>358</v>
      </c>
      <c r="G3243" t="s">
        <v>28</v>
      </c>
      <c r="H3243" t="s">
        <v>36</v>
      </c>
      <c r="I3243" t="s">
        <v>30</v>
      </c>
      <c r="J3243">
        <v>59</v>
      </c>
      <c r="K3243">
        <v>1668.63</v>
      </c>
      <c r="L3243">
        <v>98448.89</v>
      </c>
      <c r="M3243">
        <v>50765.83</v>
      </c>
      <c r="N3243">
        <v>7085.25</v>
      </c>
      <c r="O3243">
        <v>5236.62</v>
      </c>
      <c r="P3243">
        <v>3967.92</v>
      </c>
      <c r="Q3243">
        <v>1296.97</v>
      </c>
      <c r="R3243">
        <v>2840.54</v>
      </c>
      <c r="S3243">
        <v>2193.64</v>
      </c>
      <c r="T3243">
        <v>73386.77</v>
      </c>
      <c r="U3243">
        <v>47683.07</v>
      </c>
      <c r="V3243">
        <v>25062.12</v>
      </c>
      <c r="W3243">
        <v>24403.26</v>
      </c>
      <c r="X3243">
        <v>93426.38</v>
      </c>
      <c r="Y3243">
        <v>71992.78</v>
      </c>
    </row>
    <row r="3244" spans="1:25" x14ac:dyDescent="0.25">
      <c r="A3244" t="s">
        <v>3300</v>
      </c>
      <c r="B3244" s="1">
        <v>45830</v>
      </c>
      <c r="C3244">
        <v>2025</v>
      </c>
      <c r="D3244">
        <v>6</v>
      </c>
      <c r="E3244" t="s">
        <v>585</v>
      </c>
      <c r="F3244" t="s">
        <v>358</v>
      </c>
      <c r="G3244" t="s">
        <v>28</v>
      </c>
      <c r="H3244" t="s">
        <v>32</v>
      </c>
      <c r="I3244" t="s">
        <v>45</v>
      </c>
      <c r="J3244">
        <v>54</v>
      </c>
      <c r="K3244">
        <v>1134.3399999999999</v>
      </c>
      <c r="L3244">
        <v>61254.42</v>
      </c>
      <c r="M3244">
        <v>33062.54</v>
      </c>
      <c r="N3244">
        <v>7148.63</v>
      </c>
      <c r="O3244">
        <v>3430.72</v>
      </c>
      <c r="P3244">
        <v>1135.8800000000001</v>
      </c>
      <c r="Q3244">
        <v>519.47</v>
      </c>
      <c r="R3244">
        <v>2170.31</v>
      </c>
      <c r="S3244">
        <v>1284.5899999999999</v>
      </c>
      <c r="T3244">
        <v>48752.14</v>
      </c>
      <c r="U3244">
        <v>28191.87</v>
      </c>
      <c r="V3244">
        <v>12502.27</v>
      </c>
      <c r="W3244">
        <v>11683.67</v>
      </c>
      <c r="X3244">
        <v>61206.96</v>
      </c>
      <c r="Y3244">
        <v>51488.54</v>
      </c>
    </row>
    <row r="3245" spans="1:25" x14ac:dyDescent="0.25">
      <c r="A3245" t="s">
        <v>3301</v>
      </c>
      <c r="B3245" s="1">
        <v>45830</v>
      </c>
      <c r="C3245">
        <v>2025</v>
      </c>
      <c r="D3245">
        <v>6</v>
      </c>
      <c r="E3245" t="s">
        <v>585</v>
      </c>
      <c r="F3245" t="s">
        <v>358</v>
      </c>
      <c r="G3245" t="s">
        <v>28</v>
      </c>
      <c r="H3245" t="s">
        <v>58</v>
      </c>
      <c r="I3245" t="s">
        <v>37</v>
      </c>
      <c r="J3245">
        <v>36</v>
      </c>
      <c r="K3245">
        <v>1503.11</v>
      </c>
      <c r="L3245">
        <v>54111.86</v>
      </c>
      <c r="M3245">
        <v>36447.279999999999</v>
      </c>
      <c r="N3245">
        <v>6154.33</v>
      </c>
      <c r="O3245">
        <v>3951.6</v>
      </c>
      <c r="P3245">
        <v>1076.5899999999999</v>
      </c>
      <c r="Q3245">
        <v>970.53</v>
      </c>
      <c r="R3245">
        <v>2031.4</v>
      </c>
      <c r="S3245">
        <v>1279.3900000000001</v>
      </c>
      <c r="T3245">
        <v>51911.13</v>
      </c>
      <c r="U3245">
        <v>17664.580000000002</v>
      </c>
      <c r="V3245">
        <v>2200.73</v>
      </c>
      <c r="W3245">
        <v>1978.59</v>
      </c>
      <c r="X3245">
        <v>55905.81</v>
      </c>
      <c r="Y3245">
        <v>53819.6</v>
      </c>
    </row>
    <row r="3246" spans="1:25" x14ac:dyDescent="0.25">
      <c r="A3246" t="s">
        <v>3302</v>
      </c>
      <c r="B3246" s="1">
        <v>45831</v>
      </c>
      <c r="C3246">
        <v>2025</v>
      </c>
      <c r="D3246">
        <v>6</v>
      </c>
      <c r="E3246" t="s">
        <v>585</v>
      </c>
      <c r="F3246" t="s">
        <v>358</v>
      </c>
      <c r="G3246" t="s">
        <v>28</v>
      </c>
      <c r="H3246" t="s">
        <v>29</v>
      </c>
      <c r="I3246" t="s">
        <v>50</v>
      </c>
      <c r="J3246">
        <v>28</v>
      </c>
      <c r="K3246">
        <v>1551.72</v>
      </c>
      <c r="L3246">
        <v>43448.03</v>
      </c>
      <c r="M3246">
        <v>27246.720000000001</v>
      </c>
      <c r="N3246">
        <v>4336.08</v>
      </c>
      <c r="O3246">
        <v>1668.46</v>
      </c>
      <c r="P3246">
        <v>1614.15</v>
      </c>
      <c r="Q3246">
        <v>643.6</v>
      </c>
      <c r="R3246">
        <v>2745.28</v>
      </c>
      <c r="S3246">
        <v>1054.1500000000001</v>
      </c>
      <c r="T3246">
        <v>39308.44</v>
      </c>
      <c r="U3246">
        <v>16201.31</v>
      </c>
      <c r="V3246">
        <v>4139.59</v>
      </c>
      <c r="W3246">
        <v>3743.51</v>
      </c>
      <c r="X3246">
        <v>41835.86</v>
      </c>
      <c r="Y3246">
        <v>36876.57</v>
      </c>
    </row>
    <row r="3247" spans="1:25" x14ac:dyDescent="0.25">
      <c r="A3247" t="s">
        <v>3303</v>
      </c>
      <c r="B3247" s="1">
        <v>45831</v>
      </c>
      <c r="C3247">
        <v>2025</v>
      </c>
      <c r="D3247">
        <v>6</v>
      </c>
      <c r="E3247" t="s">
        <v>585</v>
      </c>
      <c r="F3247" t="s">
        <v>358</v>
      </c>
      <c r="G3247" t="s">
        <v>44</v>
      </c>
      <c r="H3247" t="s">
        <v>36</v>
      </c>
      <c r="I3247" t="s">
        <v>33</v>
      </c>
      <c r="J3247">
        <v>78</v>
      </c>
      <c r="K3247">
        <v>907.67</v>
      </c>
      <c r="L3247">
        <v>70797.960000000006</v>
      </c>
      <c r="M3247">
        <v>35254.82</v>
      </c>
      <c r="N3247">
        <v>6372.85</v>
      </c>
      <c r="O3247">
        <v>2302.69</v>
      </c>
      <c r="P3247">
        <v>2819.4</v>
      </c>
      <c r="Q3247">
        <v>519.23</v>
      </c>
      <c r="R3247">
        <v>3551.87</v>
      </c>
      <c r="S3247">
        <v>1729.8</v>
      </c>
      <c r="T3247">
        <v>52550.66</v>
      </c>
      <c r="U3247">
        <v>35543.14</v>
      </c>
      <c r="V3247">
        <v>18247.3</v>
      </c>
      <c r="W3247">
        <v>16157.76</v>
      </c>
      <c r="X3247">
        <v>77037.22</v>
      </c>
      <c r="Y3247">
        <v>48890.55</v>
      </c>
    </row>
    <row r="3248" spans="1:25" x14ac:dyDescent="0.25">
      <c r="A3248" t="s">
        <v>3304</v>
      </c>
      <c r="B3248" s="1">
        <v>45831</v>
      </c>
      <c r="C3248">
        <v>2025</v>
      </c>
      <c r="D3248">
        <v>6</v>
      </c>
      <c r="E3248" t="s">
        <v>585</v>
      </c>
      <c r="F3248" t="s">
        <v>358</v>
      </c>
      <c r="G3248" t="s">
        <v>35</v>
      </c>
      <c r="H3248" t="s">
        <v>32</v>
      </c>
      <c r="I3248" t="s">
        <v>33</v>
      </c>
      <c r="J3248">
        <v>55</v>
      </c>
      <c r="K3248">
        <v>1601.92</v>
      </c>
      <c r="L3248">
        <v>88105.83</v>
      </c>
      <c r="M3248">
        <v>48177.65</v>
      </c>
      <c r="N3248">
        <v>6516.29</v>
      </c>
      <c r="O3248">
        <v>5146.26</v>
      </c>
      <c r="P3248">
        <v>3190.05</v>
      </c>
      <c r="Q3248">
        <v>764.6</v>
      </c>
      <c r="R3248">
        <v>2517.9699999999998</v>
      </c>
      <c r="S3248">
        <v>1658.89</v>
      </c>
      <c r="T3248">
        <v>67971.7</v>
      </c>
      <c r="U3248">
        <v>39928.18</v>
      </c>
      <c r="V3248">
        <v>20134.12</v>
      </c>
      <c r="W3248">
        <v>19976.830000000002</v>
      </c>
      <c r="X3248">
        <v>83737.64</v>
      </c>
      <c r="Y3248">
        <v>69375.259999999995</v>
      </c>
    </row>
    <row r="3249" spans="1:25" x14ac:dyDescent="0.25">
      <c r="A3249" t="s">
        <v>3305</v>
      </c>
      <c r="B3249" s="1">
        <v>45832</v>
      </c>
      <c r="C3249">
        <v>2025</v>
      </c>
      <c r="D3249">
        <v>6</v>
      </c>
      <c r="E3249" t="s">
        <v>585</v>
      </c>
      <c r="F3249" t="s">
        <v>358</v>
      </c>
      <c r="G3249" t="s">
        <v>55</v>
      </c>
      <c r="H3249" t="s">
        <v>36</v>
      </c>
      <c r="I3249" t="s">
        <v>50</v>
      </c>
      <c r="J3249">
        <v>37</v>
      </c>
      <c r="K3249">
        <v>1450.39</v>
      </c>
      <c r="L3249">
        <v>53664.3</v>
      </c>
      <c r="M3249">
        <v>36079.360000000001</v>
      </c>
      <c r="N3249">
        <v>5825.5</v>
      </c>
      <c r="O3249">
        <v>3757.36</v>
      </c>
      <c r="P3249">
        <v>1772.27</v>
      </c>
      <c r="Q3249">
        <v>439.94</v>
      </c>
      <c r="R3249">
        <v>1571.7</v>
      </c>
      <c r="S3249">
        <v>542.51</v>
      </c>
      <c r="T3249">
        <v>49988.63</v>
      </c>
      <c r="U3249">
        <v>17584.939999999999</v>
      </c>
      <c r="V3249">
        <v>3675.67</v>
      </c>
      <c r="W3249">
        <v>3337.98</v>
      </c>
      <c r="X3249">
        <v>54995.7</v>
      </c>
      <c r="Y3249">
        <v>48450.18</v>
      </c>
    </row>
    <row r="3250" spans="1:25" x14ac:dyDescent="0.25">
      <c r="A3250" t="s">
        <v>3306</v>
      </c>
      <c r="B3250" s="1">
        <v>45832</v>
      </c>
      <c r="C3250">
        <v>2025</v>
      </c>
      <c r="D3250">
        <v>6</v>
      </c>
      <c r="E3250" t="s">
        <v>585</v>
      </c>
      <c r="F3250" t="s">
        <v>358</v>
      </c>
      <c r="G3250" t="s">
        <v>44</v>
      </c>
      <c r="H3250" t="s">
        <v>58</v>
      </c>
      <c r="I3250" t="s">
        <v>45</v>
      </c>
      <c r="J3250">
        <v>38</v>
      </c>
      <c r="K3250">
        <v>1258.54</v>
      </c>
      <c r="L3250">
        <v>47824.44</v>
      </c>
      <c r="M3250">
        <v>26905.39</v>
      </c>
      <c r="N3250">
        <v>4783.49</v>
      </c>
      <c r="O3250">
        <v>2200.08</v>
      </c>
      <c r="P3250">
        <v>955.01</v>
      </c>
      <c r="Q3250">
        <v>458.71</v>
      </c>
      <c r="R3250">
        <v>1587.96</v>
      </c>
      <c r="S3250">
        <v>1105.21</v>
      </c>
      <c r="T3250">
        <v>37995.85</v>
      </c>
      <c r="U3250">
        <v>20919.05</v>
      </c>
      <c r="V3250">
        <v>9828.6</v>
      </c>
      <c r="W3250">
        <v>9176.7199999999993</v>
      </c>
      <c r="X3250">
        <v>51390.89</v>
      </c>
      <c r="Y3250">
        <v>38192.639999999999</v>
      </c>
    </row>
    <row r="3251" spans="1:25" x14ac:dyDescent="0.25">
      <c r="A3251" t="s">
        <v>3307</v>
      </c>
      <c r="B3251" s="1">
        <v>45832</v>
      </c>
      <c r="C3251">
        <v>2025</v>
      </c>
      <c r="D3251">
        <v>6</v>
      </c>
      <c r="E3251" t="s">
        <v>585</v>
      </c>
      <c r="F3251" t="s">
        <v>358</v>
      </c>
      <c r="G3251" t="s">
        <v>28</v>
      </c>
      <c r="H3251" t="s">
        <v>32</v>
      </c>
      <c r="I3251" t="s">
        <v>50</v>
      </c>
      <c r="J3251">
        <v>75</v>
      </c>
      <c r="K3251">
        <v>991.8</v>
      </c>
      <c r="L3251">
        <v>74384.929999999993</v>
      </c>
      <c r="M3251">
        <v>40250.230000000003</v>
      </c>
      <c r="N3251">
        <v>6957.44</v>
      </c>
      <c r="O3251">
        <v>5100.0200000000004</v>
      </c>
      <c r="P3251">
        <v>2493.9499999999998</v>
      </c>
      <c r="Q3251">
        <v>633.96</v>
      </c>
      <c r="R3251">
        <v>2493.4699999999998</v>
      </c>
      <c r="S3251">
        <v>620.04</v>
      </c>
      <c r="T3251">
        <v>58549.1</v>
      </c>
      <c r="U3251">
        <v>34134.71</v>
      </c>
      <c r="V3251">
        <v>15835.84</v>
      </c>
      <c r="W3251">
        <v>14099.03</v>
      </c>
      <c r="X3251">
        <v>81581.3</v>
      </c>
      <c r="Y3251">
        <v>59629.41</v>
      </c>
    </row>
    <row r="3252" spans="1:25" x14ac:dyDescent="0.25">
      <c r="A3252" t="s">
        <v>3308</v>
      </c>
      <c r="B3252" s="1">
        <v>45832</v>
      </c>
      <c r="C3252">
        <v>2025</v>
      </c>
      <c r="D3252">
        <v>6</v>
      </c>
      <c r="E3252" t="s">
        <v>585</v>
      </c>
      <c r="F3252" t="s">
        <v>358</v>
      </c>
      <c r="G3252" t="s">
        <v>55</v>
      </c>
      <c r="H3252" t="s">
        <v>32</v>
      </c>
      <c r="I3252" t="s">
        <v>39</v>
      </c>
      <c r="J3252">
        <v>39</v>
      </c>
      <c r="K3252">
        <v>1581.3</v>
      </c>
      <c r="L3252">
        <v>61670.81</v>
      </c>
      <c r="M3252">
        <v>31738.880000000001</v>
      </c>
      <c r="N3252">
        <v>5564.18</v>
      </c>
      <c r="O3252">
        <v>2996.24</v>
      </c>
      <c r="P3252">
        <v>1073.19</v>
      </c>
      <c r="Q3252">
        <v>870.4</v>
      </c>
      <c r="R3252">
        <v>2038.57</v>
      </c>
      <c r="S3252">
        <v>721.51</v>
      </c>
      <c r="T3252">
        <v>45002.97</v>
      </c>
      <c r="U3252">
        <v>29931.93</v>
      </c>
      <c r="V3252">
        <v>16667.84</v>
      </c>
      <c r="W3252">
        <v>14754.65</v>
      </c>
      <c r="X3252">
        <v>61151.45</v>
      </c>
      <c r="Y3252">
        <v>48226.720000000001</v>
      </c>
    </row>
    <row r="3253" spans="1:25" x14ac:dyDescent="0.25">
      <c r="A3253" t="s">
        <v>3309</v>
      </c>
      <c r="B3253" s="1">
        <v>45832</v>
      </c>
      <c r="C3253">
        <v>2025</v>
      </c>
      <c r="D3253">
        <v>6</v>
      </c>
      <c r="E3253" t="s">
        <v>585</v>
      </c>
      <c r="F3253" t="s">
        <v>358</v>
      </c>
      <c r="G3253" t="s">
        <v>35</v>
      </c>
      <c r="H3253" t="s">
        <v>53</v>
      </c>
      <c r="I3253" t="s">
        <v>56</v>
      </c>
      <c r="J3253">
        <v>20</v>
      </c>
      <c r="K3253">
        <v>1105.95</v>
      </c>
      <c r="L3253">
        <v>22118.93</v>
      </c>
      <c r="M3253">
        <v>14758.31</v>
      </c>
      <c r="N3253">
        <v>2255.73</v>
      </c>
      <c r="O3253">
        <v>1220.43</v>
      </c>
      <c r="P3253">
        <v>467.03</v>
      </c>
      <c r="Q3253">
        <v>330.67</v>
      </c>
      <c r="R3253">
        <v>905.21</v>
      </c>
      <c r="S3253">
        <v>529.54999999999995</v>
      </c>
      <c r="T3253">
        <v>20466.919999999998</v>
      </c>
      <c r="U3253">
        <v>7360.62</v>
      </c>
      <c r="V3253">
        <v>1652.01</v>
      </c>
      <c r="W3253">
        <v>1509.86</v>
      </c>
      <c r="X3253">
        <v>20893.48</v>
      </c>
      <c r="Y3253">
        <v>21272.71</v>
      </c>
    </row>
    <row r="3254" spans="1:25" x14ac:dyDescent="0.25">
      <c r="A3254" t="s">
        <v>3310</v>
      </c>
      <c r="B3254" s="1">
        <v>45832</v>
      </c>
      <c r="C3254">
        <v>2025</v>
      </c>
      <c r="D3254">
        <v>6</v>
      </c>
      <c r="E3254" t="s">
        <v>585</v>
      </c>
      <c r="F3254" t="s">
        <v>358</v>
      </c>
      <c r="G3254" t="s">
        <v>28</v>
      </c>
      <c r="H3254" t="s">
        <v>36</v>
      </c>
      <c r="I3254" t="s">
        <v>56</v>
      </c>
      <c r="J3254">
        <v>36</v>
      </c>
      <c r="K3254">
        <v>1195.44</v>
      </c>
      <c r="L3254">
        <v>43035.8</v>
      </c>
      <c r="M3254">
        <v>27717.86</v>
      </c>
      <c r="N3254">
        <v>4756.1499999999996</v>
      </c>
      <c r="O3254">
        <v>1576.44</v>
      </c>
      <c r="P3254">
        <v>795.11</v>
      </c>
      <c r="Q3254">
        <v>333.32</v>
      </c>
      <c r="R3254">
        <v>1336.55</v>
      </c>
      <c r="S3254">
        <v>597.07000000000005</v>
      </c>
      <c r="T3254">
        <v>37112.5</v>
      </c>
      <c r="U3254">
        <v>15317.94</v>
      </c>
      <c r="V3254">
        <v>5923.3</v>
      </c>
      <c r="W3254">
        <v>5495</v>
      </c>
      <c r="X3254">
        <v>46678.25</v>
      </c>
      <c r="Y3254">
        <v>35352.620000000003</v>
      </c>
    </row>
    <row r="3255" spans="1:25" x14ac:dyDescent="0.25">
      <c r="A3255" t="s">
        <v>3311</v>
      </c>
      <c r="B3255" s="1">
        <v>45833</v>
      </c>
      <c r="C3255">
        <v>2025</v>
      </c>
      <c r="D3255">
        <v>6</v>
      </c>
      <c r="E3255" t="s">
        <v>585</v>
      </c>
      <c r="F3255" t="s">
        <v>358</v>
      </c>
      <c r="G3255" t="s">
        <v>55</v>
      </c>
      <c r="H3255" t="s">
        <v>53</v>
      </c>
      <c r="I3255" t="s">
        <v>45</v>
      </c>
      <c r="J3255">
        <v>21</v>
      </c>
      <c r="K3255">
        <v>1616.42</v>
      </c>
      <c r="L3255">
        <v>33944.9</v>
      </c>
      <c r="M3255">
        <v>17700.07</v>
      </c>
      <c r="N3255">
        <v>3784.4</v>
      </c>
      <c r="O3255">
        <v>1656.29</v>
      </c>
      <c r="P3255">
        <v>1340.52</v>
      </c>
      <c r="Q3255">
        <v>185.07</v>
      </c>
      <c r="R3255">
        <v>1815.77</v>
      </c>
      <c r="S3255">
        <v>609.54999999999995</v>
      </c>
      <c r="T3255">
        <v>27091.68</v>
      </c>
      <c r="U3255">
        <v>16244.83</v>
      </c>
      <c r="V3255">
        <v>6853.22</v>
      </c>
      <c r="W3255">
        <v>6460.42</v>
      </c>
      <c r="X3255">
        <v>37868.57</v>
      </c>
      <c r="Y3255">
        <v>27802.26</v>
      </c>
    </row>
    <row r="3256" spans="1:25" x14ac:dyDescent="0.25">
      <c r="A3256" t="s">
        <v>3312</v>
      </c>
      <c r="B3256" s="1">
        <v>45833</v>
      </c>
      <c r="C3256">
        <v>2025</v>
      </c>
      <c r="D3256">
        <v>6</v>
      </c>
      <c r="E3256" t="s">
        <v>585</v>
      </c>
      <c r="F3256" t="s">
        <v>358</v>
      </c>
      <c r="G3256" t="s">
        <v>28</v>
      </c>
      <c r="H3256" t="s">
        <v>32</v>
      </c>
      <c r="I3256" t="s">
        <v>37</v>
      </c>
      <c r="J3256">
        <v>65</v>
      </c>
      <c r="K3256">
        <v>1318.56</v>
      </c>
      <c r="L3256">
        <v>85706.34</v>
      </c>
      <c r="M3256">
        <v>57207.95</v>
      </c>
      <c r="N3256">
        <v>9487.6200000000008</v>
      </c>
      <c r="O3256">
        <v>4122.8900000000003</v>
      </c>
      <c r="P3256">
        <v>2419.25</v>
      </c>
      <c r="Q3256">
        <v>1003.33</v>
      </c>
      <c r="R3256">
        <v>3864.11</v>
      </c>
      <c r="S3256">
        <v>804.47</v>
      </c>
      <c r="T3256">
        <v>78909.63</v>
      </c>
      <c r="U3256">
        <v>28498.38</v>
      </c>
      <c r="V3256">
        <v>6796.71</v>
      </c>
      <c r="W3256">
        <v>6518.32</v>
      </c>
      <c r="X3256">
        <v>81293.119999999995</v>
      </c>
      <c r="Y3256">
        <v>76608.639999999999</v>
      </c>
    </row>
    <row r="3257" spans="1:25" x14ac:dyDescent="0.25">
      <c r="A3257" t="s">
        <v>3313</v>
      </c>
      <c r="B3257" s="1">
        <v>45835</v>
      </c>
      <c r="C3257">
        <v>2025</v>
      </c>
      <c r="D3257">
        <v>6</v>
      </c>
      <c r="E3257" t="s">
        <v>585</v>
      </c>
      <c r="F3257" t="s">
        <v>358</v>
      </c>
      <c r="G3257" t="s">
        <v>28</v>
      </c>
      <c r="H3257" t="s">
        <v>32</v>
      </c>
      <c r="I3257" t="s">
        <v>50</v>
      </c>
      <c r="J3257">
        <v>48</v>
      </c>
      <c r="K3257">
        <v>1497.75</v>
      </c>
      <c r="L3257">
        <v>71891.97</v>
      </c>
      <c r="M3257">
        <v>41220.32</v>
      </c>
      <c r="N3257">
        <v>6548.46</v>
      </c>
      <c r="O3257">
        <v>1886.4</v>
      </c>
      <c r="P3257">
        <v>1955.37</v>
      </c>
      <c r="Q3257">
        <v>1016.14</v>
      </c>
      <c r="R3257">
        <v>4628.5200000000004</v>
      </c>
      <c r="S3257">
        <v>1722.54</v>
      </c>
      <c r="T3257">
        <v>58977.760000000002</v>
      </c>
      <c r="U3257">
        <v>30671.65</v>
      </c>
      <c r="V3257">
        <v>12914.22</v>
      </c>
      <c r="W3257">
        <v>12479.94</v>
      </c>
      <c r="X3257">
        <v>71967.63</v>
      </c>
      <c r="Y3257">
        <v>58332.45</v>
      </c>
    </row>
    <row r="3258" spans="1:25" x14ac:dyDescent="0.25">
      <c r="A3258" t="s">
        <v>3314</v>
      </c>
      <c r="B3258" s="1">
        <v>45835</v>
      </c>
      <c r="C3258">
        <v>2025</v>
      </c>
      <c r="D3258">
        <v>6</v>
      </c>
      <c r="E3258" t="s">
        <v>585</v>
      </c>
      <c r="F3258" t="s">
        <v>358</v>
      </c>
      <c r="G3258" t="s">
        <v>28</v>
      </c>
      <c r="H3258" t="s">
        <v>58</v>
      </c>
      <c r="I3258" t="s">
        <v>50</v>
      </c>
      <c r="J3258">
        <v>56</v>
      </c>
      <c r="K3258">
        <v>1092.31</v>
      </c>
      <c r="L3258">
        <v>61169.53</v>
      </c>
      <c r="M3258">
        <v>30999.21</v>
      </c>
      <c r="N3258">
        <v>6288.74</v>
      </c>
      <c r="O3258">
        <v>2826.47</v>
      </c>
      <c r="P3258">
        <v>2521.63</v>
      </c>
      <c r="Q3258">
        <v>601.30999999999995</v>
      </c>
      <c r="R3258">
        <v>2365.36</v>
      </c>
      <c r="S3258">
        <v>553.6</v>
      </c>
      <c r="T3258">
        <v>46156.32</v>
      </c>
      <c r="U3258">
        <v>30170.31</v>
      </c>
      <c r="V3258">
        <v>15013.2</v>
      </c>
      <c r="W3258">
        <v>13468.6</v>
      </c>
      <c r="X3258">
        <v>56678.47</v>
      </c>
      <c r="Y3258">
        <v>48209.09</v>
      </c>
    </row>
    <row r="3259" spans="1:25" x14ac:dyDescent="0.25">
      <c r="A3259" t="s">
        <v>3315</v>
      </c>
      <c r="B3259" s="1">
        <v>45835</v>
      </c>
      <c r="C3259">
        <v>2025</v>
      </c>
      <c r="D3259">
        <v>6</v>
      </c>
      <c r="E3259" t="s">
        <v>585</v>
      </c>
      <c r="F3259" t="s">
        <v>358</v>
      </c>
      <c r="G3259" t="s">
        <v>44</v>
      </c>
      <c r="H3259" t="s">
        <v>32</v>
      </c>
      <c r="I3259" t="s">
        <v>37</v>
      </c>
      <c r="J3259">
        <v>47</v>
      </c>
      <c r="K3259">
        <v>1589.94</v>
      </c>
      <c r="L3259">
        <v>74726.95</v>
      </c>
      <c r="M3259">
        <v>45329.16</v>
      </c>
      <c r="N3259">
        <v>6582.99</v>
      </c>
      <c r="O3259">
        <v>5201.42</v>
      </c>
      <c r="P3259">
        <v>1310.03</v>
      </c>
      <c r="Q3259">
        <v>589.80999999999995</v>
      </c>
      <c r="R3259">
        <v>4670.46</v>
      </c>
      <c r="S3259">
        <v>1294.8399999999999</v>
      </c>
      <c r="T3259">
        <v>64978.71</v>
      </c>
      <c r="U3259">
        <v>29397.78</v>
      </c>
      <c r="V3259">
        <v>9748.23</v>
      </c>
      <c r="W3259">
        <v>8780.4599999999991</v>
      </c>
      <c r="X3259">
        <v>70464.679999999993</v>
      </c>
      <c r="Y3259">
        <v>71422.600000000006</v>
      </c>
    </row>
    <row r="3260" spans="1:25" x14ac:dyDescent="0.25">
      <c r="A3260" t="s">
        <v>3316</v>
      </c>
      <c r="B3260" s="1">
        <v>45835</v>
      </c>
      <c r="C3260">
        <v>2025</v>
      </c>
      <c r="D3260">
        <v>6</v>
      </c>
      <c r="E3260" t="s">
        <v>585</v>
      </c>
      <c r="F3260" t="s">
        <v>358</v>
      </c>
      <c r="G3260" t="s">
        <v>55</v>
      </c>
      <c r="H3260" t="s">
        <v>32</v>
      </c>
      <c r="I3260" t="s">
        <v>39</v>
      </c>
      <c r="J3260">
        <v>53</v>
      </c>
      <c r="K3260">
        <v>1202.8699999999999</v>
      </c>
      <c r="L3260">
        <v>63752.35</v>
      </c>
      <c r="M3260">
        <v>41254.269999999997</v>
      </c>
      <c r="N3260">
        <v>7084.26</v>
      </c>
      <c r="O3260">
        <v>4703.6400000000003</v>
      </c>
      <c r="P3260">
        <v>2794.46</v>
      </c>
      <c r="Q3260">
        <v>749.39</v>
      </c>
      <c r="R3260">
        <v>3057.3</v>
      </c>
      <c r="S3260">
        <v>1463.15</v>
      </c>
      <c r="T3260">
        <v>61106.48</v>
      </c>
      <c r="U3260">
        <v>22498.07</v>
      </c>
      <c r="V3260">
        <v>2645.86</v>
      </c>
      <c r="W3260">
        <v>2526.6799999999998</v>
      </c>
      <c r="X3260">
        <v>61225.43</v>
      </c>
      <c r="Y3260">
        <v>62061.29</v>
      </c>
    </row>
    <row r="3261" spans="1:25" x14ac:dyDescent="0.25">
      <c r="A3261" t="s">
        <v>3317</v>
      </c>
      <c r="B3261" s="1">
        <v>45836</v>
      </c>
      <c r="C3261">
        <v>2025</v>
      </c>
      <c r="D3261">
        <v>6</v>
      </c>
      <c r="E3261" t="s">
        <v>585</v>
      </c>
      <c r="F3261" t="s">
        <v>358</v>
      </c>
      <c r="G3261" t="s">
        <v>55</v>
      </c>
      <c r="H3261" t="s">
        <v>32</v>
      </c>
      <c r="I3261" t="s">
        <v>37</v>
      </c>
      <c r="J3261">
        <v>66</v>
      </c>
      <c r="K3261">
        <v>1380.3</v>
      </c>
      <c r="L3261">
        <v>91099.56</v>
      </c>
      <c r="M3261">
        <v>58100.05</v>
      </c>
      <c r="N3261">
        <v>6426.17</v>
      </c>
      <c r="O3261">
        <v>6124.12</v>
      </c>
      <c r="P3261">
        <v>3432.79</v>
      </c>
      <c r="Q3261">
        <v>1516.21</v>
      </c>
      <c r="R3261">
        <v>4269.9399999999996</v>
      </c>
      <c r="S3261">
        <v>2158.63</v>
      </c>
      <c r="T3261">
        <v>82027.899999999994</v>
      </c>
      <c r="U3261">
        <v>32999.51</v>
      </c>
      <c r="V3261">
        <v>9071.65</v>
      </c>
      <c r="W3261">
        <v>8047.6</v>
      </c>
      <c r="X3261">
        <v>92036.22</v>
      </c>
      <c r="Y3261">
        <v>78399.899999999994</v>
      </c>
    </row>
    <row r="3262" spans="1:25" x14ac:dyDescent="0.25">
      <c r="A3262" t="s">
        <v>3318</v>
      </c>
      <c r="B3262" s="1">
        <v>45836</v>
      </c>
      <c r="C3262">
        <v>2025</v>
      </c>
      <c r="D3262">
        <v>6</v>
      </c>
      <c r="E3262" t="s">
        <v>585</v>
      </c>
      <c r="F3262" t="s">
        <v>358</v>
      </c>
      <c r="G3262" t="s">
        <v>44</v>
      </c>
      <c r="H3262" t="s">
        <v>32</v>
      </c>
      <c r="I3262" t="s">
        <v>37</v>
      </c>
      <c r="J3262">
        <v>100</v>
      </c>
      <c r="K3262">
        <v>897.75</v>
      </c>
      <c r="L3262">
        <v>89775.31</v>
      </c>
      <c r="M3262">
        <v>47720.38</v>
      </c>
      <c r="N3262">
        <v>7737.81</v>
      </c>
      <c r="O3262">
        <v>4912.16</v>
      </c>
      <c r="P3262">
        <v>1922.8</v>
      </c>
      <c r="Q3262">
        <v>1544.68</v>
      </c>
      <c r="R3262">
        <v>4397.05</v>
      </c>
      <c r="S3262">
        <v>1724.96</v>
      </c>
      <c r="T3262">
        <v>69959.839999999997</v>
      </c>
      <c r="U3262">
        <v>42054.92</v>
      </c>
      <c r="V3262">
        <v>19815.47</v>
      </c>
      <c r="W3262">
        <v>18893.91</v>
      </c>
      <c r="X3262">
        <v>91068.75</v>
      </c>
      <c r="Y3262">
        <v>70988.89</v>
      </c>
    </row>
    <row r="3263" spans="1:25" x14ac:dyDescent="0.25">
      <c r="A3263" t="s">
        <v>3319</v>
      </c>
      <c r="B3263" s="1">
        <v>45836</v>
      </c>
      <c r="C3263">
        <v>2025</v>
      </c>
      <c r="D3263">
        <v>6</v>
      </c>
      <c r="E3263" t="s">
        <v>585</v>
      </c>
      <c r="F3263" t="s">
        <v>358</v>
      </c>
      <c r="G3263" t="s">
        <v>28</v>
      </c>
      <c r="H3263" t="s">
        <v>29</v>
      </c>
      <c r="I3263" t="s">
        <v>39</v>
      </c>
      <c r="J3263">
        <v>45</v>
      </c>
      <c r="K3263">
        <v>950.22</v>
      </c>
      <c r="L3263">
        <v>42759.72</v>
      </c>
      <c r="M3263">
        <v>24037.78</v>
      </c>
      <c r="N3263">
        <v>3083.69</v>
      </c>
      <c r="O3263">
        <v>2582.25</v>
      </c>
      <c r="P3263">
        <v>1373.24</v>
      </c>
      <c r="Q3263">
        <v>215.59</v>
      </c>
      <c r="R3263">
        <v>2579.19</v>
      </c>
      <c r="S3263">
        <v>653.14</v>
      </c>
      <c r="T3263">
        <v>34524.870000000003</v>
      </c>
      <c r="U3263">
        <v>18721.939999999999</v>
      </c>
      <c r="V3263">
        <v>8234.85</v>
      </c>
      <c r="W3263">
        <v>7816.93</v>
      </c>
      <c r="X3263">
        <v>47401.27</v>
      </c>
      <c r="Y3263">
        <v>36244.300000000003</v>
      </c>
    </row>
    <row r="3264" spans="1:25" x14ac:dyDescent="0.25">
      <c r="A3264" t="s">
        <v>3320</v>
      </c>
      <c r="B3264" s="1">
        <v>45837</v>
      </c>
      <c r="C3264">
        <v>2025</v>
      </c>
      <c r="D3264">
        <v>6</v>
      </c>
      <c r="E3264" t="s">
        <v>585</v>
      </c>
      <c r="F3264" t="s">
        <v>358</v>
      </c>
      <c r="G3264" t="s">
        <v>28</v>
      </c>
      <c r="H3264" t="s">
        <v>53</v>
      </c>
      <c r="I3264" t="s">
        <v>50</v>
      </c>
      <c r="J3264">
        <v>34</v>
      </c>
      <c r="K3264">
        <v>1119.32</v>
      </c>
      <c r="L3264">
        <v>38056.89</v>
      </c>
      <c r="M3264">
        <v>18439.439999999999</v>
      </c>
      <c r="N3264">
        <v>4402.6899999999996</v>
      </c>
      <c r="O3264">
        <v>2681.37</v>
      </c>
      <c r="P3264">
        <v>960.46</v>
      </c>
      <c r="Q3264">
        <v>483</v>
      </c>
      <c r="R3264">
        <v>1422.75</v>
      </c>
      <c r="S3264">
        <v>725</v>
      </c>
      <c r="T3264">
        <v>29114.71</v>
      </c>
      <c r="U3264">
        <v>19617.45</v>
      </c>
      <c r="V3264">
        <v>8942.18</v>
      </c>
      <c r="W3264">
        <v>8286.89</v>
      </c>
      <c r="X3264">
        <v>38915.78</v>
      </c>
      <c r="Y3264">
        <v>28613.919999999998</v>
      </c>
    </row>
    <row r="3265" spans="1:25" x14ac:dyDescent="0.25">
      <c r="A3265" t="s">
        <v>3321</v>
      </c>
      <c r="B3265" s="1">
        <v>45837</v>
      </c>
      <c r="C3265">
        <v>2025</v>
      </c>
      <c r="D3265">
        <v>6</v>
      </c>
      <c r="E3265" t="s">
        <v>585</v>
      </c>
      <c r="F3265" t="s">
        <v>358</v>
      </c>
      <c r="G3265" t="s">
        <v>35</v>
      </c>
      <c r="H3265" t="s">
        <v>29</v>
      </c>
      <c r="I3265" t="s">
        <v>50</v>
      </c>
      <c r="J3265">
        <v>59</v>
      </c>
      <c r="K3265">
        <v>812.79</v>
      </c>
      <c r="L3265">
        <v>47954.46</v>
      </c>
      <c r="M3265">
        <v>25018.5</v>
      </c>
      <c r="N3265">
        <v>3753.57</v>
      </c>
      <c r="O3265">
        <v>3266.13</v>
      </c>
      <c r="P3265">
        <v>1225.7</v>
      </c>
      <c r="Q3265">
        <v>830.99</v>
      </c>
      <c r="R3265">
        <v>1530.9</v>
      </c>
      <c r="S3265">
        <v>958.42</v>
      </c>
      <c r="T3265">
        <v>36584.21</v>
      </c>
      <c r="U3265">
        <v>22935.95</v>
      </c>
      <c r="V3265">
        <v>11370.24</v>
      </c>
      <c r="W3265">
        <v>10415.469999999999</v>
      </c>
      <c r="X3265">
        <v>44704.01</v>
      </c>
      <c r="Y3265">
        <v>38362.370000000003</v>
      </c>
    </row>
    <row r="3266" spans="1:25" x14ac:dyDescent="0.25">
      <c r="A3266" t="s">
        <v>3322</v>
      </c>
      <c r="B3266" s="1">
        <v>45837</v>
      </c>
      <c r="C3266">
        <v>2025</v>
      </c>
      <c r="D3266">
        <v>6</v>
      </c>
      <c r="E3266" t="s">
        <v>585</v>
      </c>
      <c r="F3266" t="s">
        <v>358</v>
      </c>
      <c r="G3266" t="s">
        <v>55</v>
      </c>
      <c r="H3266" t="s">
        <v>36</v>
      </c>
      <c r="I3266" t="s">
        <v>30</v>
      </c>
      <c r="J3266">
        <v>131</v>
      </c>
      <c r="K3266">
        <v>810.58</v>
      </c>
      <c r="L3266">
        <v>106186.4</v>
      </c>
      <c r="M3266">
        <v>69475.72</v>
      </c>
      <c r="N3266">
        <v>8621.6299999999992</v>
      </c>
      <c r="O3266">
        <v>2963.79</v>
      </c>
      <c r="P3266">
        <v>2893.25</v>
      </c>
      <c r="Q3266">
        <v>1547.36</v>
      </c>
      <c r="R3266">
        <v>5503.19</v>
      </c>
      <c r="S3266">
        <v>1661.95</v>
      </c>
      <c r="T3266">
        <v>92666.89</v>
      </c>
      <c r="U3266">
        <v>36710.68</v>
      </c>
      <c r="V3266">
        <v>13519.51</v>
      </c>
      <c r="W3266">
        <v>13661.36</v>
      </c>
      <c r="X3266">
        <v>116791.15</v>
      </c>
      <c r="Y3266">
        <v>90227.14</v>
      </c>
    </row>
    <row r="3267" spans="1:25" x14ac:dyDescent="0.25">
      <c r="A3267" t="s">
        <v>3323</v>
      </c>
      <c r="B3267" s="1">
        <v>45837</v>
      </c>
      <c r="C3267">
        <v>2025</v>
      </c>
      <c r="D3267">
        <v>6</v>
      </c>
      <c r="E3267" t="s">
        <v>585</v>
      </c>
      <c r="F3267" t="s">
        <v>358</v>
      </c>
      <c r="G3267" t="s">
        <v>55</v>
      </c>
      <c r="H3267" t="s">
        <v>32</v>
      </c>
      <c r="I3267" t="s">
        <v>50</v>
      </c>
      <c r="J3267">
        <v>49</v>
      </c>
      <c r="K3267">
        <v>1614.62</v>
      </c>
      <c r="L3267">
        <v>79116.2</v>
      </c>
      <c r="M3267">
        <v>43685.09</v>
      </c>
      <c r="N3267">
        <v>5597.86</v>
      </c>
      <c r="O3267">
        <v>2141.98</v>
      </c>
      <c r="P3267">
        <v>3195.67</v>
      </c>
      <c r="Q3267">
        <v>622.79999999999995</v>
      </c>
      <c r="R3267">
        <v>3134.23</v>
      </c>
      <c r="S3267">
        <v>1240.07</v>
      </c>
      <c r="T3267">
        <v>59617.7</v>
      </c>
      <c r="U3267">
        <v>35431.1</v>
      </c>
      <c r="V3267">
        <v>19498.5</v>
      </c>
      <c r="W3267">
        <v>18671.060000000001</v>
      </c>
      <c r="X3267">
        <v>80424.05</v>
      </c>
      <c r="Y3267">
        <v>57370.02</v>
      </c>
    </row>
    <row r="3268" spans="1:25" x14ac:dyDescent="0.25">
      <c r="A3268" t="s">
        <v>3324</v>
      </c>
      <c r="B3268" s="1">
        <v>45837</v>
      </c>
      <c r="C3268">
        <v>2025</v>
      </c>
      <c r="D3268">
        <v>6</v>
      </c>
      <c r="E3268" t="s">
        <v>585</v>
      </c>
      <c r="F3268" t="s">
        <v>358</v>
      </c>
      <c r="G3268" t="s">
        <v>35</v>
      </c>
      <c r="H3268" t="s">
        <v>32</v>
      </c>
      <c r="I3268" t="s">
        <v>50</v>
      </c>
      <c r="J3268">
        <v>41</v>
      </c>
      <c r="K3268">
        <v>1032.51</v>
      </c>
      <c r="L3268">
        <v>42333.08</v>
      </c>
      <c r="M3268">
        <v>22136.880000000001</v>
      </c>
      <c r="N3268">
        <v>3527.7</v>
      </c>
      <c r="O3268">
        <v>2051.37</v>
      </c>
      <c r="P3268">
        <v>1743.45</v>
      </c>
      <c r="Q3268">
        <v>297.45</v>
      </c>
      <c r="R3268">
        <v>2525.9</v>
      </c>
      <c r="S3268">
        <v>926.4</v>
      </c>
      <c r="T3268">
        <v>33209.15</v>
      </c>
      <c r="U3268">
        <v>20196.2</v>
      </c>
      <c r="V3268">
        <v>9123.93</v>
      </c>
      <c r="W3268">
        <v>9203.85</v>
      </c>
      <c r="X3268">
        <v>44426.05</v>
      </c>
      <c r="Y3268">
        <v>30987.98</v>
      </c>
    </row>
    <row r="3269" spans="1:25" x14ac:dyDescent="0.25">
      <c r="A3269" t="s">
        <v>3325</v>
      </c>
      <c r="B3269" s="1">
        <v>45837</v>
      </c>
      <c r="C3269">
        <v>2025</v>
      </c>
      <c r="D3269">
        <v>6</v>
      </c>
      <c r="E3269" t="s">
        <v>585</v>
      </c>
      <c r="F3269" t="s">
        <v>358</v>
      </c>
      <c r="G3269" t="s">
        <v>35</v>
      </c>
      <c r="H3269" t="s">
        <v>32</v>
      </c>
      <c r="I3269" t="s">
        <v>30</v>
      </c>
      <c r="J3269">
        <v>100</v>
      </c>
      <c r="K3269">
        <v>922.52</v>
      </c>
      <c r="L3269">
        <v>92252.34</v>
      </c>
      <c r="M3269">
        <v>46758.61</v>
      </c>
      <c r="N3269">
        <v>11663.8</v>
      </c>
      <c r="O3269">
        <v>5771.09</v>
      </c>
      <c r="P3269">
        <v>3550.46</v>
      </c>
      <c r="Q3269">
        <v>721.77</v>
      </c>
      <c r="R3269">
        <v>2508.34</v>
      </c>
      <c r="S3269">
        <v>1434.86</v>
      </c>
      <c r="T3269">
        <v>72408.929999999993</v>
      </c>
      <c r="U3269">
        <v>45493.72</v>
      </c>
      <c r="V3269">
        <v>19843.400000000001</v>
      </c>
      <c r="W3269">
        <v>18966.46</v>
      </c>
      <c r="X3269">
        <v>98203.35</v>
      </c>
      <c r="Y3269">
        <v>76697.98</v>
      </c>
    </row>
    <row r="3270" spans="1:25" x14ac:dyDescent="0.25">
      <c r="A3270" t="s">
        <v>3326</v>
      </c>
      <c r="B3270" s="1">
        <v>45838</v>
      </c>
      <c r="C3270">
        <v>2025</v>
      </c>
      <c r="D3270">
        <v>6</v>
      </c>
      <c r="E3270" t="s">
        <v>585</v>
      </c>
      <c r="F3270" t="s">
        <v>358</v>
      </c>
      <c r="G3270" t="s">
        <v>35</v>
      </c>
      <c r="H3270" t="s">
        <v>36</v>
      </c>
      <c r="I3270" t="s">
        <v>33</v>
      </c>
      <c r="J3270">
        <v>62</v>
      </c>
      <c r="K3270">
        <v>1163.99</v>
      </c>
      <c r="L3270">
        <v>72167.55</v>
      </c>
      <c r="M3270">
        <v>40555.64</v>
      </c>
      <c r="N3270">
        <v>8947.51</v>
      </c>
      <c r="O3270">
        <v>1812.27</v>
      </c>
      <c r="P3270">
        <v>1846.7</v>
      </c>
      <c r="Q3270">
        <v>925.17</v>
      </c>
      <c r="R3270">
        <v>2526.46</v>
      </c>
      <c r="S3270">
        <v>1768.72</v>
      </c>
      <c r="T3270">
        <v>58382.47</v>
      </c>
      <c r="U3270">
        <v>31611.919999999998</v>
      </c>
      <c r="V3270">
        <v>13785.08</v>
      </c>
      <c r="W3270">
        <v>13094.6</v>
      </c>
      <c r="X3270">
        <v>78799.100000000006</v>
      </c>
      <c r="Y3270">
        <v>55436.25</v>
      </c>
    </row>
    <row r="3271" spans="1:25" x14ac:dyDescent="0.25">
      <c r="A3271" t="s">
        <v>3327</v>
      </c>
      <c r="B3271" s="1">
        <v>45838</v>
      </c>
      <c r="C3271">
        <v>2025</v>
      </c>
      <c r="D3271">
        <v>6</v>
      </c>
      <c r="E3271" t="s">
        <v>585</v>
      </c>
      <c r="F3271" t="s">
        <v>358</v>
      </c>
      <c r="G3271" t="s">
        <v>35</v>
      </c>
      <c r="H3271" t="s">
        <v>36</v>
      </c>
      <c r="I3271" t="s">
        <v>30</v>
      </c>
      <c r="J3271">
        <v>98</v>
      </c>
      <c r="K3271">
        <v>954.36</v>
      </c>
      <c r="L3271">
        <v>93527</v>
      </c>
      <c r="M3271">
        <v>61129.120000000003</v>
      </c>
      <c r="N3271">
        <v>11418.9</v>
      </c>
      <c r="O3271">
        <v>6879.56</v>
      </c>
      <c r="P3271">
        <v>1409.98</v>
      </c>
      <c r="Q3271">
        <v>1418.53</v>
      </c>
      <c r="R3271">
        <v>2963.9</v>
      </c>
      <c r="S3271">
        <v>1466.61</v>
      </c>
      <c r="T3271">
        <v>86686.6</v>
      </c>
      <c r="U3271">
        <v>32397.88</v>
      </c>
      <c r="V3271">
        <v>6840.4</v>
      </c>
      <c r="W3271">
        <v>6703.08</v>
      </c>
      <c r="X3271">
        <v>104185.42</v>
      </c>
      <c r="Y3271">
        <v>86166.56</v>
      </c>
    </row>
    <row r="3272" spans="1:25" x14ac:dyDescent="0.25">
      <c r="A3272" t="s">
        <v>3328</v>
      </c>
      <c r="B3272" s="1">
        <v>45838</v>
      </c>
      <c r="C3272">
        <v>2025</v>
      </c>
      <c r="D3272">
        <v>6</v>
      </c>
      <c r="E3272" t="s">
        <v>585</v>
      </c>
      <c r="F3272" t="s">
        <v>358</v>
      </c>
      <c r="G3272" t="s">
        <v>28</v>
      </c>
      <c r="H3272" t="s">
        <v>36</v>
      </c>
      <c r="I3272" t="s">
        <v>30</v>
      </c>
      <c r="J3272">
        <v>54</v>
      </c>
      <c r="K3272">
        <v>1494.45</v>
      </c>
      <c r="L3272">
        <v>80700.479999999996</v>
      </c>
      <c r="M3272">
        <v>40124.57</v>
      </c>
      <c r="N3272">
        <v>6182.22</v>
      </c>
      <c r="O3272">
        <v>4326.95</v>
      </c>
      <c r="P3272">
        <v>1468.17</v>
      </c>
      <c r="Q3272">
        <v>714.32</v>
      </c>
      <c r="R3272">
        <v>2207.4899999999998</v>
      </c>
      <c r="S3272">
        <v>1448.98</v>
      </c>
      <c r="T3272">
        <v>56472.7</v>
      </c>
      <c r="U3272">
        <v>40575.910000000003</v>
      </c>
      <c r="V3272">
        <v>24227.78</v>
      </c>
      <c r="W3272">
        <v>23005.79</v>
      </c>
      <c r="X3272">
        <v>80695.98</v>
      </c>
      <c r="Y3272">
        <v>58687.199999999997</v>
      </c>
    </row>
    <row r="3273" spans="1:25" x14ac:dyDescent="0.25">
      <c r="A3273" t="s">
        <v>3329</v>
      </c>
      <c r="B3273" s="1">
        <v>45838</v>
      </c>
      <c r="C3273">
        <v>2025</v>
      </c>
      <c r="D3273">
        <v>6</v>
      </c>
      <c r="E3273" t="s">
        <v>585</v>
      </c>
      <c r="F3273" t="s">
        <v>358</v>
      </c>
      <c r="G3273" t="s">
        <v>28</v>
      </c>
      <c r="H3273" t="s">
        <v>53</v>
      </c>
      <c r="I3273" t="s">
        <v>65</v>
      </c>
      <c r="J3273">
        <v>33</v>
      </c>
      <c r="K3273">
        <v>1693.88</v>
      </c>
      <c r="L3273">
        <v>55898.18</v>
      </c>
      <c r="M3273">
        <v>27118.27</v>
      </c>
      <c r="N3273">
        <v>6878.17</v>
      </c>
      <c r="O3273">
        <v>3739.35</v>
      </c>
      <c r="P3273">
        <v>2129.36</v>
      </c>
      <c r="Q3273">
        <v>882.02</v>
      </c>
      <c r="R3273">
        <v>1747.73</v>
      </c>
      <c r="S3273">
        <v>931.08</v>
      </c>
      <c r="T3273">
        <v>43425.99</v>
      </c>
      <c r="U3273">
        <v>28779.91</v>
      </c>
      <c r="V3273">
        <v>12472.19</v>
      </c>
      <c r="W3273">
        <v>12061.8</v>
      </c>
      <c r="X3273">
        <v>60260.3</v>
      </c>
      <c r="Y3273">
        <v>47449.83</v>
      </c>
    </row>
    <row r="3274" spans="1:25" x14ac:dyDescent="0.25">
      <c r="A3274" t="s">
        <v>3330</v>
      </c>
      <c r="B3274" s="1">
        <v>45839</v>
      </c>
      <c r="C3274">
        <v>2025</v>
      </c>
      <c r="D3274">
        <v>7</v>
      </c>
      <c r="E3274" t="s">
        <v>690</v>
      </c>
      <c r="F3274" t="s">
        <v>691</v>
      </c>
      <c r="G3274" t="s">
        <v>44</v>
      </c>
      <c r="H3274" t="s">
        <v>36</v>
      </c>
      <c r="I3274" t="s">
        <v>39</v>
      </c>
      <c r="J3274">
        <v>43</v>
      </c>
      <c r="K3274">
        <v>1133.9000000000001</v>
      </c>
      <c r="L3274">
        <v>48757.69</v>
      </c>
      <c r="M3274">
        <v>27850.68</v>
      </c>
      <c r="N3274">
        <v>5344.83</v>
      </c>
      <c r="O3274">
        <v>1979.29</v>
      </c>
      <c r="P3274">
        <v>1862.78</v>
      </c>
      <c r="Q3274">
        <v>859.15</v>
      </c>
      <c r="R3274">
        <v>2556.12</v>
      </c>
      <c r="S3274">
        <v>975.42</v>
      </c>
      <c r="T3274">
        <v>41428.269999999997</v>
      </c>
      <c r="U3274">
        <v>20907.009999999998</v>
      </c>
      <c r="V3274">
        <v>7329.43</v>
      </c>
      <c r="W3274">
        <v>7314.95</v>
      </c>
      <c r="X3274">
        <v>52953.62</v>
      </c>
      <c r="Y3274">
        <v>39084.160000000003</v>
      </c>
    </row>
    <row r="3275" spans="1:25" x14ac:dyDescent="0.25">
      <c r="A3275" t="s">
        <v>3331</v>
      </c>
      <c r="B3275" s="1">
        <v>45839</v>
      </c>
      <c r="C3275">
        <v>2025</v>
      </c>
      <c r="D3275">
        <v>7</v>
      </c>
      <c r="E3275" t="s">
        <v>690</v>
      </c>
      <c r="F3275" t="s">
        <v>691</v>
      </c>
      <c r="G3275" t="s">
        <v>28</v>
      </c>
      <c r="H3275" t="s">
        <v>32</v>
      </c>
      <c r="I3275" t="s">
        <v>33</v>
      </c>
      <c r="J3275">
        <v>82</v>
      </c>
      <c r="K3275">
        <v>936.39</v>
      </c>
      <c r="L3275">
        <v>76783.73</v>
      </c>
      <c r="M3275">
        <v>51116.04</v>
      </c>
      <c r="N3275">
        <v>7690.02</v>
      </c>
      <c r="O3275">
        <v>3026.84</v>
      </c>
      <c r="P3275">
        <v>2098.9899999999998</v>
      </c>
      <c r="Q3275">
        <v>1299.28</v>
      </c>
      <c r="R3275">
        <v>2252.58</v>
      </c>
      <c r="S3275">
        <v>1787.15</v>
      </c>
      <c r="T3275">
        <v>69270.899999999994</v>
      </c>
      <c r="U3275">
        <v>25667.69</v>
      </c>
      <c r="V3275">
        <v>7512.83</v>
      </c>
      <c r="W3275">
        <v>7469.81</v>
      </c>
      <c r="X3275">
        <v>83775.929999999993</v>
      </c>
      <c r="Y3275">
        <v>65723.66</v>
      </c>
    </row>
    <row r="3276" spans="1:25" x14ac:dyDescent="0.25">
      <c r="A3276" t="s">
        <v>3332</v>
      </c>
      <c r="B3276" s="1">
        <v>45839</v>
      </c>
      <c r="C3276">
        <v>2025</v>
      </c>
      <c r="D3276">
        <v>7</v>
      </c>
      <c r="E3276" t="s">
        <v>690</v>
      </c>
      <c r="F3276" t="s">
        <v>691</v>
      </c>
      <c r="G3276" t="s">
        <v>55</v>
      </c>
      <c r="H3276" t="s">
        <v>32</v>
      </c>
      <c r="I3276" t="s">
        <v>50</v>
      </c>
      <c r="J3276">
        <v>61</v>
      </c>
      <c r="K3276">
        <v>1088.52</v>
      </c>
      <c r="L3276">
        <v>66399.509999999995</v>
      </c>
      <c r="M3276">
        <v>42642.82</v>
      </c>
      <c r="N3276">
        <v>7744.91</v>
      </c>
      <c r="O3276">
        <v>1903.44</v>
      </c>
      <c r="P3276">
        <v>2583.08</v>
      </c>
      <c r="Q3276">
        <v>989.71</v>
      </c>
      <c r="R3276">
        <v>3753.47</v>
      </c>
      <c r="S3276">
        <v>1462.51</v>
      </c>
      <c r="T3276">
        <v>61079.92</v>
      </c>
      <c r="U3276">
        <v>23756.68</v>
      </c>
      <c r="V3276">
        <v>5319.59</v>
      </c>
      <c r="W3276">
        <v>5287.62</v>
      </c>
      <c r="X3276">
        <v>69663.39</v>
      </c>
      <c r="Y3276">
        <v>58265.93</v>
      </c>
    </row>
    <row r="3277" spans="1:25" x14ac:dyDescent="0.25">
      <c r="A3277" t="s">
        <v>3333</v>
      </c>
      <c r="B3277" s="1">
        <v>45839</v>
      </c>
      <c r="C3277">
        <v>2025</v>
      </c>
      <c r="D3277">
        <v>7</v>
      </c>
      <c r="E3277" t="s">
        <v>690</v>
      </c>
      <c r="F3277" t="s">
        <v>691</v>
      </c>
      <c r="G3277" t="s">
        <v>28</v>
      </c>
      <c r="H3277" t="s">
        <v>29</v>
      </c>
      <c r="I3277" t="s">
        <v>50</v>
      </c>
      <c r="J3277">
        <v>43</v>
      </c>
      <c r="K3277">
        <v>1237.6500000000001</v>
      </c>
      <c r="L3277">
        <v>53219.05</v>
      </c>
      <c r="M3277">
        <v>29198.97</v>
      </c>
      <c r="N3277">
        <v>5340.98</v>
      </c>
      <c r="O3277">
        <v>3012.78</v>
      </c>
      <c r="P3277">
        <v>2204.2199999999998</v>
      </c>
      <c r="Q3277">
        <v>342.08</v>
      </c>
      <c r="R3277">
        <v>3025.17</v>
      </c>
      <c r="S3277">
        <v>1294.05</v>
      </c>
      <c r="T3277">
        <v>44418.239999999998</v>
      </c>
      <c r="U3277">
        <v>24020.07</v>
      </c>
      <c r="V3277">
        <v>8800.7999999999993</v>
      </c>
      <c r="W3277">
        <v>7792.46</v>
      </c>
      <c r="X3277">
        <v>53326.84</v>
      </c>
      <c r="Y3277">
        <v>48115.7</v>
      </c>
    </row>
    <row r="3278" spans="1:25" x14ac:dyDescent="0.25">
      <c r="A3278" t="s">
        <v>3334</v>
      </c>
      <c r="B3278" s="1">
        <v>45840</v>
      </c>
      <c r="C3278">
        <v>2025</v>
      </c>
      <c r="D3278">
        <v>7</v>
      </c>
      <c r="E3278" t="s">
        <v>690</v>
      </c>
      <c r="F3278" t="s">
        <v>691</v>
      </c>
      <c r="G3278" t="s">
        <v>35</v>
      </c>
      <c r="H3278" t="s">
        <v>53</v>
      </c>
      <c r="I3278" t="s">
        <v>30</v>
      </c>
      <c r="J3278">
        <v>44</v>
      </c>
      <c r="K3278">
        <v>1194.5899999999999</v>
      </c>
      <c r="L3278">
        <v>52562.01</v>
      </c>
      <c r="M3278">
        <v>34527.99</v>
      </c>
      <c r="N3278">
        <v>5573.65</v>
      </c>
      <c r="O3278">
        <v>2007.87</v>
      </c>
      <c r="P3278">
        <v>1080.31</v>
      </c>
      <c r="Q3278">
        <v>730.4</v>
      </c>
      <c r="R3278">
        <v>2990.2</v>
      </c>
      <c r="S3278">
        <v>633.91999999999996</v>
      </c>
      <c r="T3278">
        <v>47544.33</v>
      </c>
      <c r="U3278">
        <v>18034.02</v>
      </c>
      <c r="V3278">
        <v>5017.68</v>
      </c>
      <c r="W3278">
        <v>4740.01</v>
      </c>
      <c r="X3278">
        <v>49203.69</v>
      </c>
      <c r="Y3278">
        <v>50500.27</v>
      </c>
    </row>
    <row r="3279" spans="1:25" x14ac:dyDescent="0.25">
      <c r="A3279" t="s">
        <v>3335</v>
      </c>
      <c r="B3279" s="1">
        <v>45840</v>
      </c>
      <c r="C3279">
        <v>2025</v>
      </c>
      <c r="D3279">
        <v>7</v>
      </c>
      <c r="E3279" t="s">
        <v>690</v>
      </c>
      <c r="F3279" t="s">
        <v>691</v>
      </c>
      <c r="G3279" t="s">
        <v>55</v>
      </c>
      <c r="H3279" t="s">
        <v>58</v>
      </c>
      <c r="I3279" t="s">
        <v>37</v>
      </c>
      <c r="J3279">
        <v>92</v>
      </c>
      <c r="K3279">
        <v>937.66</v>
      </c>
      <c r="L3279">
        <v>86264.72</v>
      </c>
      <c r="M3279">
        <v>58163.839999999997</v>
      </c>
      <c r="N3279">
        <v>6624.21</v>
      </c>
      <c r="O3279">
        <v>3840.82</v>
      </c>
      <c r="P3279">
        <v>1823.84</v>
      </c>
      <c r="Q3279">
        <v>1550.3</v>
      </c>
      <c r="R3279">
        <v>4209.71</v>
      </c>
      <c r="S3279">
        <v>1615.7</v>
      </c>
      <c r="T3279">
        <v>77828.429999999993</v>
      </c>
      <c r="U3279">
        <v>28100.87</v>
      </c>
      <c r="V3279">
        <v>8436.2900000000009</v>
      </c>
      <c r="W3279">
        <v>7561.01</v>
      </c>
      <c r="X3279">
        <v>86832.17</v>
      </c>
      <c r="Y3279">
        <v>83763.039999999994</v>
      </c>
    </row>
    <row r="3280" spans="1:25" x14ac:dyDescent="0.25">
      <c r="A3280" t="s">
        <v>3336</v>
      </c>
      <c r="B3280" s="1">
        <v>45840</v>
      </c>
      <c r="C3280">
        <v>2025</v>
      </c>
      <c r="D3280">
        <v>7</v>
      </c>
      <c r="E3280" t="s">
        <v>690</v>
      </c>
      <c r="F3280" t="s">
        <v>691</v>
      </c>
      <c r="G3280" t="s">
        <v>28</v>
      </c>
      <c r="H3280" t="s">
        <v>53</v>
      </c>
      <c r="I3280" t="s">
        <v>50</v>
      </c>
      <c r="J3280">
        <v>55</v>
      </c>
      <c r="K3280">
        <v>947.84</v>
      </c>
      <c r="L3280">
        <v>52131.08</v>
      </c>
      <c r="M3280">
        <v>26131.919999999998</v>
      </c>
      <c r="N3280">
        <v>3777.45</v>
      </c>
      <c r="O3280">
        <v>2153.5300000000002</v>
      </c>
      <c r="P3280">
        <v>2264.61</v>
      </c>
      <c r="Q3280">
        <v>692.19</v>
      </c>
      <c r="R3280">
        <v>2129.33</v>
      </c>
      <c r="S3280">
        <v>903.82</v>
      </c>
      <c r="T3280">
        <v>38052.86</v>
      </c>
      <c r="U3280">
        <v>25999.16</v>
      </c>
      <c r="V3280">
        <v>14078.23</v>
      </c>
      <c r="W3280">
        <v>13871.17</v>
      </c>
      <c r="X3280">
        <v>48926.879999999997</v>
      </c>
      <c r="Y3280">
        <v>36550.480000000003</v>
      </c>
    </row>
    <row r="3281" spans="1:25" x14ac:dyDescent="0.25">
      <c r="A3281" t="s">
        <v>3337</v>
      </c>
      <c r="B3281" s="1">
        <v>45840</v>
      </c>
      <c r="C3281">
        <v>2025</v>
      </c>
      <c r="D3281">
        <v>7</v>
      </c>
      <c r="E3281" t="s">
        <v>690</v>
      </c>
      <c r="F3281" t="s">
        <v>691</v>
      </c>
      <c r="G3281" t="s">
        <v>44</v>
      </c>
      <c r="H3281" t="s">
        <v>53</v>
      </c>
      <c r="I3281" t="s">
        <v>37</v>
      </c>
      <c r="J3281">
        <v>35</v>
      </c>
      <c r="K3281">
        <v>1296.19</v>
      </c>
      <c r="L3281">
        <v>45366.7</v>
      </c>
      <c r="M3281">
        <v>23491.71</v>
      </c>
      <c r="N3281">
        <v>3999.68</v>
      </c>
      <c r="O3281">
        <v>3100.68</v>
      </c>
      <c r="P3281">
        <v>1972.19</v>
      </c>
      <c r="Q3281">
        <v>626.47</v>
      </c>
      <c r="R3281">
        <v>2367.37</v>
      </c>
      <c r="S3281">
        <v>463.13</v>
      </c>
      <c r="T3281">
        <v>36021.230000000003</v>
      </c>
      <c r="U3281">
        <v>21874.99</v>
      </c>
      <c r="V3281">
        <v>9345.4699999999993</v>
      </c>
      <c r="W3281">
        <v>8386.1</v>
      </c>
      <c r="X3281">
        <v>49255.42</v>
      </c>
      <c r="Y3281">
        <v>35218.86</v>
      </c>
    </row>
    <row r="3282" spans="1:25" x14ac:dyDescent="0.25">
      <c r="A3282" t="s">
        <v>3338</v>
      </c>
      <c r="B3282" s="1">
        <v>45840</v>
      </c>
      <c r="C3282">
        <v>2025</v>
      </c>
      <c r="D3282">
        <v>7</v>
      </c>
      <c r="E3282" t="s">
        <v>690</v>
      </c>
      <c r="F3282" t="s">
        <v>691</v>
      </c>
      <c r="G3282" t="s">
        <v>28</v>
      </c>
      <c r="H3282" t="s">
        <v>53</v>
      </c>
      <c r="I3282" t="s">
        <v>65</v>
      </c>
      <c r="J3282">
        <v>29</v>
      </c>
      <c r="K3282">
        <v>1722.89</v>
      </c>
      <c r="L3282">
        <v>49963.74</v>
      </c>
      <c r="M3282">
        <v>28327.48</v>
      </c>
      <c r="N3282">
        <v>3815.51</v>
      </c>
      <c r="O3282">
        <v>2267.6</v>
      </c>
      <c r="P3282">
        <v>1368.16</v>
      </c>
      <c r="Q3282">
        <v>477.27</v>
      </c>
      <c r="R3282">
        <v>3089.22</v>
      </c>
      <c r="S3282">
        <v>550.61</v>
      </c>
      <c r="T3282">
        <v>39895.85</v>
      </c>
      <c r="U3282">
        <v>21636.27</v>
      </c>
      <c r="V3282">
        <v>10067.9</v>
      </c>
      <c r="W3282">
        <v>8933.67</v>
      </c>
      <c r="X3282">
        <v>52406.7</v>
      </c>
      <c r="Y3282">
        <v>37282.65</v>
      </c>
    </row>
    <row r="3283" spans="1:25" x14ac:dyDescent="0.25">
      <c r="A3283" t="s">
        <v>3339</v>
      </c>
      <c r="B3283" s="1">
        <v>45841</v>
      </c>
      <c r="C3283">
        <v>2025</v>
      </c>
      <c r="D3283">
        <v>7</v>
      </c>
      <c r="E3283" t="s">
        <v>690</v>
      </c>
      <c r="F3283" t="s">
        <v>691</v>
      </c>
      <c r="G3283" t="s">
        <v>44</v>
      </c>
      <c r="H3283" t="s">
        <v>32</v>
      </c>
      <c r="I3283" t="s">
        <v>56</v>
      </c>
      <c r="J3283">
        <v>51</v>
      </c>
      <c r="K3283">
        <v>829.43</v>
      </c>
      <c r="L3283">
        <v>42300.83</v>
      </c>
      <c r="M3283">
        <v>22737.200000000001</v>
      </c>
      <c r="N3283">
        <v>4519.58</v>
      </c>
      <c r="O3283">
        <v>1434.68</v>
      </c>
      <c r="P3283">
        <v>1614.19</v>
      </c>
      <c r="Q3283">
        <v>213.72</v>
      </c>
      <c r="R3283">
        <v>2689.66</v>
      </c>
      <c r="S3283">
        <v>942.04</v>
      </c>
      <c r="T3283">
        <v>34151.07</v>
      </c>
      <c r="U3283">
        <v>19563.63</v>
      </c>
      <c r="V3283">
        <v>8149.76</v>
      </c>
      <c r="W3283">
        <v>8000.53</v>
      </c>
      <c r="X3283">
        <v>41768.11</v>
      </c>
      <c r="Y3283">
        <v>32989.17</v>
      </c>
    </row>
    <row r="3284" spans="1:25" x14ac:dyDescent="0.25">
      <c r="A3284" t="s">
        <v>3340</v>
      </c>
      <c r="B3284" s="1">
        <v>45841</v>
      </c>
      <c r="C3284">
        <v>2025</v>
      </c>
      <c r="D3284">
        <v>7</v>
      </c>
      <c r="E3284" t="s">
        <v>690</v>
      </c>
      <c r="F3284" t="s">
        <v>691</v>
      </c>
      <c r="G3284" t="s">
        <v>44</v>
      </c>
      <c r="H3284" t="s">
        <v>36</v>
      </c>
      <c r="I3284" t="s">
        <v>56</v>
      </c>
      <c r="J3284">
        <v>42</v>
      </c>
      <c r="K3284">
        <v>816.16</v>
      </c>
      <c r="L3284">
        <v>34278.879999999997</v>
      </c>
      <c r="M3284">
        <v>17742.86</v>
      </c>
      <c r="N3284">
        <v>4078.06</v>
      </c>
      <c r="O3284">
        <v>1953.03</v>
      </c>
      <c r="P3284">
        <v>1001.86</v>
      </c>
      <c r="Q3284">
        <v>430.3</v>
      </c>
      <c r="R3284">
        <v>1104.6400000000001</v>
      </c>
      <c r="S3284">
        <v>498.66</v>
      </c>
      <c r="T3284">
        <v>26809.41</v>
      </c>
      <c r="U3284">
        <v>16536.009999999998</v>
      </c>
      <c r="V3284">
        <v>7469.47</v>
      </c>
      <c r="W3284">
        <v>6666.88</v>
      </c>
      <c r="X3284">
        <v>36394.21</v>
      </c>
      <c r="Y3284">
        <v>29420.38</v>
      </c>
    </row>
    <row r="3285" spans="1:25" x14ac:dyDescent="0.25">
      <c r="A3285" t="s">
        <v>3341</v>
      </c>
      <c r="B3285" s="1">
        <v>45841</v>
      </c>
      <c r="C3285">
        <v>2025</v>
      </c>
      <c r="D3285">
        <v>7</v>
      </c>
      <c r="E3285" t="s">
        <v>690</v>
      </c>
      <c r="F3285" t="s">
        <v>691</v>
      </c>
      <c r="G3285" t="s">
        <v>28</v>
      </c>
      <c r="H3285" t="s">
        <v>32</v>
      </c>
      <c r="I3285" t="s">
        <v>50</v>
      </c>
      <c r="J3285">
        <v>58</v>
      </c>
      <c r="K3285">
        <v>1104.4000000000001</v>
      </c>
      <c r="L3285">
        <v>64055.360000000001</v>
      </c>
      <c r="M3285">
        <v>40542.25</v>
      </c>
      <c r="N3285">
        <v>4663.26</v>
      </c>
      <c r="O3285">
        <v>4102.04</v>
      </c>
      <c r="P3285">
        <v>2214.08</v>
      </c>
      <c r="Q3285">
        <v>1037.6600000000001</v>
      </c>
      <c r="R3285">
        <v>2683.83</v>
      </c>
      <c r="S3285">
        <v>557.53</v>
      </c>
      <c r="T3285">
        <v>55800.68</v>
      </c>
      <c r="U3285">
        <v>23513.1</v>
      </c>
      <c r="V3285">
        <v>8254.68</v>
      </c>
      <c r="W3285">
        <v>7388.95</v>
      </c>
      <c r="X3285">
        <v>65971.92</v>
      </c>
      <c r="Y3285">
        <v>58971.66</v>
      </c>
    </row>
    <row r="3286" spans="1:25" x14ac:dyDescent="0.25">
      <c r="A3286" t="s">
        <v>3342</v>
      </c>
      <c r="B3286" s="1">
        <v>45841</v>
      </c>
      <c r="C3286">
        <v>2025</v>
      </c>
      <c r="D3286">
        <v>7</v>
      </c>
      <c r="E3286" t="s">
        <v>690</v>
      </c>
      <c r="F3286" t="s">
        <v>691</v>
      </c>
      <c r="G3286" t="s">
        <v>28</v>
      </c>
      <c r="H3286" t="s">
        <v>32</v>
      </c>
      <c r="I3286" t="s">
        <v>56</v>
      </c>
      <c r="J3286">
        <v>39</v>
      </c>
      <c r="K3286">
        <v>893.16</v>
      </c>
      <c r="L3286">
        <v>34833.19</v>
      </c>
      <c r="M3286">
        <v>22483.78</v>
      </c>
      <c r="N3286">
        <v>3734.82</v>
      </c>
      <c r="O3286">
        <v>2353.6799999999998</v>
      </c>
      <c r="P3286">
        <v>1016.42</v>
      </c>
      <c r="Q3286">
        <v>477.29</v>
      </c>
      <c r="R3286">
        <v>1209.8499999999999</v>
      </c>
      <c r="S3286">
        <v>658.98</v>
      </c>
      <c r="T3286">
        <v>31934.83</v>
      </c>
      <c r="U3286">
        <v>12349.41</v>
      </c>
      <c r="V3286">
        <v>2898.36</v>
      </c>
      <c r="W3286">
        <v>2625.51</v>
      </c>
      <c r="X3286">
        <v>36563.79</v>
      </c>
      <c r="Y3286">
        <v>33858.33</v>
      </c>
    </row>
    <row r="3287" spans="1:25" x14ac:dyDescent="0.25">
      <c r="A3287" t="s">
        <v>3343</v>
      </c>
      <c r="B3287" s="1">
        <v>45842</v>
      </c>
      <c r="C3287">
        <v>2025</v>
      </c>
      <c r="D3287">
        <v>7</v>
      </c>
      <c r="E3287" t="s">
        <v>690</v>
      </c>
      <c r="F3287" t="s">
        <v>691</v>
      </c>
      <c r="G3287" t="s">
        <v>55</v>
      </c>
      <c r="H3287" t="s">
        <v>36</v>
      </c>
      <c r="I3287" t="s">
        <v>33</v>
      </c>
      <c r="J3287">
        <v>50</v>
      </c>
      <c r="K3287">
        <v>1606.22</v>
      </c>
      <c r="L3287">
        <v>80311.12</v>
      </c>
      <c r="M3287">
        <v>39721.21</v>
      </c>
      <c r="N3287">
        <v>9621.41</v>
      </c>
      <c r="O3287">
        <v>3292.11</v>
      </c>
      <c r="P3287">
        <v>1887.99</v>
      </c>
      <c r="Q3287">
        <v>1298.82</v>
      </c>
      <c r="R3287">
        <v>3211.46</v>
      </c>
      <c r="S3287">
        <v>1462.53</v>
      </c>
      <c r="T3287">
        <v>60495.53</v>
      </c>
      <c r="U3287">
        <v>40589.919999999998</v>
      </c>
      <c r="V3287">
        <v>19815.59</v>
      </c>
      <c r="W3287">
        <v>18088.400000000001</v>
      </c>
      <c r="X3287">
        <v>80220.479999999996</v>
      </c>
      <c r="Y3287">
        <v>57553.56</v>
      </c>
    </row>
    <row r="3288" spans="1:25" x14ac:dyDescent="0.25">
      <c r="A3288" t="s">
        <v>3344</v>
      </c>
      <c r="B3288" s="1">
        <v>45842</v>
      </c>
      <c r="C3288">
        <v>2025</v>
      </c>
      <c r="D3288">
        <v>7</v>
      </c>
      <c r="E3288" t="s">
        <v>690</v>
      </c>
      <c r="F3288" t="s">
        <v>691</v>
      </c>
      <c r="G3288" t="s">
        <v>55</v>
      </c>
      <c r="H3288" t="s">
        <v>32</v>
      </c>
      <c r="I3288" t="s">
        <v>45</v>
      </c>
      <c r="J3288">
        <v>34</v>
      </c>
      <c r="K3288">
        <v>1367.12</v>
      </c>
      <c r="L3288">
        <v>46481.96</v>
      </c>
      <c r="M3288">
        <v>27912.07</v>
      </c>
      <c r="N3288">
        <v>5814.01</v>
      </c>
      <c r="O3288">
        <v>2029.61</v>
      </c>
      <c r="P3288">
        <v>1903.23</v>
      </c>
      <c r="Q3288">
        <v>618.24</v>
      </c>
      <c r="R3288">
        <v>2520.52</v>
      </c>
      <c r="S3288">
        <v>792.02</v>
      </c>
      <c r="T3288">
        <v>41589.71</v>
      </c>
      <c r="U3288">
        <v>18569.89</v>
      </c>
      <c r="V3288">
        <v>4892.25</v>
      </c>
      <c r="W3288">
        <v>4918.33</v>
      </c>
      <c r="X3288">
        <v>47089.65</v>
      </c>
      <c r="Y3288">
        <v>39816.44</v>
      </c>
    </row>
    <row r="3289" spans="1:25" x14ac:dyDescent="0.25">
      <c r="A3289" t="s">
        <v>3345</v>
      </c>
      <c r="B3289" s="1">
        <v>45842</v>
      </c>
      <c r="C3289">
        <v>2025</v>
      </c>
      <c r="D3289">
        <v>7</v>
      </c>
      <c r="E3289" t="s">
        <v>690</v>
      </c>
      <c r="F3289" t="s">
        <v>691</v>
      </c>
      <c r="G3289" t="s">
        <v>35</v>
      </c>
      <c r="H3289" t="s">
        <v>58</v>
      </c>
      <c r="I3289" t="s">
        <v>33</v>
      </c>
      <c r="J3289">
        <v>43</v>
      </c>
      <c r="K3289">
        <v>1419.56</v>
      </c>
      <c r="L3289">
        <v>61041.06</v>
      </c>
      <c r="M3289">
        <v>38746.43</v>
      </c>
      <c r="N3289">
        <v>7728.27</v>
      </c>
      <c r="O3289">
        <v>3898.58</v>
      </c>
      <c r="P3289">
        <v>2270.25</v>
      </c>
      <c r="Q3289">
        <v>566.34</v>
      </c>
      <c r="R3289">
        <v>1851.43</v>
      </c>
      <c r="S3289">
        <v>1141.94</v>
      </c>
      <c r="T3289">
        <v>56203.24</v>
      </c>
      <c r="U3289">
        <v>22294.63</v>
      </c>
      <c r="V3289">
        <v>4837.82</v>
      </c>
      <c r="W3289">
        <v>4632.24</v>
      </c>
      <c r="X3289">
        <v>61344.85</v>
      </c>
      <c r="Y3289">
        <v>53386.67</v>
      </c>
    </row>
    <row r="3290" spans="1:25" x14ac:dyDescent="0.25">
      <c r="A3290" t="s">
        <v>3346</v>
      </c>
      <c r="B3290" s="1">
        <v>45843</v>
      </c>
      <c r="C3290">
        <v>2025</v>
      </c>
      <c r="D3290">
        <v>7</v>
      </c>
      <c r="E3290" t="s">
        <v>690</v>
      </c>
      <c r="F3290" t="s">
        <v>691</v>
      </c>
      <c r="G3290" t="s">
        <v>28</v>
      </c>
      <c r="H3290" t="s">
        <v>58</v>
      </c>
      <c r="I3290" t="s">
        <v>37</v>
      </c>
      <c r="J3290">
        <v>44</v>
      </c>
      <c r="K3290">
        <v>1333.6</v>
      </c>
      <c r="L3290">
        <v>58678.43</v>
      </c>
      <c r="M3290">
        <v>36979.29</v>
      </c>
      <c r="N3290">
        <v>5837.66</v>
      </c>
      <c r="O3290">
        <v>2797.7</v>
      </c>
      <c r="P3290">
        <v>2178.5100000000002</v>
      </c>
      <c r="Q3290">
        <v>677.88</v>
      </c>
      <c r="R3290">
        <v>2807.55</v>
      </c>
      <c r="S3290">
        <v>737.44</v>
      </c>
      <c r="T3290">
        <v>52016.03</v>
      </c>
      <c r="U3290">
        <v>21699.15</v>
      </c>
      <c r="V3290">
        <v>6662.41</v>
      </c>
      <c r="W3290">
        <v>6029.49</v>
      </c>
      <c r="X3290">
        <v>63609.06</v>
      </c>
      <c r="Y3290">
        <v>52491.199999999997</v>
      </c>
    </row>
    <row r="3291" spans="1:25" x14ac:dyDescent="0.25">
      <c r="A3291" t="s">
        <v>3347</v>
      </c>
      <c r="B3291" s="1">
        <v>45843</v>
      </c>
      <c r="C3291">
        <v>2025</v>
      </c>
      <c r="D3291">
        <v>7</v>
      </c>
      <c r="E3291" t="s">
        <v>690</v>
      </c>
      <c r="F3291" t="s">
        <v>691</v>
      </c>
      <c r="G3291" t="s">
        <v>44</v>
      </c>
      <c r="H3291" t="s">
        <v>36</v>
      </c>
      <c r="I3291" t="s">
        <v>65</v>
      </c>
      <c r="J3291">
        <v>54</v>
      </c>
      <c r="K3291">
        <v>1182.72</v>
      </c>
      <c r="L3291">
        <v>63867.11</v>
      </c>
      <c r="M3291">
        <v>43194.64</v>
      </c>
      <c r="N3291">
        <v>6746.54</v>
      </c>
      <c r="O3291">
        <v>1687.57</v>
      </c>
      <c r="P3291">
        <v>1692.6</v>
      </c>
      <c r="Q3291">
        <v>644.98</v>
      </c>
      <c r="R3291">
        <v>1799.08</v>
      </c>
      <c r="S3291">
        <v>691.15</v>
      </c>
      <c r="T3291">
        <v>56456.56</v>
      </c>
      <c r="U3291">
        <v>20672.47</v>
      </c>
      <c r="V3291">
        <v>7410.55</v>
      </c>
      <c r="W3291">
        <v>7324.05</v>
      </c>
      <c r="X3291">
        <v>62292.3</v>
      </c>
      <c r="Y3291">
        <v>60095.91</v>
      </c>
    </row>
    <row r="3292" spans="1:25" x14ac:dyDescent="0.25">
      <c r="A3292" t="s">
        <v>3348</v>
      </c>
      <c r="B3292" s="1">
        <v>45843</v>
      </c>
      <c r="C3292">
        <v>2025</v>
      </c>
      <c r="D3292">
        <v>7</v>
      </c>
      <c r="E3292" t="s">
        <v>690</v>
      </c>
      <c r="F3292" t="s">
        <v>691</v>
      </c>
      <c r="G3292" t="s">
        <v>28</v>
      </c>
      <c r="H3292" t="s">
        <v>53</v>
      </c>
      <c r="I3292" t="s">
        <v>50</v>
      </c>
      <c r="J3292">
        <v>40</v>
      </c>
      <c r="K3292">
        <v>1175.25</v>
      </c>
      <c r="L3292">
        <v>47009.82</v>
      </c>
      <c r="M3292">
        <v>31460.85</v>
      </c>
      <c r="N3292">
        <v>3489.67</v>
      </c>
      <c r="O3292">
        <v>3114.16</v>
      </c>
      <c r="P3292">
        <v>1837.76</v>
      </c>
      <c r="Q3292">
        <v>790.77</v>
      </c>
      <c r="R3292">
        <v>2650.13</v>
      </c>
      <c r="S3292">
        <v>865.71</v>
      </c>
      <c r="T3292">
        <v>44209.05</v>
      </c>
      <c r="U3292">
        <v>15548.97</v>
      </c>
      <c r="V3292">
        <v>2800.77</v>
      </c>
      <c r="W3292">
        <v>2788.83</v>
      </c>
      <c r="X3292">
        <v>44546.77</v>
      </c>
      <c r="Y3292">
        <v>43184.58</v>
      </c>
    </row>
    <row r="3293" spans="1:25" x14ac:dyDescent="0.25">
      <c r="A3293" t="s">
        <v>3349</v>
      </c>
      <c r="B3293" s="1">
        <v>45843</v>
      </c>
      <c r="C3293">
        <v>2025</v>
      </c>
      <c r="D3293">
        <v>7</v>
      </c>
      <c r="E3293" t="s">
        <v>690</v>
      </c>
      <c r="F3293" t="s">
        <v>691</v>
      </c>
      <c r="G3293" t="s">
        <v>28</v>
      </c>
      <c r="H3293" t="s">
        <v>29</v>
      </c>
      <c r="I3293" t="s">
        <v>33</v>
      </c>
      <c r="J3293">
        <v>39</v>
      </c>
      <c r="K3293">
        <v>1670.66</v>
      </c>
      <c r="L3293">
        <v>65155.59</v>
      </c>
      <c r="M3293">
        <v>34771.56</v>
      </c>
      <c r="N3293">
        <v>7912.75</v>
      </c>
      <c r="O3293">
        <v>4861.09</v>
      </c>
      <c r="P3293">
        <v>2647.56</v>
      </c>
      <c r="Q3293">
        <v>1135.98</v>
      </c>
      <c r="R3293">
        <v>2758.3</v>
      </c>
      <c r="S3293">
        <v>1104.92</v>
      </c>
      <c r="T3293">
        <v>55192.160000000003</v>
      </c>
      <c r="U3293">
        <v>30384.03</v>
      </c>
      <c r="V3293">
        <v>9963.43</v>
      </c>
      <c r="W3293">
        <v>10017.74</v>
      </c>
      <c r="X3293">
        <v>62161.07</v>
      </c>
      <c r="Y3293">
        <v>52317.63</v>
      </c>
    </row>
    <row r="3294" spans="1:25" x14ac:dyDescent="0.25">
      <c r="A3294" t="s">
        <v>3350</v>
      </c>
      <c r="B3294" s="1">
        <v>45843</v>
      </c>
      <c r="C3294">
        <v>2025</v>
      </c>
      <c r="D3294">
        <v>7</v>
      </c>
      <c r="E3294" t="s">
        <v>690</v>
      </c>
      <c r="F3294" t="s">
        <v>691</v>
      </c>
      <c r="G3294" t="s">
        <v>35</v>
      </c>
      <c r="H3294" t="s">
        <v>36</v>
      </c>
      <c r="I3294" t="s">
        <v>50</v>
      </c>
      <c r="J3294">
        <v>47</v>
      </c>
      <c r="K3294">
        <v>982.91</v>
      </c>
      <c r="L3294">
        <v>46196.56</v>
      </c>
      <c r="M3294">
        <v>24949.46</v>
      </c>
      <c r="N3294">
        <v>3797.38</v>
      </c>
      <c r="O3294">
        <v>2273.35</v>
      </c>
      <c r="P3294">
        <v>955.88</v>
      </c>
      <c r="Q3294">
        <v>446.71</v>
      </c>
      <c r="R3294">
        <v>1674.9</v>
      </c>
      <c r="S3294">
        <v>696.68</v>
      </c>
      <c r="T3294">
        <v>34794.36</v>
      </c>
      <c r="U3294">
        <v>21247.09</v>
      </c>
      <c r="V3294">
        <v>11402.19</v>
      </c>
      <c r="W3294">
        <v>10165.01</v>
      </c>
      <c r="X3294">
        <v>49696.76</v>
      </c>
      <c r="Y3294">
        <v>37806.660000000003</v>
      </c>
    </row>
    <row r="3295" spans="1:25" x14ac:dyDescent="0.25">
      <c r="A3295" t="s">
        <v>3351</v>
      </c>
      <c r="B3295" s="1">
        <v>45843</v>
      </c>
      <c r="C3295">
        <v>2025</v>
      </c>
      <c r="D3295">
        <v>7</v>
      </c>
      <c r="E3295" t="s">
        <v>690</v>
      </c>
      <c r="F3295" t="s">
        <v>691</v>
      </c>
      <c r="G3295" t="s">
        <v>28</v>
      </c>
      <c r="H3295" t="s">
        <v>32</v>
      </c>
      <c r="I3295" t="s">
        <v>65</v>
      </c>
      <c r="J3295">
        <v>53</v>
      </c>
      <c r="K3295">
        <v>1558.09</v>
      </c>
      <c r="L3295">
        <v>82578.789999999994</v>
      </c>
      <c r="M3295">
        <v>45031.17</v>
      </c>
      <c r="N3295">
        <v>6449.34</v>
      </c>
      <c r="O3295">
        <v>6050.2</v>
      </c>
      <c r="P3295">
        <v>3002.59</v>
      </c>
      <c r="Q3295">
        <v>1440.39</v>
      </c>
      <c r="R3295">
        <v>2100.15</v>
      </c>
      <c r="S3295">
        <v>1270.4000000000001</v>
      </c>
      <c r="T3295">
        <v>65344.24</v>
      </c>
      <c r="U3295">
        <v>37547.620000000003</v>
      </c>
      <c r="V3295">
        <v>17234.55</v>
      </c>
      <c r="W3295">
        <v>15249.11</v>
      </c>
      <c r="X3295">
        <v>79746.3</v>
      </c>
      <c r="Y3295">
        <v>63105.599999999999</v>
      </c>
    </row>
    <row r="3296" spans="1:25" x14ac:dyDescent="0.25">
      <c r="A3296" t="s">
        <v>3352</v>
      </c>
      <c r="B3296" s="1">
        <v>45844</v>
      </c>
      <c r="C3296">
        <v>2025</v>
      </c>
      <c r="D3296">
        <v>7</v>
      </c>
      <c r="E3296" t="s">
        <v>690</v>
      </c>
      <c r="F3296" t="s">
        <v>691</v>
      </c>
      <c r="G3296" t="s">
        <v>28</v>
      </c>
      <c r="H3296" t="s">
        <v>53</v>
      </c>
      <c r="I3296" t="s">
        <v>39</v>
      </c>
      <c r="J3296">
        <v>33</v>
      </c>
      <c r="K3296">
        <v>983.21</v>
      </c>
      <c r="L3296">
        <v>32446.06</v>
      </c>
      <c r="M3296">
        <v>20897.080000000002</v>
      </c>
      <c r="N3296">
        <v>3177.89</v>
      </c>
      <c r="O3296">
        <v>946.69</v>
      </c>
      <c r="P3296">
        <v>904.71</v>
      </c>
      <c r="Q3296">
        <v>283.10000000000002</v>
      </c>
      <c r="R3296">
        <v>1431.87</v>
      </c>
      <c r="S3296">
        <v>743.06</v>
      </c>
      <c r="T3296">
        <v>28384.41</v>
      </c>
      <c r="U3296">
        <v>11548.98</v>
      </c>
      <c r="V3296">
        <v>4061.65</v>
      </c>
      <c r="W3296">
        <v>3659.92</v>
      </c>
      <c r="X3296">
        <v>33422.33</v>
      </c>
      <c r="Y3296">
        <v>27126.31</v>
      </c>
    </row>
    <row r="3297" spans="1:25" x14ac:dyDescent="0.25">
      <c r="A3297" t="s">
        <v>3353</v>
      </c>
      <c r="B3297" s="1">
        <v>45844</v>
      </c>
      <c r="C3297">
        <v>2025</v>
      </c>
      <c r="D3297">
        <v>7</v>
      </c>
      <c r="E3297" t="s">
        <v>690</v>
      </c>
      <c r="F3297" t="s">
        <v>691</v>
      </c>
      <c r="G3297" t="s">
        <v>55</v>
      </c>
      <c r="H3297" t="s">
        <v>32</v>
      </c>
      <c r="I3297" t="s">
        <v>50</v>
      </c>
      <c r="J3297">
        <v>31</v>
      </c>
      <c r="K3297">
        <v>1595.67</v>
      </c>
      <c r="L3297">
        <v>49465.7</v>
      </c>
      <c r="M3297">
        <v>31802.35</v>
      </c>
      <c r="N3297">
        <v>4295.42</v>
      </c>
      <c r="O3297">
        <v>1886.93</v>
      </c>
      <c r="P3297">
        <v>1125.49</v>
      </c>
      <c r="Q3297">
        <v>628.49</v>
      </c>
      <c r="R3297">
        <v>2499.7600000000002</v>
      </c>
      <c r="S3297">
        <v>1120.4100000000001</v>
      </c>
      <c r="T3297">
        <v>43358.86</v>
      </c>
      <c r="U3297">
        <v>17663.349999999999</v>
      </c>
      <c r="V3297">
        <v>6106.84</v>
      </c>
      <c r="W3297">
        <v>5746.41</v>
      </c>
      <c r="X3297">
        <v>52136.160000000003</v>
      </c>
      <c r="Y3297">
        <v>46776.89</v>
      </c>
    </row>
    <row r="3298" spans="1:25" x14ac:dyDescent="0.25">
      <c r="A3298" t="s">
        <v>3354</v>
      </c>
      <c r="B3298" s="1">
        <v>45844</v>
      </c>
      <c r="C3298">
        <v>2025</v>
      </c>
      <c r="D3298">
        <v>7</v>
      </c>
      <c r="E3298" t="s">
        <v>690</v>
      </c>
      <c r="F3298" t="s">
        <v>691</v>
      </c>
      <c r="G3298" t="s">
        <v>44</v>
      </c>
      <c r="H3298" t="s">
        <v>29</v>
      </c>
      <c r="I3298" t="s">
        <v>37</v>
      </c>
      <c r="J3298">
        <v>95</v>
      </c>
      <c r="K3298">
        <v>855.29</v>
      </c>
      <c r="L3298">
        <v>81252.22</v>
      </c>
      <c r="M3298">
        <v>49149.25</v>
      </c>
      <c r="N3298">
        <v>5758.19</v>
      </c>
      <c r="O3298">
        <v>4745</v>
      </c>
      <c r="P3298">
        <v>1756.8</v>
      </c>
      <c r="Q3298">
        <v>911.66</v>
      </c>
      <c r="R3298">
        <v>2535.79</v>
      </c>
      <c r="S3298">
        <v>1128.1400000000001</v>
      </c>
      <c r="T3298">
        <v>65984.83</v>
      </c>
      <c r="U3298">
        <v>32102.97</v>
      </c>
      <c r="V3298">
        <v>15267.39</v>
      </c>
      <c r="W3298">
        <v>15366.04</v>
      </c>
      <c r="X3298">
        <v>79883.47</v>
      </c>
      <c r="Y3298">
        <v>62235.8</v>
      </c>
    </row>
    <row r="3299" spans="1:25" x14ac:dyDescent="0.25">
      <c r="A3299" t="s">
        <v>3355</v>
      </c>
      <c r="B3299" s="1">
        <v>45844</v>
      </c>
      <c r="C3299">
        <v>2025</v>
      </c>
      <c r="D3299">
        <v>7</v>
      </c>
      <c r="E3299" t="s">
        <v>690</v>
      </c>
      <c r="F3299" t="s">
        <v>691</v>
      </c>
      <c r="G3299" t="s">
        <v>28</v>
      </c>
      <c r="H3299" t="s">
        <v>36</v>
      </c>
      <c r="I3299" t="s">
        <v>37</v>
      </c>
      <c r="J3299">
        <v>58</v>
      </c>
      <c r="K3299">
        <v>1257.8699999999999</v>
      </c>
      <c r="L3299">
        <v>72956.179999999993</v>
      </c>
      <c r="M3299">
        <v>40619.17</v>
      </c>
      <c r="N3299">
        <v>5407.98</v>
      </c>
      <c r="O3299">
        <v>5284.97</v>
      </c>
      <c r="P3299">
        <v>2290.91</v>
      </c>
      <c r="Q3299">
        <v>656.44</v>
      </c>
      <c r="R3299">
        <v>3467.76</v>
      </c>
      <c r="S3299">
        <v>893.97</v>
      </c>
      <c r="T3299">
        <v>58621.21</v>
      </c>
      <c r="U3299">
        <v>32337.01</v>
      </c>
      <c r="V3299">
        <v>14334.97</v>
      </c>
      <c r="W3299">
        <v>14262.63</v>
      </c>
      <c r="X3299">
        <v>81624.08</v>
      </c>
      <c r="Y3299">
        <v>62972.56</v>
      </c>
    </row>
    <row r="3300" spans="1:25" x14ac:dyDescent="0.25">
      <c r="A3300" t="s">
        <v>3356</v>
      </c>
      <c r="B3300" s="1">
        <v>45844</v>
      </c>
      <c r="C3300">
        <v>2025</v>
      </c>
      <c r="D3300">
        <v>7</v>
      </c>
      <c r="E3300" t="s">
        <v>690</v>
      </c>
      <c r="F3300" t="s">
        <v>691</v>
      </c>
      <c r="G3300" t="s">
        <v>44</v>
      </c>
      <c r="H3300" t="s">
        <v>32</v>
      </c>
      <c r="I3300" t="s">
        <v>65</v>
      </c>
      <c r="J3300">
        <v>69</v>
      </c>
      <c r="K3300">
        <v>827.77</v>
      </c>
      <c r="L3300">
        <v>57116.160000000003</v>
      </c>
      <c r="M3300">
        <v>28754.03</v>
      </c>
      <c r="N3300">
        <v>7395.41</v>
      </c>
      <c r="O3300">
        <v>3094.72</v>
      </c>
      <c r="P3300">
        <v>2353.36</v>
      </c>
      <c r="Q3300">
        <v>774.23</v>
      </c>
      <c r="R3300">
        <v>2821.67</v>
      </c>
      <c r="S3300">
        <v>1305.1600000000001</v>
      </c>
      <c r="T3300">
        <v>46498.58</v>
      </c>
      <c r="U3300">
        <v>28362.13</v>
      </c>
      <c r="V3300">
        <v>10617.58</v>
      </c>
      <c r="W3300">
        <v>10388.76</v>
      </c>
      <c r="X3300">
        <v>63277.5</v>
      </c>
      <c r="Y3300">
        <v>45933.51</v>
      </c>
    </row>
    <row r="3301" spans="1:25" x14ac:dyDescent="0.25">
      <c r="A3301" t="s">
        <v>3357</v>
      </c>
      <c r="B3301" s="1">
        <v>45845</v>
      </c>
      <c r="C3301">
        <v>2025</v>
      </c>
      <c r="D3301">
        <v>7</v>
      </c>
      <c r="E3301" t="s">
        <v>690</v>
      </c>
      <c r="F3301" t="s">
        <v>691</v>
      </c>
      <c r="G3301" t="s">
        <v>35</v>
      </c>
      <c r="H3301" t="s">
        <v>36</v>
      </c>
      <c r="I3301" t="s">
        <v>45</v>
      </c>
      <c r="J3301">
        <v>29</v>
      </c>
      <c r="K3301">
        <v>1588.25</v>
      </c>
      <c r="L3301">
        <v>46059.24</v>
      </c>
      <c r="M3301">
        <v>30073.33</v>
      </c>
      <c r="N3301">
        <v>3297.82</v>
      </c>
      <c r="O3301">
        <v>1642.02</v>
      </c>
      <c r="P3301">
        <v>1999.02</v>
      </c>
      <c r="Q3301">
        <v>609.77</v>
      </c>
      <c r="R3301">
        <v>1255.95</v>
      </c>
      <c r="S3301">
        <v>722.57</v>
      </c>
      <c r="T3301">
        <v>39600.47</v>
      </c>
      <c r="U3301">
        <v>15985.91</v>
      </c>
      <c r="V3301">
        <v>6458.77</v>
      </c>
      <c r="W3301">
        <v>6524.61</v>
      </c>
      <c r="X3301">
        <v>46757.36</v>
      </c>
      <c r="Y3301">
        <v>40043.53</v>
      </c>
    </row>
    <row r="3302" spans="1:25" x14ac:dyDescent="0.25">
      <c r="A3302" t="s">
        <v>3358</v>
      </c>
      <c r="B3302" s="1">
        <v>45845</v>
      </c>
      <c r="C3302">
        <v>2025</v>
      </c>
      <c r="D3302">
        <v>7</v>
      </c>
      <c r="E3302" t="s">
        <v>690</v>
      </c>
      <c r="F3302" t="s">
        <v>691</v>
      </c>
      <c r="G3302" t="s">
        <v>44</v>
      </c>
      <c r="H3302" t="s">
        <v>53</v>
      </c>
      <c r="I3302" t="s">
        <v>65</v>
      </c>
      <c r="J3302">
        <v>57</v>
      </c>
      <c r="K3302">
        <v>808.34</v>
      </c>
      <c r="L3302">
        <v>46075.19</v>
      </c>
      <c r="M3302">
        <v>27641.23</v>
      </c>
      <c r="N3302">
        <v>3493.72</v>
      </c>
      <c r="O3302">
        <v>2180.5700000000002</v>
      </c>
      <c r="P3302">
        <v>1298.3499999999999</v>
      </c>
      <c r="Q3302">
        <v>551.59</v>
      </c>
      <c r="R3302">
        <v>1681.46</v>
      </c>
      <c r="S3302">
        <v>481.14</v>
      </c>
      <c r="T3302">
        <v>37328.080000000002</v>
      </c>
      <c r="U3302">
        <v>18433.96</v>
      </c>
      <c r="V3302">
        <v>8747.11</v>
      </c>
      <c r="W3302">
        <v>7863.81</v>
      </c>
      <c r="X3302">
        <v>43874.27</v>
      </c>
      <c r="Y3302">
        <v>39403.15</v>
      </c>
    </row>
    <row r="3303" spans="1:25" x14ac:dyDescent="0.25">
      <c r="A3303" t="s">
        <v>3359</v>
      </c>
      <c r="B3303" s="1">
        <v>45845</v>
      </c>
      <c r="C3303">
        <v>2025</v>
      </c>
      <c r="D3303">
        <v>7</v>
      </c>
      <c r="E3303" t="s">
        <v>690</v>
      </c>
      <c r="F3303" t="s">
        <v>691</v>
      </c>
      <c r="G3303" t="s">
        <v>55</v>
      </c>
      <c r="H3303" t="s">
        <v>32</v>
      </c>
      <c r="I3303" t="s">
        <v>50</v>
      </c>
      <c r="J3303">
        <v>91</v>
      </c>
      <c r="K3303">
        <v>824.88</v>
      </c>
      <c r="L3303">
        <v>75063.63</v>
      </c>
      <c r="M3303">
        <v>45216.1</v>
      </c>
      <c r="N3303">
        <v>7805.77</v>
      </c>
      <c r="O3303">
        <v>4592.0600000000004</v>
      </c>
      <c r="P3303">
        <v>3013.49</v>
      </c>
      <c r="Q3303">
        <v>648.98</v>
      </c>
      <c r="R3303">
        <v>3659.5</v>
      </c>
      <c r="S3303">
        <v>1609.68</v>
      </c>
      <c r="T3303">
        <v>66545.570000000007</v>
      </c>
      <c r="U3303">
        <v>29847.53</v>
      </c>
      <c r="V3303">
        <v>8518.06</v>
      </c>
      <c r="W3303">
        <v>7770.33</v>
      </c>
      <c r="X3303">
        <v>70500.899999999994</v>
      </c>
      <c r="Y3303">
        <v>62835.96</v>
      </c>
    </row>
    <row r="3304" spans="1:25" x14ac:dyDescent="0.25">
      <c r="A3304" t="s">
        <v>3360</v>
      </c>
      <c r="B3304" s="1">
        <v>45845</v>
      </c>
      <c r="C3304">
        <v>2025</v>
      </c>
      <c r="D3304">
        <v>7</v>
      </c>
      <c r="E3304" t="s">
        <v>690</v>
      </c>
      <c r="F3304" t="s">
        <v>691</v>
      </c>
      <c r="G3304" t="s">
        <v>55</v>
      </c>
      <c r="H3304" t="s">
        <v>32</v>
      </c>
      <c r="I3304" t="s">
        <v>56</v>
      </c>
      <c r="J3304">
        <v>36</v>
      </c>
      <c r="K3304">
        <v>1442.3</v>
      </c>
      <c r="L3304">
        <v>51922.81</v>
      </c>
      <c r="M3304">
        <v>32762</v>
      </c>
      <c r="N3304">
        <v>4707.83</v>
      </c>
      <c r="O3304">
        <v>3672.45</v>
      </c>
      <c r="P3304">
        <v>1086.22</v>
      </c>
      <c r="Q3304">
        <v>670.88</v>
      </c>
      <c r="R3304">
        <v>1382.77</v>
      </c>
      <c r="S3304">
        <v>638.30999999999995</v>
      </c>
      <c r="T3304">
        <v>44920.47</v>
      </c>
      <c r="U3304">
        <v>19160.810000000001</v>
      </c>
      <c r="V3304">
        <v>7002.34</v>
      </c>
      <c r="W3304">
        <v>6640.69</v>
      </c>
      <c r="X3304">
        <v>52416.79</v>
      </c>
      <c r="Y3304">
        <v>46270.1</v>
      </c>
    </row>
    <row r="3305" spans="1:25" x14ac:dyDescent="0.25">
      <c r="A3305" t="s">
        <v>3361</v>
      </c>
      <c r="B3305" s="1">
        <v>45846</v>
      </c>
      <c r="C3305">
        <v>2025</v>
      </c>
      <c r="D3305">
        <v>7</v>
      </c>
      <c r="E3305" t="s">
        <v>690</v>
      </c>
      <c r="F3305" t="s">
        <v>691</v>
      </c>
      <c r="G3305" t="s">
        <v>55</v>
      </c>
      <c r="H3305" t="s">
        <v>36</v>
      </c>
      <c r="I3305" t="s">
        <v>50</v>
      </c>
      <c r="J3305">
        <v>56</v>
      </c>
      <c r="K3305">
        <v>1194.31</v>
      </c>
      <c r="L3305">
        <v>66881.240000000005</v>
      </c>
      <c r="M3305">
        <v>38117.74</v>
      </c>
      <c r="N3305">
        <v>8485.84</v>
      </c>
      <c r="O3305">
        <v>2981.09</v>
      </c>
      <c r="P3305">
        <v>1248.1199999999999</v>
      </c>
      <c r="Q3305">
        <v>491.65</v>
      </c>
      <c r="R3305">
        <v>3302.07</v>
      </c>
      <c r="S3305">
        <v>1438.95</v>
      </c>
      <c r="T3305">
        <v>56065.45</v>
      </c>
      <c r="U3305">
        <v>28763.51</v>
      </c>
      <c r="V3305">
        <v>10815.79</v>
      </c>
      <c r="W3305">
        <v>10355.950000000001</v>
      </c>
      <c r="X3305">
        <v>65320.71</v>
      </c>
      <c r="Y3305">
        <v>57734.82</v>
      </c>
    </row>
    <row r="3306" spans="1:25" x14ac:dyDescent="0.25">
      <c r="A3306" t="s">
        <v>3362</v>
      </c>
      <c r="B3306" s="1">
        <v>45846</v>
      </c>
      <c r="C3306">
        <v>2025</v>
      </c>
      <c r="D3306">
        <v>7</v>
      </c>
      <c r="E3306" t="s">
        <v>690</v>
      </c>
      <c r="F3306" t="s">
        <v>691</v>
      </c>
      <c r="G3306" t="s">
        <v>55</v>
      </c>
      <c r="H3306" t="s">
        <v>53</v>
      </c>
      <c r="I3306" t="s">
        <v>56</v>
      </c>
      <c r="J3306">
        <v>47</v>
      </c>
      <c r="K3306">
        <v>903.62</v>
      </c>
      <c r="L3306">
        <v>42469.96</v>
      </c>
      <c r="M3306">
        <v>21589.9</v>
      </c>
      <c r="N3306">
        <v>5227.55</v>
      </c>
      <c r="O3306">
        <v>2828.17</v>
      </c>
      <c r="P3306">
        <v>780.91</v>
      </c>
      <c r="Q3306">
        <v>219.42</v>
      </c>
      <c r="R3306">
        <v>1380.09</v>
      </c>
      <c r="S3306">
        <v>1005.56</v>
      </c>
      <c r="T3306">
        <v>33031.589999999997</v>
      </c>
      <c r="U3306">
        <v>20880.060000000001</v>
      </c>
      <c r="V3306">
        <v>9438.3700000000008</v>
      </c>
      <c r="W3306">
        <v>8924.58</v>
      </c>
      <c r="X3306">
        <v>46138.38</v>
      </c>
      <c r="Y3306">
        <v>33257.35</v>
      </c>
    </row>
    <row r="3307" spans="1:25" x14ac:dyDescent="0.25">
      <c r="A3307" t="s">
        <v>3363</v>
      </c>
      <c r="B3307" s="1">
        <v>45846</v>
      </c>
      <c r="C3307">
        <v>2025</v>
      </c>
      <c r="D3307">
        <v>7</v>
      </c>
      <c r="E3307" t="s">
        <v>690</v>
      </c>
      <c r="F3307" t="s">
        <v>691</v>
      </c>
      <c r="G3307" t="s">
        <v>55</v>
      </c>
      <c r="H3307" t="s">
        <v>32</v>
      </c>
      <c r="I3307" t="s">
        <v>50</v>
      </c>
      <c r="J3307">
        <v>61</v>
      </c>
      <c r="K3307">
        <v>1323.22</v>
      </c>
      <c r="L3307">
        <v>80716.160000000003</v>
      </c>
      <c r="M3307">
        <v>43054.52</v>
      </c>
      <c r="N3307">
        <v>8191.54</v>
      </c>
      <c r="O3307">
        <v>3434.87</v>
      </c>
      <c r="P3307">
        <v>1373</v>
      </c>
      <c r="Q3307">
        <v>1414.56</v>
      </c>
      <c r="R3307">
        <v>3072.8</v>
      </c>
      <c r="S3307">
        <v>949.76</v>
      </c>
      <c r="T3307">
        <v>61491.05</v>
      </c>
      <c r="U3307">
        <v>37661.64</v>
      </c>
      <c r="V3307">
        <v>19225.11</v>
      </c>
      <c r="W3307">
        <v>19297.29</v>
      </c>
      <c r="X3307">
        <v>83571.8</v>
      </c>
      <c r="Y3307">
        <v>57526.41</v>
      </c>
    </row>
    <row r="3308" spans="1:25" x14ac:dyDescent="0.25">
      <c r="A3308" t="s">
        <v>3364</v>
      </c>
      <c r="B3308" s="1">
        <v>45846</v>
      </c>
      <c r="C3308">
        <v>2025</v>
      </c>
      <c r="D3308">
        <v>7</v>
      </c>
      <c r="E3308" t="s">
        <v>690</v>
      </c>
      <c r="F3308" t="s">
        <v>691</v>
      </c>
      <c r="G3308" t="s">
        <v>35</v>
      </c>
      <c r="H3308" t="s">
        <v>29</v>
      </c>
      <c r="I3308" t="s">
        <v>65</v>
      </c>
      <c r="J3308">
        <v>46</v>
      </c>
      <c r="K3308">
        <v>1117.8900000000001</v>
      </c>
      <c r="L3308">
        <v>51422.91</v>
      </c>
      <c r="M3308">
        <v>32145.39</v>
      </c>
      <c r="N3308">
        <v>6398.99</v>
      </c>
      <c r="O3308">
        <v>3234.42</v>
      </c>
      <c r="P3308">
        <v>2040.4</v>
      </c>
      <c r="Q3308">
        <v>368.14</v>
      </c>
      <c r="R3308">
        <v>2461.2399999999998</v>
      </c>
      <c r="S3308">
        <v>1107.1500000000001</v>
      </c>
      <c r="T3308">
        <v>47755.72</v>
      </c>
      <c r="U3308">
        <v>19277.52</v>
      </c>
      <c r="V3308">
        <v>3667.18</v>
      </c>
      <c r="W3308">
        <v>3620.61</v>
      </c>
      <c r="X3308">
        <v>49747.35</v>
      </c>
      <c r="Y3308">
        <v>46915.23</v>
      </c>
    </row>
    <row r="3309" spans="1:25" x14ac:dyDescent="0.25">
      <c r="A3309" t="s">
        <v>3365</v>
      </c>
      <c r="B3309" s="1">
        <v>45847</v>
      </c>
      <c r="C3309">
        <v>2025</v>
      </c>
      <c r="D3309">
        <v>7</v>
      </c>
      <c r="E3309" t="s">
        <v>690</v>
      </c>
      <c r="F3309" t="s">
        <v>691</v>
      </c>
      <c r="G3309" t="s">
        <v>44</v>
      </c>
      <c r="H3309" t="s">
        <v>36</v>
      </c>
      <c r="I3309" t="s">
        <v>37</v>
      </c>
      <c r="J3309">
        <v>45</v>
      </c>
      <c r="K3309">
        <v>1566.54</v>
      </c>
      <c r="L3309">
        <v>70494.42</v>
      </c>
      <c r="M3309">
        <v>38503.39</v>
      </c>
      <c r="N3309">
        <v>8843.09</v>
      </c>
      <c r="O3309">
        <v>3400.87</v>
      </c>
      <c r="P3309">
        <v>2929.75</v>
      </c>
      <c r="Q3309">
        <v>719.2</v>
      </c>
      <c r="R3309">
        <v>2615.27</v>
      </c>
      <c r="S3309">
        <v>597.38</v>
      </c>
      <c r="T3309">
        <v>57608.95</v>
      </c>
      <c r="U3309">
        <v>31991.03</v>
      </c>
      <c r="V3309">
        <v>12885.47</v>
      </c>
      <c r="W3309">
        <v>12636.06</v>
      </c>
      <c r="X3309">
        <v>74131.47</v>
      </c>
      <c r="Y3309">
        <v>55345.59</v>
      </c>
    </row>
    <row r="3310" spans="1:25" x14ac:dyDescent="0.25">
      <c r="A3310" t="s">
        <v>3366</v>
      </c>
      <c r="B3310" s="1">
        <v>45847</v>
      </c>
      <c r="C3310">
        <v>2025</v>
      </c>
      <c r="D3310">
        <v>7</v>
      </c>
      <c r="E3310" t="s">
        <v>690</v>
      </c>
      <c r="F3310" t="s">
        <v>691</v>
      </c>
      <c r="G3310" t="s">
        <v>28</v>
      </c>
      <c r="H3310" t="s">
        <v>36</v>
      </c>
      <c r="I3310" t="s">
        <v>33</v>
      </c>
      <c r="J3310">
        <v>100</v>
      </c>
      <c r="K3310">
        <v>877.36</v>
      </c>
      <c r="L3310">
        <v>87736.2</v>
      </c>
      <c r="M3310">
        <v>43163.53</v>
      </c>
      <c r="N3310">
        <v>11351.39</v>
      </c>
      <c r="O3310">
        <v>6421.3</v>
      </c>
      <c r="P3310">
        <v>3002.54</v>
      </c>
      <c r="Q3310">
        <v>1299</v>
      </c>
      <c r="R3310">
        <v>5175.34</v>
      </c>
      <c r="S3310">
        <v>1986.91</v>
      </c>
      <c r="T3310">
        <v>72400</v>
      </c>
      <c r="U3310">
        <v>44572.67</v>
      </c>
      <c r="V3310">
        <v>15336.2</v>
      </c>
      <c r="W3310">
        <v>14069.25</v>
      </c>
      <c r="X3310">
        <v>81339.58</v>
      </c>
      <c r="Y3310">
        <v>73106.33</v>
      </c>
    </row>
    <row r="3311" spans="1:25" x14ac:dyDescent="0.25">
      <c r="A3311" t="s">
        <v>3367</v>
      </c>
      <c r="B3311" s="1">
        <v>45847</v>
      </c>
      <c r="C3311">
        <v>2025</v>
      </c>
      <c r="D3311">
        <v>7</v>
      </c>
      <c r="E3311" t="s">
        <v>690</v>
      </c>
      <c r="F3311" t="s">
        <v>691</v>
      </c>
      <c r="G3311" t="s">
        <v>44</v>
      </c>
      <c r="H3311" t="s">
        <v>32</v>
      </c>
      <c r="I3311" t="s">
        <v>39</v>
      </c>
      <c r="J3311">
        <v>37</v>
      </c>
      <c r="K3311">
        <v>1527.88</v>
      </c>
      <c r="L3311">
        <v>56531.45</v>
      </c>
      <c r="M3311">
        <v>29787.73</v>
      </c>
      <c r="N3311">
        <v>5003.09</v>
      </c>
      <c r="O3311">
        <v>3842.07</v>
      </c>
      <c r="P3311">
        <v>2125.61</v>
      </c>
      <c r="Q3311">
        <v>422.96</v>
      </c>
      <c r="R3311">
        <v>2506.56</v>
      </c>
      <c r="S3311">
        <v>633.12</v>
      </c>
      <c r="T3311">
        <v>44321.15</v>
      </c>
      <c r="U3311">
        <v>26743.72</v>
      </c>
      <c r="V3311">
        <v>12210.3</v>
      </c>
      <c r="W3311">
        <v>10791.19</v>
      </c>
      <c r="X3311">
        <v>59908.22</v>
      </c>
      <c r="Y3311">
        <v>45868.89</v>
      </c>
    </row>
    <row r="3312" spans="1:25" x14ac:dyDescent="0.25">
      <c r="A3312" t="s">
        <v>3368</v>
      </c>
      <c r="B3312" s="1">
        <v>45847</v>
      </c>
      <c r="C3312">
        <v>2025</v>
      </c>
      <c r="D3312">
        <v>7</v>
      </c>
      <c r="E3312" t="s">
        <v>690</v>
      </c>
      <c r="F3312" t="s">
        <v>691</v>
      </c>
      <c r="G3312" t="s">
        <v>55</v>
      </c>
      <c r="H3312" t="s">
        <v>36</v>
      </c>
      <c r="I3312" t="s">
        <v>30</v>
      </c>
      <c r="J3312">
        <v>72</v>
      </c>
      <c r="K3312">
        <v>1706.41</v>
      </c>
      <c r="L3312">
        <v>122861.43</v>
      </c>
      <c r="M3312">
        <v>60038.77</v>
      </c>
      <c r="N3312">
        <v>14153.44</v>
      </c>
      <c r="O3312">
        <v>4544.91</v>
      </c>
      <c r="P3312">
        <v>2438.08</v>
      </c>
      <c r="Q3312">
        <v>1687.7</v>
      </c>
      <c r="R3312">
        <v>4729.4799999999996</v>
      </c>
      <c r="S3312">
        <v>2658.77</v>
      </c>
      <c r="T3312">
        <v>90251.15</v>
      </c>
      <c r="U3312">
        <v>62822.66</v>
      </c>
      <c r="V3312">
        <v>32610.28</v>
      </c>
      <c r="W3312">
        <v>29623.24</v>
      </c>
      <c r="X3312">
        <v>128427.46</v>
      </c>
      <c r="Y3312">
        <v>85540.44</v>
      </c>
    </row>
    <row r="3313" spans="1:25" x14ac:dyDescent="0.25">
      <c r="A3313" t="s">
        <v>3369</v>
      </c>
      <c r="B3313" s="1">
        <v>45847</v>
      </c>
      <c r="C3313">
        <v>2025</v>
      </c>
      <c r="D3313">
        <v>7</v>
      </c>
      <c r="E3313" t="s">
        <v>690</v>
      </c>
      <c r="F3313" t="s">
        <v>691</v>
      </c>
      <c r="G3313" t="s">
        <v>44</v>
      </c>
      <c r="H3313" t="s">
        <v>36</v>
      </c>
      <c r="I3313" t="s">
        <v>45</v>
      </c>
      <c r="J3313">
        <v>25</v>
      </c>
      <c r="K3313">
        <v>1627.36</v>
      </c>
      <c r="L3313">
        <v>40684.07</v>
      </c>
      <c r="M3313">
        <v>21936.77</v>
      </c>
      <c r="N3313">
        <v>3261.54</v>
      </c>
      <c r="O3313">
        <v>1778.94</v>
      </c>
      <c r="P3313">
        <v>907.96</v>
      </c>
      <c r="Q3313">
        <v>450.39</v>
      </c>
      <c r="R3313">
        <v>2054.17</v>
      </c>
      <c r="S3313">
        <v>930.35</v>
      </c>
      <c r="T3313">
        <v>31320.13</v>
      </c>
      <c r="U3313">
        <v>18747.29</v>
      </c>
      <c r="V3313">
        <v>9363.93</v>
      </c>
      <c r="W3313">
        <v>8829.33</v>
      </c>
      <c r="X3313">
        <v>45219.5</v>
      </c>
      <c r="Y3313">
        <v>31682.26</v>
      </c>
    </row>
    <row r="3314" spans="1:25" x14ac:dyDescent="0.25">
      <c r="A3314" t="s">
        <v>3370</v>
      </c>
      <c r="B3314" s="1">
        <v>45847</v>
      </c>
      <c r="C3314">
        <v>2025</v>
      </c>
      <c r="D3314">
        <v>7</v>
      </c>
      <c r="E3314" t="s">
        <v>690</v>
      </c>
      <c r="F3314" t="s">
        <v>691</v>
      </c>
      <c r="G3314" t="s">
        <v>44</v>
      </c>
      <c r="H3314" t="s">
        <v>36</v>
      </c>
      <c r="I3314" t="s">
        <v>30</v>
      </c>
      <c r="J3314">
        <v>80</v>
      </c>
      <c r="K3314">
        <v>1018.85</v>
      </c>
      <c r="L3314">
        <v>81508.039999999994</v>
      </c>
      <c r="M3314">
        <v>51444.12</v>
      </c>
      <c r="N3314">
        <v>10272.870000000001</v>
      </c>
      <c r="O3314">
        <v>2975.12</v>
      </c>
      <c r="P3314">
        <v>3625.09</v>
      </c>
      <c r="Q3314">
        <v>580.66</v>
      </c>
      <c r="R3314">
        <v>3428.9</v>
      </c>
      <c r="S3314">
        <v>1172.4100000000001</v>
      </c>
      <c r="T3314">
        <v>73499.16</v>
      </c>
      <c r="U3314">
        <v>30063.919999999998</v>
      </c>
      <c r="V3314">
        <v>8008.89</v>
      </c>
      <c r="W3314">
        <v>8029.96</v>
      </c>
      <c r="X3314">
        <v>77444.3</v>
      </c>
      <c r="Y3314">
        <v>76814.850000000006</v>
      </c>
    </row>
    <row r="3315" spans="1:25" x14ac:dyDescent="0.25">
      <c r="A3315" t="s">
        <v>3371</v>
      </c>
      <c r="B3315" s="1">
        <v>45847</v>
      </c>
      <c r="C3315">
        <v>2025</v>
      </c>
      <c r="D3315">
        <v>7</v>
      </c>
      <c r="E3315" t="s">
        <v>690</v>
      </c>
      <c r="F3315" t="s">
        <v>691</v>
      </c>
      <c r="G3315" t="s">
        <v>35</v>
      </c>
      <c r="H3315" t="s">
        <v>32</v>
      </c>
      <c r="I3315" t="s">
        <v>33</v>
      </c>
      <c r="J3315">
        <v>57</v>
      </c>
      <c r="K3315">
        <v>1533.69</v>
      </c>
      <c r="L3315">
        <v>87420.44</v>
      </c>
      <c r="M3315">
        <v>58822.64</v>
      </c>
      <c r="N3315">
        <v>7751.22</v>
      </c>
      <c r="O3315">
        <v>3039.82</v>
      </c>
      <c r="P3315">
        <v>1340.69</v>
      </c>
      <c r="Q3315">
        <v>1323.21</v>
      </c>
      <c r="R3315">
        <v>5675.74</v>
      </c>
      <c r="S3315">
        <v>1263.99</v>
      </c>
      <c r="T3315">
        <v>79217.31</v>
      </c>
      <c r="U3315">
        <v>28597.8</v>
      </c>
      <c r="V3315">
        <v>8203.1299999999992</v>
      </c>
      <c r="W3315">
        <v>7679.85</v>
      </c>
      <c r="X3315">
        <v>94730.51</v>
      </c>
      <c r="Y3315">
        <v>86667.95</v>
      </c>
    </row>
    <row r="3316" spans="1:25" x14ac:dyDescent="0.25">
      <c r="A3316" t="s">
        <v>3372</v>
      </c>
      <c r="B3316" s="1">
        <v>45848</v>
      </c>
      <c r="C3316">
        <v>2025</v>
      </c>
      <c r="D3316">
        <v>7</v>
      </c>
      <c r="E3316" t="s">
        <v>690</v>
      </c>
      <c r="F3316" t="s">
        <v>691</v>
      </c>
      <c r="G3316" t="s">
        <v>55</v>
      </c>
      <c r="H3316" t="s">
        <v>32</v>
      </c>
      <c r="I3316" t="s">
        <v>33</v>
      </c>
      <c r="J3316">
        <v>78</v>
      </c>
      <c r="K3316">
        <v>1507.88</v>
      </c>
      <c r="L3316">
        <v>117614.96</v>
      </c>
      <c r="M3316">
        <v>64699.67</v>
      </c>
      <c r="N3316">
        <v>8541.89</v>
      </c>
      <c r="O3316">
        <v>6983.1</v>
      </c>
      <c r="P3316">
        <v>5062.1499999999996</v>
      </c>
      <c r="Q3316">
        <v>776.5</v>
      </c>
      <c r="R3316">
        <v>3927.64</v>
      </c>
      <c r="S3316">
        <v>1858.4</v>
      </c>
      <c r="T3316">
        <v>91849.35</v>
      </c>
      <c r="U3316">
        <v>52915.29</v>
      </c>
      <c r="V3316">
        <v>25765.61</v>
      </c>
      <c r="W3316">
        <v>26231.62</v>
      </c>
      <c r="X3316">
        <v>115219.98</v>
      </c>
      <c r="Y3316">
        <v>86333.99</v>
      </c>
    </row>
    <row r="3317" spans="1:25" x14ac:dyDescent="0.25">
      <c r="A3317" t="s">
        <v>3373</v>
      </c>
      <c r="B3317" s="1">
        <v>45848</v>
      </c>
      <c r="C3317">
        <v>2025</v>
      </c>
      <c r="D3317">
        <v>7</v>
      </c>
      <c r="E3317" t="s">
        <v>690</v>
      </c>
      <c r="F3317" t="s">
        <v>691</v>
      </c>
      <c r="G3317" t="s">
        <v>28</v>
      </c>
      <c r="H3317" t="s">
        <v>32</v>
      </c>
      <c r="I3317" t="s">
        <v>56</v>
      </c>
      <c r="J3317">
        <v>42</v>
      </c>
      <c r="K3317">
        <v>814.96</v>
      </c>
      <c r="L3317">
        <v>34228.28</v>
      </c>
      <c r="M3317">
        <v>20577.78</v>
      </c>
      <c r="N3317">
        <v>2539.39</v>
      </c>
      <c r="O3317">
        <v>1525.59</v>
      </c>
      <c r="P3317">
        <v>997.82</v>
      </c>
      <c r="Q3317">
        <v>322.42</v>
      </c>
      <c r="R3317">
        <v>1218.55</v>
      </c>
      <c r="S3317">
        <v>285.44</v>
      </c>
      <c r="T3317">
        <v>27466.98</v>
      </c>
      <c r="U3317">
        <v>13650.51</v>
      </c>
      <c r="V3317">
        <v>6761.31</v>
      </c>
      <c r="W3317">
        <v>6250.4</v>
      </c>
      <c r="X3317">
        <v>36636.89</v>
      </c>
      <c r="Y3317">
        <v>25791.01</v>
      </c>
    </row>
    <row r="3318" spans="1:25" x14ac:dyDescent="0.25">
      <c r="A3318" t="s">
        <v>3374</v>
      </c>
      <c r="B3318" s="1">
        <v>45849</v>
      </c>
      <c r="C3318">
        <v>2025</v>
      </c>
      <c r="D3318">
        <v>7</v>
      </c>
      <c r="E3318" t="s">
        <v>690</v>
      </c>
      <c r="F3318" t="s">
        <v>691</v>
      </c>
      <c r="G3318" t="s">
        <v>55</v>
      </c>
      <c r="H3318" t="s">
        <v>58</v>
      </c>
      <c r="I3318" t="s">
        <v>30</v>
      </c>
      <c r="J3318">
        <v>81</v>
      </c>
      <c r="K3318">
        <v>1130.67</v>
      </c>
      <c r="L3318">
        <v>91584.65</v>
      </c>
      <c r="M3318">
        <v>57328.85</v>
      </c>
      <c r="N3318">
        <v>9597.49</v>
      </c>
      <c r="O3318">
        <v>5182.9799999999996</v>
      </c>
      <c r="P3318">
        <v>1887.56</v>
      </c>
      <c r="Q3318">
        <v>1041.22</v>
      </c>
      <c r="R3318">
        <v>2335.7199999999998</v>
      </c>
      <c r="S3318">
        <v>1992.36</v>
      </c>
      <c r="T3318">
        <v>79366.19</v>
      </c>
      <c r="U3318">
        <v>34255.81</v>
      </c>
      <c r="V3318">
        <v>12218.47</v>
      </c>
      <c r="W3318">
        <v>11297.76</v>
      </c>
      <c r="X3318">
        <v>84286.33</v>
      </c>
      <c r="Y3318">
        <v>79624.66</v>
      </c>
    </row>
    <row r="3319" spans="1:25" x14ac:dyDescent="0.25">
      <c r="A3319" t="s">
        <v>3375</v>
      </c>
      <c r="B3319" s="1">
        <v>45849</v>
      </c>
      <c r="C3319">
        <v>2025</v>
      </c>
      <c r="D3319">
        <v>7</v>
      </c>
      <c r="E3319" t="s">
        <v>690</v>
      </c>
      <c r="F3319" t="s">
        <v>691</v>
      </c>
      <c r="G3319" t="s">
        <v>55</v>
      </c>
      <c r="H3319" t="s">
        <v>32</v>
      </c>
      <c r="I3319" t="s">
        <v>45</v>
      </c>
      <c r="J3319">
        <v>36</v>
      </c>
      <c r="K3319">
        <v>1364.43</v>
      </c>
      <c r="L3319">
        <v>49119.5</v>
      </c>
      <c r="M3319">
        <v>25262.89</v>
      </c>
      <c r="N3319">
        <v>3945.55</v>
      </c>
      <c r="O3319">
        <v>1846.2</v>
      </c>
      <c r="P3319">
        <v>951.84</v>
      </c>
      <c r="Q3319">
        <v>298.95</v>
      </c>
      <c r="R3319">
        <v>2683.72</v>
      </c>
      <c r="S3319">
        <v>1114.8499999999999</v>
      </c>
      <c r="T3319">
        <v>36104</v>
      </c>
      <c r="U3319">
        <v>23856.6</v>
      </c>
      <c r="V3319">
        <v>13015.49</v>
      </c>
      <c r="W3319">
        <v>12549.22</v>
      </c>
      <c r="X3319">
        <v>54710.09</v>
      </c>
      <c r="Y3319">
        <v>38034.74</v>
      </c>
    </row>
    <row r="3320" spans="1:25" x14ac:dyDescent="0.25">
      <c r="A3320" t="s">
        <v>3376</v>
      </c>
      <c r="B3320" s="1">
        <v>45849</v>
      </c>
      <c r="C3320">
        <v>2025</v>
      </c>
      <c r="D3320">
        <v>7</v>
      </c>
      <c r="E3320" t="s">
        <v>690</v>
      </c>
      <c r="F3320" t="s">
        <v>691</v>
      </c>
      <c r="G3320" t="s">
        <v>35</v>
      </c>
      <c r="H3320" t="s">
        <v>36</v>
      </c>
      <c r="I3320" t="s">
        <v>56</v>
      </c>
      <c r="J3320">
        <v>29</v>
      </c>
      <c r="K3320">
        <v>1318.59</v>
      </c>
      <c r="L3320">
        <v>38239.19</v>
      </c>
      <c r="M3320">
        <v>19450.189999999999</v>
      </c>
      <c r="N3320">
        <v>4350.7</v>
      </c>
      <c r="O3320">
        <v>2016.64</v>
      </c>
      <c r="P3320">
        <v>1085.51</v>
      </c>
      <c r="Q3320">
        <v>515.82000000000005</v>
      </c>
      <c r="R3320">
        <v>2428.12</v>
      </c>
      <c r="S3320">
        <v>579.11</v>
      </c>
      <c r="T3320">
        <v>30426.09</v>
      </c>
      <c r="U3320">
        <v>18789</v>
      </c>
      <c r="V3320">
        <v>7813.1</v>
      </c>
      <c r="W3320">
        <v>7271.28</v>
      </c>
      <c r="X3320">
        <v>36136.04</v>
      </c>
      <c r="Y3320">
        <v>31936.39</v>
      </c>
    </row>
    <row r="3321" spans="1:25" x14ac:dyDescent="0.25">
      <c r="A3321" t="s">
        <v>3377</v>
      </c>
      <c r="B3321" s="1">
        <v>45849</v>
      </c>
      <c r="C3321">
        <v>2025</v>
      </c>
      <c r="D3321">
        <v>7</v>
      </c>
      <c r="E3321" t="s">
        <v>690</v>
      </c>
      <c r="F3321" t="s">
        <v>691</v>
      </c>
      <c r="G3321" t="s">
        <v>28</v>
      </c>
      <c r="H3321" t="s">
        <v>32</v>
      </c>
      <c r="I3321" t="s">
        <v>33</v>
      </c>
      <c r="J3321">
        <v>137</v>
      </c>
      <c r="K3321">
        <v>812.83</v>
      </c>
      <c r="L3321">
        <v>111358.01</v>
      </c>
      <c r="M3321">
        <v>56075.22</v>
      </c>
      <c r="N3321">
        <v>13546.44</v>
      </c>
      <c r="O3321">
        <v>3653.79</v>
      </c>
      <c r="P3321">
        <v>3502.75</v>
      </c>
      <c r="Q3321">
        <v>1513.12</v>
      </c>
      <c r="R3321">
        <v>5107.29</v>
      </c>
      <c r="S3321">
        <v>1061.31</v>
      </c>
      <c r="T3321">
        <v>84459.93</v>
      </c>
      <c r="U3321">
        <v>55282.79</v>
      </c>
      <c r="V3321">
        <v>26898.07</v>
      </c>
      <c r="W3321">
        <v>25805.71</v>
      </c>
      <c r="X3321">
        <v>119606.01</v>
      </c>
      <c r="Y3321">
        <v>78640.149999999994</v>
      </c>
    </row>
    <row r="3322" spans="1:25" x14ac:dyDescent="0.25">
      <c r="A3322" t="s">
        <v>3378</v>
      </c>
      <c r="B3322" s="1">
        <v>45850</v>
      </c>
      <c r="C3322">
        <v>2025</v>
      </c>
      <c r="D3322">
        <v>7</v>
      </c>
      <c r="E3322" t="s">
        <v>690</v>
      </c>
      <c r="F3322" t="s">
        <v>691</v>
      </c>
      <c r="G3322" t="s">
        <v>44</v>
      </c>
      <c r="H3322" t="s">
        <v>32</v>
      </c>
      <c r="I3322" t="s">
        <v>30</v>
      </c>
      <c r="J3322">
        <v>80</v>
      </c>
      <c r="K3322">
        <v>1323.74</v>
      </c>
      <c r="L3322">
        <v>105898.89</v>
      </c>
      <c r="M3322">
        <v>71510.539999999994</v>
      </c>
      <c r="N3322">
        <v>9986.4</v>
      </c>
      <c r="O3322">
        <v>7782.17</v>
      </c>
      <c r="P3322">
        <v>1931.26</v>
      </c>
      <c r="Q3322">
        <v>1889.41</v>
      </c>
      <c r="R3322">
        <v>5859.6</v>
      </c>
      <c r="S3322">
        <v>1002.94</v>
      </c>
      <c r="T3322">
        <v>99962.33</v>
      </c>
      <c r="U3322">
        <v>34388.35</v>
      </c>
      <c r="V3322">
        <v>5936.56</v>
      </c>
      <c r="W3322">
        <v>5864.92</v>
      </c>
      <c r="X3322">
        <v>105787.61</v>
      </c>
      <c r="Y3322">
        <v>96451.69</v>
      </c>
    </row>
    <row r="3323" spans="1:25" x14ac:dyDescent="0.25">
      <c r="A3323" t="s">
        <v>3379</v>
      </c>
      <c r="B3323" s="1">
        <v>45850</v>
      </c>
      <c r="C3323">
        <v>2025</v>
      </c>
      <c r="D3323">
        <v>7</v>
      </c>
      <c r="E3323" t="s">
        <v>690</v>
      </c>
      <c r="F3323" t="s">
        <v>691</v>
      </c>
      <c r="G3323" t="s">
        <v>35</v>
      </c>
      <c r="H3323" t="s">
        <v>36</v>
      </c>
      <c r="I3323" t="s">
        <v>33</v>
      </c>
      <c r="J3323">
        <v>49</v>
      </c>
      <c r="K3323">
        <v>1491.61</v>
      </c>
      <c r="L3323">
        <v>73088.899999999994</v>
      </c>
      <c r="M3323">
        <v>43564.4</v>
      </c>
      <c r="N3323">
        <v>7303.49</v>
      </c>
      <c r="O3323">
        <v>1980.51</v>
      </c>
      <c r="P3323">
        <v>1131.8399999999999</v>
      </c>
      <c r="Q3323">
        <v>877.83</v>
      </c>
      <c r="R3323">
        <v>3716.56</v>
      </c>
      <c r="S3323">
        <v>711.13</v>
      </c>
      <c r="T3323">
        <v>59285.77</v>
      </c>
      <c r="U3323">
        <v>29524.5</v>
      </c>
      <c r="V3323">
        <v>13803.13</v>
      </c>
      <c r="W3323">
        <v>12411.25</v>
      </c>
      <c r="X3323">
        <v>68452.5</v>
      </c>
      <c r="Y3323">
        <v>59309.58</v>
      </c>
    </row>
    <row r="3324" spans="1:25" x14ac:dyDescent="0.25">
      <c r="A3324" t="s">
        <v>3380</v>
      </c>
      <c r="B3324" s="1">
        <v>45850</v>
      </c>
      <c r="C3324">
        <v>2025</v>
      </c>
      <c r="D3324">
        <v>7</v>
      </c>
      <c r="E3324" t="s">
        <v>690</v>
      </c>
      <c r="F3324" t="s">
        <v>691</v>
      </c>
      <c r="G3324" t="s">
        <v>28</v>
      </c>
      <c r="H3324" t="s">
        <v>32</v>
      </c>
      <c r="I3324" t="s">
        <v>65</v>
      </c>
      <c r="J3324">
        <v>40</v>
      </c>
      <c r="K3324">
        <v>1430.79</v>
      </c>
      <c r="L3324">
        <v>57231.65</v>
      </c>
      <c r="M3324">
        <v>27698.69</v>
      </c>
      <c r="N3324">
        <v>6363.65</v>
      </c>
      <c r="O3324">
        <v>2245.98</v>
      </c>
      <c r="P3324">
        <v>2414.1999999999998</v>
      </c>
      <c r="Q3324">
        <v>753.73</v>
      </c>
      <c r="R3324">
        <v>2566.66</v>
      </c>
      <c r="S3324">
        <v>761.61</v>
      </c>
      <c r="T3324">
        <v>42804.52</v>
      </c>
      <c r="U3324">
        <v>29532.959999999999</v>
      </c>
      <c r="V3324">
        <v>14427.13</v>
      </c>
      <c r="W3324">
        <v>13573.16</v>
      </c>
      <c r="X3324">
        <v>60962.89</v>
      </c>
      <c r="Y3324">
        <v>43595.07</v>
      </c>
    </row>
    <row r="3325" spans="1:25" x14ac:dyDescent="0.25">
      <c r="A3325" t="s">
        <v>3381</v>
      </c>
      <c r="B3325" s="1">
        <v>45851</v>
      </c>
      <c r="C3325">
        <v>2025</v>
      </c>
      <c r="D3325">
        <v>7</v>
      </c>
      <c r="E3325" t="s">
        <v>690</v>
      </c>
      <c r="F3325" t="s">
        <v>691</v>
      </c>
      <c r="G3325" t="s">
        <v>55</v>
      </c>
      <c r="H3325" t="s">
        <v>32</v>
      </c>
      <c r="I3325" t="s">
        <v>37</v>
      </c>
      <c r="J3325">
        <v>84</v>
      </c>
      <c r="K3325">
        <v>1093.79</v>
      </c>
      <c r="L3325">
        <v>91878.51</v>
      </c>
      <c r="M3325">
        <v>51781.22</v>
      </c>
      <c r="N3325">
        <v>9785.1200000000008</v>
      </c>
      <c r="O3325">
        <v>3046.25</v>
      </c>
      <c r="P3325">
        <v>2194.39</v>
      </c>
      <c r="Q3325">
        <v>543.96</v>
      </c>
      <c r="R3325">
        <v>5875.67</v>
      </c>
      <c r="S3325">
        <v>1801.21</v>
      </c>
      <c r="T3325">
        <v>75027.820000000007</v>
      </c>
      <c r="U3325">
        <v>40097.29</v>
      </c>
      <c r="V3325">
        <v>16850.689999999999</v>
      </c>
      <c r="W3325">
        <v>15320.9</v>
      </c>
      <c r="X3325">
        <v>92932.82</v>
      </c>
      <c r="Y3325">
        <v>76762.8</v>
      </c>
    </row>
    <row r="3326" spans="1:25" x14ac:dyDescent="0.25">
      <c r="A3326" t="s">
        <v>3382</v>
      </c>
      <c r="B3326" s="1">
        <v>45851</v>
      </c>
      <c r="C3326">
        <v>2025</v>
      </c>
      <c r="D3326">
        <v>7</v>
      </c>
      <c r="E3326" t="s">
        <v>690</v>
      </c>
      <c r="F3326" t="s">
        <v>691</v>
      </c>
      <c r="G3326" t="s">
        <v>35</v>
      </c>
      <c r="H3326" t="s">
        <v>29</v>
      </c>
      <c r="I3326" t="s">
        <v>30</v>
      </c>
      <c r="J3326">
        <v>51</v>
      </c>
      <c r="K3326">
        <v>1449.35</v>
      </c>
      <c r="L3326">
        <v>73916.86</v>
      </c>
      <c r="M3326">
        <v>40225.279999999999</v>
      </c>
      <c r="N3326">
        <v>6722.59</v>
      </c>
      <c r="O3326">
        <v>2530.33</v>
      </c>
      <c r="P3326">
        <v>1319.37</v>
      </c>
      <c r="Q3326">
        <v>1322.06</v>
      </c>
      <c r="R3326">
        <v>2702.85</v>
      </c>
      <c r="S3326">
        <v>1091.99</v>
      </c>
      <c r="T3326">
        <v>55914.47</v>
      </c>
      <c r="U3326">
        <v>33691.58</v>
      </c>
      <c r="V3326">
        <v>18002.39</v>
      </c>
      <c r="W3326">
        <v>17374.189999999999</v>
      </c>
      <c r="X3326">
        <v>75066</v>
      </c>
      <c r="Y3326">
        <v>56392.47</v>
      </c>
    </row>
    <row r="3327" spans="1:25" x14ac:dyDescent="0.25">
      <c r="A3327" t="s">
        <v>3383</v>
      </c>
      <c r="B3327" s="1">
        <v>45851</v>
      </c>
      <c r="C3327">
        <v>2025</v>
      </c>
      <c r="D3327">
        <v>7</v>
      </c>
      <c r="E3327" t="s">
        <v>690</v>
      </c>
      <c r="F3327" t="s">
        <v>691</v>
      </c>
      <c r="G3327" t="s">
        <v>28</v>
      </c>
      <c r="H3327" t="s">
        <v>53</v>
      </c>
      <c r="I3327" t="s">
        <v>45</v>
      </c>
      <c r="J3327">
        <v>27</v>
      </c>
      <c r="K3327">
        <v>1505.19</v>
      </c>
      <c r="L3327">
        <v>40640.26</v>
      </c>
      <c r="M3327">
        <v>23637.03</v>
      </c>
      <c r="N3327">
        <v>3036.99</v>
      </c>
      <c r="O3327">
        <v>2168.5</v>
      </c>
      <c r="P3327">
        <v>611.85</v>
      </c>
      <c r="Q3327">
        <v>455.26</v>
      </c>
      <c r="R3327">
        <v>2367.1799999999998</v>
      </c>
      <c r="S3327">
        <v>476.44</v>
      </c>
      <c r="T3327">
        <v>32753.26</v>
      </c>
      <c r="U3327">
        <v>17003.23</v>
      </c>
      <c r="V3327">
        <v>7887</v>
      </c>
      <c r="W3327">
        <v>7946.19</v>
      </c>
      <c r="X3327">
        <v>43705.63</v>
      </c>
      <c r="Y3327">
        <v>30522.12</v>
      </c>
    </row>
    <row r="3328" spans="1:25" x14ac:dyDescent="0.25">
      <c r="A3328" t="s">
        <v>3384</v>
      </c>
      <c r="B3328" s="1">
        <v>45851</v>
      </c>
      <c r="C3328">
        <v>2025</v>
      </c>
      <c r="D3328">
        <v>7</v>
      </c>
      <c r="E3328" t="s">
        <v>690</v>
      </c>
      <c r="F3328" t="s">
        <v>691</v>
      </c>
      <c r="G3328" t="s">
        <v>55</v>
      </c>
      <c r="H3328" t="s">
        <v>32</v>
      </c>
      <c r="I3328" t="s">
        <v>45</v>
      </c>
      <c r="J3328">
        <v>43</v>
      </c>
      <c r="K3328">
        <v>1020.59</v>
      </c>
      <c r="L3328">
        <v>43885.22</v>
      </c>
      <c r="M3328">
        <v>27441</v>
      </c>
      <c r="N3328">
        <v>3244.28</v>
      </c>
      <c r="O3328">
        <v>1118.79</v>
      </c>
      <c r="P3328">
        <v>1649.13</v>
      </c>
      <c r="Q3328">
        <v>736.79</v>
      </c>
      <c r="R3328">
        <v>1683.99</v>
      </c>
      <c r="S3328">
        <v>600.21</v>
      </c>
      <c r="T3328">
        <v>36474.199999999997</v>
      </c>
      <c r="U3328">
        <v>16444.22</v>
      </c>
      <c r="V3328">
        <v>7411.02</v>
      </c>
      <c r="W3328">
        <v>7032.74</v>
      </c>
      <c r="X3328">
        <v>44271.81</v>
      </c>
      <c r="Y3328">
        <v>39123.58</v>
      </c>
    </row>
    <row r="3329" spans="1:25" x14ac:dyDescent="0.25">
      <c r="A3329" t="s">
        <v>3385</v>
      </c>
      <c r="B3329" s="1">
        <v>45851</v>
      </c>
      <c r="C3329">
        <v>2025</v>
      </c>
      <c r="D3329">
        <v>7</v>
      </c>
      <c r="E3329" t="s">
        <v>690</v>
      </c>
      <c r="F3329" t="s">
        <v>691</v>
      </c>
      <c r="G3329" t="s">
        <v>44</v>
      </c>
      <c r="H3329" t="s">
        <v>32</v>
      </c>
      <c r="I3329" t="s">
        <v>50</v>
      </c>
      <c r="J3329">
        <v>55</v>
      </c>
      <c r="K3329">
        <v>955.78</v>
      </c>
      <c r="L3329">
        <v>52567.68</v>
      </c>
      <c r="M3329">
        <v>35080.53</v>
      </c>
      <c r="N3329">
        <v>4745.8500000000004</v>
      </c>
      <c r="O3329">
        <v>2322.85</v>
      </c>
      <c r="P3329">
        <v>1287.67</v>
      </c>
      <c r="Q3329">
        <v>698.41</v>
      </c>
      <c r="R3329">
        <v>2633.11</v>
      </c>
      <c r="S3329">
        <v>1052.1500000000001</v>
      </c>
      <c r="T3329">
        <v>47820.56</v>
      </c>
      <c r="U3329">
        <v>17487.150000000001</v>
      </c>
      <c r="V3329">
        <v>4747.1099999999997</v>
      </c>
      <c r="W3329">
        <v>4713.6899999999996</v>
      </c>
      <c r="X3329">
        <v>50655.32</v>
      </c>
      <c r="Y3329">
        <v>46424.12</v>
      </c>
    </row>
    <row r="3330" spans="1:25" x14ac:dyDescent="0.25">
      <c r="A3330" t="s">
        <v>3386</v>
      </c>
      <c r="B3330" s="1">
        <v>45851</v>
      </c>
      <c r="C3330">
        <v>2025</v>
      </c>
      <c r="D3330">
        <v>7</v>
      </c>
      <c r="E3330" t="s">
        <v>690</v>
      </c>
      <c r="F3330" t="s">
        <v>691</v>
      </c>
      <c r="G3330" t="s">
        <v>28</v>
      </c>
      <c r="H3330" t="s">
        <v>32</v>
      </c>
      <c r="I3330" t="s">
        <v>33</v>
      </c>
      <c r="J3330">
        <v>74</v>
      </c>
      <c r="K3330">
        <v>1603.93</v>
      </c>
      <c r="L3330">
        <v>118690.55</v>
      </c>
      <c r="M3330">
        <v>75325.27</v>
      </c>
      <c r="N3330">
        <v>12879.51</v>
      </c>
      <c r="O3330">
        <v>3718.89</v>
      </c>
      <c r="P3330">
        <v>4057.27</v>
      </c>
      <c r="Q3330">
        <v>995.86</v>
      </c>
      <c r="R3330">
        <v>3789.99</v>
      </c>
      <c r="S3330">
        <v>2300.09</v>
      </c>
      <c r="T3330">
        <v>103066.87</v>
      </c>
      <c r="U3330">
        <v>43365.279999999999</v>
      </c>
      <c r="V3330">
        <v>15623.68</v>
      </c>
      <c r="W3330">
        <v>15195.08</v>
      </c>
      <c r="X3330">
        <v>116077.33</v>
      </c>
      <c r="Y3330">
        <v>104122.41</v>
      </c>
    </row>
    <row r="3331" spans="1:25" x14ac:dyDescent="0.25">
      <c r="A3331" t="s">
        <v>3387</v>
      </c>
      <c r="B3331" s="1">
        <v>45851</v>
      </c>
      <c r="C3331">
        <v>2025</v>
      </c>
      <c r="D3331">
        <v>7</v>
      </c>
      <c r="E3331" t="s">
        <v>690</v>
      </c>
      <c r="F3331" t="s">
        <v>691</v>
      </c>
      <c r="G3331" t="s">
        <v>44</v>
      </c>
      <c r="H3331" t="s">
        <v>32</v>
      </c>
      <c r="I3331" t="s">
        <v>37</v>
      </c>
      <c r="J3331">
        <v>80</v>
      </c>
      <c r="K3331">
        <v>1017.79</v>
      </c>
      <c r="L3331">
        <v>81423.12</v>
      </c>
      <c r="M3331">
        <v>45206.68</v>
      </c>
      <c r="N3331">
        <v>6342.14</v>
      </c>
      <c r="O3331">
        <v>3064.51</v>
      </c>
      <c r="P3331">
        <v>2503.77</v>
      </c>
      <c r="Q3331">
        <v>590.51</v>
      </c>
      <c r="R3331">
        <v>3912.13</v>
      </c>
      <c r="S3331">
        <v>1195.72</v>
      </c>
      <c r="T3331">
        <v>62815.46</v>
      </c>
      <c r="U3331">
        <v>36216.44</v>
      </c>
      <c r="V3331">
        <v>18607.66</v>
      </c>
      <c r="W3331">
        <v>17519.759999999998</v>
      </c>
      <c r="X3331">
        <v>81457.39</v>
      </c>
      <c r="Y3331">
        <v>61966.32</v>
      </c>
    </row>
    <row r="3332" spans="1:25" x14ac:dyDescent="0.25">
      <c r="A3332" t="s">
        <v>3388</v>
      </c>
      <c r="B3332" s="1">
        <v>45852</v>
      </c>
      <c r="C3332">
        <v>2025</v>
      </c>
      <c r="D3332">
        <v>7</v>
      </c>
      <c r="E3332" t="s">
        <v>690</v>
      </c>
      <c r="F3332" t="s">
        <v>691</v>
      </c>
      <c r="G3332" t="s">
        <v>44</v>
      </c>
      <c r="H3332" t="s">
        <v>32</v>
      </c>
      <c r="I3332" t="s">
        <v>33</v>
      </c>
      <c r="J3332">
        <v>65</v>
      </c>
      <c r="K3332">
        <v>1223.3599999999999</v>
      </c>
      <c r="L3332">
        <v>79518.27</v>
      </c>
      <c r="M3332">
        <v>44425.88</v>
      </c>
      <c r="N3332">
        <v>5648.46</v>
      </c>
      <c r="O3332">
        <v>3721.2</v>
      </c>
      <c r="P3332">
        <v>2993.79</v>
      </c>
      <c r="Q3332">
        <v>1068.2</v>
      </c>
      <c r="R3332">
        <v>3777.49</v>
      </c>
      <c r="S3332">
        <v>748.14</v>
      </c>
      <c r="T3332">
        <v>62383.15</v>
      </c>
      <c r="U3332">
        <v>35092.39</v>
      </c>
      <c r="V3332">
        <v>17135.13</v>
      </c>
      <c r="W3332">
        <v>17219.07</v>
      </c>
      <c r="X3332">
        <v>75669.919999999998</v>
      </c>
      <c r="Y3332">
        <v>58983.89</v>
      </c>
    </row>
    <row r="3333" spans="1:25" x14ac:dyDescent="0.25">
      <c r="A3333" t="s">
        <v>3389</v>
      </c>
      <c r="B3333" s="1">
        <v>45852</v>
      </c>
      <c r="C3333">
        <v>2025</v>
      </c>
      <c r="D3333">
        <v>7</v>
      </c>
      <c r="E3333" t="s">
        <v>690</v>
      </c>
      <c r="F3333" t="s">
        <v>691</v>
      </c>
      <c r="G3333" t="s">
        <v>55</v>
      </c>
      <c r="H3333" t="s">
        <v>53</v>
      </c>
      <c r="I3333" t="s">
        <v>56</v>
      </c>
      <c r="J3333">
        <v>19</v>
      </c>
      <c r="K3333">
        <v>1370.09</v>
      </c>
      <c r="L3333">
        <v>26031.63</v>
      </c>
      <c r="M3333">
        <v>15406.86</v>
      </c>
      <c r="N3333">
        <v>2228.17</v>
      </c>
      <c r="O3333">
        <v>724.63</v>
      </c>
      <c r="P3333">
        <v>955.31</v>
      </c>
      <c r="Q3333">
        <v>363.76</v>
      </c>
      <c r="R3333">
        <v>903.02</v>
      </c>
      <c r="S3333">
        <v>436.1</v>
      </c>
      <c r="T3333">
        <v>21017.86</v>
      </c>
      <c r="U3333">
        <v>10624.77</v>
      </c>
      <c r="V3333">
        <v>5013.78</v>
      </c>
      <c r="W3333">
        <v>5075.54</v>
      </c>
      <c r="X3333">
        <v>25108.63</v>
      </c>
      <c r="Y3333">
        <v>22569.8</v>
      </c>
    </row>
    <row r="3334" spans="1:25" x14ac:dyDescent="0.25">
      <c r="A3334" t="s">
        <v>3390</v>
      </c>
      <c r="B3334" s="1">
        <v>45852</v>
      </c>
      <c r="C3334">
        <v>2025</v>
      </c>
      <c r="D3334">
        <v>7</v>
      </c>
      <c r="E3334" t="s">
        <v>690</v>
      </c>
      <c r="F3334" t="s">
        <v>691</v>
      </c>
      <c r="G3334" t="s">
        <v>55</v>
      </c>
      <c r="H3334" t="s">
        <v>29</v>
      </c>
      <c r="I3334" t="s">
        <v>30</v>
      </c>
      <c r="J3334">
        <v>88</v>
      </c>
      <c r="K3334">
        <v>1231.54</v>
      </c>
      <c r="L3334">
        <v>108375.28</v>
      </c>
      <c r="M3334">
        <v>60516.1</v>
      </c>
      <c r="N3334">
        <v>12519.02</v>
      </c>
      <c r="O3334">
        <v>2811.8</v>
      </c>
      <c r="P3334">
        <v>4192.57</v>
      </c>
      <c r="Q3334">
        <v>794.9</v>
      </c>
      <c r="R3334">
        <v>6779.64</v>
      </c>
      <c r="S3334">
        <v>2124.02</v>
      </c>
      <c r="T3334">
        <v>89738.06</v>
      </c>
      <c r="U3334">
        <v>47859.19</v>
      </c>
      <c r="V3334">
        <v>18637.23</v>
      </c>
      <c r="W3334">
        <v>18046.27</v>
      </c>
      <c r="X3334">
        <v>100430.13</v>
      </c>
      <c r="Y3334">
        <v>95981.92</v>
      </c>
    </row>
    <row r="3335" spans="1:25" x14ac:dyDescent="0.25">
      <c r="A3335" t="s">
        <v>3391</v>
      </c>
      <c r="B3335" s="1">
        <v>45852</v>
      </c>
      <c r="C3335">
        <v>2025</v>
      </c>
      <c r="D3335">
        <v>7</v>
      </c>
      <c r="E3335" t="s">
        <v>690</v>
      </c>
      <c r="F3335" t="s">
        <v>691</v>
      </c>
      <c r="G3335" t="s">
        <v>35</v>
      </c>
      <c r="H3335" t="s">
        <v>53</v>
      </c>
      <c r="I3335" t="s">
        <v>30</v>
      </c>
      <c r="J3335">
        <v>50</v>
      </c>
      <c r="K3335">
        <v>1592</v>
      </c>
      <c r="L3335">
        <v>79599.81</v>
      </c>
      <c r="M3335">
        <v>52684.53</v>
      </c>
      <c r="N3335">
        <v>6421.98</v>
      </c>
      <c r="O3335">
        <v>5260.94</v>
      </c>
      <c r="P3335">
        <v>2002.83</v>
      </c>
      <c r="Q3335">
        <v>743.54</v>
      </c>
      <c r="R3335">
        <v>2533.14</v>
      </c>
      <c r="S3335">
        <v>1269.75</v>
      </c>
      <c r="T3335">
        <v>70916.710000000006</v>
      </c>
      <c r="U3335">
        <v>26915.279999999999</v>
      </c>
      <c r="V3335">
        <v>8683.1</v>
      </c>
      <c r="W3335">
        <v>7775.32</v>
      </c>
      <c r="X3335">
        <v>75421.77</v>
      </c>
      <c r="Y3335">
        <v>75170.7</v>
      </c>
    </row>
    <row r="3336" spans="1:25" x14ac:dyDescent="0.25">
      <c r="A3336" t="s">
        <v>3392</v>
      </c>
      <c r="B3336" s="1">
        <v>45852</v>
      </c>
      <c r="C3336">
        <v>2025</v>
      </c>
      <c r="D3336">
        <v>7</v>
      </c>
      <c r="E3336" t="s">
        <v>690</v>
      </c>
      <c r="F3336" t="s">
        <v>691</v>
      </c>
      <c r="G3336" t="s">
        <v>44</v>
      </c>
      <c r="H3336" t="s">
        <v>32</v>
      </c>
      <c r="I3336" t="s">
        <v>45</v>
      </c>
      <c r="J3336">
        <v>34</v>
      </c>
      <c r="K3336">
        <v>1162.48</v>
      </c>
      <c r="L3336">
        <v>39524.29</v>
      </c>
      <c r="M3336">
        <v>19166.22</v>
      </c>
      <c r="N3336">
        <v>4815.93</v>
      </c>
      <c r="O3336">
        <v>1372.7</v>
      </c>
      <c r="P3336">
        <v>1442.4</v>
      </c>
      <c r="Q3336">
        <v>208.11</v>
      </c>
      <c r="R3336">
        <v>1167.05</v>
      </c>
      <c r="S3336">
        <v>706.59</v>
      </c>
      <c r="T3336">
        <v>28879.01</v>
      </c>
      <c r="U3336">
        <v>20358.07</v>
      </c>
      <c r="V3336">
        <v>10645.28</v>
      </c>
      <c r="W3336">
        <v>10120.969999999999</v>
      </c>
      <c r="X3336">
        <v>37070.14</v>
      </c>
      <c r="Y3336">
        <v>28976.639999999999</v>
      </c>
    </row>
    <row r="3337" spans="1:25" x14ac:dyDescent="0.25">
      <c r="A3337" t="s">
        <v>3393</v>
      </c>
      <c r="B3337" s="1">
        <v>45853</v>
      </c>
      <c r="C3337">
        <v>2025</v>
      </c>
      <c r="D3337">
        <v>7</v>
      </c>
      <c r="E3337" t="s">
        <v>690</v>
      </c>
      <c r="F3337" t="s">
        <v>691</v>
      </c>
      <c r="G3337" t="s">
        <v>55</v>
      </c>
      <c r="H3337" t="s">
        <v>32</v>
      </c>
      <c r="I3337" t="s">
        <v>45</v>
      </c>
      <c r="J3337">
        <v>33</v>
      </c>
      <c r="K3337">
        <v>1398.51</v>
      </c>
      <c r="L3337">
        <v>46150.99</v>
      </c>
      <c r="M3337">
        <v>26987.81</v>
      </c>
      <c r="N3337">
        <v>4874.0600000000004</v>
      </c>
      <c r="O3337">
        <v>3300.74</v>
      </c>
      <c r="P3337">
        <v>1876.03</v>
      </c>
      <c r="Q3337">
        <v>583.66999999999996</v>
      </c>
      <c r="R3337">
        <v>2243.38</v>
      </c>
      <c r="S3337">
        <v>395.2</v>
      </c>
      <c r="T3337">
        <v>40260.879999999997</v>
      </c>
      <c r="U3337">
        <v>19163.189999999999</v>
      </c>
      <c r="V3337">
        <v>5890.11</v>
      </c>
      <c r="W3337">
        <v>5547.02</v>
      </c>
      <c r="X3337">
        <v>42651.83</v>
      </c>
      <c r="Y3337">
        <v>42132.32</v>
      </c>
    </row>
    <row r="3338" spans="1:25" x14ac:dyDescent="0.25">
      <c r="A3338" t="s">
        <v>3394</v>
      </c>
      <c r="B3338" s="1">
        <v>45854</v>
      </c>
      <c r="C3338">
        <v>2025</v>
      </c>
      <c r="D3338">
        <v>7</v>
      </c>
      <c r="E3338" t="s">
        <v>690</v>
      </c>
      <c r="F3338" t="s">
        <v>691</v>
      </c>
      <c r="G3338" t="s">
        <v>44</v>
      </c>
      <c r="H3338" t="s">
        <v>29</v>
      </c>
      <c r="I3338" t="s">
        <v>30</v>
      </c>
      <c r="J3338">
        <v>81</v>
      </c>
      <c r="K3338">
        <v>1228.6099999999999</v>
      </c>
      <c r="L3338">
        <v>99517.27</v>
      </c>
      <c r="M3338">
        <v>53301.120000000003</v>
      </c>
      <c r="N3338">
        <v>7674.05</v>
      </c>
      <c r="O3338">
        <v>4106.83</v>
      </c>
      <c r="P3338">
        <v>3919.69</v>
      </c>
      <c r="Q3338">
        <v>1160.8599999999999</v>
      </c>
      <c r="R3338">
        <v>2814.04</v>
      </c>
      <c r="S3338">
        <v>1344.03</v>
      </c>
      <c r="T3338">
        <v>74320.61</v>
      </c>
      <c r="U3338">
        <v>46216.15</v>
      </c>
      <c r="V3338">
        <v>25196.66</v>
      </c>
      <c r="W3338">
        <v>23037.8</v>
      </c>
      <c r="X3338">
        <v>97818.59</v>
      </c>
      <c r="Y3338">
        <v>75374.259999999995</v>
      </c>
    </row>
    <row r="3339" spans="1:25" x14ac:dyDescent="0.25">
      <c r="A3339" t="s">
        <v>3395</v>
      </c>
      <c r="B3339" s="1">
        <v>45854</v>
      </c>
      <c r="C3339">
        <v>2025</v>
      </c>
      <c r="D3339">
        <v>7</v>
      </c>
      <c r="E3339" t="s">
        <v>690</v>
      </c>
      <c r="F3339" t="s">
        <v>691</v>
      </c>
      <c r="G3339" t="s">
        <v>28</v>
      </c>
      <c r="H3339" t="s">
        <v>32</v>
      </c>
      <c r="I3339" t="s">
        <v>45</v>
      </c>
      <c r="J3339">
        <v>64</v>
      </c>
      <c r="K3339">
        <v>897.5</v>
      </c>
      <c r="L3339">
        <v>57439.75</v>
      </c>
      <c r="M3339">
        <v>32813.910000000003</v>
      </c>
      <c r="N3339">
        <v>6794.35</v>
      </c>
      <c r="O3339">
        <v>4169.54</v>
      </c>
      <c r="P3339">
        <v>1545.57</v>
      </c>
      <c r="Q3339">
        <v>687.55</v>
      </c>
      <c r="R3339">
        <v>2605.14</v>
      </c>
      <c r="S3339">
        <v>958.17</v>
      </c>
      <c r="T3339">
        <v>49574.23</v>
      </c>
      <c r="U3339">
        <v>24625.84</v>
      </c>
      <c r="V3339">
        <v>7865.52</v>
      </c>
      <c r="W3339">
        <v>7760.84</v>
      </c>
      <c r="X3339">
        <v>56275.839999999997</v>
      </c>
      <c r="Y3339">
        <v>48143.62</v>
      </c>
    </row>
    <row r="3340" spans="1:25" x14ac:dyDescent="0.25">
      <c r="A3340" t="s">
        <v>3396</v>
      </c>
      <c r="B3340" s="1">
        <v>45854</v>
      </c>
      <c r="C3340">
        <v>2025</v>
      </c>
      <c r="D3340">
        <v>7</v>
      </c>
      <c r="E3340" t="s">
        <v>690</v>
      </c>
      <c r="F3340" t="s">
        <v>691</v>
      </c>
      <c r="G3340" t="s">
        <v>35</v>
      </c>
      <c r="H3340" t="s">
        <v>36</v>
      </c>
      <c r="I3340" t="s">
        <v>30</v>
      </c>
      <c r="J3340">
        <v>43</v>
      </c>
      <c r="K3340">
        <v>1686.85</v>
      </c>
      <c r="L3340">
        <v>72534.48</v>
      </c>
      <c r="M3340">
        <v>44374.32</v>
      </c>
      <c r="N3340">
        <v>5923.28</v>
      </c>
      <c r="O3340">
        <v>2912.32</v>
      </c>
      <c r="P3340">
        <v>2188.7800000000002</v>
      </c>
      <c r="Q3340">
        <v>521.87</v>
      </c>
      <c r="R3340">
        <v>3141.96</v>
      </c>
      <c r="S3340">
        <v>981.48</v>
      </c>
      <c r="T3340">
        <v>60043.99</v>
      </c>
      <c r="U3340">
        <v>28160.16</v>
      </c>
      <c r="V3340">
        <v>12490.49</v>
      </c>
      <c r="W3340">
        <v>11758.77</v>
      </c>
      <c r="X3340">
        <v>68554.740000000005</v>
      </c>
      <c r="Y3340">
        <v>65914.850000000006</v>
      </c>
    </row>
    <row r="3341" spans="1:25" x14ac:dyDescent="0.25">
      <c r="A3341" t="s">
        <v>3397</v>
      </c>
      <c r="B3341" s="1">
        <v>45854</v>
      </c>
      <c r="C3341">
        <v>2025</v>
      </c>
      <c r="D3341">
        <v>7</v>
      </c>
      <c r="E3341" t="s">
        <v>690</v>
      </c>
      <c r="F3341" t="s">
        <v>691</v>
      </c>
      <c r="G3341" t="s">
        <v>28</v>
      </c>
      <c r="H3341" t="s">
        <v>53</v>
      </c>
      <c r="I3341" t="s">
        <v>39</v>
      </c>
      <c r="J3341">
        <v>49</v>
      </c>
      <c r="K3341">
        <v>848.53</v>
      </c>
      <c r="L3341">
        <v>41578.18</v>
      </c>
      <c r="M3341">
        <v>27141.98</v>
      </c>
      <c r="N3341">
        <v>4880.6899999999996</v>
      </c>
      <c r="O3341">
        <v>2174.12</v>
      </c>
      <c r="P3341">
        <v>1809.88</v>
      </c>
      <c r="Q3341">
        <v>655.69</v>
      </c>
      <c r="R3341">
        <v>1260.67</v>
      </c>
      <c r="S3341">
        <v>724.75</v>
      </c>
      <c r="T3341">
        <v>38647.78</v>
      </c>
      <c r="U3341">
        <v>14436.2</v>
      </c>
      <c r="V3341">
        <v>2930.4</v>
      </c>
      <c r="W3341">
        <v>2928.77</v>
      </c>
      <c r="X3341">
        <v>38416.519999999997</v>
      </c>
      <c r="Y3341">
        <v>38021.33</v>
      </c>
    </row>
    <row r="3342" spans="1:25" x14ac:dyDescent="0.25">
      <c r="A3342" t="s">
        <v>3398</v>
      </c>
      <c r="B3342" s="1">
        <v>45855</v>
      </c>
      <c r="C3342">
        <v>2025</v>
      </c>
      <c r="D3342">
        <v>7</v>
      </c>
      <c r="E3342" t="s">
        <v>690</v>
      </c>
      <c r="F3342" t="s">
        <v>691</v>
      </c>
      <c r="G3342" t="s">
        <v>28</v>
      </c>
      <c r="H3342" t="s">
        <v>32</v>
      </c>
      <c r="I3342" t="s">
        <v>50</v>
      </c>
      <c r="J3342">
        <v>44</v>
      </c>
      <c r="K3342">
        <v>1122.33</v>
      </c>
      <c r="L3342">
        <v>49382.6</v>
      </c>
      <c r="M3342">
        <v>30061.55</v>
      </c>
      <c r="N3342">
        <v>5490.48</v>
      </c>
      <c r="O3342">
        <v>2085.41</v>
      </c>
      <c r="P3342">
        <v>2050.48</v>
      </c>
      <c r="Q3342">
        <v>269.05</v>
      </c>
      <c r="R3342">
        <v>2127.5</v>
      </c>
      <c r="S3342">
        <v>1124.1099999999999</v>
      </c>
      <c r="T3342">
        <v>43208.58</v>
      </c>
      <c r="U3342">
        <v>19321.05</v>
      </c>
      <c r="V3342">
        <v>6174.01</v>
      </c>
      <c r="W3342">
        <v>5652.27</v>
      </c>
      <c r="X3342">
        <v>53986.01</v>
      </c>
      <c r="Y3342">
        <v>42266.16</v>
      </c>
    </row>
    <row r="3343" spans="1:25" x14ac:dyDescent="0.25">
      <c r="A3343" t="s">
        <v>3399</v>
      </c>
      <c r="B3343" s="1">
        <v>45855</v>
      </c>
      <c r="C3343">
        <v>2025</v>
      </c>
      <c r="D3343">
        <v>7</v>
      </c>
      <c r="E3343" t="s">
        <v>690</v>
      </c>
      <c r="F3343" t="s">
        <v>691</v>
      </c>
      <c r="G3343" t="s">
        <v>44</v>
      </c>
      <c r="H3343" t="s">
        <v>58</v>
      </c>
      <c r="I3343" t="s">
        <v>50</v>
      </c>
      <c r="J3343">
        <v>34</v>
      </c>
      <c r="K3343">
        <v>1406.57</v>
      </c>
      <c r="L3343">
        <v>47823.4</v>
      </c>
      <c r="M3343">
        <v>26682.29</v>
      </c>
      <c r="N3343">
        <v>4729.08</v>
      </c>
      <c r="O3343">
        <v>3386.56</v>
      </c>
      <c r="P3343">
        <v>1947.2</v>
      </c>
      <c r="Q3343">
        <v>422.8</v>
      </c>
      <c r="R3343">
        <v>2120.5700000000002</v>
      </c>
      <c r="S3343">
        <v>853.32</v>
      </c>
      <c r="T3343">
        <v>40141.81</v>
      </c>
      <c r="U3343">
        <v>21141.119999999999</v>
      </c>
      <c r="V3343">
        <v>7681.59</v>
      </c>
      <c r="W3343">
        <v>7548.4</v>
      </c>
      <c r="X3343">
        <v>47207.03</v>
      </c>
      <c r="Y3343">
        <v>44101.03</v>
      </c>
    </row>
    <row r="3344" spans="1:25" x14ac:dyDescent="0.25">
      <c r="A3344" t="s">
        <v>3400</v>
      </c>
      <c r="B3344" s="1">
        <v>45855</v>
      </c>
      <c r="C3344">
        <v>2025</v>
      </c>
      <c r="D3344">
        <v>7</v>
      </c>
      <c r="E3344" t="s">
        <v>690</v>
      </c>
      <c r="F3344" t="s">
        <v>691</v>
      </c>
      <c r="G3344" t="s">
        <v>28</v>
      </c>
      <c r="H3344" t="s">
        <v>32</v>
      </c>
      <c r="I3344" t="s">
        <v>39</v>
      </c>
      <c r="J3344">
        <v>43</v>
      </c>
      <c r="K3344">
        <v>1503.39</v>
      </c>
      <c r="L3344">
        <v>64645.7</v>
      </c>
      <c r="M3344">
        <v>42066.12</v>
      </c>
      <c r="N3344">
        <v>6731.09</v>
      </c>
      <c r="O3344">
        <v>4187.67</v>
      </c>
      <c r="P3344">
        <v>1610.94</v>
      </c>
      <c r="Q3344">
        <v>591.42999999999995</v>
      </c>
      <c r="R3344">
        <v>3318.24</v>
      </c>
      <c r="S3344">
        <v>1262.53</v>
      </c>
      <c r="T3344">
        <v>59768.03</v>
      </c>
      <c r="U3344">
        <v>22579.58</v>
      </c>
      <c r="V3344">
        <v>4877.67</v>
      </c>
      <c r="W3344">
        <v>4601.0200000000004</v>
      </c>
      <c r="X3344">
        <v>70786.41</v>
      </c>
      <c r="Y3344">
        <v>58397.440000000002</v>
      </c>
    </row>
    <row r="3345" spans="1:25" x14ac:dyDescent="0.25">
      <c r="A3345" t="s">
        <v>3401</v>
      </c>
      <c r="B3345" s="1">
        <v>45855</v>
      </c>
      <c r="C3345">
        <v>2025</v>
      </c>
      <c r="D3345">
        <v>7</v>
      </c>
      <c r="E3345" t="s">
        <v>690</v>
      </c>
      <c r="F3345" t="s">
        <v>691</v>
      </c>
      <c r="G3345" t="s">
        <v>44</v>
      </c>
      <c r="H3345" t="s">
        <v>53</v>
      </c>
      <c r="I3345" t="s">
        <v>33</v>
      </c>
      <c r="J3345">
        <v>71</v>
      </c>
      <c r="K3345">
        <v>950.12</v>
      </c>
      <c r="L3345">
        <v>67458.759999999995</v>
      </c>
      <c r="M3345">
        <v>43447.5</v>
      </c>
      <c r="N3345">
        <v>4914.53</v>
      </c>
      <c r="O3345">
        <v>3481.99</v>
      </c>
      <c r="P3345">
        <v>1416.81</v>
      </c>
      <c r="Q3345">
        <v>655.92</v>
      </c>
      <c r="R3345">
        <v>4095.61</v>
      </c>
      <c r="S3345">
        <v>1486.04</v>
      </c>
      <c r="T3345">
        <v>59498.39</v>
      </c>
      <c r="U3345">
        <v>24011.26</v>
      </c>
      <c r="V3345">
        <v>7960.37</v>
      </c>
      <c r="W3345">
        <v>7626.07</v>
      </c>
      <c r="X3345">
        <v>75475.11</v>
      </c>
      <c r="Y3345">
        <v>55995.81</v>
      </c>
    </row>
    <row r="3346" spans="1:25" x14ac:dyDescent="0.25">
      <c r="A3346" t="s">
        <v>3402</v>
      </c>
      <c r="B3346" s="1">
        <v>45855</v>
      </c>
      <c r="C3346">
        <v>2025</v>
      </c>
      <c r="D3346">
        <v>7</v>
      </c>
      <c r="E3346" t="s">
        <v>690</v>
      </c>
      <c r="F3346" t="s">
        <v>691</v>
      </c>
      <c r="G3346" t="s">
        <v>55</v>
      </c>
      <c r="H3346" t="s">
        <v>36</v>
      </c>
      <c r="I3346" t="s">
        <v>30</v>
      </c>
      <c r="J3346">
        <v>105</v>
      </c>
      <c r="K3346">
        <v>974.49</v>
      </c>
      <c r="L3346">
        <v>102321.37</v>
      </c>
      <c r="M3346">
        <v>61171.46</v>
      </c>
      <c r="N3346">
        <v>11959.04</v>
      </c>
      <c r="O3346">
        <v>5492.82</v>
      </c>
      <c r="P3346">
        <v>2943.53</v>
      </c>
      <c r="Q3346">
        <v>1748.31</v>
      </c>
      <c r="R3346">
        <v>5166.63</v>
      </c>
      <c r="S3346">
        <v>1556.84</v>
      </c>
      <c r="T3346">
        <v>90038.65</v>
      </c>
      <c r="U3346">
        <v>41149.910000000003</v>
      </c>
      <c r="V3346">
        <v>12282.72</v>
      </c>
      <c r="W3346">
        <v>12427.49</v>
      </c>
      <c r="X3346">
        <v>107312.63</v>
      </c>
      <c r="Y3346">
        <v>90889.279999999999</v>
      </c>
    </row>
    <row r="3347" spans="1:25" x14ac:dyDescent="0.25">
      <c r="A3347" t="s">
        <v>3403</v>
      </c>
      <c r="B3347" s="1">
        <v>45855</v>
      </c>
      <c r="C3347">
        <v>2025</v>
      </c>
      <c r="D3347">
        <v>7</v>
      </c>
      <c r="E3347" t="s">
        <v>690</v>
      </c>
      <c r="F3347" t="s">
        <v>691</v>
      </c>
      <c r="G3347" t="s">
        <v>44</v>
      </c>
      <c r="H3347" t="s">
        <v>36</v>
      </c>
      <c r="I3347" t="s">
        <v>39</v>
      </c>
      <c r="J3347">
        <v>32</v>
      </c>
      <c r="K3347">
        <v>1319.26</v>
      </c>
      <c r="L3347">
        <v>42216.37</v>
      </c>
      <c r="M3347">
        <v>28278.639999999999</v>
      </c>
      <c r="N3347">
        <v>5334.74</v>
      </c>
      <c r="O3347">
        <v>3061.13</v>
      </c>
      <c r="P3347">
        <v>903.06</v>
      </c>
      <c r="Q3347">
        <v>469.68</v>
      </c>
      <c r="R3347">
        <v>2489.19</v>
      </c>
      <c r="S3347">
        <v>924.35</v>
      </c>
      <c r="T3347">
        <v>41460.79</v>
      </c>
      <c r="U3347">
        <v>13937.73</v>
      </c>
      <c r="V3347">
        <v>755.58</v>
      </c>
      <c r="W3347">
        <v>675.59</v>
      </c>
      <c r="X3347">
        <v>42833.33</v>
      </c>
      <c r="Y3347">
        <v>42287.02</v>
      </c>
    </row>
    <row r="3348" spans="1:25" x14ac:dyDescent="0.25">
      <c r="A3348" t="s">
        <v>3404</v>
      </c>
      <c r="B3348" s="1">
        <v>45856</v>
      </c>
      <c r="C3348">
        <v>2025</v>
      </c>
      <c r="D3348">
        <v>7</v>
      </c>
      <c r="E3348" t="s">
        <v>690</v>
      </c>
      <c r="F3348" t="s">
        <v>691</v>
      </c>
      <c r="G3348" t="s">
        <v>55</v>
      </c>
      <c r="H3348" t="s">
        <v>36</v>
      </c>
      <c r="I3348" t="s">
        <v>45</v>
      </c>
      <c r="J3348">
        <v>46</v>
      </c>
      <c r="K3348">
        <v>1130.0999999999999</v>
      </c>
      <c r="L3348">
        <v>51984.57</v>
      </c>
      <c r="M3348">
        <v>28073.55</v>
      </c>
      <c r="N3348">
        <v>3877.73</v>
      </c>
      <c r="O3348">
        <v>2486.14</v>
      </c>
      <c r="P3348">
        <v>1550</v>
      </c>
      <c r="Q3348">
        <v>706.1</v>
      </c>
      <c r="R3348">
        <v>3339.05</v>
      </c>
      <c r="S3348">
        <v>464.76</v>
      </c>
      <c r="T3348">
        <v>40497.32</v>
      </c>
      <c r="U3348">
        <v>23911.02</v>
      </c>
      <c r="V3348">
        <v>11487.25</v>
      </c>
      <c r="W3348">
        <v>11006.38</v>
      </c>
      <c r="X3348">
        <v>48780.21</v>
      </c>
      <c r="Y3348">
        <v>43577.69</v>
      </c>
    </row>
    <row r="3349" spans="1:25" x14ac:dyDescent="0.25">
      <c r="A3349" t="s">
        <v>3405</v>
      </c>
      <c r="B3349" s="1">
        <v>45856</v>
      </c>
      <c r="C3349">
        <v>2025</v>
      </c>
      <c r="D3349">
        <v>7</v>
      </c>
      <c r="E3349" t="s">
        <v>690</v>
      </c>
      <c r="F3349" t="s">
        <v>691</v>
      </c>
      <c r="G3349" t="s">
        <v>28</v>
      </c>
      <c r="H3349" t="s">
        <v>36</v>
      </c>
      <c r="I3349" t="s">
        <v>37</v>
      </c>
      <c r="J3349">
        <v>57</v>
      </c>
      <c r="K3349">
        <v>1358.62</v>
      </c>
      <c r="L3349">
        <v>77441.59</v>
      </c>
      <c r="M3349">
        <v>50333.88</v>
      </c>
      <c r="N3349">
        <v>9988.3700000000008</v>
      </c>
      <c r="O3349">
        <v>3568.73</v>
      </c>
      <c r="P3349">
        <v>2135.02</v>
      </c>
      <c r="Q3349">
        <v>1027.6500000000001</v>
      </c>
      <c r="R3349">
        <v>2395.65</v>
      </c>
      <c r="S3349">
        <v>989.86</v>
      </c>
      <c r="T3349">
        <v>70439.149999999994</v>
      </c>
      <c r="U3349">
        <v>27107.71</v>
      </c>
      <c r="V3349">
        <v>7002.44</v>
      </c>
      <c r="W3349">
        <v>6506.56</v>
      </c>
      <c r="X3349">
        <v>82545.88</v>
      </c>
      <c r="Y3349">
        <v>72494.83</v>
      </c>
    </row>
    <row r="3350" spans="1:25" x14ac:dyDescent="0.25">
      <c r="A3350" t="s">
        <v>3406</v>
      </c>
      <c r="B3350" s="1">
        <v>45856</v>
      </c>
      <c r="C3350">
        <v>2025</v>
      </c>
      <c r="D3350">
        <v>7</v>
      </c>
      <c r="E3350" t="s">
        <v>690</v>
      </c>
      <c r="F3350" t="s">
        <v>691</v>
      </c>
      <c r="G3350" t="s">
        <v>35</v>
      </c>
      <c r="H3350" t="s">
        <v>36</v>
      </c>
      <c r="I3350" t="s">
        <v>50</v>
      </c>
      <c r="J3350">
        <v>52</v>
      </c>
      <c r="K3350">
        <v>817.93</v>
      </c>
      <c r="L3350">
        <v>42532.13</v>
      </c>
      <c r="M3350">
        <v>22270.400000000001</v>
      </c>
      <c r="N3350">
        <v>3313.68</v>
      </c>
      <c r="O3350">
        <v>2594.86</v>
      </c>
      <c r="P3350">
        <v>1704.63</v>
      </c>
      <c r="Q3350">
        <v>480.18</v>
      </c>
      <c r="R3350">
        <v>2566.15</v>
      </c>
      <c r="S3350">
        <v>512.02</v>
      </c>
      <c r="T3350">
        <v>33441.910000000003</v>
      </c>
      <c r="U3350">
        <v>20261.73</v>
      </c>
      <c r="V3350">
        <v>9090.2199999999993</v>
      </c>
      <c r="W3350">
        <v>8364.64</v>
      </c>
      <c r="X3350">
        <v>43192.45</v>
      </c>
      <c r="Y3350">
        <v>34826.870000000003</v>
      </c>
    </row>
    <row r="3351" spans="1:25" x14ac:dyDescent="0.25">
      <c r="A3351" t="s">
        <v>3407</v>
      </c>
      <c r="B3351" s="1">
        <v>45856</v>
      </c>
      <c r="C3351">
        <v>2025</v>
      </c>
      <c r="D3351">
        <v>7</v>
      </c>
      <c r="E3351" t="s">
        <v>690</v>
      </c>
      <c r="F3351" t="s">
        <v>691</v>
      </c>
      <c r="G3351" t="s">
        <v>44</v>
      </c>
      <c r="H3351" t="s">
        <v>36</v>
      </c>
      <c r="I3351" t="s">
        <v>39</v>
      </c>
      <c r="J3351">
        <v>23</v>
      </c>
      <c r="K3351">
        <v>1491.71</v>
      </c>
      <c r="L3351">
        <v>34309.230000000003</v>
      </c>
      <c r="M3351">
        <v>18789.97</v>
      </c>
      <c r="N3351">
        <v>4242.82</v>
      </c>
      <c r="O3351">
        <v>2546.35</v>
      </c>
      <c r="P3351">
        <v>1444.52</v>
      </c>
      <c r="Q3351">
        <v>309.08</v>
      </c>
      <c r="R3351">
        <v>1475.11</v>
      </c>
      <c r="S3351">
        <v>395.41</v>
      </c>
      <c r="T3351">
        <v>29203.27</v>
      </c>
      <c r="U3351">
        <v>15519.25</v>
      </c>
      <c r="V3351">
        <v>5105.95</v>
      </c>
      <c r="W3351">
        <v>4954.55</v>
      </c>
      <c r="X3351">
        <v>33745.31</v>
      </c>
      <c r="Y3351">
        <v>28475.42</v>
      </c>
    </row>
    <row r="3352" spans="1:25" x14ac:dyDescent="0.25">
      <c r="A3352" t="s">
        <v>3408</v>
      </c>
      <c r="B3352" s="1">
        <v>45856</v>
      </c>
      <c r="C3352">
        <v>2025</v>
      </c>
      <c r="D3352">
        <v>7</v>
      </c>
      <c r="E3352" t="s">
        <v>690</v>
      </c>
      <c r="F3352" t="s">
        <v>691</v>
      </c>
      <c r="G3352" t="s">
        <v>28</v>
      </c>
      <c r="H3352" t="s">
        <v>29</v>
      </c>
      <c r="I3352" t="s">
        <v>45</v>
      </c>
      <c r="J3352">
        <v>50</v>
      </c>
      <c r="K3352">
        <v>1100.95</v>
      </c>
      <c r="L3352">
        <v>55047.62</v>
      </c>
      <c r="M3352">
        <v>28806.94</v>
      </c>
      <c r="N3352">
        <v>6702.39</v>
      </c>
      <c r="O3352">
        <v>2656.94</v>
      </c>
      <c r="P3352">
        <v>1394.03</v>
      </c>
      <c r="Q3352">
        <v>679.78</v>
      </c>
      <c r="R3352">
        <v>2890.8</v>
      </c>
      <c r="S3352">
        <v>1154.3699999999999</v>
      </c>
      <c r="T3352">
        <v>44285.26</v>
      </c>
      <c r="U3352">
        <v>26240.68</v>
      </c>
      <c r="V3352">
        <v>10762.36</v>
      </c>
      <c r="W3352">
        <v>9981.59</v>
      </c>
      <c r="X3352">
        <v>51931.91</v>
      </c>
      <c r="Y3352">
        <v>43097.83</v>
      </c>
    </row>
    <row r="3353" spans="1:25" x14ac:dyDescent="0.25">
      <c r="A3353" t="s">
        <v>3409</v>
      </c>
      <c r="B3353" s="1">
        <v>45857</v>
      </c>
      <c r="C3353">
        <v>2025</v>
      </c>
      <c r="D3353">
        <v>7</v>
      </c>
      <c r="E3353" t="s">
        <v>690</v>
      </c>
      <c r="F3353" t="s">
        <v>691</v>
      </c>
      <c r="G3353" t="s">
        <v>55</v>
      </c>
      <c r="H3353" t="s">
        <v>58</v>
      </c>
      <c r="I3353" t="s">
        <v>50</v>
      </c>
      <c r="J3353">
        <v>52</v>
      </c>
      <c r="K3353">
        <v>843.6</v>
      </c>
      <c r="L3353">
        <v>43867.03</v>
      </c>
      <c r="M3353">
        <v>27367.09</v>
      </c>
      <c r="N3353">
        <v>4014.59</v>
      </c>
      <c r="O3353">
        <v>3203.17</v>
      </c>
      <c r="P3353">
        <v>1433.62</v>
      </c>
      <c r="Q3353">
        <v>565.4</v>
      </c>
      <c r="R3353">
        <v>2095.79</v>
      </c>
      <c r="S3353">
        <v>802.02</v>
      </c>
      <c r="T3353">
        <v>39481.69</v>
      </c>
      <c r="U3353">
        <v>16499.95</v>
      </c>
      <c r="V3353">
        <v>4385.34</v>
      </c>
      <c r="W3353">
        <v>4355.6000000000004</v>
      </c>
      <c r="X3353">
        <v>46293.9</v>
      </c>
      <c r="Y3353">
        <v>39157.56</v>
      </c>
    </row>
    <row r="3354" spans="1:25" x14ac:dyDescent="0.25">
      <c r="A3354" t="s">
        <v>3410</v>
      </c>
      <c r="B3354" s="1">
        <v>45857</v>
      </c>
      <c r="C3354">
        <v>2025</v>
      </c>
      <c r="D3354">
        <v>7</v>
      </c>
      <c r="E3354" t="s">
        <v>690</v>
      </c>
      <c r="F3354" t="s">
        <v>691</v>
      </c>
      <c r="G3354" t="s">
        <v>55</v>
      </c>
      <c r="H3354" t="s">
        <v>32</v>
      </c>
      <c r="I3354" t="s">
        <v>33</v>
      </c>
      <c r="J3354">
        <v>54</v>
      </c>
      <c r="K3354">
        <v>1668.1</v>
      </c>
      <c r="L3354">
        <v>90077.34</v>
      </c>
      <c r="M3354">
        <v>57240.52</v>
      </c>
      <c r="N3354">
        <v>6875.04</v>
      </c>
      <c r="O3354">
        <v>4852.08</v>
      </c>
      <c r="P3354">
        <v>3486.76</v>
      </c>
      <c r="Q3354">
        <v>688.7</v>
      </c>
      <c r="R3354">
        <v>5581.28</v>
      </c>
      <c r="S3354">
        <v>1870.36</v>
      </c>
      <c r="T3354">
        <v>80594.740000000005</v>
      </c>
      <c r="U3354">
        <v>32836.82</v>
      </c>
      <c r="V3354">
        <v>9482.6</v>
      </c>
      <c r="W3354">
        <v>8426.52</v>
      </c>
      <c r="X3354">
        <v>99220.69</v>
      </c>
      <c r="Y3354">
        <v>80462.649999999994</v>
      </c>
    </row>
    <row r="3355" spans="1:25" x14ac:dyDescent="0.25">
      <c r="A3355" t="s">
        <v>3411</v>
      </c>
      <c r="B3355" s="1">
        <v>45857</v>
      </c>
      <c r="C3355">
        <v>2025</v>
      </c>
      <c r="D3355">
        <v>7</v>
      </c>
      <c r="E3355" t="s">
        <v>690</v>
      </c>
      <c r="F3355" t="s">
        <v>691</v>
      </c>
      <c r="G3355" t="s">
        <v>28</v>
      </c>
      <c r="H3355" t="s">
        <v>32</v>
      </c>
      <c r="I3355" t="s">
        <v>30</v>
      </c>
      <c r="J3355">
        <v>89</v>
      </c>
      <c r="K3355">
        <v>1432.24</v>
      </c>
      <c r="L3355">
        <v>127468.93</v>
      </c>
      <c r="M3355">
        <v>64987.46</v>
      </c>
      <c r="N3355">
        <v>10850.3</v>
      </c>
      <c r="O3355">
        <v>7488.78</v>
      </c>
      <c r="P3355">
        <v>3739.03</v>
      </c>
      <c r="Q3355">
        <v>1266.52</v>
      </c>
      <c r="R3355">
        <v>7983.36</v>
      </c>
      <c r="S3355">
        <v>1075.51</v>
      </c>
      <c r="T3355">
        <v>97390.96</v>
      </c>
      <c r="U3355">
        <v>62481.48</v>
      </c>
      <c r="V3355">
        <v>30077.97</v>
      </c>
      <c r="W3355">
        <v>27748.84</v>
      </c>
      <c r="X3355">
        <v>127837.75999999999</v>
      </c>
      <c r="Y3355">
        <v>91684.65</v>
      </c>
    </row>
    <row r="3356" spans="1:25" x14ac:dyDescent="0.25">
      <c r="A3356" t="s">
        <v>3412</v>
      </c>
      <c r="B3356" s="1">
        <v>45857</v>
      </c>
      <c r="C3356">
        <v>2025</v>
      </c>
      <c r="D3356">
        <v>7</v>
      </c>
      <c r="E3356" t="s">
        <v>690</v>
      </c>
      <c r="F3356" t="s">
        <v>691</v>
      </c>
      <c r="G3356" t="s">
        <v>55</v>
      </c>
      <c r="H3356" t="s">
        <v>58</v>
      </c>
      <c r="I3356" t="s">
        <v>45</v>
      </c>
      <c r="J3356">
        <v>40</v>
      </c>
      <c r="K3356">
        <v>1350.78</v>
      </c>
      <c r="L3356">
        <v>54031.199999999997</v>
      </c>
      <c r="M3356">
        <v>28968.62</v>
      </c>
      <c r="N3356">
        <v>4144.22</v>
      </c>
      <c r="O3356">
        <v>1540.04</v>
      </c>
      <c r="P3356">
        <v>1053.42</v>
      </c>
      <c r="Q3356">
        <v>755.8</v>
      </c>
      <c r="R3356">
        <v>2378.9699999999998</v>
      </c>
      <c r="S3356">
        <v>1038.94</v>
      </c>
      <c r="T3356">
        <v>39880.01</v>
      </c>
      <c r="U3356">
        <v>25062.58</v>
      </c>
      <c r="V3356">
        <v>14151.19</v>
      </c>
      <c r="W3356">
        <v>13308.6</v>
      </c>
      <c r="X3356">
        <v>55321.66</v>
      </c>
      <c r="Y3356">
        <v>39222.57</v>
      </c>
    </row>
    <row r="3357" spans="1:25" x14ac:dyDescent="0.25">
      <c r="A3357" t="s">
        <v>3413</v>
      </c>
      <c r="B3357" s="1">
        <v>45858</v>
      </c>
      <c r="C3357">
        <v>2025</v>
      </c>
      <c r="D3357">
        <v>7</v>
      </c>
      <c r="E3357" t="s">
        <v>690</v>
      </c>
      <c r="F3357" t="s">
        <v>691</v>
      </c>
      <c r="G3357" t="s">
        <v>35</v>
      </c>
      <c r="H3357" t="s">
        <v>36</v>
      </c>
      <c r="I3357" t="s">
        <v>30</v>
      </c>
      <c r="J3357">
        <v>57</v>
      </c>
      <c r="K3357">
        <v>1106.04</v>
      </c>
      <c r="L3357">
        <v>63044.2</v>
      </c>
      <c r="M3357">
        <v>38328.58</v>
      </c>
      <c r="N3357">
        <v>6554.06</v>
      </c>
      <c r="O3357">
        <v>4281.29</v>
      </c>
      <c r="P3357">
        <v>2033.93</v>
      </c>
      <c r="Q3357">
        <v>526.07000000000005</v>
      </c>
      <c r="R3357">
        <v>2493.71</v>
      </c>
      <c r="S3357">
        <v>1334.73</v>
      </c>
      <c r="T3357">
        <v>55552.37</v>
      </c>
      <c r="U3357">
        <v>24715.62</v>
      </c>
      <c r="V3357">
        <v>7491.83</v>
      </c>
      <c r="W3357">
        <v>6836.95</v>
      </c>
      <c r="X3357">
        <v>58195.95</v>
      </c>
      <c r="Y3357">
        <v>56716.3</v>
      </c>
    </row>
    <row r="3358" spans="1:25" x14ac:dyDescent="0.25">
      <c r="A3358" t="s">
        <v>3414</v>
      </c>
      <c r="B3358" s="1">
        <v>45858</v>
      </c>
      <c r="C3358">
        <v>2025</v>
      </c>
      <c r="D3358">
        <v>7</v>
      </c>
      <c r="E3358" t="s">
        <v>690</v>
      </c>
      <c r="F3358" t="s">
        <v>691</v>
      </c>
      <c r="G3358" t="s">
        <v>28</v>
      </c>
      <c r="H3358" t="s">
        <v>53</v>
      </c>
      <c r="I3358" t="s">
        <v>33</v>
      </c>
      <c r="J3358">
        <v>44</v>
      </c>
      <c r="K3358">
        <v>1576.16</v>
      </c>
      <c r="L3358">
        <v>69351.02</v>
      </c>
      <c r="M3358">
        <v>42108.56</v>
      </c>
      <c r="N3358">
        <v>8770.8799999999992</v>
      </c>
      <c r="O3358">
        <v>3224.64</v>
      </c>
      <c r="P3358">
        <v>2395.0300000000002</v>
      </c>
      <c r="Q3358">
        <v>785.32</v>
      </c>
      <c r="R3358">
        <v>2262.29</v>
      </c>
      <c r="S3358">
        <v>1716.95</v>
      </c>
      <c r="T3358">
        <v>61263.67</v>
      </c>
      <c r="U3358">
        <v>27242.46</v>
      </c>
      <c r="V3358">
        <v>8087.35</v>
      </c>
      <c r="W3358">
        <v>7285.46</v>
      </c>
      <c r="X3358">
        <v>69613.67</v>
      </c>
      <c r="Y3358">
        <v>60542.02</v>
      </c>
    </row>
    <row r="3359" spans="1:25" x14ac:dyDescent="0.25">
      <c r="A3359" t="s">
        <v>3415</v>
      </c>
      <c r="B3359" s="1">
        <v>45858</v>
      </c>
      <c r="C3359">
        <v>2025</v>
      </c>
      <c r="D3359">
        <v>7</v>
      </c>
      <c r="E3359" t="s">
        <v>690</v>
      </c>
      <c r="F3359" t="s">
        <v>691</v>
      </c>
      <c r="G3359" t="s">
        <v>28</v>
      </c>
      <c r="H3359" t="s">
        <v>32</v>
      </c>
      <c r="I3359" t="s">
        <v>37</v>
      </c>
      <c r="J3359">
        <v>74</v>
      </c>
      <c r="K3359">
        <v>901.49</v>
      </c>
      <c r="L3359">
        <v>66710.399999999994</v>
      </c>
      <c r="M3359">
        <v>42261.1</v>
      </c>
      <c r="N3359">
        <v>7058.17</v>
      </c>
      <c r="O3359">
        <v>3741.02</v>
      </c>
      <c r="P3359">
        <v>1098.78</v>
      </c>
      <c r="Q3359">
        <v>1032.57</v>
      </c>
      <c r="R3359">
        <v>2212.73</v>
      </c>
      <c r="S3359">
        <v>583.11</v>
      </c>
      <c r="T3359">
        <v>57987.48</v>
      </c>
      <c r="U3359">
        <v>24449.3</v>
      </c>
      <c r="V3359">
        <v>8722.92</v>
      </c>
      <c r="W3359">
        <v>7945.82</v>
      </c>
      <c r="X3359">
        <v>69819.679999999993</v>
      </c>
      <c r="Y3359">
        <v>62000.11</v>
      </c>
    </row>
    <row r="3360" spans="1:25" x14ac:dyDescent="0.25">
      <c r="A3360" t="s">
        <v>3416</v>
      </c>
      <c r="B3360" s="1">
        <v>45858</v>
      </c>
      <c r="C3360">
        <v>2025</v>
      </c>
      <c r="D3360">
        <v>7</v>
      </c>
      <c r="E3360" t="s">
        <v>690</v>
      </c>
      <c r="F3360" t="s">
        <v>691</v>
      </c>
      <c r="G3360" t="s">
        <v>55</v>
      </c>
      <c r="H3360" t="s">
        <v>58</v>
      </c>
      <c r="I3360" t="s">
        <v>39</v>
      </c>
      <c r="J3360">
        <v>37</v>
      </c>
      <c r="K3360">
        <v>1329.83</v>
      </c>
      <c r="L3360">
        <v>49203.85</v>
      </c>
      <c r="M3360">
        <v>25706.34</v>
      </c>
      <c r="N3360">
        <v>3957.57</v>
      </c>
      <c r="O3360">
        <v>1697.86</v>
      </c>
      <c r="P3360">
        <v>1441.31</v>
      </c>
      <c r="Q3360">
        <v>536.82000000000005</v>
      </c>
      <c r="R3360">
        <v>2521.41</v>
      </c>
      <c r="S3360">
        <v>1096.56</v>
      </c>
      <c r="T3360">
        <v>36957.870000000003</v>
      </c>
      <c r="U3360">
        <v>23497.51</v>
      </c>
      <c r="V3360">
        <v>12245.99</v>
      </c>
      <c r="W3360">
        <v>10931.83</v>
      </c>
      <c r="X3360">
        <v>48254.17</v>
      </c>
      <c r="Y3360">
        <v>35464.93</v>
      </c>
    </row>
    <row r="3361" spans="1:25" x14ac:dyDescent="0.25">
      <c r="A3361" t="s">
        <v>3417</v>
      </c>
      <c r="B3361" s="1">
        <v>45859</v>
      </c>
      <c r="C3361">
        <v>2025</v>
      </c>
      <c r="D3361">
        <v>7</v>
      </c>
      <c r="E3361" t="s">
        <v>690</v>
      </c>
      <c r="F3361" t="s">
        <v>691</v>
      </c>
      <c r="G3361" t="s">
        <v>55</v>
      </c>
      <c r="H3361" t="s">
        <v>36</v>
      </c>
      <c r="I3361" t="s">
        <v>30</v>
      </c>
      <c r="J3361">
        <v>91</v>
      </c>
      <c r="K3361">
        <v>900.41</v>
      </c>
      <c r="L3361">
        <v>81937.399999999994</v>
      </c>
      <c r="M3361">
        <v>39996.769999999997</v>
      </c>
      <c r="N3361">
        <v>6411.28</v>
      </c>
      <c r="O3361">
        <v>4271.6400000000003</v>
      </c>
      <c r="P3361">
        <v>3529.66</v>
      </c>
      <c r="Q3361">
        <v>1010.67</v>
      </c>
      <c r="R3361">
        <v>2760.07</v>
      </c>
      <c r="S3361">
        <v>1395.61</v>
      </c>
      <c r="T3361">
        <v>59375.7</v>
      </c>
      <c r="U3361">
        <v>41940.629999999997</v>
      </c>
      <c r="V3361">
        <v>22561.7</v>
      </c>
      <c r="W3361">
        <v>21036.33</v>
      </c>
      <c r="X3361">
        <v>88687.64</v>
      </c>
      <c r="Y3361">
        <v>61390.35</v>
      </c>
    </row>
    <row r="3362" spans="1:25" x14ac:dyDescent="0.25">
      <c r="A3362" t="s">
        <v>3418</v>
      </c>
      <c r="B3362" s="1">
        <v>45860</v>
      </c>
      <c r="C3362">
        <v>2025</v>
      </c>
      <c r="D3362">
        <v>7</v>
      </c>
      <c r="E3362" t="s">
        <v>690</v>
      </c>
      <c r="F3362" t="s">
        <v>691</v>
      </c>
      <c r="G3362" t="s">
        <v>44</v>
      </c>
      <c r="H3362" t="s">
        <v>32</v>
      </c>
      <c r="I3362" t="s">
        <v>39</v>
      </c>
      <c r="J3362">
        <v>38</v>
      </c>
      <c r="K3362">
        <v>1354.45</v>
      </c>
      <c r="L3362">
        <v>51469.120000000003</v>
      </c>
      <c r="M3362">
        <v>34807.83</v>
      </c>
      <c r="N3362">
        <v>5493.87</v>
      </c>
      <c r="O3362">
        <v>1387.76</v>
      </c>
      <c r="P3362">
        <v>2190.7199999999998</v>
      </c>
      <c r="Q3362">
        <v>355.62</v>
      </c>
      <c r="R3362">
        <v>2376.84</v>
      </c>
      <c r="S3362">
        <v>414.95</v>
      </c>
      <c r="T3362">
        <v>47027.58</v>
      </c>
      <c r="U3362">
        <v>16661.29</v>
      </c>
      <c r="V3362">
        <v>4441.55</v>
      </c>
      <c r="W3362">
        <v>4192.08</v>
      </c>
      <c r="X3362">
        <v>54079.81</v>
      </c>
      <c r="Y3362">
        <v>47407.75</v>
      </c>
    </row>
    <row r="3363" spans="1:25" x14ac:dyDescent="0.25">
      <c r="A3363" t="s">
        <v>3419</v>
      </c>
      <c r="B3363" s="1">
        <v>45860</v>
      </c>
      <c r="C3363">
        <v>2025</v>
      </c>
      <c r="D3363">
        <v>7</v>
      </c>
      <c r="E3363" t="s">
        <v>690</v>
      </c>
      <c r="F3363" t="s">
        <v>691</v>
      </c>
      <c r="G3363" t="s">
        <v>35</v>
      </c>
      <c r="H3363" t="s">
        <v>32</v>
      </c>
      <c r="I3363" t="s">
        <v>45</v>
      </c>
      <c r="J3363">
        <v>39</v>
      </c>
      <c r="K3363">
        <v>1264.29</v>
      </c>
      <c r="L3363">
        <v>49307.23</v>
      </c>
      <c r="M3363">
        <v>27679.27</v>
      </c>
      <c r="N3363">
        <v>4605.08</v>
      </c>
      <c r="O3363">
        <v>1817.3</v>
      </c>
      <c r="P3363">
        <v>2020.05</v>
      </c>
      <c r="Q3363">
        <v>858.42</v>
      </c>
      <c r="R3363">
        <v>1919.03</v>
      </c>
      <c r="S3363">
        <v>503.13</v>
      </c>
      <c r="T3363">
        <v>39402.28</v>
      </c>
      <c r="U3363">
        <v>21627.97</v>
      </c>
      <c r="V3363">
        <v>9904.9500000000007</v>
      </c>
      <c r="W3363">
        <v>9028.6200000000008</v>
      </c>
      <c r="X3363">
        <v>48658.12</v>
      </c>
      <c r="Y3363">
        <v>39815.019999999997</v>
      </c>
    </row>
    <row r="3364" spans="1:25" x14ac:dyDescent="0.25">
      <c r="A3364" t="s">
        <v>3420</v>
      </c>
      <c r="B3364" s="1">
        <v>45860</v>
      </c>
      <c r="C3364">
        <v>2025</v>
      </c>
      <c r="D3364">
        <v>7</v>
      </c>
      <c r="E3364" t="s">
        <v>690</v>
      </c>
      <c r="F3364" t="s">
        <v>691</v>
      </c>
      <c r="G3364" t="s">
        <v>28</v>
      </c>
      <c r="H3364" t="s">
        <v>32</v>
      </c>
      <c r="I3364" t="s">
        <v>56</v>
      </c>
      <c r="J3364">
        <v>36</v>
      </c>
      <c r="K3364">
        <v>1504.09</v>
      </c>
      <c r="L3364">
        <v>54147.199999999997</v>
      </c>
      <c r="M3364">
        <v>28134.89</v>
      </c>
      <c r="N3364">
        <v>6457.29</v>
      </c>
      <c r="O3364">
        <v>3813.71</v>
      </c>
      <c r="P3364">
        <v>1727.56</v>
      </c>
      <c r="Q3364">
        <v>423.34</v>
      </c>
      <c r="R3364">
        <v>2183.12</v>
      </c>
      <c r="S3364">
        <v>509.56</v>
      </c>
      <c r="T3364">
        <v>43249.47</v>
      </c>
      <c r="U3364">
        <v>26012.31</v>
      </c>
      <c r="V3364">
        <v>10897.73</v>
      </c>
      <c r="W3364">
        <v>10665.04</v>
      </c>
      <c r="X3364">
        <v>56839.66</v>
      </c>
      <c r="Y3364">
        <v>44083.14</v>
      </c>
    </row>
    <row r="3365" spans="1:25" x14ac:dyDescent="0.25">
      <c r="A3365" t="s">
        <v>3421</v>
      </c>
      <c r="B3365" s="1">
        <v>45860</v>
      </c>
      <c r="C3365">
        <v>2025</v>
      </c>
      <c r="D3365">
        <v>7</v>
      </c>
      <c r="E3365" t="s">
        <v>690</v>
      </c>
      <c r="F3365" t="s">
        <v>691</v>
      </c>
      <c r="G3365" t="s">
        <v>55</v>
      </c>
      <c r="H3365" t="s">
        <v>36</v>
      </c>
      <c r="I3365" t="s">
        <v>56</v>
      </c>
      <c r="J3365">
        <v>27</v>
      </c>
      <c r="K3365">
        <v>1482.89</v>
      </c>
      <c r="L3365">
        <v>40038.04</v>
      </c>
      <c r="M3365">
        <v>20108.439999999999</v>
      </c>
      <c r="N3365">
        <v>2820.15</v>
      </c>
      <c r="O3365">
        <v>2317.52</v>
      </c>
      <c r="P3365">
        <v>1761.86</v>
      </c>
      <c r="Q3365">
        <v>319.64999999999998</v>
      </c>
      <c r="R3365">
        <v>2130.56</v>
      </c>
      <c r="S3365">
        <v>727.52</v>
      </c>
      <c r="T3365">
        <v>30185.7</v>
      </c>
      <c r="U3365">
        <v>19929.599999999999</v>
      </c>
      <c r="V3365">
        <v>9852.33</v>
      </c>
      <c r="W3365">
        <v>9799.69</v>
      </c>
      <c r="X3365">
        <v>40279.94</v>
      </c>
      <c r="Y3365">
        <v>31865.72</v>
      </c>
    </row>
    <row r="3366" spans="1:25" x14ac:dyDescent="0.25">
      <c r="A3366" t="s">
        <v>3422</v>
      </c>
      <c r="B3366" s="1">
        <v>45860</v>
      </c>
      <c r="C3366">
        <v>2025</v>
      </c>
      <c r="D3366">
        <v>7</v>
      </c>
      <c r="E3366" t="s">
        <v>690</v>
      </c>
      <c r="F3366" t="s">
        <v>691</v>
      </c>
      <c r="G3366" t="s">
        <v>55</v>
      </c>
      <c r="H3366" t="s">
        <v>29</v>
      </c>
      <c r="I3366" t="s">
        <v>39</v>
      </c>
      <c r="J3366">
        <v>31</v>
      </c>
      <c r="K3366">
        <v>1576.72</v>
      </c>
      <c r="L3366">
        <v>48878.19</v>
      </c>
      <c r="M3366">
        <v>28520.83</v>
      </c>
      <c r="N3366">
        <v>4530.5200000000004</v>
      </c>
      <c r="O3366">
        <v>2172.38</v>
      </c>
      <c r="P3366">
        <v>2074.7399999999998</v>
      </c>
      <c r="Q3366">
        <v>432.19</v>
      </c>
      <c r="R3366">
        <v>3048.35</v>
      </c>
      <c r="S3366">
        <v>827.44</v>
      </c>
      <c r="T3366">
        <v>41606.46</v>
      </c>
      <c r="U3366">
        <v>20357.36</v>
      </c>
      <c r="V3366">
        <v>7271.74</v>
      </c>
      <c r="W3366">
        <v>6884.5</v>
      </c>
      <c r="X3366">
        <v>51105.48</v>
      </c>
      <c r="Y3366">
        <v>44257.59</v>
      </c>
    </row>
    <row r="3367" spans="1:25" x14ac:dyDescent="0.25">
      <c r="A3367" t="s">
        <v>3423</v>
      </c>
      <c r="B3367" s="1">
        <v>45860</v>
      </c>
      <c r="C3367">
        <v>2025</v>
      </c>
      <c r="D3367">
        <v>7</v>
      </c>
      <c r="E3367" t="s">
        <v>690</v>
      </c>
      <c r="F3367" t="s">
        <v>691</v>
      </c>
      <c r="G3367" t="s">
        <v>44</v>
      </c>
      <c r="H3367" t="s">
        <v>53</v>
      </c>
      <c r="I3367" t="s">
        <v>30</v>
      </c>
      <c r="J3367">
        <v>40</v>
      </c>
      <c r="K3367">
        <v>1468.94</v>
      </c>
      <c r="L3367">
        <v>58757.760000000002</v>
      </c>
      <c r="M3367">
        <v>37872.04</v>
      </c>
      <c r="N3367">
        <v>4755.05</v>
      </c>
      <c r="O3367">
        <v>3427.65</v>
      </c>
      <c r="P3367">
        <v>1161.73</v>
      </c>
      <c r="Q3367">
        <v>617.99</v>
      </c>
      <c r="R3367">
        <v>3712.56</v>
      </c>
      <c r="S3367">
        <v>701.11</v>
      </c>
      <c r="T3367">
        <v>52248.14</v>
      </c>
      <c r="U3367">
        <v>20885.71</v>
      </c>
      <c r="V3367">
        <v>6509.62</v>
      </c>
      <c r="W3367">
        <v>5796.78</v>
      </c>
      <c r="X3367">
        <v>62637.66</v>
      </c>
      <c r="Y3367">
        <v>55740.99</v>
      </c>
    </row>
    <row r="3368" spans="1:25" x14ac:dyDescent="0.25">
      <c r="A3368" t="s">
        <v>3424</v>
      </c>
      <c r="B3368" s="1">
        <v>45861</v>
      </c>
      <c r="C3368">
        <v>2025</v>
      </c>
      <c r="D3368">
        <v>7</v>
      </c>
      <c r="E3368" t="s">
        <v>690</v>
      </c>
      <c r="F3368" t="s">
        <v>691</v>
      </c>
      <c r="G3368" t="s">
        <v>55</v>
      </c>
      <c r="H3368" t="s">
        <v>32</v>
      </c>
      <c r="I3368" t="s">
        <v>45</v>
      </c>
      <c r="J3368">
        <v>70</v>
      </c>
      <c r="K3368">
        <v>950.39</v>
      </c>
      <c r="L3368">
        <v>66527.039999999994</v>
      </c>
      <c r="M3368">
        <v>32731.45</v>
      </c>
      <c r="N3368">
        <v>5924.88</v>
      </c>
      <c r="O3368">
        <v>4215</v>
      </c>
      <c r="P3368">
        <v>2233.6799999999998</v>
      </c>
      <c r="Q3368">
        <v>795.11</v>
      </c>
      <c r="R3368">
        <v>2231.36</v>
      </c>
      <c r="S3368">
        <v>1389.47</v>
      </c>
      <c r="T3368">
        <v>49520.95</v>
      </c>
      <c r="U3368">
        <v>33795.589999999997</v>
      </c>
      <c r="V3368">
        <v>17006.09</v>
      </c>
      <c r="W3368">
        <v>16491.689999999999</v>
      </c>
      <c r="X3368">
        <v>71724.09</v>
      </c>
      <c r="Y3368">
        <v>49764.6</v>
      </c>
    </row>
    <row r="3369" spans="1:25" x14ac:dyDescent="0.25">
      <c r="A3369" t="s">
        <v>3425</v>
      </c>
      <c r="B3369" s="1">
        <v>45861</v>
      </c>
      <c r="C3369">
        <v>2025</v>
      </c>
      <c r="D3369">
        <v>7</v>
      </c>
      <c r="E3369" t="s">
        <v>690</v>
      </c>
      <c r="F3369" t="s">
        <v>691</v>
      </c>
      <c r="G3369" t="s">
        <v>44</v>
      </c>
      <c r="H3369" t="s">
        <v>36</v>
      </c>
      <c r="I3369" t="s">
        <v>65</v>
      </c>
      <c r="J3369">
        <v>34</v>
      </c>
      <c r="K3369">
        <v>1754.75</v>
      </c>
      <c r="L3369">
        <v>59661.440000000002</v>
      </c>
      <c r="M3369">
        <v>33130.720000000001</v>
      </c>
      <c r="N3369">
        <v>4787.2</v>
      </c>
      <c r="O3369">
        <v>2120.62</v>
      </c>
      <c r="P3369">
        <v>2446.61</v>
      </c>
      <c r="Q3369">
        <v>907.56</v>
      </c>
      <c r="R3369">
        <v>3791.87</v>
      </c>
      <c r="S3369">
        <v>616.51</v>
      </c>
      <c r="T3369">
        <v>47801.09</v>
      </c>
      <c r="U3369">
        <v>26530.720000000001</v>
      </c>
      <c r="V3369">
        <v>11860.35</v>
      </c>
      <c r="W3369">
        <v>11096.68</v>
      </c>
      <c r="X3369">
        <v>61452.01</v>
      </c>
      <c r="Y3369">
        <v>47882.29</v>
      </c>
    </row>
    <row r="3370" spans="1:25" x14ac:dyDescent="0.25">
      <c r="A3370" t="s">
        <v>3426</v>
      </c>
      <c r="B3370" s="1">
        <v>45862</v>
      </c>
      <c r="C3370">
        <v>2025</v>
      </c>
      <c r="D3370">
        <v>7</v>
      </c>
      <c r="E3370" t="s">
        <v>690</v>
      </c>
      <c r="F3370" t="s">
        <v>691</v>
      </c>
      <c r="G3370" t="s">
        <v>28</v>
      </c>
      <c r="H3370" t="s">
        <v>58</v>
      </c>
      <c r="I3370" t="s">
        <v>37</v>
      </c>
      <c r="J3370">
        <v>45</v>
      </c>
      <c r="K3370">
        <v>1686.34</v>
      </c>
      <c r="L3370">
        <v>75885.2</v>
      </c>
      <c r="M3370">
        <v>48442.5</v>
      </c>
      <c r="N3370">
        <v>9329.64</v>
      </c>
      <c r="O3370">
        <v>3440.12</v>
      </c>
      <c r="P3370">
        <v>1496.75</v>
      </c>
      <c r="Q3370">
        <v>532.73</v>
      </c>
      <c r="R3370">
        <v>1925.34</v>
      </c>
      <c r="S3370">
        <v>1768.82</v>
      </c>
      <c r="T3370">
        <v>66935.899999999994</v>
      </c>
      <c r="U3370">
        <v>27442.7</v>
      </c>
      <c r="V3370">
        <v>8949.2999999999993</v>
      </c>
      <c r="W3370">
        <v>9010.4500000000007</v>
      </c>
      <c r="X3370">
        <v>77789.149999999994</v>
      </c>
      <c r="Y3370">
        <v>72434.16</v>
      </c>
    </row>
    <row r="3371" spans="1:25" x14ac:dyDescent="0.25">
      <c r="A3371" t="s">
        <v>3427</v>
      </c>
      <c r="B3371" s="1">
        <v>45862</v>
      </c>
      <c r="C3371">
        <v>2025</v>
      </c>
      <c r="D3371">
        <v>7</v>
      </c>
      <c r="E3371" t="s">
        <v>690</v>
      </c>
      <c r="F3371" t="s">
        <v>691</v>
      </c>
      <c r="G3371" t="s">
        <v>44</v>
      </c>
      <c r="H3371" t="s">
        <v>32</v>
      </c>
      <c r="I3371" t="s">
        <v>65</v>
      </c>
      <c r="J3371">
        <v>66</v>
      </c>
      <c r="K3371">
        <v>1086.6600000000001</v>
      </c>
      <c r="L3371">
        <v>71719.58</v>
      </c>
      <c r="M3371">
        <v>38364.449999999997</v>
      </c>
      <c r="N3371">
        <v>9094.36</v>
      </c>
      <c r="O3371">
        <v>4838.42</v>
      </c>
      <c r="P3371">
        <v>1688.84</v>
      </c>
      <c r="Q3371">
        <v>1097.1099999999999</v>
      </c>
      <c r="R3371">
        <v>3613.56</v>
      </c>
      <c r="S3371">
        <v>1491.54</v>
      </c>
      <c r="T3371">
        <v>60188.27</v>
      </c>
      <c r="U3371">
        <v>33355.14</v>
      </c>
      <c r="V3371">
        <v>11531.31</v>
      </c>
      <c r="W3371">
        <v>11218.86</v>
      </c>
      <c r="X3371">
        <v>77400.23</v>
      </c>
      <c r="Y3371">
        <v>56418.75</v>
      </c>
    </row>
    <row r="3372" spans="1:25" x14ac:dyDescent="0.25">
      <c r="A3372" t="s">
        <v>3428</v>
      </c>
      <c r="B3372" s="1">
        <v>45862</v>
      </c>
      <c r="C3372">
        <v>2025</v>
      </c>
      <c r="D3372">
        <v>7</v>
      </c>
      <c r="E3372" t="s">
        <v>690</v>
      </c>
      <c r="F3372" t="s">
        <v>691</v>
      </c>
      <c r="G3372" t="s">
        <v>55</v>
      </c>
      <c r="H3372" t="s">
        <v>36</v>
      </c>
      <c r="I3372" t="s">
        <v>56</v>
      </c>
      <c r="J3372">
        <v>39</v>
      </c>
      <c r="K3372">
        <v>1197.44</v>
      </c>
      <c r="L3372">
        <v>46699.97</v>
      </c>
      <c r="M3372">
        <v>24210.080000000002</v>
      </c>
      <c r="N3372">
        <v>3329.56</v>
      </c>
      <c r="O3372">
        <v>2399.84</v>
      </c>
      <c r="P3372">
        <v>854.61</v>
      </c>
      <c r="Q3372">
        <v>710.45</v>
      </c>
      <c r="R3372">
        <v>3019.58</v>
      </c>
      <c r="S3372">
        <v>920.93</v>
      </c>
      <c r="T3372">
        <v>35445.050000000003</v>
      </c>
      <c r="U3372">
        <v>22489.89</v>
      </c>
      <c r="V3372">
        <v>11254.92</v>
      </c>
      <c r="W3372">
        <v>11221.59</v>
      </c>
      <c r="X3372">
        <v>45962.17</v>
      </c>
      <c r="Y3372">
        <v>35351.97</v>
      </c>
    </row>
    <row r="3373" spans="1:25" x14ac:dyDescent="0.25">
      <c r="A3373" t="s">
        <v>3429</v>
      </c>
      <c r="B3373" s="1">
        <v>45862</v>
      </c>
      <c r="C3373">
        <v>2025</v>
      </c>
      <c r="D3373">
        <v>7</v>
      </c>
      <c r="E3373" t="s">
        <v>690</v>
      </c>
      <c r="F3373" t="s">
        <v>691</v>
      </c>
      <c r="G3373" t="s">
        <v>55</v>
      </c>
      <c r="H3373" t="s">
        <v>32</v>
      </c>
      <c r="I3373" t="s">
        <v>45</v>
      </c>
      <c r="J3373">
        <v>55</v>
      </c>
      <c r="K3373">
        <v>1313.16</v>
      </c>
      <c r="L3373">
        <v>72223.58</v>
      </c>
      <c r="M3373">
        <v>41374.44</v>
      </c>
      <c r="N3373">
        <v>6959.53</v>
      </c>
      <c r="O3373">
        <v>3627.38</v>
      </c>
      <c r="P3373">
        <v>2177.46</v>
      </c>
      <c r="Q3373">
        <v>633.04999999999995</v>
      </c>
      <c r="R3373">
        <v>2520.0700000000002</v>
      </c>
      <c r="S3373">
        <v>1412.89</v>
      </c>
      <c r="T3373">
        <v>58704.82</v>
      </c>
      <c r="U3373">
        <v>30849.14</v>
      </c>
      <c r="V3373">
        <v>13518.76</v>
      </c>
      <c r="W3373">
        <v>13592.44</v>
      </c>
      <c r="X3373">
        <v>68640.14</v>
      </c>
      <c r="Y3373">
        <v>63991.58</v>
      </c>
    </row>
    <row r="3374" spans="1:25" x14ac:dyDescent="0.25">
      <c r="A3374" t="s">
        <v>3430</v>
      </c>
      <c r="B3374" s="1">
        <v>45862</v>
      </c>
      <c r="C3374">
        <v>2025</v>
      </c>
      <c r="D3374">
        <v>7</v>
      </c>
      <c r="E3374" t="s">
        <v>690</v>
      </c>
      <c r="F3374" t="s">
        <v>691</v>
      </c>
      <c r="G3374" t="s">
        <v>28</v>
      </c>
      <c r="H3374" t="s">
        <v>36</v>
      </c>
      <c r="I3374" t="s">
        <v>50</v>
      </c>
      <c r="J3374">
        <v>69</v>
      </c>
      <c r="K3374">
        <v>827.13</v>
      </c>
      <c r="L3374">
        <v>57071.89</v>
      </c>
      <c r="M3374">
        <v>35629.870000000003</v>
      </c>
      <c r="N3374">
        <v>5631.23</v>
      </c>
      <c r="O3374">
        <v>3138.13</v>
      </c>
      <c r="P3374">
        <v>1007.64</v>
      </c>
      <c r="Q3374">
        <v>794.53</v>
      </c>
      <c r="R3374">
        <v>3305.82</v>
      </c>
      <c r="S3374">
        <v>952.96</v>
      </c>
      <c r="T3374">
        <v>50460.18</v>
      </c>
      <c r="U3374">
        <v>21442.02</v>
      </c>
      <c r="V3374">
        <v>6611.71</v>
      </c>
      <c r="W3374">
        <v>6569.28</v>
      </c>
      <c r="X3374">
        <v>62740.6</v>
      </c>
      <c r="Y3374">
        <v>48348.21</v>
      </c>
    </row>
    <row r="3375" spans="1:25" x14ac:dyDescent="0.25">
      <c r="A3375" t="s">
        <v>3431</v>
      </c>
      <c r="B3375" s="1">
        <v>45862</v>
      </c>
      <c r="C3375">
        <v>2025</v>
      </c>
      <c r="D3375">
        <v>7</v>
      </c>
      <c r="E3375" t="s">
        <v>690</v>
      </c>
      <c r="F3375" t="s">
        <v>691</v>
      </c>
      <c r="G3375" t="s">
        <v>55</v>
      </c>
      <c r="H3375" t="s">
        <v>36</v>
      </c>
      <c r="I3375" t="s">
        <v>45</v>
      </c>
      <c r="J3375">
        <v>54</v>
      </c>
      <c r="K3375">
        <v>1016.02</v>
      </c>
      <c r="L3375">
        <v>54864.88</v>
      </c>
      <c r="M3375">
        <v>26907.98</v>
      </c>
      <c r="N3375">
        <v>4330.3999999999996</v>
      </c>
      <c r="O3375">
        <v>3935.11</v>
      </c>
      <c r="P3375">
        <v>2363.31</v>
      </c>
      <c r="Q3375">
        <v>338.8</v>
      </c>
      <c r="R3375">
        <v>3224.58</v>
      </c>
      <c r="S3375">
        <v>1341.87</v>
      </c>
      <c r="T3375">
        <v>42442.06</v>
      </c>
      <c r="U3375">
        <v>27956.9</v>
      </c>
      <c r="V3375">
        <v>12422.82</v>
      </c>
      <c r="W3375">
        <v>11797.54</v>
      </c>
      <c r="X3375">
        <v>56146.52</v>
      </c>
      <c r="Y3375">
        <v>44752.87</v>
      </c>
    </row>
    <row r="3376" spans="1:25" x14ac:dyDescent="0.25">
      <c r="A3376" t="s">
        <v>3432</v>
      </c>
      <c r="B3376" s="1">
        <v>45862</v>
      </c>
      <c r="C3376">
        <v>2025</v>
      </c>
      <c r="D3376">
        <v>7</v>
      </c>
      <c r="E3376" t="s">
        <v>690</v>
      </c>
      <c r="F3376" t="s">
        <v>691</v>
      </c>
      <c r="G3376" t="s">
        <v>28</v>
      </c>
      <c r="H3376" t="s">
        <v>29</v>
      </c>
      <c r="I3376" t="s">
        <v>33</v>
      </c>
      <c r="J3376">
        <v>58</v>
      </c>
      <c r="K3376">
        <v>1749.99</v>
      </c>
      <c r="L3376">
        <v>101499.48</v>
      </c>
      <c r="M3376">
        <v>58450.62</v>
      </c>
      <c r="N3376">
        <v>9470.4500000000007</v>
      </c>
      <c r="O3376">
        <v>5983.31</v>
      </c>
      <c r="P3376">
        <v>3399.84</v>
      </c>
      <c r="Q3376">
        <v>1073.18</v>
      </c>
      <c r="R3376">
        <v>5803.8</v>
      </c>
      <c r="S3376">
        <v>934.02</v>
      </c>
      <c r="T3376">
        <v>85115.22</v>
      </c>
      <c r="U3376">
        <v>43048.86</v>
      </c>
      <c r="V3376">
        <v>16384.259999999998</v>
      </c>
      <c r="W3376">
        <v>14637.53</v>
      </c>
      <c r="X3376">
        <v>107388.64</v>
      </c>
      <c r="Y3376">
        <v>86081.2</v>
      </c>
    </row>
    <row r="3377" spans="1:25" x14ac:dyDescent="0.25">
      <c r="A3377" t="s">
        <v>3433</v>
      </c>
      <c r="B3377" s="1">
        <v>45862</v>
      </c>
      <c r="C3377">
        <v>2025</v>
      </c>
      <c r="D3377">
        <v>7</v>
      </c>
      <c r="E3377" t="s">
        <v>690</v>
      </c>
      <c r="F3377" t="s">
        <v>691</v>
      </c>
      <c r="G3377" t="s">
        <v>44</v>
      </c>
      <c r="H3377" t="s">
        <v>36</v>
      </c>
      <c r="I3377" t="s">
        <v>33</v>
      </c>
      <c r="J3377">
        <v>59</v>
      </c>
      <c r="K3377">
        <v>879.67</v>
      </c>
      <c r="L3377">
        <v>51900.46</v>
      </c>
      <c r="M3377">
        <v>31888.03</v>
      </c>
      <c r="N3377">
        <v>6373.45</v>
      </c>
      <c r="O3377">
        <v>2523.87</v>
      </c>
      <c r="P3377">
        <v>1528.27</v>
      </c>
      <c r="Q3377">
        <v>313.77999999999997</v>
      </c>
      <c r="R3377">
        <v>2138.41</v>
      </c>
      <c r="S3377">
        <v>527.5</v>
      </c>
      <c r="T3377">
        <v>45293.31</v>
      </c>
      <c r="U3377">
        <v>20012.43</v>
      </c>
      <c r="V3377">
        <v>6607.15</v>
      </c>
      <c r="W3377">
        <v>6638.56</v>
      </c>
      <c r="X3377">
        <v>51124.83</v>
      </c>
      <c r="Y3377">
        <v>47858.63</v>
      </c>
    </row>
    <row r="3378" spans="1:25" x14ac:dyDescent="0.25">
      <c r="A3378" t="s">
        <v>3434</v>
      </c>
      <c r="B3378" s="1">
        <v>45862</v>
      </c>
      <c r="C3378">
        <v>2025</v>
      </c>
      <c r="D3378">
        <v>7</v>
      </c>
      <c r="E3378" t="s">
        <v>690</v>
      </c>
      <c r="F3378" t="s">
        <v>691</v>
      </c>
      <c r="G3378" t="s">
        <v>55</v>
      </c>
      <c r="H3378" t="s">
        <v>32</v>
      </c>
      <c r="I3378" t="s">
        <v>39</v>
      </c>
      <c r="J3378">
        <v>62</v>
      </c>
      <c r="K3378">
        <v>982.95</v>
      </c>
      <c r="L3378">
        <v>60942.9</v>
      </c>
      <c r="M3378">
        <v>30055.98</v>
      </c>
      <c r="N3378">
        <v>7319.2</v>
      </c>
      <c r="O3378">
        <v>2085.52</v>
      </c>
      <c r="P3378">
        <v>2469.15</v>
      </c>
      <c r="Q3378">
        <v>509.83</v>
      </c>
      <c r="R3378">
        <v>2507.2399999999998</v>
      </c>
      <c r="S3378">
        <v>561.80999999999995</v>
      </c>
      <c r="T3378">
        <v>45508.73</v>
      </c>
      <c r="U3378">
        <v>30886.91</v>
      </c>
      <c r="V3378">
        <v>15434.17</v>
      </c>
      <c r="W3378">
        <v>15659.11</v>
      </c>
      <c r="X3378">
        <v>62153.72</v>
      </c>
      <c r="Y3378">
        <v>48694.87</v>
      </c>
    </row>
    <row r="3379" spans="1:25" x14ac:dyDescent="0.25">
      <c r="A3379" t="s">
        <v>3435</v>
      </c>
      <c r="B3379" s="1">
        <v>45862</v>
      </c>
      <c r="C3379">
        <v>2025</v>
      </c>
      <c r="D3379">
        <v>7</v>
      </c>
      <c r="E3379" t="s">
        <v>690</v>
      </c>
      <c r="F3379" t="s">
        <v>691</v>
      </c>
      <c r="G3379" t="s">
        <v>28</v>
      </c>
      <c r="H3379" t="s">
        <v>32</v>
      </c>
      <c r="I3379" t="s">
        <v>45</v>
      </c>
      <c r="J3379">
        <v>33</v>
      </c>
      <c r="K3379">
        <v>1743.11</v>
      </c>
      <c r="L3379">
        <v>57522.71</v>
      </c>
      <c r="M3379">
        <v>35843.230000000003</v>
      </c>
      <c r="N3379">
        <v>4282.46</v>
      </c>
      <c r="O3379">
        <v>3376.32</v>
      </c>
      <c r="P3379">
        <v>1958.47</v>
      </c>
      <c r="Q3379">
        <v>534.07000000000005</v>
      </c>
      <c r="R3379">
        <v>2233.38</v>
      </c>
      <c r="S3379">
        <v>898.2</v>
      </c>
      <c r="T3379">
        <v>49126.12</v>
      </c>
      <c r="U3379">
        <v>21679.49</v>
      </c>
      <c r="V3379">
        <v>8396.59</v>
      </c>
      <c r="W3379">
        <v>7975.98</v>
      </c>
      <c r="X3379">
        <v>53961.99</v>
      </c>
      <c r="Y3379">
        <v>53269.41</v>
      </c>
    </row>
    <row r="3380" spans="1:25" x14ac:dyDescent="0.25">
      <c r="A3380" t="s">
        <v>3436</v>
      </c>
      <c r="B3380" s="1">
        <v>45862</v>
      </c>
      <c r="C3380">
        <v>2025</v>
      </c>
      <c r="D3380">
        <v>7</v>
      </c>
      <c r="E3380" t="s">
        <v>690</v>
      </c>
      <c r="F3380" t="s">
        <v>691</v>
      </c>
      <c r="G3380" t="s">
        <v>28</v>
      </c>
      <c r="H3380" t="s">
        <v>32</v>
      </c>
      <c r="I3380" t="s">
        <v>30</v>
      </c>
      <c r="J3380">
        <v>153</v>
      </c>
      <c r="K3380">
        <v>858.35</v>
      </c>
      <c r="L3380">
        <v>131327.65</v>
      </c>
      <c r="M3380">
        <v>72972.36</v>
      </c>
      <c r="N3380">
        <v>16415.37</v>
      </c>
      <c r="O3380">
        <v>9350.59</v>
      </c>
      <c r="P3380">
        <v>3575.65</v>
      </c>
      <c r="Q3380">
        <v>675.51</v>
      </c>
      <c r="R3380">
        <v>5756.89</v>
      </c>
      <c r="S3380">
        <v>2602.88</v>
      </c>
      <c r="T3380">
        <v>111349.24</v>
      </c>
      <c r="U3380">
        <v>58355.29</v>
      </c>
      <c r="V3380">
        <v>19978.41</v>
      </c>
      <c r="W3380">
        <v>18781.28</v>
      </c>
      <c r="X3380">
        <v>123472.33</v>
      </c>
      <c r="Y3380">
        <v>119491.65</v>
      </c>
    </row>
    <row r="3381" spans="1:25" x14ac:dyDescent="0.25">
      <c r="A3381" t="s">
        <v>3437</v>
      </c>
      <c r="B3381" s="1">
        <v>45863</v>
      </c>
      <c r="C3381">
        <v>2025</v>
      </c>
      <c r="D3381">
        <v>7</v>
      </c>
      <c r="E3381" t="s">
        <v>690</v>
      </c>
      <c r="F3381" t="s">
        <v>691</v>
      </c>
      <c r="G3381" t="s">
        <v>28</v>
      </c>
      <c r="H3381" t="s">
        <v>36</v>
      </c>
      <c r="I3381" t="s">
        <v>65</v>
      </c>
      <c r="J3381">
        <v>30</v>
      </c>
      <c r="K3381">
        <v>1714.04</v>
      </c>
      <c r="L3381">
        <v>51421.16</v>
      </c>
      <c r="M3381">
        <v>32234.85</v>
      </c>
      <c r="N3381">
        <v>4114.7700000000004</v>
      </c>
      <c r="O3381">
        <v>3479.55</v>
      </c>
      <c r="P3381">
        <v>1376.48</v>
      </c>
      <c r="Q3381">
        <v>357.72</v>
      </c>
      <c r="R3381">
        <v>2726.53</v>
      </c>
      <c r="S3381">
        <v>623.45000000000005</v>
      </c>
      <c r="T3381">
        <v>44913.36</v>
      </c>
      <c r="U3381">
        <v>19186.310000000001</v>
      </c>
      <c r="V3381">
        <v>6507.8</v>
      </c>
      <c r="W3381">
        <v>6389.65</v>
      </c>
      <c r="X3381">
        <v>55551.69</v>
      </c>
      <c r="Y3381">
        <v>42256.61</v>
      </c>
    </row>
    <row r="3382" spans="1:25" x14ac:dyDescent="0.25">
      <c r="A3382" t="s">
        <v>3438</v>
      </c>
      <c r="B3382" s="1">
        <v>45863</v>
      </c>
      <c r="C3382">
        <v>2025</v>
      </c>
      <c r="D3382">
        <v>7</v>
      </c>
      <c r="E3382" t="s">
        <v>690</v>
      </c>
      <c r="F3382" t="s">
        <v>691</v>
      </c>
      <c r="G3382" t="s">
        <v>28</v>
      </c>
      <c r="H3382" t="s">
        <v>53</v>
      </c>
      <c r="I3382" t="s">
        <v>65</v>
      </c>
      <c r="J3382">
        <v>28</v>
      </c>
      <c r="K3382">
        <v>1552.2</v>
      </c>
      <c r="L3382">
        <v>43461.71</v>
      </c>
      <c r="M3382">
        <v>28034.7</v>
      </c>
      <c r="N3382">
        <v>5329.43</v>
      </c>
      <c r="O3382">
        <v>2185.6799999999998</v>
      </c>
      <c r="P3382">
        <v>1774.02</v>
      </c>
      <c r="Q3382">
        <v>530.86</v>
      </c>
      <c r="R3382">
        <v>1148.6500000000001</v>
      </c>
      <c r="S3382">
        <v>371.66</v>
      </c>
      <c r="T3382">
        <v>39374.99</v>
      </c>
      <c r="U3382">
        <v>15427.01</v>
      </c>
      <c r="V3382">
        <v>4086.72</v>
      </c>
      <c r="W3382">
        <v>3700.86</v>
      </c>
      <c r="X3382">
        <v>46738.57</v>
      </c>
      <c r="Y3382">
        <v>38044.68</v>
      </c>
    </row>
    <row r="3383" spans="1:25" x14ac:dyDescent="0.25">
      <c r="A3383" t="s">
        <v>3439</v>
      </c>
      <c r="B3383" s="1">
        <v>45863</v>
      </c>
      <c r="C3383">
        <v>2025</v>
      </c>
      <c r="D3383">
        <v>7</v>
      </c>
      <c r="E3383" t="s">
        <v>690</v>
      </c>
      <c r="F3383" t="s">
        <v>691</v>
      </c>
      <c r="G3383" t="s">
        <v>35</v>
      </c>
      <c r="H3383" t="s">
        <v>29</v>
      </c>
      <c r="I3383" t="s">
        <v>30</v>
      </c>
      <c r="J3383">
        <v>59</v>
      </c>
      <c r="K3383">
        <v>1154.6400000000001</v>
      </c>
      <c r="L3383">
        <v>68123.899999999994</v>
      </c>
      <c r="M3383">
        <v>36518.39</v>
      </c>
      <c r="N3383">
        <v>7206.63</v>
      </c>
      <c r="O3383">
        <v>4213.13</v>
      </c>
      <c r="P3383">
        <v>1251.95</v>
      </c>
      <c r="Q3383">
        <v>628.52</v>
      </c>
      <c r="R3383">
        <v>2929.39</v>
      </c>
      <c r="S3383">
        <v>1105.79</v>
      </c>
      <c r="T3383">
        <v>53853.81</v>
      </c>
      <c r="U3383">
        <v>31605.52</v>
      </c>
      <c r="V3383">
        <v>14270.1</v>
      </c>
      <c r="W3383">
        <v>12991.25</v>
      </c>
      <c r="X3383">
        <v>67808.759999999995</v>
      </c>
      <c r="Y3383">
        <v>57427.92</v>
      </c>
    </row>
    <row r="3384" spans="1:25" x14ac:dyDescent="0.25">
      <c r="A3384" t="s">
        <v>3440</v>
      </c>
      <c r="B3384" s="1">
        <v>45864</v>
      </c>
      <c r="C3384">
        <v>2025</v>
      </c>
      <c r="D3384">
        <v>7</v>
      </c>
      <c r="E3384" t="s">
        <v>690</v>
      </c>
      <c r="F3384" t="s">
        <v>691</v>
      </c>
      <c r="G3384" t="s">
        <v>55</v>
      </c>
      <c r="H3384" t="s">
        <v>29</v>
      </c>
      <c r="I3384" t="s">
        <v>65</v>
      </c>
      <c r="J3384">
        <v>84</v>
      </c>
      <c r="K3384">
        <v>894.08</v>
      </c>
      <c r="L3384">
        <v>75102.710000000006</v>
      </c>
      <c r="M3384">
        <v>38795.089999999997</v>
      </c>
      <c r="N3384">
        <v>5680.97</v>
      </c>
      <c r="O3384">
        <v>5525.23</v>
      </c>
      <c r="P3384">
        <v>2280.9899999999998</v>
      </c>
      <c r="Q3384">
        <v>910.56</v>
      </c>
      <c r="R3384">
        <v>3127.17</v>
      </c>
      <c r="S3384">
        <v>1008</v>
      </c>
      <c r="T3384">
        <v>57328</v>
      </c>
      <c r="U3384">
        <v>36307.620000000003</v>
      </c>
      <c r="V3384">
        <v>17774.71</v>
      </c>
      <c r="W3384">
        <v>17766.95</v>
      </c>
      <c r="X3384">
        <v>70834.55</v>
      </c>
      <c r="Y3384">
        <v>58343.3</v>
      </c>
    </row>
    <row r="3385" spans="1:25" x14ac:dyDescent="0.25">
      <c r="A3385" t="s">
        <v>3441</v>
      </c>
      <c r="B3385" s="1">
        <v>45864</v>
      </c>
      <c r="C3385">
        <v>2025</v>
      </c>
      <c r="D3385">
        <v>7</v>
      </c>
      <c r="E3385" t="s">
        <v>690</v>
      </c>
      <c r="F3385" t="s">
        <v>691</v>
      </c>
      <c r="G3385" t="s">
        <v>28</v>
      </c>
      <c r="H3385" t="s">
        <v>36</v>
      </c>
      <c r="I3385" t="s">
        <v>30</v>
      </c>
      <c r="J3385">
        <v>90</v>
      </c>
      <c r="K3385">
        <v>1304.08</v>
      </c>
      <c r="L3385">
        <v>117367.48</v>
      </c>
      <c r="M3385">
        <v>65450.69</v>
      </c>
      <c r="N3385">
        <v>11191.7</v>
      </c>
      <c r="O3385">
        <v>3050.59</v>
      </c>
      <c r="P3385">
        <v>3993.42</v>
      </c>
      <c r="Q3385">
        <v>629.11</v>
      </c>
      <c r="R3385">
        <v>6998.34</v>
      </c>
      <c r="S3385">
        <v>1002.8</v>
      </c>
      <c r="T3385">
        <v>92316.64</v>
      </c>
      <c r="U3385">
        <v>51916.800000000003</v>
      </c>
      <c r="V3385">
        <v>25050.84</v>
      </c>
      <c r="W3385">
        <v>22829.040000000001</v>
      </c>
      <c r="X3385">
        <v>129901.98</v>
      </c>
      <c r="Y3385">
        <v>96487.65</v>
      </c>
    </row>
    <row r="3386" spans="1:25" x14ac:dyDescent="0.25">
      <c r="A3386" t="s">
        <v>3442</v>
      </c>
      <c r="B3386" s="1">
        <v>45864</v>
      </c>
      <c r="C3386">
        <v>2025</v>
      </c>
      <c r="D3386">
        <v>7</v>
      </c>
      <c r="E3386" t="s">
        <v>690</v>
      </c>
      <c r="F3386" t="s">
        <v>691</v>
      </c>
      <c r="G3386" t="s">
        <v>28</v>
      </c>
      <c r="H3386" t="s">
        <v>32</v>
      </c>
      <c r="I3386" t="s">
        <v>56</v>
      </c>
      <c r="J3386">
        <v>46</v>
      </c>
      <c r="K3386">
        <v>1183.3399999999999</v>
      </c>
      <c r="L3386">
        <v>54433.56</v>
      </c>
      <c r="M3386">
        <v>36101.25</v>
      </c>
      <c r="N3386">
        <v>6367.1</v>
      </c>
      <c r="O3386">
        <v>2123.9299999999998</v>
      </c>
      <c r="P3386">
        <v>2215.54</v>
      </c>
      <c r="Q3386">
        <v>907.34</v>
      </c>
      <c r="R3386">
        <v>1871.66</v>
      </c>
      <c r="S3386">
        <v>730.46</v>
      </c>
      <c r="T3386">
        <v>50317.279999999999</v>
      </c>
      <c r="U3386">
        <v>18332.310000000001</v>
      </c>
      <c r="V3386">
        <v>4116.28</v>
      </c>
      <c r="W3386">
        <v>3670.81</v>
      </c>
      <c r="X3386">
        <v>60880.55</v>
      </c>
      <c r="Y3386">
        <v>51322.81</v>
      </c>
    </row>
    <row r="3387" spans="1:25" x14ac:dyDescent="0.25">
      <c r="A3387" t="s">
        <v>3443</v>
      </c>
      <c r="B3387" s="1">
        <v>45864</v>
      </c>
      <c r="C3387">
        <v>2025</v>
      </c>
      <c r="D3387">
        <v>7</v>
      </c>
      <c r="E3387" t="s">
        <v>690</v>
      </c>
      <c r="F3387" t="s">
        <v>691</v>
      </c>
      <c r="G3387" t="s">
        <v>44</v>
      </c>
      <c r="H3387" t="s">
        <v>32</v>
      </c>
      <c r="I3387" t="s">
        <v>50</v>
      </c>
      <c r="J3387">
        <v>52</v>
      </c>
      <c r="K3387">
        <v>906.85</v>
      </c>
      <c r="L3387">
        <v>47156.22</v>
      </c>
      <c r="M3387">
        <v>27361.48</v>
      </c>
      <c r="N3387">
        <v>3390.53</v>
      </c>
      <c r="O3387">
        <v>2037.3</v>
      </c>
      <c r="P3387">
        <v>1682.01</v>
      </c>
      <c r="Q3387">
        <v>403.43</v>
      </c>
      <c r="R3387">
        <v>2015.35</v>
      </c>
      <c r="S3387">
        <v>978.16</v>
      </c>
      <c r="T3387">
        <v>37868.26</v>
      </c>
      <c r="U3387">
        <v>19794.740000000002</v>
      </c>
      <c r="V3387">
        <v>9287.9599999999991</v>
      </c>
      <c r="W3387">
        <v>8736.06</v>
      </c>
      <c r="X3387">
        <v>43584.09</v>
      </c>
      <c r="Y3387">
        <v>41301.660000000003</v>
      </c>
    </row>
    <row r="3388" spans="1:25" x14ac:dyDescent="0.25">
      <c r="A3388" t="s">
        <v>3444</v>
      </c>
      <c r="B3388" s="1">
        <v>45865</v>
      </c>
      <c r="C3388">
        <v>2025</v>
      </c>
      <c r="D3388">
        <v>7</v>
      </c>
      <c r="E3388" t="s">
        <v>690</v>
      </c>
      <c r="F3388" t="s">
        <v>691</v>
      </c>
      <c r="G3388" t="s">
        <v>28</v>
      </c>
      <c r="H3388" t="s">
        <v>29</v>
      </c>
      <c r="I3388" t="s">
        <v>45</v>
      </c>
      <c r="J3388">
        <v>39</v>
      </c>
      <c r="K3388">
        <v>1479.46</v>
      </c>
      <c r="L3388">
        <v>57699.040000000001</v>
      </c>
      <c r="M3388">
        <v>38745.07</v>
      </c>
      <c r="N3388">
        <v>4845.46</v>
      </c>
      <c r="O3388">
        <v>4118.62</v>
      </c>
      <c r="P3388">
        <v>875.21</v>
      </c>
      <c r="Q3388">
        <v>837.02</v>
      </c>
      <c r="R3388">
        <v>3396.03</v>
      </c>
      <c r="S3388">
        <v>882.9</v>
      </c>
      <c r="T3388">
        <v>53700.31</v>
      </c>
      <c r="U3388">
        <v>18953.97</v>
      </c>
      <c r="V3388">
        <v>3998.73</v>
      </c>
      <c r="W3388">
        <v>3943.37</v>
      </c>
      <c r="X3388">
        <v>62897.67</v>
      </c>
      <c r="Y3388">
        <v>56360.88</v>
      </c>
    </row>
    <row r="3389" spans="1:25" x14ac:dyDescent="0.25">
      <c r="A3389" t="s">
        <v>3445</v>
      </c>
      <c r="B3389" s="1">
        <v>45865</v>
      </c>
      <c r="C3389">
        <v>2025</v>
      </c>
      <c r="D3389">
        <v>7</v>
      </c>
      <c r="E3389" t="s">
        <v>690</v>
      </c>
      <c r="F3389" t="s">
        <v>691</v>
      </c>
      <c r="G3389" t="s">
        <v>44</v>
      </c>
      <c r="H3389" t="s">
        <v>36</v>
      </c>
      <c r="I3389" t="s">
        <v>50</v>
      </c>
      <c r="J3389">
        <v>27</v>
      </c>
      <c r="K3389">
        <v>1592.57</v>
      </c>
      <c r="L3389">
        <v>42999.34</v>
      </c>
      <c r="M3389">
        <v>27423.55</v>
      </c>
      <c r="N3389">
        <v>3983.51</v>
      </c>
      <c r="O3389">
        <v>2994.66</v>
      </c>
      <c r="P3389">
        <v>1865.29</v>
      </c>
      <c r="Q3389">
        <v>300.24</v>
      </c>
      <c r="R3389">
        <v>1392.35</v>
      </c>
      <c r="S3389">
        <v>517.28</v>
      </c>
      <c r="T3389">
        <v>38476.89</v>
      </c>
      <c r="U3389">
        <v>15575.78</v>
      </c>
      <c r="V3389">
        <v>4522.4399999999996</v>
      </c>
      <c r="W3389">
        <v>4518.0200000000004</v>
      </c>
      <c r="X3389">
        <v>46811.83</v>
      </c>
      <c r="Y3389">
        <v>41157.46</v>
      </c>
    </row>
    <row r="3390" spans="1:25" x14ac:dyDescent="0.25">
      <c r="A3390" t="s">
        <v>3446</v>
      </c>
      <c r="B3390" s="1">
        <v>45865</v>
      </c>
      <c r="C3390">
        <v>2025</v>
      </c>
      <c r="D3390">
        <v>7</v>
      </c>
      <c r="E3390" t="s">
        <v>690</v>
      </c>
      <c r="F3390" t="s">
        <v>691</v>
      </c>
      <c r="G3390" t="s">
        <v>28</v>
      </c>
      <c r="H3390" t="s">
        <v>32</v>
      </c>
      <c r="I3390" t="s">
        <v>37</v>
      </c>
      <c r="J3390">
        <v>80</v>
      </c>
      <c r="K3390">
        <v>1192.23</v>
      </c>
      <c r="L3390">
        <v>95378.59</v>
      </c>
      <c r="M3390">
        <v>48762.95</v>
      </c>
      <c r="N3390">
        <v>11361.83</v>
      </c>
      <c r="O3390">
        <v>4705.13</v>
      </c>
      <c r="P3390">
        <v>3869.52</v>
      </c>
      <c r="Q3390">
        <v>1025.7</v>
      </c>
      <c r="R3390">
        <v>3459.88</v>
      </c>
      <c r="S3390">
        <v>1689.53</v>
      </c>
      <c r="T3390">
        <v>74874.55</v>
      </c>
      <c r="U3390">
        <v>46615.64</v>
      </c>
      <c r="V3390">
        <v>20504.04</v>
      </c>
      <c r="W3390">
        <v>19178.57</v>
      </c>
      <c r="X3390">
        <v>97619.15</v>
      </c>
      <c r="Y3390">
        <v>76982.03</v>
      </c>
    </row>
    <row r="3391" spans="1:25" x14ac:dyDescent="0.25">
      <c r="A3391" t="s">
        <v>3447</v>
      </c>
      <c r="B3391" s="1">
        <v>45865</v>
      </c>
      <c r="C3391">
        <v>2025</v>
      </c>
      <c r="D3391">
        <v>7</v>
      </c>
      <c r="E3391" t="s">
        <v>690</v>
      </c>
      <c r="F3391" t="s">
        <v>691</v>
      </c>
      <c r="G3391" t="s">
        <v>55</v>
      </c>
      <c r="H3391" t="s">
        <v>58</v>
      </c>
      <c r="I3391" t="s">
        <v>37</v>
      </c>
      <c r="J3391">
        <v>58</v>
      </c>
      <c r="K3391">
        <v>1364.57</v>
      </c>
      <c r="L3391">
        <v>79144.83</v>
      </c>
      <c r="M3391">
        <v>40950.25</v>
      </c>
      <c r="N3391">
        <v>10056.200000000001</v>
      </c>
      <c r="O3391">
        <v>4554.6400000000003</v>
      </c>
      <c r="P3391">
        <v>3270.95</v>
      </c>
      <c r="Q3391">
        <v>1329.45</v>
      </c>
      <c r="R3391">
        <v>2410.1999999999998</v>
      </c>
      <c r="S3391">
        <v>880.46</v>
      </c>
      <c r="T3391">
        <v>63452.160000000003</v>
      </c>
      <c r="U3391">
        <v>38194.58</v>
      </c>
      <c r="V3391">
        <v>15692.67</v>
      </c>
      <c r="W3391">
        <v>14630.51</v>
      </c>
      <c r="X3391">
        <v>86454.95</v>
      </c>
      <c r="Y3391">
        <v>60315.82</v>
      </c>
    </row>
    <row r="3392" spans="1:25" x14ac:dyDescent="0.25">
      <c r="A3392" t="s">
        <v>3448</v>
      </c>
      <c r="B3392" s="1">
        <v>45866</v>
      </c>
      <c r="C3392">
        <v>2025</v>
      </c>
      <c r="D3392">
        <v>7</v>
      </c>
      <c r="E3392" t="s">
        <v>690</v>
      </c>
      <c r="F3392" t="s">
        <v>691</v>
      </c>
      <c r="G3392" t="s">
        <v>28</v>
      </c>
      <c r="H3392" t="s">
        <v>36</v>
      </c>
      <c r="I3392" t="s">
        <v>30</v>
      </c>
      <c r="J3392">
        <v>57</v>
      </c>
      <c r="K3392">
        <v>1268.82</v>
      </c>
      <c r="L3392">
        <v>72322.63</v>
      </c>
      <c r="M3392">
        <v>41571.18</v>
      </c>
      <c r="N3392">
        <v>5225.12</v>
      </c>
      <c r="O3392">
        <v>2533.83</v>
      </c>
      <c r="P3392">
        <v>2467.96</v>
      </c>
      <c r="Q3392">
        <v>410.43</v>
      </c>
      <c r="R3392">
        <v>4525.24</v>
      </c>
      <c r="S3392">
        <v>1119.67</v>
      </c>
      <c r="T3392">
        <v>57853.42</v>
      </c>
      <c r="U3392">
        <v>30751.45</v>
      </c>
      <c r="V3392">
        <v>14469.21</v>
      </c>
      <c r="W3392">
        <v>13935.57</v>
      </c>
      <c r="X3392">
        <v>66973.22</v>
      </c>
      <c r="Y3392">
        <v>59562.32</v>
      </c>
    </row>
    <row r="3393" spans="1:25" x14ac:dyDescent="0.25">
      <c r="A3393" t="s">
        <v>3449</v>
      </c>
      <c r="B3393" s="1">
        <v>45866</v>
      </c>
      <c r="C3393">
        <v>2025</v>
      </c>
      <c r="D3393">
        <v>7</v>
      </c>
      <c r="E3393" t="s">
        <v>690</v>
      </c>
      <c r="F3393" t="s">
        <v>691</v>
      </c>
      <c r="G3393" t="s">
        <v>44</v>
      </c>
      <c r="H3393" t="s">
        <v>36</v>
      </c>
      <c r="I3393" t="s">
        <v>37</v>
      </c>
      <c r="J3393">
        <v>39</v>
      </c>
      <c r="K3393">
        <v>1441.17</v>
      </c>
      <c r="L3393">
        <v>56205.67</v>
      </c>
      <c r="M3393">
        <v>33117.08</v>
      </c>
      <c r="N3393">
        <v>6534.4</v>
      </c>
      <c r="O3393">
        <v>2755.33</v>
      </c>
      <c r="P3393">
        <v>2374.61</v>
      </c>
      <c r="Q3393">
        <v>428.92</v>
      </c>
      <c r="R3393">
        <v>3269.53</v>
      </c>
      <c r="S3393">
        <v>806.97</v>
      </c>
      <c r="T3393">
        <v>49286.83</v>
      </c>
      <c r="U3393">
        <v>23088.58</v>
      </c>
      <c r="V3393">
        <v>6918.83</v>
      </c>
      <c r="W3393">
        <v>6716.3</v>
      </c>
      <c r="X3393">
        <v>61114.25</v>
      </c>
      <c r="Y3393">
        <v>52885.919999999998</v>
      </c>
    </row>
    <row r="3394" spans="1:25" x14ac:dyDescent="0.25">
      <c r="A3394" t="s">
        <v>3450</v>
      </c>
      <c r="B3394" s="1">
        <v>45866</v>
      </c>
      <c r="C3394">
        <v>2025</v>
      </c>
      <c r="D3394">
        <v>7</v>
      </c>
      <c r="E3394" t="s">
        <v>690</v>
      </c>
      <c r="F3394" t="s">
        <v>691</v>
      </c>
      <c r="G3394" t="s">
        <v>55</v>
      </c>
      <c r="H3394" t="s">
        <v>58</v>
      </c>
      <c r="I3394" t="s">
        <v>56</v>
      </c>
      <c r="J3394">
        <v>18</v>
      </c>
      <c r="K3394">
        <v>1760.04</v>
      </c>
      <c r="L3394">
        <v>31680.67</v>
      </c>
      <c r="M3394">
        <v>20742.82</v>
      </c>
      <c r="N3394">
        <v>3753.37</v>
      </c>
      <c r="O3394">
        <v>1226.3499999999999</v>
      </c>
      <c r="P3394">
        <v>1404.57</v>
      </c>
      <c r="Q3394">
        <v>344.99</v>
      </c>
      <c r="R3394">
        <v>1342.77</v>
      </c>
      <c r="S3394">
        <v>297.74</v>
      </c>
      <c r="T3394">
        <v>29112.62</v>
      </c>
      <c r="U3394">
        <v>10937.84</v>
      </c>
      <c r="V3394">
        <v>2568.0500000000002</v>
      </c>
      <c r="W3394">
        <v>2304.15</v>
      </c>
      <c r="X3394">
        <v>32886.6</v>
      </c>
      <c r="Y3394">
        <v>31715.99</v>
      </c>
    </row>
    <row r="3395" spans="1:25" x14ac:dyDescent="0.25">
      <c r="A3395" t="s">
        <v>3451</v>
      </c>
      <c r="B3395" s="1">
        <v>45866</v>
      </c>
      <c r="C3395">
        <v>2025</v>
      </c>
      <c r="D3395">
        <v>7</v>
      </c>
      <c r="E3395" t="s">
        <v>690</v>
      </c>
      <c r="F3395" t="s">
        <v>691</v>
      </c>
      <c r="G3395" t="s">
        <v>35</v>
      </c>
      <c r="H3395" t="s">
        <v>32</v>
      </c>
      <c r="I3395" t="s">
        <v>65</v>
      </c>
      <c r="J3395">
        <v>45</v>
      </c>
      <c r="K3395">
        <v>1244.01</v>
      </c>
      <c r="L3395">
        <v>55980.46</v>
      </c>
      <c r="M3395">
        <v>33317.480000000003</v>
      </c>
      <c r="N3395">
        <v>4986.97</v>
      </c>
      <c r="O3395">
        <v>3602.86</v>
      </c>
      <c r="P3395">
        <v>2323.9</v>
      </c>
      <c r="Q3395">
        <v>522</v>
      </c>
      <c r="R3395">
        <v>1485.6</v>
      </c>
      <c r="S3395">
        <v>486.33</v>
      </c>
      <c r="T3395">
        <v>46725.15</v>
      </c>
      <c r="U3395">
        <v>22662.98</v>
      </c>
      <c r="V3395">
        <v>9255.31</v>
      </c>
      <c r="W3395">
        <v>9191.98</v>
      </c>
      <c r="X3395">
        <v>61771.73</v>
      </c>
      <c r="Y3395">
        <v>44823.21</v>
      </c>
    </row>
    <row r="3396" spans="1:25" x14ac:dyDescent="0.25">
      <c r="A3396" t="s">
        <v>3452</v>
      </c>
      <c r="B3396" s="1">
        <v>45866</v>
      </c>
      <c r="C3396">
        <v>2025</v>
      </c>
      <c r="D3396">
        <v>7</v>
      </c>
      <c r="E3396" t="s">
        <v>690</v>
      </c>
      <c r="F3396" t="s">
        <v>691</v>
      </c>
      <c r="G3396" t="s">
        <v>55</v>
      </c>
      <c r="H3396" t="s">
        <v>58</v>
      </c>
      <c r="I3396" t="s">
        <v>56</v>
      </c>
      <c r="J3396">
        <v>17</v>
      </c>
      <c r="K3396">
        <v>1599.95</v>
      </c>
      <c r="L3396">
        <v>27199.15</v>
      </c>
      <c r="M3396">
        <v>17004.990000000002</v>
      </c>
      <c r="N3396">
        <v>2488.4899999999998</v>
      </c>
      <c r="O3396">
        <v>1483.11</v>
      </c>
      <c r="P3396">
        <v>593.85</v>
      </c>
      <c r="Q3396">
        <v>397.01</v>
      </c>
      <c r="R3396">
        <v>1042.6400000000001</v>
      </c>
      <c r="S3396">
        <v>505.75</v>
      </c>
      <c r="T3396">
        <v>23515.83</v>
      </c>
      <c r="U3396">
        <v>10194.16</v>
      </c>
      <c r="V3396">
        <v>3683.32</v>
      </c>
      <c r="W3396">
        <v>3305.49</v>
      </c>
      <c r="X3396">
        <v>29530.48</v>
      </c>
      <c r="Y3396">
        <v>23316.83</v>
      </c>
    </row>
    <row r="3397" spans="1:25" x14ac:dyDescent="0.25">
      <c r="A3397" t="s">
        <v>3453</v>
      </c>
      <c r="B3397" s="1">
        <v>45866</v>
      </c>
      <c r="C3397">
        <v>2025</v>
      </c>
      <c r="D3397">
        <v>7</v>
      </c>
      <c r="E3397" t="s">
        <v>690</v>
      </c>
      <c r="F3397" t="s">
        <v>691</v>
      </c>
      <c r="G3397" t="s">
        <v>55</v>
      </c>
      <c r="H3397" t="s">
        <v>29</v>
      </c>
      <c r="I3397" t="s">
        <v>37</v>
      </c>
      <c r="J3397">
        <v>52</v>
      </c>
      <c r="K3397">
        <v>1784.65</v>
      </c>
      <c r="L3397">
        <v>92801.72</v>
      </c>
      <c r="M3397">
        <v>50161.17</v>
      </c>
      <c r="N3397">
        <v>7053.57</v>
      </c>
      <c r="O3397">
        <v>4705.24</v>
      </c>
      <c r="P3397">
        <v>3661.51</v>
      </c>
      <c r="Q3397">
        <v>756.86</v>
      </c>
      <c r="R3397">
        <v>2385.48</v>
      </c>
      <c r="S3397">
        <v>902.68</v>
      </c>
      <c r="T3397">
        <v>69626.5</v>
      </c>
      <c r="U3397">
        <v>42640.55</v>
      </c>
      <c r="V3397">
        <v>23175.21</v>
      </c>
      <c r="W3397">
        <v>23018.240000000002</v>
      </c>
      <c r="X3397">
        <v>85474.74</v>
      </c>
      <c r="Y3397">
        <v>67936.25</v>
      </c>
    </row>
    <row r="3398" spans="1:25" x14ac:dyDescent="0.25">
      <c r="A3398" t="s">
        <v>3454</v>
      </c>
      <c r="B3398" s="1">
        <v>45867</v>
      </c>
      <c r="C3398">
        <v>2025</v>
      </c>
      <c r="D3398">
        <v>7</v>
      </c>
      <c r="E3398" t="s">
        <v>690</v>
      </c>
      <c r="F3398" t="s">
        <v>691</v>
      </c>
      <c r="G3398" t="s">
        <v>35</v>
      </c>
      <c r="H3398" t="s">
        <v>32</v>
      </c>
      <c r="I3398" t="s">
        <v>56</v>
      </c>
      <c r="J3398">
        <v>29</v>
      </c>
      <c r="K3398">
        <v>1611.69</v>
      </c>
      <c r="L3398">
        <v>46739.040000000001</v>
      </c>
      <c r="M3398">
        <v>24632.16</v>
      </c>
      <c r="N3398">
        <v>5089.42</v>
      </c>
      <c r="O3398">
        <v>2532.0500000000002</v>
      </c>
      <c r="P3398">
        <v>2060.9499999999998</v>
      </c>
      <c r="Q3398">
        <v>564.78</v>
      </c>
      <c r="R3398">
        <v>1699.22</v>
      </c>
      <c r="S3398">
        <v>1035.45</v>
      </c>
      <c r="T3398">
        <v>37614.03</v>
      </c>
      <c r="U3398">
        <v>22106.880000000001</v>
      </c>
      <c r="V3398">
        <v>9125.01</v>
      </c>
      <c r="W3398">
        <v>8690.25</v>
      </c>
      <c r="X3398">
        <v>49261.84</v>
      </c>
      <c r="Y3398">
        <v>37843</v>
      </c>
    </row>
    <row r="3399" spans="1:25" x14ac:dyDescent="0.25">
      <c r="A3399" t="s">
        <v>3455</v>
      </c>
      <c r="B3399" s="1">
        <v>45867</v>
      </c>
      <c r="C3399">
        <v>2025</v>
      </c>
      <c r="D3399">
        <v>7</v>
      </c>
      <c r="E3399" t="s">
        <v>690</v>
      </c>
      <c r="F3399" t="s">
        <v>691</v>
      </c>
      <c r="G3399" t="s">
        <v>44</v>
      </c>
      <c r="H3399" t="s">
        <v>36</v>
      </c>
      <c r="I3399" t="s">
        <v>45</v>
      </c>
      <c r="J3399">
        <v>29</v>
      </c>
      <c r="K3399">
        <v>1630.76</v>
      </c>
      <c r="L3399">
        <v>47292.12</v>
      </c>
      <c r="M3399">
        <v>31841.58</v>
      </c>
      <c r="N3399">
        <v>3874.25</v>
      </c>
      <c r="O3399">
        <v>3101.37</v>
      </c>
      <c r="P3399">
        <v>1169.05</v>
      </c>
      <c r="Q3399">
        <v>612.76</v>
      </c>
      <c r="R3399">
        <v>1908.6</v>
      </c>
      <c r="S3399">
        <v>1027.44</v>
      </c>
      <c r="T3399">
        <v>43535.05</v>
      </c>
      <c r="U3399">
        <v>15450.54</v>
      </c>
      <c r="V3399">
        <v>3757.07</v>
      </c>
      <c r="W3399">
        <v>3809.57</v>
      </c>
      <c r="X3399">
        <v>51861.1</v>
      </c>
      <c r="Y3399">
        <v>43927.56</v>
      </c>
    </row>
    <row r="3400" spans="1:25" x14ac:dyDescent="0.25">
      <c r="A3400" t="s">
        <v>3456</v>
      </c>
      <c r="B3400" s="1">
        <v>45868</v>
      </c>
      <c r="C3400">
        <v>2025</v>
      </c>
      <c r="D3400">
        <v>7</v>
      </c>
      <c r="E3400" t="s">
        <v>690</v>
      </c>
      <c r="F3400" t="s">
        <v>691</v>
      </c>
      <c r="G3400" t="s">
        <v>28</v>
      </c>
      <c r="H3400" t="s">
        <v>32</v>
      </c>
      <c r="I3400" t="s">
        <v>33</v>
      </c>
      <c r="J3400">
        <v>68</v>
      </c>
      <c r="K3400">
        <v>1391.64</v>
      </c>
      <c r="L3400">
        <v>94631.83</v>
      </c>
      <c r="M3400">
        <v>61509.99</v>
      </c>
      <c r="N3400">
        <v>11102.62</v>
      </c>
      <c r="O3400">
        <v>4051.1</v>
      </c>
      <c r="P3400">
        <v>4228.72</v>
      </c>
      <c r="Q3400">
        <v>1291.69</v>
      </c>
      <c r="R3400">
        <v>4690.68</v>
      </c>
      <c r="S3400">
        <v>2224.8000000000002</v>
      </c>
      <c r="T3400">
        <v>89099.59</v>
      </c>
      <c r="U3400">
        <v>33121.839999999997</v>
      </c>
      <c r="V3400">
        <v>5532.23</v>
      </c>
      <c r="W3400">
        <v>5217.01</v>
      </c>
      <c r="X3400">
        <v>97494.05</v>
      </c>
      <c r="Y3400">
        <v>87160.58</v>
      </c>
    </row>
    <row r="3401" spans="1:25" x14ac:dyDescent="0.25">
      <c r="A3401" t="s">
        <v>3457</v>
      </c>
      <c r="B3401" s="1">
        <v>45868</v>
      </c>
      <c r="C3401">
        <v>2025</v>
      </c>
      <c r="D3401">
        <v>7</v>
      </c>
      <c r="E3401" t="s">
        <v>690</v>
      </c>
      <c r="F3401" t="s">
        <v>691</v>
      </c>
      <c r="G3401" t="s">
        <v>28</v>
      </c>
      <c r="H3401" t="s">
        <v>36</v>
      </c>
      <c r="I3401" t="s">
        <v>50</v>
      </c>
      <c r="J3401">
        <v>33</v>
      </c>
      <c r="K3401">
        <v>1268.79</v>
      </c>
      <c r="L3401">
        <v>41870.019999999997</v>
      </c>
      <c r="M3401">
        <v>25625.79</v>
      </c>
      <c r="N3401">
        <v>5123.1099999999997</v>
      </c>
      <c r="O3401">
        <v>1736.45</v>
      </c>
      <c r="P3401">
        <v>1623.22</v>
      </c>
      <c r="Q3401">
        <v>716.79</v>
      </c>
      <c r="R3401">
        <v>2129.7399999999998</v>
      </c>
      <c r="S3401">
        <v>588.69000000000005</v>
      </c>
      <c r="T3401">
        <v>37543.79</v>
      </c>
      <c r="U3401">
        <v>16244.22</v>
      </c>
      <c r="V3401">
        <v>4326.22</v>
      </c>
      <c r="W3401">
        <v>3834.74</v>
      </c>
      <c r="X3401">
        <v>40875.360000000001</v>
      </c>
      <c r="Y3401">
        <v>38339.58</v>
      </c>
    </row>
    <row r="3402" spans="1:25" x14ac:dyDescent="0.25">
      <c r="A3402" t="s">
        <v>3458</v>
      </c>
      <c r="B3402" s="1">
        <v>45868</v>
      </c>
      <c r="C3402">
        <v>2025</v>
      </c>
      <c r="D3402">
        <v>7</v>
      </c>
      <c r="E3402" t="s">
        <v>690</v>
      </c>
      <c r="F3402" t="s">
        <v>691</v>
      </c>
      <c r="G3402" t="s">
        <v>28</v>
      </c>
      <c r="H3402" t="s">
        <v>32</v>
      </c>
      <c r="I3402" t="s">
        <v>56</v>
      </c>
      <c r="J3402">
        <v>41</v>
      </c>
      <c r="K3402">
        <v>1288.08</v>
      </c>
      <c r="L3402">
        <v>52811.199999999997</v>
      </c>
      <c r="M3402">
        <v>30765.11</v>
      </c>
      <c r="N3402">
        <v>5501.01</v>
      </c>
      <c r="O3402">
        <v>2289.27</v>
      </c>
      <c r="P3402">
        <v>917.33</v>
      </c>
      <c r="Q3402">
        <v>912.23</v>
      </c>
      <c r="R3402">
        <v>3193.45</v>
      </c>
      <c r="S3402">
        <v>1146.76</v>
      </c>
      <c r="T3402">
        <v>44725.15</v>
      </c>
      <c r="U3402">
        <v>22046.09</v>
      </c>
      <c r="V3402">
        <v>8086.05</v>
      </c>
      <c r="W3402">
        <v>7714.43</v>
      </c>
      <c r="X3402">
        <v>52461.88</v>
      </c>
      <c r="Y3402">
        <v>42345.01</v>
      </c>
    </row>
    <row r="3403" spans="1:25" x14ac:dyDescent="0.25">
      <c r="A3403" t="s">
        <v>3459</v>
      </c>
      <c r="B3403" s="1">
        <v>45868</v>
      </c>
      <c r="C3403">
        <v>2025</v>
      </c>
      <c r="D3403">
        <v>7</v>
      </c>
      <c r="E3403" t="s">
        <v>690</v>
      </c>
      <c r="F3403" t="s">
        <v>691</v>
      </c>
      <c r="G3403" t="s">
        <v>44</v>
      </c>
      <c r="H3403" t="s">
        <v>53</v>
      </c>
      <c r="I3403" t="s">
        <v>30</v>
      </c>
      <c r="J3403">
        <v>81</v>
      </c>
      <c r="K3403">
        <v>1102.05</v>
      </c>
      <c r="L3403">
        <v>89265.93</v>
      </c>
      <c r="M3403">
        <v>51263.26</v>
      </c>
      <c r="N3403">
        <v>8314.66</v>
      </c>
      <c r="O3403">
        <v>2858.26</v>
      </c>
      <c r="P3403">
        <v>2906.15</v>
      </c>
      <c r="Q3403">
        <v>639.58000000000004</v>
      </c>
      <c r="R3403">
        <v>2957.49</v>
      </c>
      <c r="S3403">
        <v>1843.75</v>
      </c>
      <c r="T3403">
        <v>70783.149999999994</v>
      </c>
      <c r="U3403">
        <v>38002.660000000003</v>
      </c>
      <c r="V3403">
        <v>18482.78</v>
      </c>
      <c r="W3403">
        <v>18476.740000000002</v>
      </c>
      <c r="X3403">
        <v>95240.54</v>
      </c>
      <c r="Y3403">
        <v>67827.740000000005</v>
      </c>
    </row>
    <row r="3404" spans="1:25" x14ac:dyDescent="0.25">
      <c r="A3404" t="s">
        <v>3460</v>
      </c>
      <c r="B3404" s="1">
        <v>45868</v>
      </c>
      <c r="C3404">
        <v>2025</v>
      </c>
      <c r="D3404">
        <v>7</v>
      </c>
      <c r="E3404" t="s">
        <v>690</v>
      </c>
      <c r="F3404" t="s">
        <v>691</v>
      </c>
      <c r="G3404" t="s">
        <v>35</v>
      </c>
      <c r="H3404" t="s">
        <v>32</v>
      </c>
      <c r="I3404" t="s">
        <v>50</v>
      </c>
      <c r="J3404">
        <v>27</v>
      </c>
      <c r="K3404">
        <v>1694.86</v>
      </c>
      <c r="L3404">
        <v>45761.34</v>
      </c>
      <c r="M3404">
        <v>29988.799999999999</v>
      </c>
      <c r="N3404">
        <v>3472.8</v>
      </c>
      <c r="O3404">
        <v>2907.01</v>
      </c>
      <c r="P3404">
        <v>1509.54</v>
      </c>
      <c r="Q3404">
        <v>314.74</v>
      </c>
      <c r="R3404">
        <v>2736.07</v>
      </c>
      <c r="S3404">
        <v>1111.06</v>
      </c>
      <c r="T3404">
        <v>42040.01</v>
      </c>
      <c r="U3404">
        <v>15772.54</v>
      </c>
      <c r="V3404">
        <v>3721.33</v>
      </c>
      <c r="W3404">
        <v>3737.11</v>
      </c>
      <c r="X3404">
        <v>44788.49</v>
      </c>
      <c r="Y3404">
        <v>40513.21</v>
      </c>
    </row>
    <row r="3405" spans="1:25" x14ac:dyDescent="0.25">
      <c r="A3405" t="s">
        <v>3461</v>
      </c>
      <c r="B3405" s="1">
        <v>45868</v>
      </c>
      <c r="C3405">
        <v>2025</v>
      </c>
      <c r="D3405">
        <v>7</v>
      </c>
      <c r="E3405" t="s">
        <v>690</v>
      </c>
      <c r="F3405" t="s">
        <v>691</v>
      </c>
      <c r="G3405" t="s">
        <v>28</v>
      </c>
      <c r="H3405" t="s">
        <v>36</v>
      </c>
      <c r="I3405" t="s">
        <v>45</v>
      </c>
      <c r="J3405">
        <v>27</v>
      </c>
      <c r="K3405">
        <v>1366.84</v>
      </c>
      <c r="L3405">
        <v>36904.74</v>
      </c>
      <c r="M3405">
        <v>22854.67</v>
      </c>
      <c r="N3405">
        <v>2893.89</v>
      </c>
      <c r="O3405">
        <v>1842.98</v>
      </c>
      <c r="P3405">
        <v>644.32000000000005</v>
      </c>
      <c r="Q3405">
        <v>193.83</v>
      </c>
      <c r="R3405">
        <v>2266.42</v>
      </c>
      <c r="S3405">
        <v>671.38</v>
      </c>
      <c r="T3405">
        <v>31367.5</v>
      </c>
      <c r="U3405">
        <v>14050.07</v>
      </c>
      <c r="V3405">
        <v>5537.25</v>
      </c>
      <c r="W3405">
        <v>5013.83</v>
      </c>
      <c r="X3405">
        <v>35436.9</v>
      </c>
      <c r="Y3405">
        <v>29666.99</v>
      </c>
    </row>
    <row r="3406" spans="1:25" x14ac:dyDescent="0.25">
      <c r="A3406" t="s">
        <v>3462</v>
      </c>
      <c r="B3406" s="1">
        <v>45869</v>
      </c>
      <c r="C3406">
        <v>2025</v>
      </c>
      <c r="D3406">
        <v>7</v>
      </c>
      <c r="E3406" t="s">
        <v>690</v>
      </c>
      <c r="F3406" t="s">
        <v>691</v>
      </c>
      <c r="G3406" t="s">
        <v>55</v>
      </c>
      <c r="H3406" t="s">
        <v>29</v>
      </c>
      <c r="I3406" t="s">
        <v>33</v>
      </c>
      <c r="J3406">
        <v>102</v>
      </c>
      <c r="K3406">
        <v>931.72</v>
      </c>
      <c r="L3406">
        <v>95034.94</v>
      </c>
      <c r="M3406">
        <v>48371.29</v>
      </c>
      <c r="N3406">
        <v>11657.65</v>
      </c>
      <c r="O3406">
        <v>6622.3</v>
      </c>
      <c r="P3406">
        <v>3110.09</v>
      </c>
      <c r="Q3406">
        <v>856.94</v>
      </c>
      <c r="R3406">
        <v>3575.71</v>
      </c>
      <c r="S3406">
        <v>2186.54</v>
      </c>
      <c r="T3406">
        <v>76380.52</v>
      </c>
      <c r="U3406">
        <v>46663.65</v>
      </c>
      <c r="V3406">
        <v>18654.419999999998</v>
      </c>
      <c r="W3406">
        <v>16705.41</v>
      </c>
      <c r="X3406">
        <v>99473.74</v>
      </c>
      <c r="Y3406">
        <v>81976.399999999994</v>
      </c>
    </row>
    <row r="3407" spans="1:25" x14ac:dyDescent="0.25">
      <c r="A3407" t="s">
        <v>3463</v>
      </c>
      <c r="B3407" s="1">
        <v>45869</v>
      </c>
      <c r="C3407">
        <v>2025</v>
      </c>
      <c r="D3407">
        <v>7</v>
      </c>
      <c r="E3407" t="s">
        <v>690</v>
      </c>
      <c r="F3407" t="s">
        <v>691</v>
      </c>
      <c r="G3407" t="s">
        <v>28</v>
      </c>
      <c r="H3407" t="s">
        <v>29</v>
      </c>
      <c r="I3407" t="s">
        <v>45</v>
      </c>
      <c r="J3407">
        <v>38</v>
      </c>
      <c r="K3407">
        <v>1227.05</v>
      </c>
      <c r="L3407">
        <v>46627.92</v>
      </c>
      <c r="M3407">
        <v>26769.82</v>
      </c>
      <c r="N3407">
        <v>5724.18</v>
      </c>
      <c r="O3407">
        <v>3193.57</v>
      </c>
      <c r="P3407">
        <v>1832.35</v>
      </c>
      <c r="Q3407">
        <v>627.80999999999995</v>
      </c>
      <c r="R3407">
        <v>1647.24</v>
      </c>
      <c r="S3407">
        <v>1127.29</v>
      </c>
      <c r="T3407">
        <v>40922.269999999997</v>
      </c>
      <c r="U3407">
        <v>19858.09</v>
      </c>
      <c r="V3407">
        <v>5705.65</v>
      </c>
      <c r="W3407">
        <v>5666.99</v>
      </c>
      <c r="X3407">
        <v>46544.08</v>
      </c>
      <c r="Y3407">
        <v>42379.5</v>
      </c>
    </row>
    <row r="3408" spans="1:25" x14ac:dyDescent="0.25">
      <c r="A3408" t="s">
        <v>3464</v>
      </c>
      <c r="B3408" s="1">
        <v>45869</v>
      </c>
      <c r="C3408">
        <v>2025</v>
      </c>
      <c r="D3408">
        <v>7</v>
      </c>
      <c r="E3408" t="s">
        <v>690</v>
      </c>
      <c r="F3408" t="s">
        <v>691</v>
      </c>
      <c r="G3408" t="s">
        <v>28</v>
      </c>
      <c r="H3408" t="s">
        <v>32</v>
      </c>
      <c r="I3408" t="s">
        <v>39</v>
      </c>
      <c r="J3408">
        <v>44</v>
      </c>
      <c r="K3408">
        <v>961.04</v>
      </c>
      <c r="L3408">
        <v>42285.94</v>
      </c>
      <c r="M3408">
        <v>23838.21</v>
      </c>
      <c r="N3408">
        <v>5032.96</v>
      </c>
      <c r="O3408">
        <v>1868.72</v>
      </c>
      <c r="P3408">
        <v>1374.01</v>
      </c>
      <c r="Q3408">
        <v>586.64</v>
      </c>
      <c r="R3408">
        <v>2601.77</v>
      </c>
      <c r="S3408">
        <v>890.85</v>
      </c>
      <c r="T3408">
        <v>36193.15</v>
      </c>
      <c r="U3408">
        <v>18447.73</v>
      </c>
      <c r="V3408">
        <v>6092.78</v>
      </c>
      <c r="W3408">
        <v>5990.46</v>
      </c>
      <c r="X3408">
        <v>39453.300000000003</v>
      </c>
      <c r="Y3408">
        <v>39180.68</v>
      </c>
    </row>
    <row r="3409" spans="1:25" x14ac:dyDescent="0.25">
      <c r="A3409" t="s">
        <v>3465</v>
      </c>
      <c r="B3409" s="1">
        <v>45869</v>
      </c>
      <c r="C3409">
        <v>2025</v>
      </c>
      <c r="D3409">
        <v>7</v>
      </c>
      <c r="E3409" t="s">
        <v>690</v>
      </c>
      <c r="F3409" t="s">
        <v>691</v>
      </c>
      <c r="G3409" t="s">
        <v>28</v>
      </c>
      <c r="H3409" t="s">
        <v>36</v>
      </c>
      <c r="I3409" t="s">
        <v>45</v>
      </c>
      <c r="J3409">
        <v>47</v>
      </c>
      <c r="K3409">
        <v>1070.6099999999999</v>
      </c>
      <c r="L3409">
        <v>50318.61</v>
      </c>
      <c r="M3409">
        <v>30805.91</v>
      </c>
      <c r="N3409">
        <v>4556.87</v>
      </c>
      <c r="O3409">
        <v>1773.81</v>
      </c>
      <c r="P3409">
        <v>1722.63</v>
      </c>
      <c r="Q3409">
        <v>885.81</v>
      </c>
      <c r="R3409">
        <v>2849.46</v>
      </c>
      <c r="S3409">
        <v>896.15</v>
      </c>
      <c r="T3409">
        <v>43490.64</v>
      </c>
      <c r="U3409">
        <v>19512.7</v>
      </c>
      <c r="V3409">
        <v>6827.97</v>
      </c>
      <c r="W3409">
        <v>6263.48</v>
      </c>
      <c r="X3409">
        <v>50034.49</v>
      </c>
      <c r="Y3409">
        <v>43900.83</v>
      </c>
    </row>
    <row r="3410" spans="1:25" x14ac:dyDescent="0.25">
      <c r="A3410" t="s">
        <v>3466</v>
      </c>
      <c r="B3410" s="1">
        <v>45869</v>
      </c>
      <c r="C3410">
        <v>2025</v>
      </c>
      <c r="D3410">
        <v>7</v>
      </c>
      <c r="E3410" t="s">
        <v>690</v>
      </c>
      <c r="F3410" t="s">
        <v>691</v>
      </c>
      <c r="G3410" t="s">
        <v>35</v>
      </c>
      <c r="H3410" t="s">
        <v>36</v>
      </c>
      <c r="I3410" t="s">
        <v>37</v>
      </c>
      <c r="J3410">
        <v>62</v>
      </c>
      <c r="K3410">
        <v>845.18</v>
      </c>
      <c r="L3410">
        <v>52401.13</v>
      </c>
      <c r="M3410">
        <v>30330.68</v>
      </c>
      <c r="N3410">
        <v>4829.18</v>
      </c>
      <c r="O3410">
        <v>3032.02</v>
      </c>
      <c r="P3410">
        <v>1349.29</v>
      </c>
      <c r="Q3410">
        <v>623.71</v>
      </c>
      <c r="R3410">
        <v>2804.09</v>
      </c>
      <c r="S3410">
        <v>463.26</v>
      </c>
      <c r="T3410">
        <v>43432.22</v>
      </c>
      <c r="U3410">
        <v>22070.45</v>
      </c>
      <c r="V3410">
        <v>8968.91</v>
      </c>
      <c r="W3410">
        <v>8751.4500000000007</v>
      </c>
      <c r="X3410">
        <v>52850.64</v>
      </c>
      <c r="Y3410">
        <v>43346.99</v>
      </c>
    </row>
    <row r="3411" spans="1:25" x14ac:dyDescent="0.25">
      <c r="A3411" t="s">
        <v>3467</v>
      </c>
      <c r="B3411" s="1">
        <v>45869</v>
      </c>
      <c r="C3411">
        <v>2025</v>
      </c>
      <c r="D3411">
        <v>7</v>
      </c>
      <c r="E3411" t="s">
        <v>690</v>
      </c>
      <c r="F3411" t="s">
        <v>691</v>
      </c>
      <c r="G3411" t="s">
        <v>55</v>
      </c>
      <c r="H3411" t="s">
        <v>32</v>
      </c>
      <c r="I3411" t="s">
        <v>39</v>
      </c>
      <c r="J3411">
        <v>52</v>
      </c>
      <c r="K3411">
        <v>970.18</v>
      </c>
      <c r="L3411">
        <v>50449.440000000002</v>
      </c>
      <c r="M3411">
        <v>30142.83</v>
      </c>
      <c r="N3411">
        <v>4756.18</v>
      </c>
      <c r="O3411">
        <v>2840.03</v>
      </c>
      <c r="P3411">
        <v>1970.92</v>
      </c>
      <c r="Q3411">
        <v>837.27</v>
      </c>
      <c r="R3411">
        <v>3125.48</v>
      </c>
      <c r="S3411">
        <v>452.52</v>
      </c>
      <c r="T3411">
        <v>44125.24</v>
      </c>
      <c r="U3411">
        <v>20306.599999999999</v>
      </c>
      <c r="V3411">
        <v>6324.2</v>
      </c>
      <c r="W3411">
        <v>5698.58</v>
      </c>
      <c r="X3411">
        <v>48511.32</v>
      </c>
      <c r="Y3411">
        <v>41037.61</v>
      </c>
    </row>
    <row r="3412" spans="1:25" x14ac:dyDescent="0.25">
      <c r="A3412" t="s">
        <v>3468</v>
      </c>
      <c r="B3412" s="1">
        <v>45870</v>
      </c>
      <c r="C3412">
        <v>2025</v>
      </c>
      <c r="D3412">
        <v>8</v>
      </c>
      <c r="E3412" t="s">
        <v>814</v>
      </c>
      <c r="F3412" t="s">
        <v>691</v>
      </c>
      <c r="G3412" t="s">
        <v>28</v>
      </c>
      <c r="H3412" t="s">
        <v>32</v>
      </c>
      <c r="I3412" t="s">
        <v>39</v>
      </c>
      <c r="J3412">
        <v>44</v>
      </c>
      <c r="K3412">
        <v>919.66</v>
      </c>
      <c r="L3412">
        <v>40465.050000000003</v>
      </c>
      <c r="M3412">
        <v>24809.62</v>
      </c>
      <c r="N3412">
        <v>4526.53</v>
      </c>
      <c r="O3412">
        <v>1723.12</v>
      </c>
      <c r="P3412">
        <v>1378.93</v>
      </c>
      <c r="Q3412">
        <v>226.6</v>
      </c>
      <c r="R3412">
        <v>1556.2</v>
      </c>
      <c r="S3412">
        <v>757.09</v>
      </c>
      <c r="T3412">
        <v>34978.080000000002</v>
      </c>
      <c r="U3412">
        <v>15655.42</v>
      </c>
      <c r="V3412">
        <v>5486.97</v>
      </c>
      <c r="W3412">
        <v>4920.71</v>
      </c>
      <c r="X3412">
        <v>44242.6</v>
      </c>
      <c r="Y3412">
        <v>38071.620000000003</v>
      </c>
    </row>
    <row r="3413" spans="1:25" x14ac:dyDescent="0.25">
      <c r="A3413" t="s">
        <v>3469</v>
      </c>
      <c r="B3413" s="1">
        <v>45870</v>
      </c>
      <c r="C3413">
        <v>2025</v>
      </c>
      <c r="D3413">
        <v>8</v>
      </c>
      <c r="E3413" t="s">
        <v>814</v>
      </c>
      <c r="F3413" t="s">
        <v>691</v>
      </c>
      <c r="G3413" t="s">
        <v>55</v>
      </c>
      <c r="H3413" t="s">
        <v>32</v>
      </c>
      <c r="I3413" t="s">
        <v>37</v>
      </c>
      <c r="J3413">
        <v>63</v>
      </c>
      <c r="K3413">
        <v>1219.1500000000001</v>
      </c>
      <c r="L3413">
        <v>76806.48</v>
      </c>
      <c r="M3413">
        <v>41354.82</v>
      </c>
      <c r="N3413">
        <v>7339.15</v>
      </c>
      <c r="O3413">
        <v>5219</v>
      </c>
      <c r="P3413">
        <v>1720.49</v>
      </c>
      <c r="Q3413">
        <v>408.84</v>
      </c>
      <c r="R3413">
        <v>4352.3</v>
      </c>
      <c r="S3413">
        <v>1601.99</v>
      </c>
      <c r="T3413">
        <v>61996.59</v>
      </c>
      <c r="U3413">
        <v>35451.660000000003</v>
      </c>
      <c r="V3413">
        <v>14809.89</v>
      </c>
      <c r="W3413">
        <v>13204.83</v>
      </c>
      <c r="X3413">
        <v>78326.429999999993</v>
      </c>
      <c r="Y3413">
        <v>60269.39</v>
      </c>
    </row>
    <row r="3414" spans="1:25" x14ac:dyDescent="0.25">
      <c r="A3414" t="s">
        <v>3470</v>
      </c>
      <c r="B3414" s="1">
        <v>45870</v>
      </c>
      <c r="C3414">
        <v>2025</v>
      </c>
      <c r="D3414">
        <v>8</v>
      </c>
      <c r="E3414" t="s">
        <v>814</v>
      </c>
      <c r="F3414" t="s">
        <v>691</v>
      </c>
      <c r="G3414" t="s">
        <v>44</v>
      </c>
      <c r="H3414" t="s">
        <v>29</v>
      </c>
      <c r="I3414" t="s">
        <v>50</v>
      </c>
      <c r="J3414">
        <v>26</v>
      </c>
      <c r="K3414">
        <v>1435.41</v>
      </c>
      <c r="L3414">
        <v>37320.69</v>
      </c>
      <c r="M3414">
        <v>20616.79</v>
      </c>
      <c r="N3414">
        <v>4332.82</v>
      </c>
      <c r="O3414">
        <v>2695.11</v>
      </c>
      <c r="P3414">
        <v>1407.71</v>
      </c>
      <c r="Q3414">
        <v>254.14</v>
      </c>
      <c r="R3414">
        <v>1404.27</v>
      </c>
      <c r="S3414">
        <v>913.87</v>
      </c>
      <c r="T3414">
        <v>31624.720000000001</v>
      </c>
      <c r="U3414">
        <v>16703.900000000001</v>
      </c>
      <c r="V3414">
        <v>5695.97</v>
      </c>
      <c r="W3414">
        <v>5276.13</v>
      </c>
      <c r="X3414">
        <v>40429.85</v>
      </c>
      <c r="Y3414">
        <v>30738.35</v>
      </c>
    </row>
    <row r="3415" spans="1:25" x14ac:dyDescent="0.25">
      <c r="A3415" t="s">
        <v>3471</v>
      </c>
      <c r="B3415" s="1">
        <v>45870</v>
      </c>
      <c r="C3415">
        <v>2025</v>
      </c>
      <c r="D3415">
        <v>8</v>
      </c>
      <c r="E3415" t="s">
        <v>814</v>
      </c>
      <c r="F3415" t="s">
        <v>691</v>
      </c>
      <c r="G3415" t="s">
        <v>55</v>
      </c>
      <c r="H3415" t="s">
        <v>36</v>
      </c>
      <c r="I3415" t="s">
        <v>65</v>
      </c>
      <c r="J3415">
        <v>50</v>
      </c>
      <c r="K3415">
        <v>1452.16</v>
      </c>
      <c r="L3415">
        <v>72608.09</v>
      </c>
      <c r="M3415">
        <v>46714.54</v>
      </c>
      <c r="N3415">
        <v>5286.71</v>
      </c>
      <c r="O3415">
        <v>5247.26</v>
      </c>
      <c r="P3415">
        <v>2179.16</v>
      </c>
      <c r="Q3415">
        <v>801.91</v>
      </c>
      <c r="R3415">
        <v>3748.83</v>
      </c>
      <c r="S3415">
        <v>1814.49</v>
      </c>
      <c r="T3415">
        <v>65792.89</v>
      </c>
      <c r="U3415">
        <v>25893.56</v>
      </c>
      <c r="V3415">
        <v>6815.2</v>
      </c>
      <c r="W3415">
        <v>6614.64</v>
      </c>
      <c r="X3415">
        <v>68494.2</v>
      </c>
      <c r="Y3415">
        <v>66390.179999999993</v>
      </c>
    </row>
    <row r="3416" spans="1:25" x14ac:dyDescent="0.25">
      <c r="A3416" t="s">
        <v>3472</v>
      </c>
      <c r="B3416" s="1">
        <v>45870</v>
      </c>
      <c r="C3416">
        <v>2025</v>
      </c>
      <c r="D3416">
        <v>8</v>
      </c>
      <c r="E3416" t="s">
        <v>814</v>
      </c>
      <c r="F3416" t="s">
        <v>691</v>
      </c>
      <c r="G3416" t="s">
        <v>35</v>
      </c>
      <c r="H3416" t="s">
        <v>36</v>
      </c>
      <c r="I3416" t="s">
        <v>50</v>
      </c>
      <c r="J3416">
        <v>60</v>
      </c>
      <c r="K3416">
        <v>813.09</v>
      </c>
      <c r="L3416">
        <v>48785.54</v>
      </c>
      <c r="M3416">
        <v>32255.49</v>
      </c>
      <c r="N3416">
        <v>3417.57</v>
      </c>
      <c r="O3416">
        <v>1698.34</v>
      </c>
      <c r="P3416">
        <v>1498.4</v>
      </c>
      <c r="Q3416">
        <v>276.02</v>
      </c>
      <c r="R3416">
        <v>3157.34</v>
      </c>
      <c r="S3416">
        <v>1217.3800000000001</v>
      </c>
      <c r="T3416">
        <v>43520.54</v>
      </c>
      <c r="U3416">
        <v>16530.05</v>
      </c>
      <c r="V3416">
        <v>5265</v>
      </c>
      <c r="W3416">
        <v>5289.5</v>
      </c>
      <c r="X3416">
        <v>47628.02</v>
      </c>
      <c r="Y3416">
        <v>41086.639999999999</v>
      </c>
    </row>
    <row r="3417" spans="1:25" x14ac:dyDescent="0.25">
      <c r="A3417" t="s">
        <v>3473</v>
      </c>
      <c r="B3417" s="1">
        <v>45870</v>
      </c>
      <c r="C3417">
        <v>2025</v>
      </c>
      <c r="D3417">
        <v>8</v>
      </c>
      <c r="E3417" t="s">
        <v>814</v>
      </c>
      <c r="F3417" t="s">
        <v>691</v>
      </c>
      <c r="G3417" t="s">
        <v>44</v>
      </c>
      <c r="H3417" t="s">
        <v>53</v>
      </c>
      <c r="I3417" t="s">
        <v>37</v>
      </c>
      <c r="J3417">
        <v>60</v>
      </c>
      <c r="K3417">
        <v>1127.83</v>
      </c>
      <c r="L3417">
        <v>67669.509999999995</v>
      </c>
      <c r="M3417">
        <v>45369.36</v>
      </c>
      <c r="N3417">
        <v>6500.62</v>
      </c>
      <c r="O3417">
        <v>4242.99</v>
      </c>
      <c r="P3417">
        <v>1407.7</v>
      </c>
      <c r="Q3417">
        <v>885.91</v>
      </c>
      <c r="R3417">
        <v>3100.31</v>
      </c>
      <c r="S3417">
        <v>1652.79</v>
      </c>
      <c r="T3417">
        <v>63159.68</v>
      </c>
      <c r="U3417">
        <v>22300.14</v>
      </c>
      <c r="V3417">
        <v>4509.82</v>
      </c>
      <c r="W3417">
        <v>4213.99</v>
      </c>
      <c r="X3417">
        <v>70300.45</v>
      </c>
      <c r="Y3417">
        <v>63356</v>
      </c>
    </row>
    <row r="3418" spans="1:25" x14ac:dyDescent="0.25">
      <c r="A3418" t="s">
        <v>3474</v>
      </c>
      <c r="B3418" s="1">
        <v>45871</v>
      </c>
      <c r="C3418">
        <v>2025</v>
      </c>
      <c r="D3418">
        <v>8</v>
      </c>
      <c r="E3418" t="s">
        <v>814</v>
      </c>
      <c r="F3418" t="s">
        <v>691</v>
      </c>
      <c r="G3418" t="s">
        <v>28</v>
      </c>
      <c r="H3418" t="s">
        <v>32</v>
      </c>
      <c r="I3418" t="s">
        <v>30</v>
      </c>
      <c r="J3418">
        <v>73</v>
      </c>
      <c r="K3418">
        <v>1413.34</v>
      </c>
      <c r="L3418">
        <v>103173.97</v>
      </c>
      <c r="M3418">
        <v>59696.58</v>
      </c>
      <c r="N3418">
        <v>8800.91</v>
      </c>
      <c r="O3418">
        <v>7672</v>
      </c>
      <c r="P3418">
        <v>1628.84</v>
      </c>
      <c r="Q3418">
        <v>1708.53</v>
      </c>
      <c r="R3418">
        <v>5064.2</v>
      </c>
      <c r="S3418">
        <v>1342.13</v>
      </c>
      <c r="T3418">
        <v>85913.19</v>
      </c>
      <c r="U3418">
        <v>43477.39</v>
      </c>
      <c r="V3418">
        <v>17260.78</v>
      </c>
      <c r="W3418">
        <v>17570.009999999998</v>
      </c>
      <c r="X3418">
        <v>111963.55</v>
      </c>
      <c r="Y3418">
        <v>85083.86</v>
      </c>
    </row>
    <row r="3419" spans="1:25" x14ac:dyDescent="0.25">
      <c r="A3419" t="s">
        <v>3475</v>
      </c>
      <c r="B3419" s="1">
        <v>45871</v>
      </c>
      <c r="C3419">
        <v>2025</v>
      </c>
      <c r="D3419">
        <v>8</v>
      </c>
      <c r="E3419" t="s">
        <v>814</v>
      </c>
      <c r="F3419" t="s">
        <v>691</v>
      </c>
      <c r="G3419" t="s">
        <v>55</v>
      </c>
      <c r="H3419" t="s">
        <v>58</v>
      </c>
      <c r="I3419" t="s">
        <v>39</v>
      </c>
      <c r="J3419">
        <v>27</v>
      </c>
      <c r="K3419">
        <v>1209.04</v>
      </c>
      <c r="L3419">
        <v>32643.98</v>
      </c>
      <c r="M3419">
        <v>18671.009999999998</v>
      </c>
      <c r="N3419">
        <v>3520.95</v>
      </c>
      <c r="O3419">
        <v>1276.45</v>
      </c>
      <c r="P3419">
        <v>506.38</v>
      </c>
      <c r="Q3419">
        <v>460.39</v>
      </c>
      <c r="R3419">
        <v>1267.27</v>
      </c>
      <c r="S3419">
        <v>597.1</v>
      </c>
      <c r="T3419">
        <v>26299.54</v>
      </c>
      <c r="U3419">
        <v>13972.97</v>
      </c>
      <c r="V3419">
        <v>6344.43</v>
      </c>
      <c r="W3419">
        <v>5671.42</v>
      </c>
      <c r="X3419">
        <v>35068.28</v>
      </c>
      <c r="Y3419">
        <v>24570.35</v>
      </c>
    </row>
    <row r="3420" spans="1:25" x14ac:dyDescent="0.25">
      <c r="A3420" t="s">
        <v>3476</v>
      </c>
      <c r="B3420" s="1">
        <v>45871</v>
      </c>
      <c r="C3420">
        <v>2025</v>
      </c>
      <c r="D3420">
        <v>8</v>
      </c>
      <c r="E3420" t="s">
        <v>814</v>
      </c>
      <c r="F3420" t="s">
        <v>691</v>
      </c>
      <c r="G3420" t="s">
        <v>28</v>
      </c>
      <c r="H3420" t="s">
        <v>32</v>
      </c>
      <c r="I3420" t="s">
        <v>33</v>
      </c>
      <c r="J3420">
        <v>77</v>
      </c>
      <c r="K3420">
        <v>1313.98</v>
      </c>
      <c r="L3420">
        <v>101176.15</v>
      </c>
      <c r="M3420">
        <v>56768.69</v>
      </c>
      <c r="N3420">
        <v>9692.85</v>
      </c>
      <c r="O3420">
        <v>4423.49</v>
      </c>
      <c r="P3420">
        <v>1886.1</v>
      </c>
      <c r="Q3420">
        <v>1011.56</v>
      </c>
      <c r="R3420">
        <v>3420.45</v>
      </c>
      <c r="S3420">
        <v>2450.7600000000002</v>
      </c>
      <c r="T3420">
        <v>79653.899999999994</v>
      </c>
      <c r="U3420">
        <v>44407.46</v>
      </c>
      <c r="V3420">
        <v>21522.25</v>
      </c>
      <c r="W3420">
        <v>19301.419999999998</v>
      </c>
      <c r="X3420">
        <v>97114.19</v>
      </c>
      <c r="Y3420">
        <v>85737.45</v>
      </c>
    </row>
    <row r="3421" spans="1:25" x14ac:dyDescent="0.25">
      <c r="A3421" t="s">
        <v>3477</v>
      </c>
      <c r="B3421" s="1">
        <v>45872</v>
      </c>
      <c r="C3421">
        <v>2025</v>
      </c>
      <c r="D3421">
        <v>8</v>
      </c>
      <c r="E3421" t="s">
        <v>814</v>
      </c>
      <c r="F3421" t="s">
        <v>691</v>
      </c>
      <c r="G3421" t="s">
        <v>28</v>
      </c>
      <c r="H3421" t="s">
        <v>29</v>
      </c>
      <c r="I3421" t="s">
        <v>45</v>
      </c>
      <c r="J3421">
        <v>47</v>
      </c>
      <c r="K3421">
        <v>1111.8800000000001</v>
      </c>
      <c r="L3421">
        <v>52258.32</v>
      </c>
      <c r="M3421">
        <v>34456.65</v>
      </c>
      <c r="N3421">
        <v>4185.08</v>
      </c>
      <c r="O3421">
        <v>3051.16</v>
      </c>
      <c r="P3421">
        <v>2105.08</v>
      </c>
      <c r="Q3421">
        <v>317.72000000000003</v>
      </c>
      <c r="R3421">
        <v>3083.12</v>
      </c>
      <c r="S3421">
        <v>875.15</v>
      </c>
      <c r="T3421">
        <v>48073.96</v>
      </c>
      <c r="U3421">
        <v>17801.669999999998</v>
      </c>
      <c r="V3421">
        <v>4184.3599999999997</v>
      </c>
      <c r="W3421">
        <v>4245</v>
      </c>
      <c r="X3421">
        <v>54940.54</v>
      </c>
      <c r="Y3421">
        <v>52262</v>
      </c>
    </row>
    <row r="3422" spans="1:25" x14ac:dyDescent="0.25">
      <c r="A3422" t="s">
        <v>3478</v>
      </c>
      <c r="B3422" s="1">
        <v>45872</v>
      </c>
      <c r="C3422">
        <v>2025</v>
      </c>
      <c r="D3422">
        <v>8</v>
      </c>
      <c r="E3422" t="s">
        <v>814</v>
      </c>
      <c r="F3422" t="s">
        <v>691</v>
      </c>
      <c r="G3422" t="s">
        <v>44</v>
      </c>
      <c r="H3422" t="s">
        <v>29</v>
      </c>
      <c r="I3422" t="s">
        <v>33</v>
      </c>
      <c r="J3422">
        <v>55</v>
      </c>
      <c r="K3422">
        <v>1500.96</v>
      </c>
      <c r="L3422">
        <v>82552.990000000005</v>
      </c>
      <c r="M3422">
        <v>54224.23</v>
      </c>
      <c r="N3422">
        <v>10175.030000000001</v>
      </c>
      <c r="O3422">
        <v>3670.3</v>
      </c>
      <c r="P3422">
        <v>1766.29</v>
      </c>
      <c r="Q3422">
        <v>1395.89</v>
      </c>
      <c r="R3422">
        <v>4380.24</v>
      </c>
      <c r="S3422">
        <v>1110.81</v>
      </c>
      <c r="T3422">
        <v>76722.789999999994</v>
      </c>
      <c r="U3422">
        <v>28328.77</v>
      </c>
      <c r="V3422">
        <v>5830.2</v>
      </c>
      <c r="W3422">
        <v>5340.14</v>
      </c>
      <c r="X3422">
        <v>82839.95</v>
      </c>
      <c r="Y3422">
        <v>81482.899999999994</v>
      </c>
    </row>
    <row r="3423" spans="1:25" x14ac:dyDescent="0.25">
      <c r="A3423" t="s">
        <v>3479</v>
      </c>
      <c r="B3423" s="1">
        <v>45872</v>
      </c>
      <c r="C3423">
        <v>2025</v>
      </c>
      <c r="D3423">
        <v>8</v>
      </c>
      <c r="E3423" t="s">
        <v>814</v>
      </c>
      <c r="F3423" t="s">
        <v>691</v>
      </c>
      <c r="G3423" t="s">
        <v>28</v>
      </c>
      <c r="H3423" t="s">
        <v>32</v>
      </c>
      <c r="I3423" t="s">
        <v>39</v>
      </c>
      <c r="J3423">
        <v>46</v>
      </c>
      <c r="K3423">
        <v>878.89</v>
      </c>
      <c r="L3423">
        <v>40429.14</v>
      </c>
      <c r="M3423">
        <v>20244.009999999998</v>
      </c>
      <c r="N3423">
        <v>2921.91</v>
      </c>
      <c r="O3423">
        <v>1895.92</v>
      </c>
      <c r="P3423">
        <v>1238.51</v>
      </c>
      <c r="Q3423">
        <v>417.66</v>
      </c>
      <c r="R3423">
        <v>2233.4299999999998</v>
      </c>
      <c r="S3423">
        <v>494.93</v>
      </c>
      <c r="T3423">
        <v>29446.36</v>
      </c>
      <c r="U3423">
        <v>20185.13</v>
      </c>
      <c r="V3423">
        <v>10982.77</v>
      </c>
      <c r="W3423">
        <v>10535.11</v>
      </c>
      <c r="X3423">
        <v>38614.53</v>
      </c>
      <c r="Y3423">
        <v>30355.59</v>
      </c>
    </row>
    <row r="3424" spans="1:25" x14ac:dyDescent="0.25">
      <c r="A3424" t="s">
        <v>3480</v>
      </c>
      <c r="B3424" s="1">
        <v>45872</v>
      </c>
      <c r="C3424">
        <v>2025</v>
      </c>
      <c r="D3424">
        <v>8</v>
      </c>
      <c r="E3424" t="s">
        <v>814</v>
      </c>
      <c r="F3424" t="s">
        <v>691</v>
      </c>
      <c r="G3424" t="s">
        <v>28</v>
      </c>
      <c r="H3424" t="s">
        <v>32</v>
      </c>
      <c r="I3424" t="s">
        <v>33</v>
      </c>
      <c r="J3424">
        <v>61</v>
      </c>
      <c r="K3424">
        <v>1429.35</v>
      </c>
      <c r="L3424">
        <v>87190.18</v>
      </c>
      <c r="M3424">
        <v>55273.919999999998</v>
      </c>
      <c r="N3424">
        <v>10481.790000000001</v>
      </c>
      <c r="O3424">
        <v>6147.92</v>
      </c>
      <c r="P3424">
        <v>1720.1</v>
      </c>
      <c r="Q3424">
        <v>1254.1600000000001</v>
      </c>
      <c r="R3424">
        <v>3859.83</v>
      </c>
      <c r="S3424">
        <v>1095.0999999999999</v>
      </c>
      <c r="T3424">
        <v>79832.820000000007</v>
      </c>
      <c r="U3424">
        <v>31916.25</v>
      </c>
      <c r="V3424">
        <v>7357.36</v>
      </c>
      <c r="W3424">
        <v>7082.25</v>
      </c>
      <c r="X3424">
        <v>95473.49</v>
      </c>
      <c r="Y3424">
        <v>85176.29</v>
      </c>
    </row>
    <row r="3425" spans="1:25" x14ac:dyDescent="0.25">
      <c r="A3425" t="s">
        <v>3481</v>
      </c>
      <c r="B3425" s="1">
        <v>45872</v>
      </c>
      <c r="C3425">
        <v>2025</v>
      </c>
      <c r="D3425">
        <v>8</v>
      </c>
      <c r="E3425" t="s">
        <v>814</v>
      </c>
      <c r="F3425" t="s">
        <v>691</v>
      </c>
      <c r="G3425" t="s">
        <v>44</v>
      </c>
      <c r="H3425" t="s">
        <v>29</v>
      </c>
      <c r="I3425" t="s">
        <v>30</v>
      </c>
      <c r="J3425">
        <v>81</v>
      </c>
      <c r="K3425">
        <v>990.57</v>
      </c>
      <c r="L3425">
        <v>80236.3</v>
      </c>
      <c r="M3425">
        <v>49222.57</v>
      </c>
      <c r="N3425">
        <v>10156.030000000001</v>
      </c>
      <c r="O3425">
        <v>2596.27</v>
      </c>
      <c r="P3425">
        <v>2863.48</v>
      </c>
      <c r="Q3425">
        <v>1361.82</v>
      </c>
      <c r="R3425">
        <v>4384.34</v>
      </c>
      <c r="S3425">
        <v>954.74</v>
      </c>
      <c r="T3425">
        <v>71539.240000000005</v>
      </c>
      <c r="U3425">
        <v>31013.73</v>
      </c>
      <c r="V3425">
        <v>8697.06</v>
      </c>
      <c r="W3425">
        <v>8869.4699999999993</v>
      </c>
      <c r="X3425">
        <v>79063.62</v>
      </c>
      <c r="Y3425">
        <v>74613.31</v>
      </c>
    </row>
    <row r="3426" spans="1:25" x14ac:dyDescent="0.25">
      <c r="A3426" t="s">
        <v>3482</v>
      </c>
      <c r="B3426" s="1">
        <v>45872</v>
      </c>
      <c r="C3426">
        <v>2025</v>
      </c>
      <c r="D3426">
        <v>8</v>
      </c>
      <c r="E3426" t="s">
        <v>814</v>
      </c>
      <c r="F3426" t="s">
        <v>691</v>
      </c>
      <c r="G3426" t="s">
        <v>28</v>
      </c>
      <c r="H3426" t="s">
        <v>32</v>
      </c>
      <c r="I3426" t="s">
        <v>33</v>
      </c>
      <c r="J3426">
        <v>83</v>
      </c>
      <c r="K3426">
        <v>1342.38</v>
      </c>
      <c r="L3426">
        <v>111417.62</v>
      </c>
      <c r="M3426">
        <v>61397.38</v>
      </c>
      <c r="N3426">
        <v>9821.48</v>
      </c>
      <c r="O3426">
        <v>5001.8900000000003</v>
      </c>
      <c r="P3426">
        <v>3410.49</v>
      </c>
      <c r="Q3426">
        <v>1495.12</v>
      </c>
      <c r="R3426">
        <v>7179.02</v>
      </c>
      <c r="S3426">
        <v>1781.43</v>
      </c>
      <c r="T3426">
        <v>90086.82</v>
      </c>
      <c r="U3426">
        <v>50020.24</v>
      </c>
      <c r="V3426">
        <v>21330.799999999999</v>
      </c>
      <c r="W3426">
        <v>19677.61</v>
      </c>
      <c r="X3426">
        <v>110533.34</v>
      </c>
      <c r="Y3426">
        <v>93770.61</v>
      </c>
    </row>
    <row r="3427" spans="1:25" x14ac:dyDescent="0.25">
      <c r="A3427" t="s">
        <v>3483</v>
      </c>
      <c r="B3427" s="1">
        <v>45873</v>
      </c>
      <c r="C3427">
        <v>2025</v>
      </c>
      <c r="D3427">
        <v>8</v>
      </c>
      <c r="E3427" t="s">
        <v>814</v>
      </c>
      <c r="F3427" t="s">
        <v>691</v>
      </c>
      <c r="G3427" t="s">
        <v>55</v>
      </c>
      <c r="H3427" t="s">
        <v>32</v>
      </c>
      <c r="I3427" t="s">
        <v>45</v>
      </c>
      <c r="J3427">
        <v>32</v>
      </c>
      <c r="K3427">
        <v>1563.82</v>
      </c>
      <c r="L3427">
        <v>50042.12</v>
      </c>
      <c r="M3427">
        <v>24582.35</v>
      </c>
      <c r="N3427">
        <v>5549.55</v>
      </c>
      <c r="O3427">
        <v>1964.25</v>
      </c>
      <c r="P3427">
        <v>1767.23</v>
      </c>
      <c r="Q3427">
        <v>815.62</v>
      </c>
      <c r="R3427">
        <v>2788.98</v>
      </c>
      <c r="S3427">
        <v>1249.31</v>
      </c>
      <c r="T3427">
        <v>38717.29</v>
      </c>
      <c r="U3427">
        <v>25459.77</v>
      </c>
      <c r="V3427">
        <v>11324.83</v>
      </c>
      <c r="W3427">
        <v>11456.2</v>
      </c>
      <c r="X3427">
        <v>47583.95</v>
      </c>
      <c r="Y3427">
        <v>36053.120000000003</v>
      </c>
    </row>
    <row r="3428" spans="1:25" x14ac:dyDescent="0.25">
      <c r="A3428" t="s">
        <v>3484</v>
      </c>
      <c r="B3428" s="1">
        <v>45873</v>
      </c>
      <c r="C3428">
        <v>2025</v>
      </c>
      <c r="D3428">
        <v>8</v>
      </c>
      <c r="E3428" t="s">
        <v>814</v>
      </c>
      <c r="F3428" t="s">
        <v>691</v>
      </c>
      <c r="G3428" t="s">
        <v>44</v>
      </c>
      <c r="H3428" t="s">
        <v>32</v>
      </c>
      <c r="I3428" t="s">
        <v>45</v>
      </c>
      <c r="J3428">
        <v>44</v>
      </c>
      <c r="K3428">
        <v>1212.29</v>
      </c>
      <c r="L3428">
        <v>53340.639999999999</v>
      </c>
      <c r="M3428">
        <v>28769.25</v>
      </c>
      <c r="N3428">
        <v>6262.83</v>
      </c>
      <c r="O3428">
        <v>2813.32</v>
      </c>
      <c r="P3428">
        <v>2290.52</v>
      </c>
      <c r="Q3428">
        <v>563.05999999999995</v>
      </c>
      <c r="R3428">
        <v>1637.25</v>
      </c>
      <c r="S3428">
        <v>801.46</v>
      </c>
      <c r="T3428">
        <v>43137.71</v>
      </c>
      <c r="U3428">
        <v>24571.39</v>
      </c>
      <c r="V3428">
        <v>10202.93</v>
      </c>
      <c r="W3428">
        <v>9712.69</v>
      </c>
      <c r="X3428">
        <v>51975.58</v>
      </c>
      <c r="Y3428">
        <v>46115.86</v>
      </c>
    </row>
    <row r="3429" spans="1:25" x14ac:dyDescent="0.25">
      <c r="A3429" t="s">
        <v>3485</v>
      </c>
      <c r="B3429" s="1">
        <v>45873</v>
      </c>
      <c r="C3429">
        <v>2025</v>
      </c>
      <c r="D3429">
        <v>8</v>
      </c>
      <c r="E3429" t="s">
        <v>814</v>
      </c>
      <c r="F3429" t="s">
        <v>691</v>
      </c>
      <c r="G3429" t="s">
        <v>55</v>
      </c>
      <c r="H3429" t="s">
        <v>32</v>
      </c>
      <c r="I3429" t="s">
        <v>39</v>
      </c>
      <c r="J3429">
        <v>33</v>
      </c>
      <c r="K3429">
        <v>1472.24</v>
      </c>
      <c r="L3429">
        <v>48583.97</v>
      </c>
      <c r="M3429">
        <v>23461.09</v>
      </c>
      <c r="N3429">
        <v>5067.6000000000004</v>
      </c>
      <c r="O3429">
        <v>1572.19</v>
      </c>
      <c r="P3429">
        <v>1814.6</v>
      </c>
      <c r="Q3429">
        <v>327.75</v>
      </c>
      <c r="R3429">
        <v>2615.6</v>
      </c>
      <c r="S3429">
        <v>727.24</v>
      </c>
      <c r="T3429">
        <v>35586.06</v>
      </c>
      <c r="U3429">
        <v>25122.880000000001</v>
      </c>
      <c r="V3429">
        <v>12997.91</v>
      </c>
      <c r="W3429">
        <v>12397.61</v>
      </c>
      <c r="X3429">
        <v>53184.11</v>
      </c>
      <c r="Y3429">
        <v>38563.199999999997</v>
      </c>
    </row>
    <row r="3430" spans="1:25" x14ac:dyDescent="0.25">
      <c r="A3430" t="s">
        <v>3486</v>
      </c>
      <c r="B3430" s="1">
        <v>45873</v>
      </c>
      <c r="C3430">
        <v>2025</v>
      </c>
      <c r="D3430">
        <v>8</v>
      </c>
      <c r="E3430" t="s">
        <v>814</v>
      </c>
      <c r="F3430" t="s">
        <v>691</v>
      </c>
      <c r="G3430" t="s">
        <v>28</v>
      </c>
      <c r="H3430" t="s">
        <v>36</v>
      </c>
      <c r="I3430" t="s">
        <v>30</v>
      </c>
      <c r="J3430">
        <v>44</v>
      </c>
      <c r="K3430">
        <v>1578.66</v>
      </c>
      <c r="L3430">
        <v>69461.22</v>
      </c>
      <c r="M3430">
        <v>43823.57</v>
      </c>
      <c r="N3430">
        <v>7606.24</v>
      </c>
      <c r="O3430">
        <v>4735.72</v>
      </c>
      <c r="P3430">
        <v>1511.35</v>
      </c>
      <c r="Q3430">
        <v>926.08</v>
      </c>
      <c r="R3430">
        <v>2508.5500000000002</v>
      </c>
      <c r="S3430">
        <v>1311.39</v>
      </c>
      <c r="T3430">
        <v>62422.9</v>
      </c>
      <c r="U3430">
        <v>25637.65</v>
      </c>
      <c r="V3430">
        <v>7038.32</v>
      </c>
      <c r="W3430">
        <v>7096.63</v>
      </c>
      <c r="X3430">
        <v>65324.99</v>
      </c>
      <c r="Y3430">
        <v>66288.38</v>
      </c>
    </row>
    <row r="3431" spans="1:25" x14ac:dyDescent="0.25">
      <c r="A3431" t="s">
        <v>3487</v>
      </c>
      <c r="B3431" s="1">
        <v>45873</v>
      </c>
      <c r="C3431">
        <v>2025</v>
      </c>
      <c r="D3431">
        <v>8</v>
      </c>
      <c r="E3431" t="s">
        <v>814</v>
      </c>
      <c r="F3431" t="s">
        <v>691</v>
      </c>
      <c r="G3431" t="s">
        <v>35</v>
      </c>
      <c r="H3431" t="s">
        <v>29</v>
      </c>
      <c r="I3431" t="s">
        <v>50</v>
      </c>
      <c r="J3431">
        <v>32</v>
      </c>
      <c r="K3431">
        <v>1597.39</v>
      </c>
      <c r="L3431">
        <v>51116.45</v>
      </c>
      <c r="M3431">
        <v>31047.31</v>
      </c>
      <c r="N3431">
        <v>4514.93</v>
      </c>
      <c r="O3431">
        <v>1956.22</v>
      </c>
      <c r="P3431">
        <v>860.93</v>
      </c>
      <c r="Q3431">
        <v>281.98</v>
      </c>
      <c r="R3431">
        <v>2882.96</v>
      </c>
      <c r="S3431">
        <v>766.56</v>
      </c>
      <c r="T3431">
        <v>42310.879999999997</v>
      </c>
      <c r="U3431">
        <v>20069.14</v>
      </c>
      <c r="V3431">
        <v>8805.58</v>
      </c>
      <c r="W3431">
        <v>8184.9</v>
      </c>
      <c r="X3431">
        <v>49734.68</v>
      </c>
      <c r="Y3431">
        <v>41997.4</v>
      </c>
    </row>
    <row r="3432" spans="1:25" x14ac:dyDescent="0.25">
      <c r="A3432" t="s">
        <v>3488</v>
      </c>
      <c r="B3432" s="1">
        <v>45873</v>
      </c>
      <c r="C3432">
        <v>2025</v>
      </c>
      <c r="D3432">
        <v>8</v>
      </c>
      <c r="E3432" t="s">
        <v>814</v>
      </c>
      <c r="F3432" t="s">
        <v>691</v>
      </c>
      <c r="G3432" t="s">
        <v>35</v>
      </c>
      <c r="H3432" t="s">
        <v>53</v>
      </c>
      <c r="I3432" t="s">
        <v>56</v>
      </c>
      <c r="J3432">
        <v>23</v>
      </c>
      <c r="K3432">
        <v>1327.29</v>
      </c>
      <c r="L3432">
        <v>30527.73</v>
      </c>
      <c r="M3432">
        <v>17780.37</v>
      </c>
      <c r="N3432">
        <v>2943.39</v>
      </c>
      <c r="O3432">
        <v>1782.91</v>
      </c>
      <c r="P3432">
        <v>705.05</v>
      </c>
      <c r="Q3432">
        <v>163.57</v>
      </c>
      <c r="R3432">
        <v>1256.4000000000001</v>
      </c>
      <c r="S3432">
        <v>487.42</v>
      </c>
      <c r="T3432">
        <v>25119.13</v>
      </c>
      <c r="U3432">
        <v>12747.35</v>
      </c>
      <c r="V3432">
        <v>5408.6</v>
      </c>
      <c r="W3432">
        <v>5063.2299999999996</v>
      </c>
      <c r="X3432">
        <v>28108.94</v>
      </c>
      <c r="Y3432">
        <v>27465.49</v>
      </c>
    </row>
    <row r="3433" spans="1:25" x14ac:dyDescent="0.25">
      <c r="A3433" t="s">
        <v>3489</v>
      </c>
      <c r="B3433" s="1">
        <v>45873</v>
      </c>
      <c r="C3433">
        <v>2025</v>
      </c>
      <c r="D3433">
        <v>8</v>
      </c>
      <c r="E3433" t="s">
        <v>814</v>
      </c>
      <c r="F3433" t="s">
        <v>691</v>
      </c>
      <c r="G3433" t="s">
        <v>35</v>
      </c>
      <c r="H3433" t="s">
        <v>36</v>
      </c>
      <c r="I3433" t="s">
        <v>39</v>
      </c>
      <c r="J3433">
        <v>28</v>
      </c>
      <c r="K3433">
        <v>1574.63</v>
      </c>
      <c r="L3433">
        <v>44089.64</v>
      </c>
      <c r="M3433">
        <v>25563.52</v>
      </c>
      <c r="N3433">
        <v>4109.1400000000003</v>
      </c>
      <c r="O3433">
        <v>1254.3399999999999</v>
      </c>
      <c r="P3433">
        <v>1353.14</v>
      </c>
      <c r="Q3433">
        <v>348.44</v>
      </c>
      <c r="R3433">
        <v>2565.5100000000002</v>
      </c>
      <c r="S3433">
        <v>826.01</v>
      </c>
      <c r="T3433">
        <v>36020.1</v>
      </c>
      <c r="U3433">
        <v>18526.12</v>
      </c>
      <c r="V3433">
        <v>8069.54</v>
      </c>
      <c r="W3433">
        <v>8195.2800000000007</v>
      </c>
      <c r="X3433">
        <v>43759.76</v>
      </c>
      <c r="Y3433">
        <v>34152.449999999997</v>
      </c>
    </row>
    <row r="3434" spans="1:25" x14ac:dyDescent="0.25">
      <c r="A3434" t="s">
        <v>3490</v>
      </c>
      <c r="B3434" s="1">
        <v>45873</v>
      </c>
      <c r="C3434">
        <v>2025</v>
      </c>
      <c r="D3434">
        <v>8</v>
      </c>
      <c r="E3434" t="s">
        <v>814</v>
      </c>
      <c r="F3434" t="s">
        <v>691</v>
      </c>
      <c r="G3434" t="s">
        <v>28</v>
      </c>
      <c r="H3434" t="s">
        <v>36</v>
      </c>
      <c r="I3434" t="s">
        <v>30</v>
      </c>
      <c r="J3434">
        <v>77</v>
      </c>
      <c r="K3434">
        <v>1313.82</v>
      </c>
      <c r="L3434">
        <v>101164.13</v>
      </c>
      <c r="M3434">
        <v>68091.210000000006</v>
      </c>
      <c r="N3434">
        <v>9565.25</v>
      </c>
      <c r="O3434">
        <v>4377.1400000000003</v>
      </c>
      <c r="P3434">
        <v>2683.75</v>
      </c>
      <c r="Q3434">
        <v>1379.71</v>
      </c>
      <c r="R3434">
        <v>3186.41</v>
      </c>
      <c r="S3434">
        <v>972.87</v>
      </c>
      <c r="T3434">
        <v>90256.35</v>
      </c>
      <c r="U3434">
        <v>33072.92</v>
      </c>
      <c r="V3434">
        <v>10907.77</v>
      </c>
      <c r="W3434">
        <v>10504.1</v>
      </c>
      <c r="X3434">
        <v>110318.82</v>
      </c>
      <c r="Y3434">
        <v>98549.36</v>
      </c>
    </row>
    <row r="3435" spans="1:25" x14ac:dyDescent="0.25">
      <c r="A3435" t="s">
        <v>3491</v>
      </c>
      <c r="B3435" s="1">
        <v>45873</v>
      </c>
      <c r="C3435">
        <v>2025</v>
      </c>
      <c r="D3435">
        <v>8</v>
      </c>
      <c r="E3435" t="s">
        <v>814</v>
      </c>
      <c r="F3435" t="s">
        <v>691</v>
      </c>
      <c r="G3435" t="s">
        <v>28</v>
      </c>
      <c r="H3435" t="s">
        <v>32</v>
      </c>
      <c r="I3435" t="s">
        <v>30</v>
      </c>
      <c r="J3435">
        <v>73</v>
      </c>
      <c r="K3435">
        <v>1416.22</v>
      </c>
      <c r="L3435">
        <v>103383.85</v>
      </c>
      <c r="M3435">
        <v>51056.9</v>
      </c>
      <c r="N3435">
        <v>11281.4</v>
      </c>
      <c r="O3435">
        <v>4234.37</v>
      </c>
      <c r="P3435">
        <v>3760.04</v>
      </c>
      <c r="Q3435">
        <v>537.66999999999996</v>
      </c>
      <c r="R3435">
        <v>4807.29</v>
      </c>
      <c r="S3435">
        <v>1676.71</v>
      </c>
      <c r="T3435">
        <v>77354.38</v>
      </c>
      <c r="U3435">
        <v>52326.95</v>
      </c>
      <c r="V3435">
        <v>26029.47</v>
      </c>
      <c r="W3435">
        <v>25146.98</v>
      </c>
      <c r="X3435">
        <v>96234.7</v>
      </c>
      <c r="Y3435">
        <v>76539.679999999993</v>
      </c>
    </row>
    <row r="3436" spans="1:25" x14ac:dyDescent="0.25">
      <c r="A3436" t="s">
        <v>3492</v>
      </c>
      <c r="B3436" s="1">
        <v>45874</v>
      </c>
      <c r="C3436">
        <v>2025</v>
      </c>
      <c r="D3436">
        <v>8</v>
      </c>
      <c r="E3436" t="s">
        <v>814</v>
      </c>
      <c r="F3436" t="s">
        <v>691</v>
      </c>
      <c r="G3436" t="s">
        <v>55</v>
      </c>
      <c r="H3436" t="s">
        <v>53</v>
      </c>
      <c r="I3436" t="s">
        <v>65</v>
      </c>
      <c r="J3436">
        <v>42</v>
      </c>
      <c r="K3436">
        <v>1300.72</v>
      </c>
      <c r="L3436">
        <v>54630.36</v>
      </c>
      <c r="M3436">
        <v>29216.79</v>
      </c>
      <c r="N3436">
        <v>5891.08</v>
      </c>
      <c r="O3436">
        <v>1646.74</v>
      </c>
      <c r="P3436">
        <v>1722.06</v>
      </c>
      <c r="Q3436">
        <v>580.26</v>
      </c>
      <c r="R3436">
        <v>3453.13</v>
      </c>
      <c r="S3436">
        <v>1091.47</v>
      </c>
      <c r="T3436">
        <v>43601.52</v>
      </c>
      <c r="U3436">
        <v>25413.58</v>
      </c>
      <c r="V3436">
        <v>11028.84</v>
      </c>
      <c r="W3436">
        <v>9873.76</v>
      </c>
      <c r="X3436">
        <v>50501.54</v>
      </c>
      <c r="Y3436">
        <v>42497.63</v>
      </c>
    </row>
    <row r="3437" spans="1:25" x14ac:dyDescent="0.25">
      <c r="A3437" t="s">
        <v>3493</v>
      </c>
      <c r="B3437" s="1">
        <v>45874</v>
      </c>
      <c r="C3437">
        <v>2025</v>
      </c>
      <c r="D3437">
        <v>8</v>
      </c>
      <c r="E3437" t="s">
        <v>814</v>
      </c>
      <c r="F3437" t="s">
        <v>691</v>
      </c>
      <c r="G3437" t="s">
        <v>28</v>
      </c>
      <c r="H3437" t="s">
        <v>36</v>
      </c>
      <c r="I3437" t="s">
        <v>65</v>
      </c>
      <c r="J3437">
        <v>37</v>
      </c>
      <c r="K3437">
        <v>1487.75</v>
      </c>
      <c r="L3437">
        <v>55046.6</v>
      </c>
      <c r="M3437">
        <v>32081.86</v>
      </c>
      <c r="N3437">
        <v>4313.9399999999996</v>
      </c>
      <c r="O3437">
        <v>2554.8200000000002</v>
      </c>
      <c r="P3437">
        <v>1125.98</v>
      </c>
      <c r="Q3437">
        <v>838.39</v>
      </c>
      <c r="R3437">
        <v>2596.39</v>
      </c>
      <c r="S3437">
        <v>1214.31</v>
      </c>
      <c r="T3437">
        <v>44725.69</v>
      </c>
      <c r="U3437">
        <v>22964.75</v>
      </c>
      <c r="V3437">
        <v>10320.92</v>
      </c>
      <c r="W3437">
        <v>10305.200000000001</v>
      </c>
      <c r="X3437">
        <v>51969.27</v>
      </c>
      <c r="Y3437">
        <v>48061.26</v>
      </c>
    </row>
    <row r="3438" spans="1:25" x14ac:dyDescent="0.25">
      <c r="A3438" t="s">
        <v>3494</v>
      </c>
      <c r="B3438" s="1">
        <v>45874</v>
      </c>
      <c r="C3438">
        <v>2025</v>
      </c>
      <c r="D3438">
        <v>8</v>
      </c>
      <c r="E3438" t="s">
        <v>814</v>
      </c>
      <c r="F3438" t="s">
        <v>691</v>
      </c>
      <c r="G3438" t="s">
        <v>35</v>
      </c>
      <c r="H3438" t="s">
        <v>32</v>
      </c>
      <c r="I3438" t="s">
        <v>30</v>
      </c>
      <c r="J3438">
        <v>96</v>
      </c>
      <c r="K3438">
        <v>1209.19</v>
      </c>
      <c r="L3438">
        <v>116082.11</v>
      </c>
      <c r="M3438">
        <v>59558.7</v>
      </c>
      <c r="N3438">
        <v>14283.89</v>
      </c>
      <c r="O3438">
        <v>3095.4</v>
      </c>
      <c r="P3438">
        <v>2157.34</v>
      </c>
      <c r="Q3438">
        <v>1774.14</v>
      </c>
      <c r="R3438">
        <v>6771.17</v>
      </c>
      <c r="S3438">
        <v>2678.37</v>
      </c>
      <c r="T3438">
        <v>90319.01</v>
      </c>
      <c r="U3438">
        <v>56523.41</v>
      </c>
      <c r="V3438">
        <v>25763.1</v>
      </c>
      <c r="W3438">
        <v>25626.78</v>
      </c>
      <c r="X3438">
        <v>126692.84</v>
      </c>
      <c r="Y3438">
        <v>92848.91</v>
      </c>
    </row>
    <row r="3439" spans="1:25" x14ac:dyDescent="0.25">
      <c r="A3439" t="s">
        <v>3495</v>
      </c>
      <c r="B3439" s="1">
        <v>45874</v>
      </c>
      <c r="C3439">
        <v>2025</v>
      </c>
      <c r="D3439">
        <v>8</v>
      </c>
      <c r="E3439" t="s">
        <v>814</v>
      </c>
      <c r="F3439" t="s">
        <v>691</v>
      </c>
      <c r="G3439" t="s">
        <v>28</v>
      </c>
      <c r="H3439" t="s">
        <v>58</v>
      </c>
      <c r="I3439" t="s">
        <v>65</v>
      </c>
      <c r="J3439">
        <v>36</v>
      </c>
      <c r="K3439">
        <v>1662.19</v>
      </c>
      <c r="L3439">
        <v>59838.89</v>
      </c>
      <c r="M3439">
        <v>40046.65</v>
      </c>
      <c r="N3439">
        <v>5095.3100000000004</v>
      </c>
      <c r="O3439">
        <v>4389.99</v>
      </c>
      <c r="P3439">
        <v>2314.83</v>
      </c>
      <c r="Q3439">
        <v>665.14</v>
      </c>
      <c r="R3439">
        <v>1827.9</v>
      </c>
      <c r="S3439">
        <v>633.38</v>
      </c>
      <c r="T3439">
        <v>54973.2</v>
      </c>
      <c r="U3439">
        <v>19792.240000000002</v>
      </c>
      <c r="V3439">
        <v>4865.6899999999996</v>
      </c>
      <c r="W3439">
        <v>4322.09</v>
      </c>
      <c r="X3439">
        <v>56735.81</v>
      </c>
      <c r="Y3439">
        <v>56305.08</v>
      </c>
    </row>
    <row r="3440" spans="1:25" x14ac:dyDescent="0.25">
      <c r="A3440" t="s">
        <v>3496</v>
      </c>
      <c r="B3440" s="1">
        <v>45875</v>
      </c>
      <c r="C3440">
        <v>2025</v>
      </c>
      <c r="D3440">
        <v>8</v>
      </c>
      <c r="E3440" t="s">
        <v>814</v>
      </c>
      <c r="F3440" t="s">
        <v>691</v>
      </c>
      <c r="G3440" t="s">
        <v>55</v>
      </c>
      <c r="H3440" t="s">
        <v>32</v>
      </c>
      <c r="I3440" t="s">
        <v>39</v>
      </c>
      <c r="J3440">
        <v>45</v>
      </c>
      <c r="K3440">
        <v>1372.85</v>
      </c>
      <c r="L3440">
        <v>61778.400000000001</v>
      </c>
      <c r="M3440">
        <v>37480.82</v>
      </c>
      <c r="N3440">
        <v>6743.55</v>
      </c>
      <c r="O3440">
        <v>4126.58</v>
      </c>
      <c r="P3440">
        <v>1302.3900000000001</v>
      </c>
      <c r="Q3440">
        <v>591</v>
      </c>
      <c r="R3440">
        <v>2288.9699999999998</v>
      </c>
      <c r="S3440">
        <v>741.84</v>
      </c>
      <c r="T3440">
        <v>53275.15</v>
      </c>
      <c r="U3440">
        <v>24297.58</v>
      </c>
      <c r="V3440">
        <v>8503.24</v>
      </c>
      <c r="W3440">
        <v>8622.75</v>
      </c>
      <c r="X3440">
        <v>62695.31</v>
      </c>
      <c r="Y3440">
        <v>52935.61</v>
      </c>
    </row>
    <row r="3441" spans="1:25" x14ac:dyDescent="0.25">
      <c r="A3441" t="s">
        <v>3497</v>
      </c>
      <c r="B3441" s="1">
        <v>45875</v>
      </c>
      <c r="C3441">
        <v>2025</v>
      </c>
      <c r="D3441">
        <v>8</v>
      </c>
      <c r="E3441" t="s">
        <v>814</v>
      </c>
      <c r="F3441" t="s">
        <v>691</v>
      </c>
      <c r="G3441" t="s">
        <v>44</v>
      </c>
      <c r="H3441" t="s">
        <v>58</v>
      </c>
      <c r="I3441" t="s">
        <v>50</v>
      </c>
      <c r="J3441">
        <v>29</v>
      </c>
      <c r="K3441">
        <v>1751.46</v>
      </c>
      <c r="L3441">
        <v>50792.47</v>
      </c>
      <c r="M3441">
        <v>30862.92</v>
      </c>
      <c r="N3441">
        <v>5302.14</v>
      </c>
      <c r="O3441">
        <v>3690.59</v>
      </c>
      <c r="P3441">
        <v>1122.1099999999999</v>
      </c>
      <c r="Q3441">
        <v>551.94000000000005</v>
      </c>
      <c r="R3441">
        <v>2088.17</v>
      </c>
      <c r="S3441">
        <v>845.14</v>
      </c>
      <c r="T3441">
        <v>44463</v>
      </c>
      <c r="U3441">
        <v>19929.55</v>
      </c>
      <c r="V3441">
        <v>6329.46</v>
      </c>
      <c r="W3441">
        <v>6132.58</v>
      </c>
      <c r="X3441">
        <v>50590.58</v>
      </c>
      <c r="Y3441">
        <v>45667.05</v>
      </c>
    </row>
    <row r="3442" spans="1:25" x14ac:dyDescent="0.25">
      <c r="A3442" t="s">
        <v>3498</v>
      </c>
      <c r="B3442" s="1">
        <v>45876</v>
      </c>
      <c r="C3442">
        <v>2025</v>
      </c>
      <c r="D3442">
        <v>8</v>
      </c>
      <c r="E3442" t="s">
        <v>814</v>
      </c>
      <c r="F3442" t="s">
        <v>691</v>
      </c>
      <c r="G3442" t="s">
        <v>44</v>
      </c>
      <c r="H3442" t="s">
        <v>36</v>
      </c>
      <c r="I3442" t="s">
        <v>37</v>
      </c>
      <c r="J3442">
        <v>55</v>
      </c>
      <c r="K3442">
        <v>1354.64</v>
      </c>
      <c r="L3442">
        <v>74505.070000000007</v>
      </c>
      <c r="M3442">
        <v>48130.27</v>
      </c>
      <c r="N3442">
        <v>5817.18</v>
      </c>
      <c r="O3442">
        <v>2678.54</v>
      </c>
      <c r="P3442">
        <v>1843.4</v>
      </c>
      <c r="Q3442">
        <v>536.74</v>
      </c>
      <c r="R3442">
        <v>4203.58</v>
      </c>
      <c r="S3442">
        <v>1472.9</v>
      </c>
      <c r="T3442">
        <v>64682.6</v>
      </c>
      <c r="U3442">
        <v>26374.799999999999</v>
      </c>
      <c r="V3442">
        <v>9822.4699999999993</v>
      </c>
      <c r="W3442">
        <v>8784.5400000000009</v>
      </c>
      <c r="X3442">
        <v>79982.960000000006</v>
      </c>
      <c r="Y3442">
        <v>63871.43</v>
      </c>
    </row>
    <row r="3443" spans="1:25" x14ac:dyDescent="0.25">
      <c r="A3443" t="s">
        <v>3499</v>
      </c>
      <c r="B3443" s="1">
        <v>45876</v>
      </c>
      <c r="C3443">
        <v>2025</v>
      </c>
      <c r="D3443">
        <v>8</v>
      </c>
      <c r="E3443" t="s">
        <v>814</v>
      </c>
      <c r="F3443" t="s">
        <v>691</v>
      </c>
      <c r="G3443" t="s">
        <v>28</v>
      </c>
      <c r="H3443" t="s">
        <v>32</v>
      </c>
      <c r="I3443" t="s">
        <v>37</v>
      </c>
      <c r="J3443">
        <v>103</v>
      </c>
      <c r="K3443">
        <v>1007.9</v>
      </c>
      <c r="L3443">
        <v>103814.01</v>
      </c>
      <c r="M3443">
        <v>68588.740000000005</v>
      </c>
      <c r="N3443">
        <v>8085.81</v>
      </c>
      <c r="O3443">
        <v>5254.31</v>
      </c>
      <c r="P3443">
        <v>2954.75</v>
      </c>
      <c r="Q3443">
        <v>679.55</v>
      </c>
      <c r="R3443">
        <v>4341.3100000000004</v>
      </c>
      <c r="S3443">
        <v>1890.35</v>
      </c>
      <c r="T3443">
        <v>91794.82</v>
      </c>
      <c r="U3443">
        <v>35225.269999999997</v>
      </c>
      <c r="V3443">
        <v>12019.19</v>
      </c>
      <c r="W3443">
        <v>11426.32</v>
      </c>
      <c r="X3443">
        <v>115901.61</v>
      </c>
      <c r="Y3443">
        <v>97907.96</v>
      </c>
    </row>
    <row r="3444" spans="1:25" x14ac:dyDescent="0.25">
      <c r="A3444" t="s">
        <v>3500</v>
      </c>
      <c r="B3444" s="1">
        <v>45877</v>
      </c>
      <c r="C3444">
        <v>2025</v>
      </c>
      <c r="D3444">
        <v>8</v>
      </c>
      <c r="E3444" t="s">
        <v>814</v>
      </c>
      <c r="F3444" t="s">
        <v>691</v>
      </c>
      <c r="G3444" t="s">
        <v>35</v>
      </c>
      <c r="H3444" t="s">
        <v>32</v>
      </c>
      <c r="I3444" t="s">
        <v>45</v>
      </c>
      <c r="J3444">
        <v>69</v>
      </c>
      <c r="K3444">
        <v>839.88</v>
      </c>
      <c r="L3444">
        <v>57951.46</v>
      </c>
      <c r="M3444">
        <v>32324.01</v>
      </c>
      <c r="N3444">
        <v>5717.21</v>
      </c>
      <c r="O3444">
        <v>3983.23</v>
      </c>
      <c r="P3444">
        <v>1379.45</v>
      </c>
      <c r="Q3444">
        <v>586.21</v>
      </c>
      <c r="R3444">
        <v>2850.77</v>
      </c>
      <c r="S3444">
        <v>666.64</v>
      </c>
      <c r="T3444">
        <v>47507.51</v>
      </c>
      <c r="U3444">
        <v>25627.45</v>
      </c>
      <c r="V3444">
        <v>10443.950000000001</v>
      </c>
      <c r="W3444">
        <v>10174.14</v>
      </c>
      <c r="X3444">
        <v>61404.18</v>
      </c>
      <c r="Y3444">
        <v>50868.54</v>
      </c>
    </row>
    <row r="3445" spans="1:25" x14ac:dyDescent="0.25">
      <c r="A3445" t="s">
        <v>3501</v>
      </c>
      <c r="B3445" s="1">
        <v>45877</v>
      </c>
      <c r="C3445">
        <v>2025</v>
      </c>
      <c r="D3445">
        <v>8</v>
      </c>
      <c r="E3445" t="s">
        <v>814</v>
      </c>
      <c r="F3445" t="s">
        <v>691</v>
      </c>
      <c r="G3445" t="s">
        <v>28</v>
      </c>
      <c r="H3445" t="s">
        <v>32</v>
      </c>
      <c r="I3445" t="s">
        <v>65</v>
      </c>
      <c r="J3445">
        <v>47</v>
      </c>
      <c r="K3445">
        <v>1329.19</v>
      </c>
      <c r="L3445">
        <v>62471.81</v>
      </c>
      <c r="M3445">
        <v>37924.910000000003</v>
      </c>
      <c r="N3445">
        <v>6905.14</v>
      </c>
      <c r="O3445">
        <v>2223.67</v>
      </c>
      <c r="P3445">
        <v>1012.06</v>
      </c>
      <c r="Q3445">
        <v>811.07</v>
      </c>
      <c r="R3445">
        <v>1822.63</v>
      </c>
      <c r="S3445">
        <v>530.30999999999995</v>
      </c>
      <c r="T3445">
        <v>51229.78</v>
      </c>
      <c r="U3445">
        <v>24546.9</v>
      </c>
      <c r="V3445">
        <v>11242.04</v>
      </c>
      <c r="W3445">
        <v>10067.91</v>
      </c>
      <c r="X3445">
        <v>58579.08</v>
      </c>
      <c r="Y3445">
        <v>54370.22</v>
      </c>
    </row>
    <row r="3446" spans="1:25" x14ac:dyDescent="0.25">
      <c r="A3446" t="s">
        <v>3502</v>
      </c>
      <c r="B3446" s="1">
        <v>45877</v>
      </c>
      <c r="C3446">
        <v>2025</v>
      </c>
      <c r="D3446">
        <v>8</v>
      </c>
      <c r="E3446" t="s">
        <v>814</v>
      </c>
      <c r="F3446" t="s">
        <v>691</v>
      </c>
      <c r="G3446" t="s">
        <v>28</v>
      </c>
      <c r="H3446" t="s">
        <v>58</v>
      </c>
      <c r="I3446" t="s">
        <v>33</v>
      </c>
      <c r="J3446">
        <v>64</v>
      </c>
      <c r="K3446">
        <v>1290.0999999999999</v>
      </c>
      <c r="L3446">
        <v>82566.19</v>
      </c>
      <c r="M3446">
        <v>40863.879999999997</v>
      </c>
      <c r="N3446">
        <v>7242.67</v>
      </c>
      <c r="O3446">
        <v>4982.2</v>
      </c>
      <c r="P3446">
        <v>3177.48</v>
      </c>
      <c r="Q3446">
        <v>1141.97</v>
      </c>
      <c r="R3446">
        <v>2221.62</v>
      </c>
      <c r="S3446">
        <v>1213.4100000000001</v>
      </c>
      <c r="T3446">
        <v>60843.24</v>
      </c>
      <c r="U3446">
        <v>41702.32</v>
      </c>
      <c r="V3446">
        <v>21722.95</v>
      </c>
      <c r="W3446">
        <v>19689.650000000001</v>
      </c>
      <c r="X3446">
        <v>88516.479999999996</v>
      </c>
      <c r="Y3446">
        <v>66660.149999999994</v>
      </c>
    </row>
    <row r="3447" spans="1:25" x14ac:dyDescent="0.25">
      <c r="A3447" t="s">
        <v>3503</v>
      </c>
      <c r="B3447" s="1">
        <v>45877</v>
      </c>
      <c r="C3447">
        <v>2025</v>
      </c>
      <c r="D3447">
        <v>8</v>
      </c>
      <c r="E3447" t="s">
        <v>814</v>
      </c>
      <c r="F3447" t="s">
        <v>691</v>
      </c>
      <c r="G3447" t="s">
        <v>28</v>
      </c>
      <c r="H3447" t="s">
        <v>32</v>
      </c>
      <c r="I3447" t="s">
        <v>33</v>
      </c>
      <c r="J3447">
        <v>68</v>
      </c>
      <c r="K3447">
        <v>1421.57</v>
      </c>
      <c r="L3447">
        <v>96666.95</v>
      </c>
      <c r="M3447">
        <v>65522.720000000001</v>
      </c>
      <c r="N3447">
        <v>12380.09</v>
      </c>
      <c r="O3447">
        <v>6589.56</v>
      </c>
      <c r="P3447">
        <v>2814.04</v>
      </c>
      <c r="Q3447">
        <v>1203.29</v>
      </c>
      <c r="R3447">
        <v>5428.33</v>
      </c>
      <c r="S3447">
        <v>1583.07</v>
      </c>
      <c r="T3447">
        <v>95521.1</v>
      </c>
      <c r="U3447">
        <v>31144.23</v>
      </c>
      <c r="V3447">
        <v>1145.8399999999999</v>
      </c>
      <c r="W3447">
        <v>1142.17</v>
      </c>
      <c r="X3447">
        <v>91397.3</v>
      </c>
      <c r="Y3447">
        <v>103244.71</v>
      </c>
    </row>
    <row r="3448" spans="1:25" x14ac:dyDescent="0.25">
      <c r="A3448" t="s">
        <v>3504</v>
      </c>
      <c r="B3448" s="1">
        <v>45878</v>
      </c>
      <c r="C3448">
        <v>2025</v>
      </c>
      <c r="D3448">
        <v>8</v>
      </c>
      <c r="E3448" t="s">
        <v>814</v>
      </c>
      <c r="F3448" t="s">
        <v>691</v>
      </c>
      <c r="G3448" t="s">
        <v>28</v>
      </c>
      <c r="H3448" t="s">
        <v>29</v>
      </c>
      <c r="I3448" t="s">
        <v>45</v>
      </c>
      <c r="J3448">
        <v>66</v>
      </c>
      <c r="K3448">
        <v>810.92</v>
      </c>
      <c r="L3448">
        <v>53520.46</v>
      </c>
      <c r="M3448">
        <v>35783.24</v>
      </c>
      <c r="N3448">
        <v>4433.76</v>
      </c>
      <c r="O3448">
        <v>3829.12</v>
      </c>
      <c r="P3448">
        <v>1075.93</v>
      </c>
      <c r="Q3448">
        <v>656.86</v>
      </c>
      <c r="R3448">
        <v>2892.16</v>
      </c>
      <c r="S3448">
        <v>1190.46</v>
      </c>
      <c r="T3448">
        <v>49861.55</v>
      </c>
      <c r="U3448">
        <v>17737.21</v>
      </c>
      <c r="V3448">
        <v>3658.91</v>
      </c>
      <c r="W3448">
        <v>3514.43</v>
      </c>
      <c r="X3448">
        <v>55032.47</v>
      </c>
      <c r="Y3448">
        <v>51885.73</v>
      </c>
    </row>
    <row r="3449" spans="1:25" x14ac:dyDescent="0.25">
      <c r="A3449" t="s">
        <v>3505</v>
      </c>
      <c r="B3449" s="1">
        <v>45878</v>
      </c>
      <c r="C3449">
        <v>2025</v>
      </c>
      <c r="D3449">
        <v>8</v>
      </c>
      <c r="E3449" t="s">
        <v>814</v>
      </c>
      <c r="F3449" t="s">
        <v>691</v>
      </c>
      <c r="G3449" t="s">
        <v>28</v>
      </c>
      <c r="H3449" t="s">
        <v>53</v>
      </c>
      <c r="I3449" t="s">
        <v>50</v>
      </c>
      <c r="J3449">
        <v>24</v>
      </c>
      <c r="K3449">
        <v>1653.26</v>
      </c>
      <c r="L3449">
        <v>39678.160000000003</v>
      </c>
      <c r="M3449">
        <v>24559.11</v>
      </c>
      <c r="N3449">
        <v>4966.7</v>
      </c>
      <c r="O3449">
        <v>2731.1</v>
      </c>
      <c r="P3449">
        <v>1430.91</v>
      </c>
      <c r="Q3449">
        <v>495.57</v>
      </c>
      <c r="R3449">
        <v>2426.63</v>
      </c>
      <c r="S3449">
        <v>761.68</v>
      </c>
      <c r="T3449">
        <v>37371.71</v>
      </c>
      <c r="U3449">
        <v>15119.05</v>
      </c>
      <c r="V3449">
        <v>2306.4499999999998</v>
      </c>
      <c r="W3449">
        <v>2094.86</v>
      </c>
      <c r="X3449">
        <v>43370.8</v>
      </c>
      <c r="Y3449">
        <v>39850.22</v>
      </c>
    </row>
    <row r="3450" spans="1:25" x14ac:dyDescent="0.25">
      <c r="A3450" t="s">
        <v>3506</v>
      </c>
      <c r="B3450" s="1">
        <v>45878</v>
      </c>
      <c r="C3450">
        <v>2025</v>
      </c>
      <c r="D3450">
        <v>8</v>
      </c>
      <c r="E3450" t="s">
        <v>814</v>
      </c>
      <c r="F3450" t="s">
        <v>691</v>
      </c>
      <c r="G3450" t="s">
        <v>55</v>
      </c>
      <c r="H3450" t="s">
        <v>32</v>
      </c>
      <c r="I3450" t="s">
        <v>45</v>
      </c>
      <c r="J3450">
        <v>31</v>
      </c>
      <c r="K3450">
        <v>1704.5</v>
      </c>
      <c r="L3450">
        <v>52839.47</v>
      </c>
      <c r="M3450">
        <v>26796.13</v>
      </c>
      <c r="N3450">
        <v>6258.03</v>
      </c>
      <c r="O3450">
        <v>1404.05</v>
      </c>
      <c r="P3450">
        <v>1675.48</v>
      </c>
      <c r="Q3450">
        <v>620.01</v>
      </c>
      <c r="R3450">
        <v>2146.11</v>
      </c>
      <c r="S3450">
        <v>662.56</v>
      </c>
      <c r="T3450">
        <v>39562.36</v>
      </c>
      <c r="U3450">
        <v>26043.34</v>
      </c>
      <c r="V3450">
        <v>13277.11</v>
      </c>
      <c r="W3450">
        <v>11970.55</v>
      </c>
      <c r="X3450">
        <v>54300.68</v>
      </c>
      <c r="Y3450">
        <v>40059.870000000003</v>
      </c>
    </row>
    <row r="3451" spans="1:25" x14ac:dyDescent="0.25">
      <c r="A3451" t="s">
        <v>3507</v>
      </c>
      <c r="B3451" s="1">
        <v>45878</v>
      </c>
      <c r="C3451">
        <v>2025</v>
      </c>
      <c r="D3451">
        <v>8</v>
      </c>
      <c r="E3451" t="s">
        <v>814</v>
      </c>
      <c r="F3451" t="s">
        <v>691</v>
      </c>
      <c r="G3451" t="s">
        <v>35</v>
      </c>
      <c r="H3451" t="s">
        <v>36</v>
      </c>
      <c r="I3451" t="s">
        <v>56</v>
      </c>
      <c r="J3451">
        <v>19</v>
      </c>
      <c r="K3451">
        <v>1655.67</v>
      </c>
      <c r="L3451">
        <v>31457.68</v>
      </c>
      <c r="M3451">
        <v>18775.689999999999</v>
      </c>
      <c r="N3451">
        <v>3134.05</v>
      </c>
      <c r="O3451">
        <v>813.58</v>
      </c>
      <c r="P3451">
        <v>663.42</v>
      </c>
      <c r="Q3451">
        <v>445.75</v>
      </c>
      <c r="R3451">
        <v>950.36</v>
      </c>
      <c r="S3451">
        <v>390.65</v>
      </c>
      <c r="T3451">
        <v>25173.5</v>
      </c>
      <c r="U3451">
        <v>12681.99</v>
      </c>
      <c r="V3451">
        <v>6284.19</v>
      </c>
      <c r="W3451">
        <v>5992.41</v>
      </c>
      <c r="X3451">
        <v>34396.629999999997</v>
      </c>
      <c r="Y3451">
        <v>23906.16</v>
      </c>
    </row>
    <row r="3452" spans="1:25" x14ac:dyDescent="0.25">
      <c r="A3452" t="s">
        <v>3508</v>
      </c>
      <c r="B3452" s="1">
        <v>45878</v>
      </c>
      <c r="C3452">
        <v>2025</v>
      </c>
      <c r="D3452">
        <v>8</v>
      </c>
      <c r="E3452" t="s">
        <v>814</v>
      </c>
      <c r="F3452" t="s">
        <v>691</v>
      </c>
      <c r="G3452" t="s">
        <v>35</v>
      </c>
      <c r="H3452" t="s">
        <v>29</v>
      </c>
      <c r="I3452" t="s">
        <v>39</v>
      </c>
      <c r="J3452">
        <v>39</v>
      </c>
      <c r="K3452">
        <v>1079.3699999999999</v>
      </c>
      <c r="L3452">
        <v>42095.4</v>
      </c>
      <c r="M3452">
        <v>25323.32</v>
      </c>
      <c r="N3452">
        <v>3489.98</v>
      </c>
      <c r="O3452">
        <v>2629.79</v>
      </c>
      <c r="P3452">
        <v>1591.77</v>
      </c>
      <c r="Q3452">
        <v>451.76</v>
      </c>
      <c r="R3452">
        <v>1068.74</v>
      </c>
      <c r="S3452">
        <v>798.29</v>
      </c>
      <c r="T3452">
        <v>35353.64</v>
      </c>
      <c r="U3452">
        <v>16772.07</v>
      </c>
      <c r="V3452">
        <v>6741.76</v>
      </c>
      <c r="W3452">
        <v>6873.58</v>
      </c>
      <c r="X3452">
        <v>44148.63</v>
      </c>
      <c r="Y3452">
        <v>36959.230000000003</v>
      </c>
    </row>
    <row r="3453" spans="1:25" x14ac:dyDescent="0.25">
      <c r="A3453" t="s">
        <v>3509</v>
      </c>
      <c r="B3453" s="1">
        <v>45878</v>
      </c>
      <c r="C3453">
        <v>2025</v>
      </c>
      <c r="D3453">
        <v>8</v>
      </c>
      <c r="E3453" t="s">
        <v>814</v>
      </c>
      <c r="F3453" t="s">
        <v>691</v>
      </c>
      <c r="G3453" t="s">
        <v>44</v>
      </c>
      <c r="H3453" t="s">
        <v>32</v>
      </c>
      <c r="I3453" t="s">
        <v>33</v>
      </c>
      <c r="J3453">
        <v>50</v>
      </c>
      <c r="K3453">
        <v>1477.23</v>
      </c>
      <c r="L3453">
        <v>73861.710000000006</v>
      </c>
      <c r="M3453">
        <v>37289.949999999997</v>
      </c>
      <c r="N3453">
        <v>6685.23</v>
      </c>
      <c r="O3453">
        <v>3603.63</v>
      </c>
      <c r="P3453">
        <v>1296.8</v>
      </c>
      <c r="Q3453">
        <v>1295.95</v>
      </c>
      <c r="R3453">
        <v>3733.08</v>
      </c>
      <c r="S3453">
        <v>1704.01</v>
      </c>
      <c r="T3453">
        <v>55608.639999999999</v>
      </c>
      <c r="U3453">
        <v>36571.769999999997</v>
      </c>
      <c r="V3453">
        <v>18253.07</v>
      </c>
      <c r="W3453">
        <v>18598.099999999999</v>
      </c>
      <c r="X3453">
        <v>75638.73</v>
      </c>
      <c r="Y3453">
        <v>59986.16</v>
      </c>
    </row>
    <row r="3454" spans="1:25" x14ac:dyDescent="0.25">
      <c r="A3454" t="s">
        <v>3510</v>
      </c>
      <c r="B3454" s="1">
        <v>45879</v>
      </c>
      <c r="C3454">
        <v>2025</v>
      </c>
      <c r="D3454">
        <v>8</v>
      </c>
      <c r="E3454" t="s">
        <v>814</v>
      </c>
      <c r="F3454" t="s">
        <v>691</v>
      </c>
      <c r="G3454" t="s">
        <v>28</v>
      </c>
      <c r="H3454" t="s">
        <v>29</v>
      </c>
      <c r="I3454" t="s">
        <v>45</v>
      </c>
      <c r="J3454">
        <v>26</v>
      </c>
      <c r="K3454">
        <v>1546.93</v>
      </c>
      <c r="L3454">
        <v>40220.29</v>
      </c>
      <c r="M3454">
        <v>26377.1</v>
      </c>
      <c r="N3454">
        <v>4255.5600000000004</v>
      </c>
      <c r="O3454">
        <v>1138.44</v>
      </c>
      <c r="P3454">
        <v>1423.18</v>
      </c>
      <c r="Q3454">
        <v>688.01</v>
      </c>
      <c r="R3454">
        <v>1485.86</v>
      </c>
      <c r="S3454">
        <v>428.97</v>
      </c>
      <c r="T3454">
        <v>35797.129999999997</v>
      </c>
      <c r="U3454">
        <v>13843.19</v>
      </c>
      <c r="V3454">
        <v>4423.16</v>
      </c>
      <c r="W3454">
        <v>4255.7700000000004</v>
      </c>
      <c r="X3454">
        <v>37411.86</v>
      </c>
      <c r="Y3454">
        <v>37532.660000000003</v>
      </c>
    </row>
    <row r="3455" spans="1:25" x14ac:dyDescent="0.25">
      <c r="A3455" t="s">
        <v>3511</v>
      </c>
      <c r="B3455" s="1">
        <v>45879</v>
      </c>
      <c r="C3455">
        <v>2025</v>
      </c>
      <c r="D3455">
        <v>8</v>
      </c>
      <c r="E3455" t="s">
        <v>814</v>
      </c>
      <c r="F3455" t="s">
        <v>691</v>
      </c>
      <c r="G3455" t="s">
        <v>28</v>
      </c>
      <c r="H3455" t="s">
        <v>53</v>
      </c>
      <c r="I3455" t="s">
        <v>50</v>
      </c>
      <c r="J3455">
        <v>30</v>
      </c>
      <c r="K3455">
        <v>1397.02</v>
      </c>
      <c r="L3455">
        <v>41910.69</v>
      </c>
      <c r="M3455">
        <v>22557.07</v>
      </c>
      <c r="N3455">
        <v>4428.78</v>
      </c>
      <c r="O3455">
        <v>1090.3699999999999</v>
      </c>
      <c r="P3455">
        <v>1433.29</v>
      </c>
      <c r="Q3455">
        <v>565.1</v>
      </c>
      <c r="R3455">
        <v>2127.38</v>
      </c>
      <c r="S3455">
        <v>714.22</v>
      </c>
      <c r="T3455">
        <v>32916.21</v>
      </c>
      <c r="U3455">
        <v>19353.63</v>
      </c>
      <c r="V3455">
        <v>8994.48</v>
      </c>
      <c r="W3455">
        <v>8494.7800000000007</v>
      </c>
      <c r="X3455">
        <v>38751.51</v>
      </c>
      <c r="Y3455">
        <v>34151.94</v>
      </c>
    </row>
    <row r="3456" spans="1:25" x14ac:dyDescent="0.25">
      <c r="A3456" t="s">
        <v>3512</v>
      </c>
      <c r="B3456" s="1">
        <v>45880</v>
      </c>
      <c r="C3456">
        <v>2025</v>
      </c>
      <c r="D3456">
        <v>8</v>
      </c>
      <c r="E3456" t="s">
        <v>814</v>
      </c>
      <c r="F3456" t="s">
        <v>691</v>
      </c>
      <c r="G3456" t="s">
        <v>44</v>
      </c>
      <c r="H3456" t="s">
        <v>36</v>
      </c>
      <c r="I3456" t="s">
        <v>37</v>
      </c>
      <c r="J3456">
        <v>40</v>
      </c>
      <c r="K3456">
        <v>1792.04</v>
      </c>
      <c r="L3456">
        <v>71681.75</v>
      </c>
      <c r="M3456">
        <v>41961.66</v>
      </c>
      <c r="N3456">
        <v>6467.97</v>
      </c>
      <c r="O3456">
        <v>1806.67</v>
      </c>
      <c r="P3456">
        <v>1203.01</v>
      </c>
      <c r="Q3456">
        <v>1149.77</v>
      </c>
      <c r="R3456">
        <v>2692.53</v>
      </c>
      <c r="S3456">
        <v>1410.68</v>
      </c>
      <c r="T3456">
        <v>56692.28</v>
      </c>
      <c r="U3456">
        <v>29720.1</v>
      </c>
      <c r="V3456">
        <v>14989.47</v>
      </c>
      <c r="W3456">
        <v>13223.01</v>
      </c>
      <c r="X3456">
        <v>67100.19</v>
      </c>
      <c r="Y3456">
        <v>61843.39</v>
      </c>
    </row>
    <row r="3457" spans="1:25" x14ac:dyDescent="0.25">
      <c r="A3457" t="s">
        <v>3513</v>
      </c>
      <c r="B3457" s="1">
        <v>45880</v>
      </c>
      <c r="C3457">
        <v>2025</v>
      </c>
      <c r="D3457">
        <v>8</v>
      </c>
      <c r="E3457" t="s">
        <v>814</v>
      </c>
      <c r="F3457" t="s">
        <v>691</v>
      </c>
      <c r="G3457" t="s">
        <v>35</v>
      </c>
      <c r="H3457" t="s">
        <v>29</v>
      </c>
      <c r="I3457" t="s">
        <v>65</v>
      </c>
      <c r="J3457">
        <v>40</v>
      </c>
      <c r="K3457">
        <v>1163.98</v>
      </c>
      <c r="L3457">
        <v>46559.06</v>
      </c>
      <c r="M3457">
        <v>30870.97</v>
      </c>
      <c r="N3457">
        <v>4241.51</v>
      </c>
      <c r="O3457">
        <v>2845.8</v>
      </c>
      <c r="P3457">
        <v>752.07</v>
      </c>
      <c r="Q3457">
        <v>708.57</v>
      </c>
      <c r="R3457">
        <v>1662.64</v>
      </c>
      <c r="S3457">
        <v>613.96</v>
      </c>
      <c r="T3457">
        <v>41695.519999999997</v>
      </c>
      <c r="U3457">
        <v>15688.09</v>
      </c>
      <c r="V3457">
        <v>4863.54</v>
      </c>
      <c r="W3457">
        <v>4790.42</v>
      </c>
      <c r="X3457">
        <v>46100.58</v>
      </c>
      <c r="Y3457">
        <v>40153.160000000003</v>
      </c>
    </row>
    <row r="3458" spans="1:25" x14ac:dyDescent="0.25">
      <c r="A3458" t="s">
        <v>3514</v>
      </c>
      <c r="B3458" s="1">
        <v>45881</v>
      </c>
      <c r="C3458">
        <v>2025</v>
      </c>
      <c r="D3458">
        <v>8</v>
      </c>
      <c r="E3458" t="s">
        <v>814</v>
      </c>
      <c r="F3458" t="s">
        <v>691</v>
      </c>
      <c r="G3458" t="s">
        <v>44</v>
      </c>
      <c r="H3458" t="s">
        <v>53</v>
      </c>
      <c r="I3458" t="s">
        <v>45</v>
      </c>
      <c r="J3458">
        <v>24</v>
      </c>
      <c r="K3458">
        <v>1631.28</v>
      </c>
      <c r="L3458">
        <v>39150.78</v>
      </c>
      <c r="M3458">
        <v>20532.240000000002</v>
      </c>
      <c r="N3458">
        <v>4374.84</v>
      </c>
      <c r="O3458">
        <v>1297.3</v>
      </c>
      <c r="P3458">
        <v>1339.12</v>
      </c>
      <c r="Q3458">
        <v>415.83</v>
      </c>
      <c r="R3458">
        <v>2319.71</v>
      </c>
      <c r="S3458">
        <v>453.26</v>
      </c>
      <c r="T3458">
        <v>30732.29</v>
      </c>
      <c r="U3458">
        <v>18618.54</v>
      </c>
      <c r="V3458">
        <v>8418.5</v>
      </c>
      <c r="W3458">
        <v>7489.22</v>
      </c>
      <c r="X3458">
        <v>42880.47</v>
      </c>
      <c r="Y3458">
        <v>29365.54</v>
      </c>
    </row>
    <row r="3459" spans="1:25" x14ac:dyDescent="0.25">
      <c r="A3459" t="s">
        <v>3515</v>
      </c>
      <c r="B3459" s="1">
        <v>45881</v>
      </c>
      <c r="C3459">
        <v>2025</v>
      </c>
      <c r="D3459">
        <v>8</v>
      </c>
      <c r="E3459" t="s">
        <v>814</v>
      </c>
      <c r="F3459" t="s">
        <v>691</v>
      </c>
      <c r="G3459" t="s">
        <v>55</v>
      </c>
      <c r="H3459" t="s">
        <v>29</v>
      </c>
      <c r="I3459" t="s">
        <v>37</v>
      </c>
      <c r="J3459">
        <v>51</v>
      </c>
      <c r="K3459">
        <v>1663.38</v>
      </c>
      <c r="L3459">
        <v>84832.13</v>
      </c>
      <c r="M3459">
        <v>42345.99</v>
      </c>
      <c r="N3459">
        <v>6106</v>
      </c>
      <c r="O3459">
        <v>5367.46</v>
      </c>
      <c r="P3459">
        <v>2596.87</v>
      </c>
      <c r="Q3459">
        <v>1442.67</v>
      </c>
      <c r="R3459">
        <v>5330.69</v>
      </c>
      <c r="S3459">
        <v>2114.52</v>
      </c>
      <c r="T3459">
        <v>65304.19</v>
      </c>
      <c r="U3459">
        <v>42486.14</v>
      </c>
      <c r="V3459">
        <v>19527.939999999999</v>
      </c>
      <c r="W3459">
        <v>18229.650000000001</v>
      </c>
      <c r="X3459">
        <v>78663.710000000006</v>
      </c>
      <c r="Y3459">
        <v>63823.48</v>
      </c>
    </row>
    <row r="3460" spans="1:25" x14ac:dyDescent="0.25">
      <c r="A3460" t="s">
        <v>3516</v>
      </c>
      <c r="B3460" s="1">
        <v>45881</v>
      </c>
      <c r="C3460">
        <v>2025</v>
      </c>
      <c r="D3460">
        <v>8</v>
      </c>
      <c r="E3460" t="s">
        <v>814</v>
      </c>
      <c r="F3460" t="s">
        <v>691</v>
      </c>
      <c r="G3460" t="s">
        <v>35</v>
      </c>
      <c r="H3460" t="s">
        <v>32</v>
      </c>
      <c r="I3460" t="s">
        <v>39</v>
      </c>
      <c r="J3460">
        <v>44</v>
      </c>
      <c r="K3460">
        <v>1266.23</v>
      </c>
      <c r="L3460">
        <v>55714.19</v>
      </c>
      <c r="M3460">
        <v>34849.96</v>
      </c>
      <c r="N3460">
        <v>4698.8100000000004</v>
      </c>
      <c r="O3460">
        <v>1396.65</v>
      </c>
      <c r="P3460">
        <v>968.09</v>
      </c>
      <c r="Q3460">
        <v>348.72</v>
      </c>
      <c r="R3460">
        <v>3334.75</v>
      </c>
      <c r="S3460">
        <v>1108.92</v>
      </c>
      <c r="T3460">
        <v>46705.89</v>
      </c>
      <c r="U3460">
        <v>20864.23</v>
      </c>
      <c r="V3460">
        <v>9008.2999999999993</v>
      </c>
      <c r="W3460">
        <v>8114.64</v>
      </c>
      <c r="X3460">
        <v>62232.7</v>
      </c>
      <c r="Y3460">
        <v>50781.16</v>
      </c>
    </row>
    <row r="3461" spans="1:25" x14ac:dyDescent="0.25">
      <c r="A3461" t="s">
        <v>3517</v>
      </c>
      <c r="B3461" s="1">
        <v>45881</v>
      </c>
      <c r="C3461">
        <v>2025</v>
      </c>
      <c r="D3461">
        <v>8</v>
      </c>
      <c r="E3461" t="s">
        <v>814</v>
      </c>
      <c r="F3461" t="s">
        <v>691</v>
      </c>
      <c r="G3461" t="s">
        <v>28</v>
      </c>
      <c r="H3461" t="s">
        <v>36</v>
      </c>
      <c r="I3461" t="s">
        <v>30</v>
      </c>
      <c r="J3461">
        <v>102</v>
      </c>
      <c r="K3461">
        <v>842.84</v>
      </c>
      <c r="L3461">
        <v>85969.18</v>
      </c>
      <c r="M3461">
        <v>57653.21</v>
      </c>
      <c r="N3461">
        <v>7165.63</v>
      </c>
      <c r="O3461">
        <v>4525.71</v>
      </c>
      <c r="P3461">
        <v>1672.37</v>
      </c>
      <c r="Q3461">
        <v>1146.8900000000001</v>
      </c>
      <c r="R3461">
        <v>2528.58</v>
      </c>
      <c r="S3461">
        <v>1547.37</v>
      </c>
      <c r="T3461">
        <v>76239.77</v>
      </c>
      <c r="U3461">
        <v>28315.96</v>
      </c>
      <c r="V3461">
        <v>9729.41</v>
      </c>
      <c r="W3461">
        <v>8950.5400000000009</v>
      </c>
      <c r="X3461">
        <v>87072.38</v>
      </c>
      <c r="Y3461">
        <v>80590.3</v>
      </c>
    </row>
    <row r="3462" spans="1:25" x14ac:dyDescent="0.25">
      <c r="A3462" t="s">
        <v>3518</v>
      </c>
      <c r="B3462" s="1">
        <v>45881</v>
      </c>
      <c r="C3462">
        <v>2025</v>
      </c>
      <c r="D3462">
        <v>8</v>
      </c>
      <c r="E3462" t="s">
        <v>814</v>
      </c>
      <c r="F3462" t="s">
        <v>691</v>
      </c>
      <c r="G3462" t="s">
        <v>55</v>
      </c>
      <c r="H3462" t="s">
        <v>32</v>
      </c>
      <c r="I3462" t="s">
        <v>37</v>
      </c>
      <c r="J3462">
        <v>100</v>
      </c>
      <c r="K3462">
        <v>821.85</v>
      </c>
      <c r="L3462">
        <v>82185.31</v>
      </c>
      <c r="M3462">
        <v>53771.48</v>
      </c>
      <c r="N3462">
        <v>8719.8700000000008</v>
      </c>
      <c r="O3462">
        <v>3398.81</v>
      </c>
      <c r="P3462">
        <v>1332.75</v>
      </c>
      <c r="Q3462">
        <v>1302.56</v>
      </c>
      <c r="R3462">
        <v>2120.77</v>
      </c>
      <c r="S3462">
        <v>858.01</v>
      </c>
      <c r="T3462">
        <v>71504.25</v>
      </c>
      <c r="U3462">
        <v>28413.83</v>
      </c>
      <c r="V3462">
        <v>10681.06</v>
      </c>
      <c r="W3462">
        <v>10274.17</v>
      </c>
      <c r="X3462">
        <v>88683.25</v>
      </c>
      <c r="Y3462">
        <v>69456.479999999996</v>
      </c>
    </row>
    <row r="3463" spans="1:25" x14ac:dyDescent="0.25">
      <c r="A3463" t="s">
        <v>3519</v>
      </c>
      <c r="B3463" s="1">
        <v>45881</v>
      </c>
      <c r="C3463">
        <v>2025</v>
      </c>
      <c r="D3463">
        <v>8</v>
      </c>
      <c r="E3463" t="s">
        <v>814</v>
      </c>
      <c r="F3463" t="s">
        <v>691</v>
      </c>
      <c r="G3463" t="s">
        <v>28</v>
      </c>
      <c r="H3463" t="s">
        <v>53</v>
      </c>
      <c r="I3463" t="s">
        <v>30</v>
      </c>
      <c r="J3463">
        <v>89</v>
      </c>
      <c r="K3463">
        <v>1120.26</v>
      </c>
      <c r="L3463">
        <v>99702.71</v>
      </c>
      <c r="M3463">
        <v>64484.18</v>
      </c>
      <c r="N3463">
        <v>10055.209999999999</v>
      </c>
      <c r="O3463">
        <v>3323.44</v>
      </c>
      <c r="P3463">
        <v>2467.4299999999998</v>
      </c>
      <c r="Q3463">
        <v>1576.55</v>
      </c>
      <c r="R3463">
        <v>4694.91</v>
      </c>
      <c r="S3463">
        <v>1709.61</v>
      </c>
      <c r="T3463">
        <v>88311.31</v>
      </c>
      <c r="U3463">
        <v>35218.53</v>
      </c>
      <c r="V3463">
        <v>11391.4</v>
      </c>
      <c r="W3463">
        <v>11414.33</v>
      </c>
      <c r="X3463">
        <v>99118.14</v>
      </c>
      <c r="Y3463">
        <v>93447.4</v>
      </c>
    </row>
    <row r="3464" spans="1:25" x14ac:dyDescent="0.25">
      <c r="A3464" t="s">
        <v>3520</v>
      </c>
      <c r="B3464" s="1">
        <v>45882</v>
      </c>
      <c r="C3464">
        <v>2025</v>
      </c>
      <c r="D3464">
        <v>8</v>
      </c>
      <c r="E3464" t="s">
        <v>814</v>
      </c>
      <c r="F3464" t="s">
        <v>691</v>
      </c>
      <c r="G3464" t="s">
        <v>35</v>
      </c>
      <c r="H3464" t="s">
        <v>53</v>
      </c>
      <c r="I3464" t="s">
        <v>37</v>
      </c>
      <c r="J3464">
        <v>42</v>
      </c>
      <c r="K3464">
        <v>1466.98</v>
      </c>
      <c r="L3464">
        <v>61613.34</v>
      </c>
      <c r="M3464">
        <v>35436.300000000003</v>
      </c>
      <c r="N3464">
        <v>7411.49</v>
      </c>
      <c r="O3464">
        <v>4094.07</v>
      </c>
      <c r="P3464">
        <v>2646.26</v>
      </c>
      <c r="Q3464">
        <v>501.34</v>
      </c>
      <c r="R3464">
        <v>2127.0700000000002</v>
      </c>
      <c r="S3464">
        <v>1275.56</v>
      </c>
      <c r="T3464">
        <v>53492.08</v>
      </c>
      <c r="U3464">
        <v>26177.040000000001</v>
      </c>
      <c r="V3464">
        <v>8121.26</v>
      </c>
      <c r="W3464">
        <v>8150.05</v>
      </c>
      <c r="X3464">
        <v>57674.74</v>
      </c>
      <c r="Y3464">
        <v>49938.74</v>
      </c>
    </row>
    <row r="3465" spans="1:25" x14ac:dyDescent="0.25">
      <c r="A3465" t="s">
        <v>3521</v>
      </c>
      <c r="B3465" s="1">
        <v>45882</v>
      </c>
      <c r="C3465">
        <v>2025</v>
      </c>
      <c r="D3465">
        <v>8</v>
      </c>
      <c r="E3465" t="s">
        <v>814</v>
      </c>
      <c r="F3465" t="s">
        <v>691</v>
      </c>
      <c r="G3465" t="s">
        <v>44</v>
      </c>
      <c r="H3465" t="s">
        <v>36</v>
      </c>
      <c r="I3465" t="s">
        <v>37</v>
      </c>
      <c r="J3465">
        <v>97</v>
      </c>
      <c r="K3465">
        <v>813.85</v>
      </c>
      <c r="L3465">
        <v>78943.66</v>
      </c>
      <c r="M3465">
        <v>41077.5</v>
      </c>
      <c r="N3465">
        <v>8623.4500000000007</v>
      </c>
      <c r="O3465">
        <v>5053.7299999999996</v>
      </c>
      <c r="P3465">
        <v>2917.29</v>
      </c>
      <c r="Q3465">
        <v>1345.45</v>
      </c>
      <c r="R3465">
        <v>4082.81</v>
      </c>
      <c r="S3465">
        <v>1563.48</v>
      </c>
      <c r="T3465">
        <v>64663.71</v>
      </c>
      <c r="U3465">
        <v>37866.15</v>
      </c>
      <c r="V3465">
        <v>14279.95</v>
      </c>
      <c r="W3465">
        <v>13411.04</v>
      </c>
      <c r="X3465">
        <v>82145.09</v>
      </c>
      <c r="Y3465">
        <v>62005.96</v>
      </c>
    </row>
    <row r="3466" spans="1:25" x14ac:dyDescent="0.25">
      <c r="A3466" t="s">
        <v>3522</v>
      </c>
      <c r="B3466" s="1">
        <v>45882</v>
      </c>
      <c r="C3466">
        <v>2025</v>
      </c>
      <c r="D3466">
        <v>8</v>
      </c>
      <c r="E3466" t="s">
        <v>814</v>
      </c>
      <c r="F3466" t="s">
        <v>691</v>
      </c>
      <c r="G3466" t="s">
        <v>35</v>
      </c>
      <c r="H3466" t="s">
        <v>29</v>
      </c>
      <c r="I3466" t="s">
        <v>45</v>
      </c>
      <c r="J3466">
        <v>43</v>
      </c>
      <c r="K3466">
        <v>1003.69</v>
      </c>
      <c r="L3466">
        <v>43158.879999999997</v>
      </c>
      <c r="M3466">
        <v>23061.23</v>
      </c>
      <c r="N3466">
        <v>4834.91</v>
      </c>
      <c r="O3466">
        <v>2907.8</v>
      </c>
      <c r="P3466">
        <v>1619.65</v>
      </c>
      <c r="Q3466">
        <v>344.79</v>
      </c>
      <c r="R3466">
        <v>2565.1</v>
      </c>
      <c r="S3466">
        <v>710.62</v>
      </c>
      <c r="T3466">
        <v>36044.089999999997</v>
      </c>
      <c r="U3466">
        <v>20097.650000000001</v>
      </c>
      <c r="V3466">
        <v>7114.78</v>
      </c>
      <c r="W3466">
        <v>6562.61</v>
      </c>
      <c r="X3466">
        <v>42776.51</v>
      </c>
      <c r="Y3466">
        <v>35663.440000000002</v>
      </c>
    </row>
    <row r="3467" spans="1:25" x14ac:dyDescent="0.25">
      <c r="A3467" t="s">
        <v>3523</v>
      </c>
      <c r="B3467" s="1">
        <v>45882</v>
      </c>
      <c r="C3467">
        <v>2025</v>
      </c>
      <c r="D3467">
        <v>8</v>
      </c>
      <c r="E3467" t="s">
        <v>814</v>
      </c>
      <c r="F3467" t="s">
        <v>691</v>
      </c>
      <c r="G3467" t="s">
        <v>44</v>
      </c>
      <c r="H3467" t="s">
        <v>58</v>
      </c>
      <c r="I3467" t="s">
        <v>33</v>
      </c>
      <c r="J3467">
        <v>68</v>
      </c>
      <c r="K3467">
        <v>1194</v>
      </c>
      <c r="L3467">
        <v>81192.289999999994</v>
      </c>
      <c r="M3467">
        <v>52641.19</v>
      </c>
      <c r="N3467">
        <v>6523.8</v>
      </c>
      <c r="O3467">
        <v>2932.37</v>
      </c>
      <c r="P3467">
        <v>3045.71</v>
      </c>
      <c r="Q3467">
        <v>441.49</v>
      </c>
      <c r="R3467">
        <v>4433.93</v>
      </c>
      <c r="S3467">
        <v>1587.47</v>
      </c>
      <c r="T3467">
        <v>71605.960000000006</v>
      </c>
      <c r="U3467">
        <v>28551.1</v>
      </c>
      <c r="V3467">
        <v>9586.33</v>
      </c>
      <c r="W3467">
        <v>9137.36</v>
      </c>
      <c r="X3467">
        <v>90760.73</v>
      </c>
      <c r="Y3467">
        <v>68602.179999999993</v>
      </c>
    </row>
    <row r="3468" spans="1:25" x14ac:dyDescent="0.25">
      <c r="A3468" t="s">
        <v>3524</v>
      </c>
      <c r="B3468" s="1">
        <v>45882</v>
      </c>
      <c r="C3468">
        <v>2025</v>
      </c>
      <c r="D3468">
        <v>8</v>
      </c>
      <c r="E3468" t="s">
        <v>814</v>
      </c>
      <c r="F3468" t="s">
        <v>691</v>
      </c>
      <c r="G3468" t="s">
        <v>28</v>
      </c>
      <c r="H3468" t="s">
        <v>36</v>
      </c>
      <c r="I3468" t="s">
        <v>65</v>
      </c>
      <c r="J3468">
        <v>46</v>
      </c>
      <c r="K3468">
        <v>1676.83</v>
      </c>
      <c r="L3468">
        <v>77134.11</v>
      </c>
      <c r="M3468">
        <v>46308.97</v>
      </c>
      <c r="N3468">
        <v>9565.27</v>
      </c>
      <c r="O3468">
        <v>4806.78</v>
      </c>
      <c r="P3468">
        <v>1289.05</v>
      </c>
      <c r="Q3468">
        <v>693.49</v>
      </c>
      <c r="R3468">
        <v>3085.88</v>
      </c>
      <c r="S3468">
        <v>696.67</v>
      </c>
      <c r="T3468">
        <v>66446.11</v>
      </c>
      <c r="U3468">
        <v>30825.14</v>
      </c>
      <c r="V3468">
        <v>10688</v>
      </c>
      <c r="W3468">
        <v>9565.99</v>
      </c>
      <c r="X3468">
        <v>77587.320000000007</v>
      </c>
      <c r="Y3468">
        <v>65372.76</v>
      </c>
    </row>
    <row r="3469" spans="1:25" x14ac:dyDescent="0.25">
      <c r="A3469" t="s">
        <v>3525</v>
      </c>
      <c r="B3469" s="1">
        <v>45882</v>
      </c>
      <c r="C3469">
        <v>2025</v>
      </c>
      <c r="D3469">
        <v>8</v>
      </c>
      <c r="E3469" t="s">
        <v>814</v>
      </c>
      <c r="F3469" t="s">
        <v>691</v>
      </c>
      <c r="G3469" t="s">
        <v>44</v>
      </c>
      <c r="H3469" t="s">
        <v>32</v>
      </c>
      <c r="I3469" t="s">
        <v>56</v>
      </c>
      <c r="J3469">
        <v>34</v>
      </c>
      <c r="K3469">
        <v>1212.99</v>
      </c>
      <c r="L3469">
        <v>41241.800000000003</v>
      </c>
      <c r="M3469">
        <v>22665.68</v>
      </c>
      <c r="N3469">
        <v>5195.21</v>
      </c>
      <c r="O3469">
        <v>1752.46</v>
      </c>
      <c r="P3469">
        <v>898.73</v>
      </c>
      <c r="Q3469">
        <v>242.19</v>
      </c>
      <c r="R3469">
        <v>2364.06</v>
      </c>
      <c r="S3469">
        <v>776.72</v>
      </c>
      <c r="T3469">
        <v>33895.07</v>
      </c>
      <c r="U3469">
        <v>18576.12</v>
      </c>
      <c r="V3469">
        <v>7346.73</v>
      </c>
      <c r="W3469">
        <v>6476.44</v>
      </c>
      <c r="X3469">
        <v>45712.95</v>
      </c>
      <c r="Y3469">
        <v>36001.99</v>
      </c>
    </row>
    <row r="3470" spans="1:25" x14ac:dyDescent="0.25">
      <c r="A3470" t="s">
        <v>3526</v>
      </c>
      <c r="B3470" s="1">
        <v>45883</v>
      </c>
      <c r="C3470">
        <v>2025</v>
      </c>
      <c r="D3470">
        <v>8</v>
      </c>
      <c r="E3470" t="s">
        <v>814</v>
      </c>
      <c r="F3470" t="s">
        <v>691</v>
      </c>
      <c r="G3470" t="s">
        <v>55</v>
      </c>
      <c r="H3470" t="s">
        <v>32</v>
      </c>
      <c r="I3470" t="s">
        <v>65</v>
      </c>
      <c r="J3470">
        <v>62</v>
      </c>
      <c r="K3470">
        <v>1519.02</v>
      </c>
      <c r="L3470">
        <v>94179.05</v>
      </c>
      <c r="M3470">
        <v>55958.34</v>
      </c>
      <c r="N3470">
        <v>8495.91</v>
      </c>
      <c r="O3470">
        <v>7033.59</v>
      </c>
      <c r="P3470">
        <v>2702.09</v>
      </c>
      <c r="Q3470">
        <v>1237.01</v>
      </c>
      <c r="R3470">
        <v>3703.18</v>
      </c>
      <c r="S3470">
        <v>2041.75</v>
      </c>
      <c r="T3470">
        <v>81171.87</v>
      </c>
      <c r="U3470">
        <v>38220.71</v>
      </c>
      <c r="V3470">
        <v>13007.18</v>
      </c>
      <c r="W3470">
        <v>12191.07</v>
      </c>
      <c r="X3470">
        <v>95234.57</v>
      </c>
      <c r="Y3470">
        <v>82913.89</v>
      </c>
    </row>
    <row r="3471" spans="1:25" x14ac:dyDescent="0.25">
      <c r="A3471" t="s">
        <v>3527</v>
      </c>
      <c r="B3471" s="1">
        <v>45883</v>
      </c>
      <c r="C3471">
        <v>2025</v>
      </c>
      <c r="D3471">
        <v>8</v>
      </c>
      <c r="E3471" t="s">
        <v>814</v>
      </c>
      <c r="F3471" t="s">
        <v>691</v>
      </c>
      <c r="G3471" t="s">
        <v>28</v>
      </c>
      <c r="H3471" t="s">
        <v>36</v>
      </c>
      <c r="I3471" t="s">
        <v>39</v>
      </c>
      <c r="J3471">
        <v>58</v>
      </c>
      <c r="K3471">
        <v>846.49</v>
      </c>
      <c r="L3471">
        <v>49096.47</v>
      </c>
      <c r="M3471">
        <v>28815.75</v>
      </c>
      <c r="N3471">
        <v>6055.22</v>
      </c>
      <c r="O3471">
        <v>1955.03</v>
      </c>
      <c r="P3471">
        <v>1715.16</v>
      </c>
      <c r="Q3471">
        <v>754.89</v>
      </c>
      <c r="R3471">
        <v>1527.28</v>
      </c>
      <c r="S3471">
        <v>955.36</v>
      </c>
      <c r="T3471">
        <v>41778.68</v>
      </c>
      <c r="U3471">
        <v>20280.72</v>
      </c>
      <c r="V3471">
        <v>7317.79</v>
      </c>
      <c r="W3471">
        <v>7430.99</v>
      </c>
      <c r="X3471">
        <v>52113.04</v>
      </c>
      <c r="Y3471">
        <v>39899.96</v>
      </c>
    </row>
    <row r="3472" spans="1:25" x14ac:dyDescent="0.25">
      <c r="A3472" t="s">
        <v>3528</v>
      </c>
      <c r="B3472" s="1">
        <v>45883</v>
      </c>
      <c r="C3472">
        <v>2025</v>
      </c>
      <c r="D3472">
        <v>8</v>
      </c>
      <c r="E3472" t="s">
        <v>814</v>
      </c>
      <c r="F3472" t="s">
        <v>691</v>
      </c>
      <c r="G3472" t="s">
        <v>35</v>
      </c>
      <c r="H3472" t="s">
        <v>29</v>
      </c>
      <c r="I3472" t="s">
        <v>30</v>
      </c>
      <c r="J3472">
        <v>46</v>
      </c>
      <c r="K3472">
        <v>1432.57</v>
      </c>
      <c r="L3472">
        <v>65898.320000000007</v>
      </c>
      <c r="M3472">
        <v>35889.67</v>
      </c>
      <c r="N3472">
        <v>4939.97</v>
      </c>
      <c r="O3472">
        <v>1937.8</v>
      </c>
      <c r="P3472">
        <v>1104.8499999999999</v>
      </c>
      <c r="Q3472">
        <v>583.04999999999995</v>
      </c>
      <c r="R3472">
        <v>3462.3</v>
      </c>
      <c r="S3472">
        <v>547.27</v>
      </c>
      <c r="T3472">
        <v>48464.92</v>
      </c>
      <c r="U3472">
        <v>30008.65</v>
      </c>
      <c r="V3472">
        <v>17433.41</v>
      </c>
      <c r="W3472">
        <v>15379.49</v>
      </c>
      <c r="X3472">
        <v>69917.8</v>
      </c>
      <c r="Y3472">
        <v>45685.66</v>
      </c>
    </row>
    <row r="3473" spans="1:25" x14ac:dyDescent="0.25">
      <c r="A3473" t="s">
        <v>3529</v>
      </c>
      <c r="B3473" s="1">
        <v>45883</v>
      </c>
      <c r="C3473">
        <v>2025</v>
      </c>
      <c r="D3473">
        <v>8</v>
      </c>
      <c r="E3473" t="s">
        <v>814</v>
      </c>
      <c r="F3473" t="s">
        <v>691</v>
      </c>
      <c r="G3473" t="s">
        <v>55</v>
      </c>
      <c r="H3473" t="s">
        <v>32</v>
      </c>
      <c r="I3473" t="s">
        <v>37</v>
      </c>
      <c r="J3473">
        <v>108</v>
      </c>
      <c r="K3473">
        <v>869.23</v>
      </c>
      <c r="L3473">
        <v>93876.97</v>
      </c>
      <c r="M3473">
        <v>60482.34</v>
      </c>
      <c r="N3473">
        <v>11901.7</v>
      </c>
      <c r="O3473">
        <v>4937.63</v>
      </c>
      <c r="P3473">
        <v>3572.19</v>
      </c>
      <c r="Q3473">
        <v>1050.47</v>
      </c>
      <c r="R3473">
        <v>4551.7</v>
      </c>
      <c r="S3473">
        <v>1694.6</v>
      </c>
      <c r="T3473">
        <v>88190.62</v>
      </c>
      <c r="U3473">
        <v>33394.629999999997</v>
      </c>
      <c r="V3473">
        <v>5686.36</v>
      </c>
      <c r="W3473">
        <v>5576.7</v>
      </c>
      <c r="X3473">
        <v>94796.71</v>
      </c>
      <c r="Y3473">
        <v>82596.86</v>
      </c>
    </row>
    <row r="3474" spans="1:25" x14ac:dyDescent="0.25">
      <c r="A3474" t="s">
        <v>3530</v>
      </c>
      <c r="B3474" s="1">
        <v>45883</v>
      </c>
      <c r="C3474">
        <v>2025</v>
      </c>
      <c r="D3474">
        <v>8</v>
      </c>
      <c r="E3474" t="s">
        <v>814</v>
      </c>
      <c r="F3474" t="s">
        <v>691</v>
      </c>
      <c r="G3474" t="s">
        <v>28</v>
      </c>
      <c r="H3474" t="s">
        <v>36</v>
      </c>
      <c r="I3474" t="s">
        <v>33</v>
      </c>
      <c r="J3474">
        <v>60</v>
      </c>
      <c r="K3474">
        <v>1518.69</v>
      </c>
      <c r="L3474">
        <v>91121.16</v>
      </c>
      <c r="M3474">
        <v>54707.78</v>
      </c>
      <c r="N3474">
        <v>11768.36</v>
      </c>
      <c r="O3474">
        <v>5871.82</v>
      </c>
      <c r="P3474">
        <v>3533.55</v>
      </c>
      <c r="Q3474">
        <v>1605.51</v>
      </c>
      <c r="R3474">
        <v>3143.18</v>
      </c>
      <c r="S3474">
        <v>1773.95</v>
      </c>
      <c r="T3474">
        <v>82404.149999999994</v>
      </c>
      <c r="U3474">
        <v>36413.379999999997</v>
      </c>
      <c r="V3474">
        <v>8717.01</v>
      </c>
      <c r="W3474">
        <v>7737.54</v>
      </c>
      <c r="X3474">
        <v>96498.27</v>
      </c>
      <c r="Y3474">
        <v>81357.14</v>
      </c>
    </row>
    <row r="3475" spans="1:25" x14ac:dyDescent="0.25">
      <c r="A3475" t="s">
        <v>3531</v>
      </c>
      <c r="B3475" s="1">
        <v>45883</v>
      </c>
      <c r="C3475">
        <v>2025</v>
      </c>
      <c r="D3475">
        <v>8</v>
      </c>
      <c r="E3475" t="s">
        <v>814</v>
      </c>
      <c r="F3475" t="s">
        <v>691</v>
      </c>
      <c r="G3475" t="s">
        <v>35</v>
      </c>
      <c r="H3475" t="s">
        <v>36</v>
      </c>
      <c r="I3475" t="s">
        <v>65</v>
      </c>
      <c r="J3475">
        <v>62</v>
      </c>
      <c r="K3475">
        <v>1000.94</v>
      </c>
      <c r="L3475">
        <v>62058.55</v>
      </c>
      <c r="M3475">
        <v>37270.959999999999</v>
      </c>
      <c r="N3475">
        <v>7082.92</v>
      </c>
      <c r="O3475">
        <v>4543.91</v>
      </c>
      <c r="P3475">
        <v>1492.99</v>
      </c>
      <c r="Q3475">
        <v>673.99</v>
      </c>
      <c r="R3475">
        <v>2896.03</v>
      </c>
      <c r="S3475">
        <v>523.66999999999996</v>
      </c>
      <c r="T3475">
        <v>54484.480000000003</v>
      </c>
      <c r="U3475">
        <v>24787.58</v>
      </c>
      <c r="V3475">
        <v>7574.07</v>
      </c>
      <c r="W3475">
        <v>6716.85</v>
      </c>
      <c r="X3475">
        <v>66411.45</v>
      </c>
      <c r="Y3475">
        <v>51372.06</v>
      </c>
    </row>
    <row r="3476" spans="1:25" x14ac:dyDescent="0.25">
      <c r="A3476" t="s">
        <v>3532</v>
      </c>
      <c r="B3476" s="1">
        <v>45883</v>
      </c>
      <c r="C3476">
        <v>2025</v>
      </c>
      <c r="D3476">
        <v>8</v>
      </c>
      <c r="E3476" t="s">
        <v>814</v>
      </c>
      <c r="F3476" t="s">
        <v>691</v>
      </c>
      <c r="G3476" t="s">
        <v>35</v>
      </c>
      <c r="H3476" t="s">
        <v>58</v>
      </c>
      <c r="I3476" t="s">
        <v>45</v>
      </c>
      <c r="J3476">
        <v>36</v>
      </c>
      <c r="K3476">
        <v>1258.96</v>
      </c>
      <c r="L3476">
        <v>45322.720000000001</v>
      </c>
      <c r="M3476">
        <v>25833.73</v>
      </c>
      <c r="N3476">
        <v>3549.5</v>
      </c>
      <c r="O3476">
        <v>1152.1099999999999</v>
      </c>
      <c r="P3476">
        <v>817.06</v>
      </c>
      <c r="Q3476">
        <v>509.28</v>
      </c>
      <c r="R3476">
        <v>2607.41</v>
      </c>
      <c r="S3476">
        <v>510.21</v>
      </c>
      <c r="T3476">
        <v>34979.29</v>
      </c>
      <c r="U3476">
        <v>19489</v>
      </c>
      <c r="V3476">
        <v>10343.43</v>
      </c>
      <c r="W3476">
        <v>9123.0300000000007</v>
      </c>
      <c r="X3476">
        <v>43810.83</v>
      </c>
      <c r="Y3476">
        <v>37936.199999999997</v>
      </c>
    </row>
    <row r="3477" spans="1:25" x14ac:dyDescent="0.25">
      <c r="A3477" t="s">
        <v>3533</v>
      </c>
      <c r="B3477" s="1">
        <v>45884</v>
      </c>
      <c r="C3477">
        <v>2025</v>
      </c>
      <c r="D3477">
        <v>8</v>
      </c>
      <c r="E3477" t="s">
        <v>814</v>
      </c>
      <c r="F3477" t="s">
        <v>691</v>
      </c>
      <c r="G3477" t="s">
        <v>28</v>
      </c>
      <c r="H3477" t="s">
        <v>32</v>
      </c>
      <c r="I3477" t="s">
        <v>56</v>
      </c>
      <c r="J3477">
        <v>38</v>
      </c>
      <c r="K3477">
        <v>1216.74</v>
      </c>
      <c r="L3477">
        <v>46236.07</v>
      </c>
      <c r="M3477">
        <v>30667.94</v>
      </c>
      <c r="N3477">
        <v>4323.1499999999996</v>
      </c>
      <c r="O3477">
        <v>2657.55</v>
      </c>
      <c r="P3477">
        <v>1161.07</v>
      </c>
      <c r="Q3477">
        <v>295.72000000000003</v>
      </c>
      <c r="R3477">
        <v>2545.2800000000002</v>
      </c>
      <c r="S3477">
        <v>797.05</v>
      </c>
      <c r="T3477">
        <v>42447.75</v>
      </c>
      <c r="U3477">
        <v>15568.13</v>
      </c>
      <c r="V3477">
        <v>3788.32</v>
      </c>
      <c r="W3477">
        <v>3366.49</v>
      </c>
      <c r="X3477">
        <v>50051.51</v>
      </c>
      <c r="Y3477">
        <v>46419.81</v>
      </c>
    </row>
    <row r="3478" spans="1:25" x14ac:dyDescent="0.25">
      <c r="A3478" t="s">
        <v>3534</v>
      </c>
      <c r="B3478" s="1">
        <v>45884</v>
      </c>
      <c r="C3478">
        <v>2025</v>
      </c>
      <c r="D3478">
        <v>8</v>
      </c>
      <c r="E3478" t="s">
        <v>814</v>
      </c>
      <c r="F3478" t="s">
        <v>691</v>
      </c>
      <c r="G3478" t="s">
        <v>35</v>
      </c>
      <c r="H3478" t="s">
        <v>53</v>
      </c>
      <c r="I3478" t="s">
        <v>33</v>
      </c>
      <c r="J3478">
        <v>70</v>
      </c>
      <c r="K3478">
        <v>1032.71</v>
      </c>
      <c r="L3478">
        <v>72289.69</v>
      </c>
      <c r="M3478">
        <v>42266.9</v>
      </c>
      <c r="N3478">
        <v>5320.41</v>
      </c>
      <c r="O3478">
        <v>4843.38</v>
      </c>
      <c r="P3478">
        <v>2413.4299999999998</v>
      </c>
      <c r="Q3478">
        <v>1257.94</v>
      </c>
      <c r="R3478">
        <v>2672.45</v>
      </c>
      <c r="S3478">
        <v>1749.58</v>
      </c>
      <c r="T3478">
        <v>60524.09</v>
      </c>
      <c r="U3478">
        <v>30022.799999999999</v>
      </c>
      <c r="V3478">
        <v>11765.6</v>
      </c>
      <c r="W3478">
        <v>10974.98</v>
      </c>
      <c r="X3478">
        <v>71484.13</v>
      </c>
      <c r="Y3478">
        <v>62771.68</v>
      </c>
    </row>
    <row r="3479" spans="1:25" x14ac:dyDescent="0.25">
      <c r="A3479" t="s">
        <v>3535</v>
      </c>
      <c r="B3479" s="1">
        <v>45884</v>
      </c>
      <c r="C3479">
        <v>2025</v>
      </c>
      <c r="D3479">
        <v>8</v>
      </c>
      <c r="E3479" t="s">
        <v>814</v>
      </c>
      <c r="F3479" t="s">
        <v>691</v>
      </c>
      <c r="G3479" t="s">
        <v>55</v>
      </c>
      <c r="H3479" t="s">
        <v>29</v>
      </c>
      <c r="I3479" t="s">
        <v>65</v>
      </c>
      <c r="J3479">
        <v>48</v>
      </c>
      <c r="K3479">
        <v>1063.32</v>
      </c>
      <c r="L3479">
        <v>51039.19</v>
      </c>
      <c r="M3479">
        <v>32638.29</v>
      </c>
      <c r="N3479">
        <v>4235.34</v>
      </c>
      <c r="O3479">
        <v>3349.08</v>
      </c>
      <c r="P3479">
        <v>2188.2199999999998</v>
      </c>
      <c r="Q3479">
        <v>306.52999999999997</v>
      </c>
      <c r="R3479">
        <v>1333.9</v>
      </c>
      <c r="S3479">
        <v>1263.1500000000001</v>
      </c>
      <c r="T3479">
        <v>45314.51</v>
      </c>
      <c r="U3479">
        <v>18400.900000000001</v>
      </c>
      <c r="V3479">
        <v>5724.68</v>
      </c>
      <c r="W3479">
        <v>5792.13</v>
      </c>
      <c r="X3479">
        <v>51489.14</v>
      </c>
      <c r="Y3479">
        <v>45145.78</v>
      </c>
    </row>
    <row r="3480" spans="1:25" x14ac:dyDescent="0.25">
      <c r="A3480" t="s">
        <v>3536</v>
      </c>
      <c r="B3480" s="1">
        <v>45884</v>
      </c>
      <c r="C3480">
        <v>2025</v>
      </c>
      <c r="D3480">
        <v>8</v>
      </c>
      <c r="E3480" t="s">
        <v>814</v>
      </c>
      <c r="F3480" t="s">
        <v>691</v>
      </c>
      <c r="G3480" t="s">
        <v>55</v>
      </c>
      <c r="H3480" t="s">
        <v>29</v>
      </c>
      <c r="I3480" t="s">
        <v>65</v>
      </c>
      <c r="J3480">
        <v>75</v>
      </c>
      <c r="K3480">
        <v>1029.43</v>
      </c>
      <c r="L3480">
        <v>77207.48</v>
      </c>
      <c r="M3480">
        <v>38861.64</v>
      </c>
      <c r="N3480">
        <v>6785.88</v>
      </c>
      <c r="O3480">
        <v>2677.14</v>
      </c>
      <c r="P3480">
        <v>2655.45</v>
      </c>
      <c r="Q3480">
        <v>542.16999999999996</v>
      </c>
      <c r="R3480">
        <v>4542.41</v>
      </c>
      <c r="S3480">
        <v>928.37</v>
      </c>
      <c r="T3480">
        <v>56993.07</v>
      </c>
      <c r="U3480">
        <v>38345.839999999997</v>
      </c>
      <c r="V3480">
        <v>20214.41</v>
      </c>
      <c r="W3480">
        <v>18411.66</v>
      </c>
      <c r="X3480">
        <v>76346.06</v>
      </c>
      <c r="Y3480">
        <v>62289.65</v>
      </c>
    </row>
    <row r="3481" spans="1:25" x14ac:dyDescent="0.25">
      <c r="A3481" t="s">
        <v>3537</v>
      </c>
      <c r="B3481" s="1">
        <v>45884</v>
      </c>
      <c r="C3481">
        <v>2025</v>
      </c>
      <c r="D3481">
        <v>8</v>
      </c>
      <c r="E3481" t="s">
        <v>814</v>
      </c>
      <c r="F3481" t="s">
        <v>691</v>
      </c>
      <c r="G3481" t="s">
        <v>55</v>
      </c>
      <c r="H3481" t="s">
        <v>58</v>
      </c>
      <c r="I3481" t="s">
        <v>65</v>
      </c>
      <c r="J3481">
        <v>43</v>
      </c>
      <c r="K3481">
        <v>1190.51</v>
      </c>
      <c r="L3481">
        <v>51191.9</v>
      </c>
      <c r="M3481">
        <v>25099.38</v>
      </c>
      <c r="N3481">
        <v>5561.25</v>
      </c>
      <c r="O3481">
        <v>2969.5</v>
      </c>
      <c r="P3481">
        <v>2105.2800000000002</v>
      </c>
      <c r="Q3481">
        <v>628.36</v>
      </c>
      <c r="R3481">
        <v>2179.0700000000002</v>
      </c>
      <c r="S3481">
        <v>579.54999999999995</v>
      </c>
      <c r="T3481">
        <v>39122.379999999997</v>
      </c>
      <c r="U3481">
        <v>26092.53</v>
      </c>
      <c r="V3481">
        <v>12069.52</v>
      </c>
      <c r="W3481">
        <v>11932.39</v>
      </c>
      <c r="X3481">
        <v>52823.72</v>
      </c>
      <c r="Y3481">
        <v>41757.11</v>
      </c>
    </row>
    <row r="3482" spans="1:25" x14ac:dyDescent="0.25">
      <c r="A3482" t="s">
        <v>3538</v>
      </c>
      <c r="B3482" s="1">
        <v>45884</v>
      </c>
      <c r="C3482">
        <v>2025</v>
      </c>
      <c r="D3482">
        <v>8</v>
      </c>
      <c r="E3482" t="s">
        <v>814</v>
      </c>
      <c r="F3482" t="s">
        <v>691</v>
      </c>
      <c r="G3482" t="s">
        <v>55</v>
      </c>
      <c r="H3482" t="s">
        <v>32</v>
      </c>
      <c r="I3482" t="s">
        <v>65</v>
      </c>
      <c r="J3482">
        <v>83</v>
      </c>
      <c r="K3482">
        <v>907.95</v>
      </c>
      <c r="L3482">
        <v>75360.25</v>
      </c>
      <c r="M3482">
        <v>36279.49</v>
      </c>
      <c r="N3482">
        <v>6397.14</v>
      </c>
      <c r="O3482">
        <v>3878.63</v>
      </c>
      <c r="P3482">
        <v>2386.25</v>
      </c>
      <c r="Q3482">
        <v>453.98</v>
      </c>
      <c r="R3482">
        <v>3975.04</v>
      </c>
      <c r="S3482">
        <v>1150.6300000000001</v>
      </c>
      <c r="T3482">
        <v>54521.17</v>
      </c>
      <c r="U3482">
        <v>39080.75</v>
      </c>
      <c r="V3482">
        <v>20839.080000000002</v>
      </c>
      <c r="W3482">
        <v>19899.39</v>
      </c>
      <c r="X3482">
        <v>72236.33</v>
      </c>
      <c r="Y3482">
        <v>54732.94</v>
      </c>
    </row>
    <row r="3483" spans="1:25" x14ac:dyDescent="0.25">
      <c r="A3483" t="s">
        <v>3539</v>
      </c>
      <c r="B3483" s="1">
        <v>45884</v>
      </c>
      <c r="C3483">
        <v>2025</v>
      </c>
      <c r="D3483">
        <v>8</v>
      </c>
      <c r="E3483" t="s">
        <v>814</v>
      </c>
      <c r="F3483" t="s">
        <v>691</v>
      </c>
      <c r="G3483" t="s">
        <v>44</v>
      </c>
      <c r="H3483" t="s">
        <v>32</v>
      </c>
      <c r="I3483" t="s">
        <v>56</v>
      </c>
      <c r="J3483">
        <v>30</v>
      </c>
      <c r="K3483">
        <v>1093.19</v>
      </c>
      <c r="L3483">
        <v>32795.58</v>
      </c>
      <c r="M3483">
        <v>17685.419999999998</v>
      </c>
      <c r="N3483">
        <v>3994.55</v>
      </c>
      <c r="O3483">
        <v>2267.3000000000002</v>
      </c>
      <c r="P3483">
        <v>1239.52</v>
      </c>
      <c r="Q3483">
        <v>256.31</v>
      </c>
      <c r="R3483">
        <v>1148.1300000000001</v>
      </c>
      <c r="S3483">
        <v>449.5</v>
      </c>
      <c r="T3483">
        <v>27040.73</v>
      </c>
      <c r="U3483">
        <v>15110.16</v>
      </c>
      <c r="V3483">
        <v>5754.85</v>
      </c>
      <c r="W3483">
        <v>5365.72</v>
      </c>
      <c r="X3483">
        <v>30882.76</v>
      </c>
      <c r="Y3483">
        <v>26223.18</v>
      </c>
    </row>
    <row r="3484" spans="1:25" x14ac:dyDescent="0.25">
      <c r="A3484" t="s">
        <v>3540</v>
      </c>
      <c r="B3484" s="1">
        <v>45885</v>
      </c>
      <c r="C3484">
        <v>2025</v>
      </c>
      <c r="D3484">
        <v>8</v>
      </c>
      <c r="E3484" t="s">
        <v>814</v>
      </c>
      <c r="F3484" t="s">
        <v>691</v>
      </c>
      <c r="G3484" t="s">
        <v>55</v>
      </c>
      <c r="H3484" t="s">
        <v>36</v>
      </c>
      <c r="I3484" t="s">
        <v>39</v>
      </c>
      <c r="J3484">
        <v>28</v>
      </c>
      <c r="K3484">
        <v>1516.37</v>
      </c>
      <c r="L3484">
        <v>42458.43</v>
      </c>
      <c r="M3484">
        <v>24637.03</v>
      </c>
      <c r="N3484">
        <v>4984.09</v>
      </c>
      <c r="O3484">
        <v>3180.63</v>
      </c>
      <c r="P3484">
        <v>1016.55</v>
      </c>
      <c r="Q3484">
        <v>226.44</v>
      </c>
      <c r="R3484">
        <v>2260.9</v>
      </c>
      <c r="S3484">
        <v>487.1</v>
      </c>
      <c r="T3484">
        <v>36792.730000000003</v>
      </c>
      <c r="U3484">
        <v>17821.400000000001</v>
      </c>
      <c r="V3484">
        <v>5665.7</v>
      </c>
      <c r="W3484">
        <v>5286.33</v>
      </c>
      <c r="X3484">
        <v>43107.31</v>
      </c>
      <c r="Y3484">
        <v>37273.19</v>
      </c>
    </row>
    <row r="3485" spans="1:25" x14ac:dyDescent="0.25">
      <c r="A3485" t="s">
        <v>3541</v>
      </c>
      <c r="B3485" s="1">
        <v>45885</v>
      </c>
      <c r="C3485">
        <v>2025</v>
      </c>
      <c r="D3485">
        <v>8</v>
      </c>
      <c r="E3485" t="s">
        <v>814</v>
      </c>
      <c r="F3485" t="s">
        <v>691</v>
      </c>
      <c r="G3485" t="s">
        <v>28</v>
      </c>
      <c r="H3485" t="s">
        <v>36</v>
      </c>
      <c r="I3485" t="s">
        <v>56</v>
      </c>
      <c r="J3485">
        <v>43</v>
      </c>
      <c r="K3485">
        <v>906.66</v>
      </c>
      <c r="L3485">
        <v>38986.379999999997</v>
      </c>
      <c r="M3485">
        <v>24998.06</v>
      </c>
      <c r="N3485">
        <v>3794.82</v>
      </c>
      <c r="O3485">
        <v>2807.02</v>
      </c>
      <c r="P3485">
        <v>1206.22</v>
      </c>
      <c r="Q3485">
        <v>537.99</v>
      </c>
      <c r="R3485">
        <v>1531.18</v>
      </c>
      <c r="S3485">
        <v>637.19000000000005</v>
      </c>
      <c r="T3485">
        <v>35512.47</v>
      </c>
      <c r="U3485">
        <v>13988.33</v>
      </c>
      <c r="V3485">
        <v>3473.91</v>
      </c>
      <c r="W3485">
        <v>3219.06</v>
      </c>
      <c r="X3485">
        <v>38462.89</v>
      </c>
      <c r="Y3485">
        <v>33309.85</v>
      </c>
    </row>
    <row r="3486" spans="1:25" x14ac:dyDescent="0.25">
      <c r="A3486" t="s">
        <v>3542</v>
      </c>
      <c r="B3486" s="1">
        <v>45885</v>
      </c>
      <c r="C3486">
        <v>2025</v>
      </c>
      <c r="D3486">
        <v>8</v>
      </c>
      <c r="E3486" t="s">
        <v>814</v>
      </c>
      <c r="F3486" t="s">
        <v>691</v>
      </c>
      <c r="G3486" t="s">
        <v>44</v>
      </c>
      <c r="H3486" t="s">
        <v>32</v>
      </c>
      <c r="I3486" t="s">
        <v>30</v>
      </c>
      <c r="J3486">
        <v>53</v>
      </c>
      <c r="K3486">
        <v>1729.63</v>
      </c>
      <c r="L3486">
        <v>91670.44</v>
      </c>
      <c r="M3486">
        <v>46038.3</v>
      </c>
      <c r="N3486">
        <v>8579.0300000000007</v>
      </c>
      <c r="O3486">
        <v>4087.48</v>
      </c>
      <c r="P3486">
        <v>2075.2800000000002</v>
      </c>
      <c r="Q3486">
        <v>1394.97</v>
      </c>
      <c r="R3486">
        <v>4508.72</v>
      </c>
      <c r="S3486">
        <v>1995.58</v>
      </c>
      <c r="T3486">
        <v>68679.37</v>
      </c>
      <c r="U3486">
        <v>45632.13</v>
      </c>
      <c r="V3486">
        <v>22991.06</v>
      </c>
      <c r="W3486">
        <v>23428.35</v>
      </c>
      <c r="X3486">
        <v>91533.6</v>
      </c>
      <c r="Y3486">
        <v>70186.92</v>
      </c>
    </row>
    <row r="3487" spans="1:25" x14ac:dyDescent="0.25">
      <c r="A3487" t="s">
        <v>3543</v>
      </c>
      <c r="B3487" s="1">
        <v>45886</v>
      </c>
      <c r="C3487">
        <v>2025</v>
      </c>
      <c r="D3487">
        <v>8</v>
      </c>
      <c r="E3487" t="s">
        <v>814</v>
      </c>
      <c r="F3487" t="s">
        <v>691</v>
      </c>
      <c r="G3487" t="s">
        <v>55</v>
      </c>
      <c r="H3487" t="s">
        <v>32</v>
      </c>
      <c r="I3487" t="s">
        <v>30</v>
      </c>
      <c r="J3487">
        <v>125</v>
      </c>
      <c r="K3487">
        <v>978.54</v>
      </c>
      <c r="L3487">
        <v>122317.85</v>
      </c>
      <c r="M3487">
        <v>63888.66</v>
      </c>
      <c r="N3487">
        <v>11490.39</v>
      </c>
      <c r="O3487">
        <v>6018.93</v>
      </c>
      <c r="P3487">
        <v>3866.61</v>
      </c>
      <c r="Q3487">
        <v>1481.15</v>
      </c>
      <c r="R3487">
        <v>5339.11</v>
      </c>
      <c r="S3487">
        <v>2400.48</v>
      </c>
      <c r="T3487">
        <v>94485.33</v>
      </c>
      <c r="U3487">
        <v>58429.18</v>
      </c>
      <c r="V3487">
        <v>27832.51</v>
      </c>
      <c r="W3487">
        <v>24967.15</v>
      </c>
      <c r="X3487">
        <v>126636.29</v>
      </c>
      <c r="Y3487">
        <v>99643.05</v>
      </c>
    </row>
    <row r="3488" spans="1:25" x14ac:dyDescent="0.25">
      <c r="A3488" t="s">
        <v>3544</v>
      </c>
      <c r="B3488" s="1">
        <v>45886</v>
      </c>
      <c r="C3488">
        <v>2025</v>
      </c>
      <c r="D3488">
        <v>8</v>
      </c>
      <c r="E3488" t="s">
        <v>814</v>
      </c>
      <c r="F3488" t="s">
        <v>691</v>
      </c>
      <c r="G3488" t="s">
        <v>55</v>
      </c>
      <c r="H3488" t="s">
        <v>58</v>
      </c>
      <c r="I3488" t="s">
        <v>50</v>
      </c>
      <c r="J3488">
        <v>31</v>
      </c>
      <c r="K3488">
        <v>1362.23</v>
      </c>
      <c r="L3488">
        <v>42229.26</v>
      </c>
      <c r="M3488">
        <v>26957.86</v>
      </c>
      <c r="N3488">
        <v>5236.3</v>
      </c>
      <c r="O3488">
        <v>2654.88</v>
      </c>
      <c r="P3488">
        <v>1066.9100000000001</v>
      </c>
      <c r="Q3488">
        <v>586.74</v>
      </c>
      <c r="R3488">
        <v>2380.08</v>
      </c>
      <c r="S3488">
        <v>1048.1099999999999</v>
      </c>
      <c r="T3488">
        <v>39930.879999999997</v>
      </c>
      <c r="U3488">
        <v>15271.39</v>
      </c>
      <c r="V3488">
        <v>2298.37</v>
      </c>
      <c r="W3488">
        <v>2101.65</v>
      </c>
      <c r="X3488">
        <v>43427.26</v>
      </c>
      <c r="Y3488">
        <v>39723.120000000003</v>
      </c>
    </row>
    <row r="3489" spans="1:25" x14ac:dyDescent="0.25">
      <c r="A3489" t="s">
        <v>3545</v>
      </c>
      <c r="B3489" s="1">
        <v>45886</v>
      </c>
      <c r="C3489">
        <v>2025</v>
      </c>
      <c r="D3489">
        <v>8</v>
      </c>
      <c r="E3489" t="s">
        <v>814</v>
      </c>
      <c r="F3489" t="s">
        <v>691</v>
      </c>
      <c r="G3489" t="s">
        <v>44</v>
      </c>
      <c r="H3489" t="s">
        <v>36</v>
      </c>
      <c r="I3489" t="s">
        <v>56</v>
      </c>
      <c r="J3489">
        <v>15</v>
      </c>
      <c r="K3489">
        <v>1729.82</v>
      </c>
      <c r="L3489">
        <v>25947.27</v>
      </c>
      <c r="M3489">
        <v>16904.150000000001</v>
      </c>
      <c r="N3489">
        <v>3100.04</v>
      </c>
      <c r="O3489">
        <v>1260.1199999999999</v>
      </c>
      <c r="P3489">
        <v>549.87</v>
      </c>
      <c r="Q3489">
        <v>275.27999999999997</v>
      </c>
      <c r="R3489">
        <v>1308.6099999999999</v>
      </c>
      <c r="S3489">
        <v>481.66</v>
      </c>
      <c r="T3489">
        <v>23879.73</v>
      </c>
      <c r="U3489">
        <v>9043.1200000000008</v>
      </c>
      <c r="V3489">
        <v>2067.5300000000002</v>
      </c>
      <c r="W3489">
        <v>1822.78</v>
      </c>
      <c r="X3489">
        <v>29016.89</v>
      </c>
      <c r="Y3489">
        <v>24330.11</v>
      </c>
    </row>
    <row r="3490" spans="1:25" x14ac:dyDescent="0.25">
      <c r="A3490" t="s">
        <v>3546</v>
      </c>
      <c r="B3490" s="1">
        <v>45887</v>
      </c>
      <c r="C3490">
        <v>2025</v>
      </c>
      <c r="D3490">
        <v>8</v>
      </c>
      <c r="E3490" t="s">
        <v>814</v>
      </c>
      <c r="F3490" t="s">
        <v>691</v>
      </c>
      <c r="G3490" t="s">
        <v>28</v>
      </c>
      <c r="H3490" t="s">
        <v>32</v>
      </c>
      <c r="I3490" t="s">
        <v>39</v>
      </c>
      <c r="J3490">
        <v>31</v>
      </c>
      <c r="K3490">
        <v>1448.93</v>
      </c>
      <c r="L3490">
        <v>44916.72</v>
      </c>
      <c r="M3490">
        <v>25376.71</v>
      </c>
      <c r="N3490">
        <v>4510.45</v>
      </c>
      <c r="O3490">
        <v>3056.8</v>
      </c>
      <c r="P3490">
        <v>1420.86</v>
      </c>
      <c r="Q3490">
        <v>773.99</v>
      </c>
      <c r="R3490">
        <v>1757.02</v>
      </c>
      <c r="S3490">
        <v>1001.95</v>
      </c>
      <c r="T3490">
        <v>37897.769999999997</v>
      </c>
      <c r="U3490">
        <v>19540.009999999998</v>
      </c>
      <c r="V3490">
        <v>7018.95</v>
      </c>
      <c r="W3490">
        <v>6875.14</v>
      </c>
      <c r="X3490">
        <v>48137.05</v>
      </c>
      <c r="Y3490">
        <v>36852.879999999997</v>
      </c>
    </row>
    <row r="3491" spans="1:25" x14ac:dyDescent="0.25">
      <c r="A3491" t="s">
        <v>3547</v>
      </c>
      <c r="B3491" s="1">
        <v>45887</v>
      </c>
      <c r="C3491">
        <v>2025</v>
      </c>
      <c r="D3491">
        <v>8</v>
      </c>
      <c r="E3491" t="s">
        <v>814</v>
      </c>
      <c r="F3491" t="s">
        <v>691</v>
      </c>
      <c r="G3491" t="s">
        <v>35</v>
      </c>
      <c r="H3491" t="s">
        <v>36</v>
      </c>
      <c r="I3491" t="s">
        <v>39</v>
      </c>
      <c r="J3491">
        <v>28</v>
      </c>
      <c r="K3491">
        <v>1233.74</v>
      </c>
      <c r="L3491">
        <v>34544.82</v>
      </c>
      <c r="M3491">
        <v>19867.13</v>
      </c>
      <c r="N3491">
        <v>4435.63</v>
      </c>
      <c r="O3491">
        <v>1753.83</v>
      </c>
      <c r="P3491">
        <v>1338.1</v>
      </c>
      <c r="Q3491">
        <v>526.14</v>
      </c>
      <c r="R3491">
        <v>1438.89</v>
      </c>
      <c r="S3491">
        <v>848.18</v>
      </c>
      <c r="T3491">
        <v>30207.9</v>
      </c>
      <c r="U3491">
        <v>14677.69</v>
      </c>
      <c r="V3491">
        <v>4336.92</v>
      </c>
      <c r="W3491">
        <v>4197.47</v>
      </c>
      <c r="X3491">
        <v>32148.44</v>
      </c>
      <c r="Y3491">
        <v>32585.3</v>
      </c>
    </row>
    <row r="3492" spans="1:25" x14ac:dyDescent="0.25">
      <c r="A3492" t="s">
        <v>3548</v>
      </c>
      <c r="B3492" s="1">
        <v>45888</v>
      </c>
      <c r="C3492">
        <v>2025</v>
      </c>
      <c r="D3492">
        <v>8</v>
      </c>
      <c r="E3492" t="s">
        <v>814</v>
      </c>
      <c r="F3492" t="s">
        <v>691</v>
      </c>
      <c r="G3492" t="s">
        <v>28</v>
      </c>
      <c r="H3492" t="s">
        <v>36</v>
      </c>
      <c r="I3492" t="s">
        <v>65</v>
      </c>
      <c r="J3492">
        <v>57</v>
      </c>
      <c r="K3492">
        <v>1107.4000000000001</v>
      </c>
      <c r="L3492">
        <v>63121.57</v>
      </c>
      <c r="M3492">
        <v>33782.14</v>
      </c>
      <c r="N3492">
        <v>5015.93</v>
      </c>
      <c r="O3492">
        <v>1713.23</v>
      </c>
      <c r="P3492">
        <v>2197.0100000000002</v>
      </c>
      <c r="Q3492">
        <v>613.33000000000004</v>
      </c>
      <c r="R3492">
        <v>2229.25</v>
      </c>
      <c r="S3492">
        <v>1050.78</v>
      </c>
      <c r="T3492">
        <v>46601.66</v>
      </c>
      <c r="U3492">
        <v>29339.43</v>
      </c>
      <c r="V3492">
        <v>16519.91</v>
      </c>
      <c r="W3492">
        <v>15342.12</v>
      </c>
      <c r="X3492">
        <v>64187.24</v>
      </c>
      <c r="Y3492">
        <v>50625.82</v>
      </c>
    </row>
    <row r="3493" spans="1:25" x14ac:dyDescent="0.25">
      <c r="A3493" t="s">
        <v>3549</v>
      </c>
      <c r="B3493" s="1">
        <v>45888</v>
      </c>
      <c r="C3493">
        <v>2025</v>
      </c>
      <c r="D3493">
        <v>8</v>
      </c>
      <c r="E3493" t="s">
        <v>814</v>
      </c>
      <c r="F3493" t="s">
        <v>691</v>
      </c>
      <c r="G3493" t="s">
        <v>44</v>
      </c>
      <c r="H3493" t="s">
        <v>29</v>
      </c>
      <c r="I3493" t="s">
        <v>30</v>
      </c>
      <c r="J3493">
        <v>54</v>
      </c>
      <c r="K3493">
        <v>1796.82</v>
      </c>
      <c r="L3493">
        <v>97028.14</v>
      </c>
      <c r="M3493">
        <v>50836.959999999999</v>
      </c>
      <c r="N3493">
        <v>11079.95</v>
      </c>
      <c r="O3493">
        <v>3211.96</v>
      </c>
      <c r="P3493">
        <v>3623.61</v>
      </c>
      <c r="Q3493">
        <v>1009.9</v>
      </c>
      <c r="R3493">
        <v>5371.61</v>
      </c>
      <c r="S3493">
        <v>1569.55</v>
      </c>
      <c r="T3493">
        <v>76703.56</v>
      </c>
      <c r="U3493">
        <v>46191.18</v>
      </c>
      <c r="V3493">
        <v>20324.59</v>
      </c>
      <c r="W3493">
        <v>18998.64</v>
      </c>
      <c r="X3493">
        <v>107024.26</v>
      </c>
      <c r="Y3493">
        <v>74062.95</v>
      </c>
    </row>
    <row r="3494" spans="1:25" x14ac:dyDescent="0.25">
      <c r="A3494" t="s">
        <v>3550</v>
      </c>
      <c r="B3494" s="1">
        <v>45888</v>
      </c>
      <c r="C3494">
        <v>2025</v>
      </c>
      <c r="D3494">
        <v>8</v>
      </c>
      <c r="E3494" t="s">
        <v>814</v>
      </c>
      <c r="F3494" t="s">
        <v>691</v>
      </c>
      <c r="G3494" t="s">
        <v>44</v>
      </c>
      <c r="H3494" t="s">
        <v>36</v>
      </c>
      <c r="I3494" t="s">
        <v>45</v>
      </c>
      <c r="J3494">
        <v>42</v>
      </c>
      <c r="K3494">
        <v>998.72</v>
      </c>
      <c r="L3494">
        <v>41946.21</v>
      </c>
      <c r="M3494">
        <v>22577.64</v>
      </c>
      <c r="N3494">
        <v>5112</v>
      </c>
      <c r="O3494">
        <v>2964.67</v>
      </c>
      <c r="P3494">
        <v>1159.76</v>
      </c>
      <c r="Q3494">
        <v>675.92</v>
      </c>
      <c r="R3494">
        <v>1901.12</v>
      </c>
      <c r="S3494">
        <v>876.47</v>
      </c>
      <c r="T3494">
        <v>35267.58</v>
      </c>
      <c r="U3494">
        <v>19368.57</v>
      </c>
      <c r="V3494">
        <v>6678.62</v>
      </c>
      <c r="W3494">
        <v>6371.97</v>
      </c>
      <c r="X3494">
        <v>41065.94</v>
      </c>
      <c r="Y3494">
        <v>33345.440000000002</v>
      </c>
    </row>
    <row r="3495" spans="1:25" x14ac:dyDescent="0.25">
      <c r="A3495" t="s">
        <v>3551</v>
      </c>
      <c r="B3495" s="1">
        <v>45888</v>
      </c>
      <c r="C3495">
        <v>2025</v>
      </c>
      <c r="D3495">
        <v>8</v>
      </c>
      <c r="E3495" t="s">
        <v>814</v>
      </c>
      <c r="F3495" t="s">
        <v>691</v>
      </c>
      <c r="G3495" t="s">
        <v>28</v>
      </c>
      <c r="H3495" t="s">
        <v>36</v>
      </c>
      <c r="I3495" t="s">
        <v>65</v>
      </c>
      <c r="J3495">
        <v>48</v>
      </c>
      <c r="K3495">
        <v>1422.58</v>
      </c>
      <c r="L3495">
        <v>68283.7</v>
      </c>
      <c r="M3495">
        <v>42839.85</v>
      </c>
      <c r="N3495">
        <v>7717.49</v>
      </c>
      <c r="O3495">
        <v>3186.22</v>
      </c>
      <c r="P3495">
        <v>1960.77</v>
      </c>
      <c r="Q3495">
        <v>962.69</v>
      </c>
      <c r="R3495">
        <v>3195.89</v>
      </c>
      <c r="S3495">
        <v>1129.54</v>
      </c>
      <c r="T3495">
        <v>60992.46</v>
      </c>
      <c r="U3495">
        <v>25443.84</v>
      </c>
      <c r="V3495">
        <v>7291.24</v>
      </c>
      <c r="W3495">
        <v>6879.92</v>
      </c>
      <c r="X3495">
        <v>75451.42</v>
      </c>
      <c r="Y3495">
        <v>62681.93</v>
      </c>
    </row>
    <row r="3496" spans="1:25" x14ac:dyDescent="0.25">
      <c r="A3496" t="s">
        <v>3552</v>
      </c>
      <c r="B3496" s="1">
        <v>45889</v>
      </c>
      <c r="C3496">
        <v>2025</v>
      </c>
      <c r="D3496">
        <v>8</v>
      </c>
      <c r="E3496" t="s">
        <v>814</v>
      </c>
      <c r="F3496" t="s">
        <v>691</v>
      </c>
      <c r="G3496" t="s">
        <v>28</v>
      </c>
      <c r="H3496" t="s">
        <v>36</v>
      </c>
      <c r="I3496" t="s">
        <v>33</v>
      </c>
      <c r="J3496">
        <v>52</v>
      </c>
      <c r="K3496">
        <v>1128.42</v>
      </c>
      <c r="L3496">
        <v>58677.78</v>
      </c>
      <c r="M3496">
        <v>38693.629999999997</v>
      </c>
      <c r="N3496">
        <v>7329.46</v>
      </c>
      <c r="O3496">
        <v>1720.81</v>
      </c>
      <c r="P3496">
        <v>1845.76</v>
      </c>
      <c r="Q3496">
        <v>772.3</v>
      </c>
      <c r="R3496">
        <v>2886.9</v>
      </c>
      <c r="S3496">
        <v>1147.24</v>
      </c>
      <c r="T3496">
        <v>54396.09</v>
      </c>
      <c r="U3496">
        <v>19984.150000000001</v>
      </c>
      <c r="V3496">
        <v>4281.68</v>
      </c>
      <c r="W3496">
        <v>4018.97</v>
      </c>
      <c r="X3496">
        <v>61158.95</v>
      </c>
      <c r="Y3496">
        <v>53635.57</v>
      </c>
    </row>
    <row r="3497" spans="1:25" x14ac:dyDescent="0.25">
      <c r="A3497" t="s">
        <v>3553</v>
      </c>
      <c r="B3497" s="1">
        <v>45889</v>
      </c>
      <c r="C3497">
        <v>2025</v>
      </c>
      <c r="D3497">
        <v>8</v>
      </c>
      <c r="E3497" t="s">
        <v>814</v>
      </c>
      <c r="F3497" t="s">
        <v>691</v>
      </c>
      <c r="G3497" t="s">
        <v>55</v>
      </c>
      <c r="H3497" t="s">
        <v>58</v>
      </c>
      <c r="I3497" t="s">
        <v>45</v>
      </c>
      <c r="J3497">
        <v>24</v>
      </c>
      <c r="K3497">
        <v>1498.04</v>
      </c>
      <c r="L3497">
        <v>35952.92</v>
      </c>
      <c r="M3497">
        <v>22052.41</v>
      </c>
      <c r="N3497">
        <v>3588.51</v>
      </c>
      <c r="O3497">
        <v>1707.23</v>
      </c>
      <c r="P3497">
        <v>1333.76</v>
      </c>
      <c r="Q3497">
        <v>310.45</v>
      </c>
      <c r="R3497">
        <v>2133.86</v>
      </c>
      <c r="S3497">
        <v>346.13</v>
      </c>
      <c r="T3497">
        <v>31472.35</v>
      </c>
      <c r="U3497">
        <v>13900.52</v>
      </c>
      <c r="V3497">
        <v>4480.57</v>
      </c>
      <c r="W3497">
        <v>4365.88</v>
      </c>
      <c r="X3497">
        <v>38989.5</v>
      </c>
      <c r="Y3497">
        <v>31384.11</v>
      </c>
    </row>
    <row r="3498" spans="1:25" x14ac:dyDescent="0.25">
      <c r="A3498" t="s">
        <v>3554</v>
      </c>
      <c r="B3498" s="1">
        <v>45889</v>
      </c>
      <c r="C3498">
        <v>2025</v>
      </c>
      <c r="D3498">
        <v>8</v>
      </c>
      <c r="E3498" t="s">
        <v>814</v>
      </c>
      <c r="F3498" t="s">
        <v>691</v>
      </c>
      <c r="G3498" t="s">
        <v>28</v>
      </c>
      <c r="H3498" t="s">
        <v>32</v>
      </c>
      <c r="I3498" t="s">
        <v>65</v>
      </c>
      <c r="J3498">
        <v>75</v>
      </c>
      <c r="K3498">
        <v>1276.56</v>
      </c>
      <c r="L3498">
        <v>95741.86</v>
      </c>
      <c r="M3498">
        <v>48149.77</v>
      </c>
      <c r="N3498">
        <v>11239.89</v>
      </c>
      <c r="O3498">
        <v>4350.3500000000004</v>
      </c>
      <c r="P3498">
        <v>2868.07</v>
      </c>
      <c r="Q3498">
        <v>557.64</v>
      </c>
      <c r="R3498">
        <v>4258.93</v>
      </c>
      <c r="S3498">
        <v>1006.78</v>
      </c>
      <c r="T3498">
        <v>72431.429999999993</v>
      </c>
      <c r="U3498">
        <v>47592.09</v>
      </c>
      <c r="V3498">
        <v>23310.43</v>
      </c>
      <c r="W3498">
        <v>22091.27</v>
      </c>
      <c r="X3498">
        <v>98183.15</v>
      </c>
      <c r="Y3498">
        <v>76584.53</v>
      </c>
    </row>
    <row r="3499" spans="1:25" x14ac:dyDescent="0.25">
      <c r="A3499" t="s">
        <v>3555</v>
      </c>
      <c r="B3499" s="1">
        <v>45889</v>
      </c>
      <c r="C3499">
        <v>2025</v>
      </c>
      <c r="D3499">
        <v>8</v>
      </c>
      <c r="E3499" t="s">
        <v>814</v>
      </c>
      <c r="F3499" t="s">
        <v>691</v>
      </c>
      <c r="G3499" t="s">
        <v>44</v>
      </c>
      <c r="H3499" t="s">
        <v>32</v>
      </c>
      <c r="I3499" t="s">
        <v>45</v>
      </c>
      <c r="J3499">
        <v>24</v>
      </c>
      <c r="K3499">
        <v>1669.87</v>
      </c>
      <c r="L3499">
        <v>40076.800000000003</v>
      </c>
      <c r="M3499">
        <v>25256.5</v>
      </c>
      <c r="N3499">
        <v>4021.26</v>
      </c>
      <c r="O3499">
        <v>2449.91</v>
      </c>
      <c r="P3499">
        <v>1486.62</v>
      </c>
      <c r="Q3499">
        <v>641.72</v>
      </c>
      <c r="R3499">
        <v>1062.06</v>
      </c>
      <c r="S3499">
        <v>784.85</v>
      </c>
      <c r="T3499">
        <v>35702.910000000003</v>
      </c>
      <c r="U3499">
        <v>14820.3</v>
      </c>
      <c r="V3499">
        <v>4373.8900000000003</v>
      </c>
      <c r="W3499">
        <v>4189.58</v>
      </c>
      <c r="X3499">
        <v>40925.760000000002</v>
      </c>
      <c r="Y3499">
        <v>34400.379999999997</v>
      </c>
    </row>
    <row r="3500" spans="1:25" x14ac:dyDescent="0.25">
      <c r="A3500" t="s">
        <v>3556</v>
      </c>
      <c r="B3500" s="1">
        <v>45890</v>
      </c>
      <c r="C3500">
        <v>2025</v>
      </c>
      <c r="D3500">
        <v>8</v>
      </c>
      <c r="E3500" t="s">
        <v>814</v>
      </c>
      <c r="F3500" t="s">
        <v>691</v>
      </c>
      <c r="G3500" t="s">
        <v>55</v>
      </c>
      <c r="H3500" t="s">
        <v>32</v>
      </c>
      <c r="I3500" t="s">
        <v>33</v>
      </c>
      <c r="J3500">
        <v>50</v>
      </c>
      <c r="K3500">
        <v>1593.13</v>
      </c>
      <c r="L3500">
        <v>79656.399999999994</v>
      </c>
      <c r="M3500">
        <v>52862.74</v>
      </c>
      <c r="N3500">
        <v>7590.86</v>
      </c>
      <c r="O3500">
        <v>5476.11</v>
      </c>
      <c r="P3500">
        <v>2722.24</v>
      </c>
      <c r="Q3500">
        <v>876.78</v>
      </c>
      <c r="R3500">
        <v>3939.5</v>
      </c>
      <c r="S3500">
        <v>1292.4000000000001</v>
      </c>
      <c r="T3500">
        <v>74760.63</v>
      </c>
      <c r="U3500">
        <v>26793.67</v>
      </c>
      <c r="V3500">
        <v>4895.78</v>
      </c>
      <c r="W3500">
        <v>4312.54</v>
      </c>
      <c r="X3500">
        <v>86337.18</v>
      </c>
      <c r="Y3500">
        <v>73046.429999999993</v>
      </c>
    </row>
    <row r="3501" spans="1:25" x14ac:dyDescent="0.25">
      <c r="A3501" t="s">
        <v>3557</v>
      </c>
      <c r="B3501" s="1">
        <v>45890</v>
      </c>
      <c r="C3501">
        <v>2025</v>
      </c>
      <c r="D3501">
        <v>8</v>
      </c>
      <c r="E3501" t="s">
        <v>814</v>
      </c>
      <c r="F3501" t="s">
        <v>691</v>
      </c>
      <c r="G3501" t="s">
        <v>35</v>
      </c>
      <c r="H3501" t="s">
        <v>32</v>
      </c>
      <c r="I3501" t="s">
        <v>39</v>
      </c>
      <c r="J3501">
        <v>27</v>
      </c>
      <c r="K3501">
        <v>1544.94</v>
      </c>
      <c r="L3501">
        <v>41713.33</v>
      </c>
      <c r="M3501">
        <v>26855.61</v>
      </c>
      <c r="N3501">
        <v>4802.2700000000004</v>
      </c>
      <c r="O3501">
        <v>2656.92</v>
      </c>
      <c r="P3501">
        <v>699.55</v>
      </c>
      <c r="Q3501">
        <v>574.39</v>
      </c>
      <c r="R3501">
        <v>2248.67</v>
      </c>
      <c r="S3501">
        <v>879.7</v>
      </c>
      <c r="T3501">
        <v>38717.11</v>
      </c>
      <c r="U3501">
        <v>14857.71</v>
      </c>
      <c r="V3501">
        <v>2996.21</v>
      </c>
      <c r="W3501">
        <v>2677.9</v>
      </c>
      <c r="X3501">
        <v>42064.26</v>
      </c>
      <c r="Y3501">
        <v>38434.04</v>
      </c>
    </row>
    <row r="3502" spans="1:25" x14ac:dyDescent="0.25">
      <c r="A3502" t="s">
        <v>3558</v>
      </c>
      <c r="B3502" s="1">
        <v>45890</v>
      </c>
      <c r="C3502">
        <v>2025</v>
      </c>
      <c r="D3502">
        <v>8</v>
      </c>
      <c r="E3502" t="s">
        <v>814</v>
      </c>
      <c r="F3502" t="s">
        <v>691</v>
      </c>
      <c r="G3502" t="s">
        <v>35</v>
      </c>
      <c r="H3502" t="s">
        <v>36</v>
      </c>
      <c r="I3502" t="s">
        <v>30</v>
      </c>
      <c r="J3502">
        <v>42</v>
      </c>
      <c r="K3502">
        <v>1711.55</v>
      </c>
      <c r="L3502">
        <v>71885.3</v>
      </c>
      <c r="M3502">
        <v>35416.76</v>
      </c>
      <c r="N3502">
        <v>7293.58</v>
      </c>
      <c r="O3502">
        <v>2187.19</v>
      </c>
      <c r="P3502">
        <v>2484.7800000000002</v>
      </c>
      <c r="Q3502">
        <v>1278.0999999999999</v>
      </c>
      <c r="R3502">
        <v>4223.79</v>
      </c>
      <c r="S3502">
        <v>1436.94</v>
      </c>
      <c r="T3502">
        <v>54321.13</v>
      </c>
      <c r="U3502">
        <v>36468.54</v>
      </c>
      <c r="V3502">
        <v>17564.169999999998</v>
      </c>
      <c r="W3502">
        <v>17174.2</v>
      </c>
      <c r="X3502">
        <v>76552.800000000003</v>
      </c>
      <c r="Y3502">
        <v>51673.19</v>
      </c>
    </row>
    <row r="3503" spans="1:25" x14ac:dyDescent="0.25">
      <c r="A3503" t="s">
        <v>3559</v>
      </c>
      <c r="B3503" s="1">
        <v>45890</v>
      </c>
      <c r="C3503">
        <v>2025</v>
      </c>
      <c r="D3503">
        <v>8</v>
      </c>
      <c r="E3503" t="s">
        <v>814</v>
      </c>
      <c r="F3503" t="s">
        <v>691</v>
      </c>
      <c r="G3503" t="s">
        <v>55</v>
      </c>
      <c r="H3503" t="s">
        <v>58</v>
      </c>
      <c r="I3503" t="s">
        <v>45</v>
      </c>
      <c r="J3503">
        <v>37</v>
      </c>
      <c r="K3503">
        <v>1498.71</v>
      </c>
      <c r="L3503">
        <v>55452.27</v>
      </c>
      <c r="M3503">
        <v>33216.25</v>
      </c>
      <c r="N3503">
        <v>4143.88</v>
      </c>
      <c r="O3503">
        <v>1745.35</v>
      </c>
      <c r="P3503">
        <v>1052.52</v>
      </c>
      <c r="Q3503">
        <v>410.94</v>
      </c>
      <c r="R3503">
        <v>2420.2399999999998</v>
      </c>
      <c r="S3503">
        <v>750.08</v>
      </c>
      <c r="T3503">
        <v>43739.27</v>
      </c>
      <c r="U3503">
        <v>22236.02</v>
      </c>
      <c r="V3503">
        <v>11713</v>
      </c>
      <c r="W3503">
        <v>10475.94</v>
      </c>
      <c r="X3503">
        <v>58143.49</v>
      </c>
      <c r="Y3503">
        <v>46177.83</v>
      </c>
    </row>
    <row r="3504" spans="1:25" x14ac:dyDescent="0.25">
      <c r="A3504" t="s">
        <v>3560</v>
      </c>
      <c r="B3504" s="1">
        <v>45892</v>
      </c>
      <c r="C3504">
        <v>2025</v>
      </c>
      <c r="D3504">
        <v>8</v>
      </c>
      <c r="E3504" t="s">
        <v>814</v>
      </c>
      <c r="F3504" t="s">
        <v>691</v>
      </c>
      <c r="G3504" t="s">
        <v>35</v>
      </c>
      <c r="H3504" t="s">
        <v>32</v>
      </c>
      <c r="I3504" t="s">
        <v>45</v>
      </c>
      <c r="J3504">
        <v>26</v>
      </c>
      <c r="K3504">
        <v>1371.99</v>
      </c>
      <c r="L3504">
        <v>35671.86</v>
      </c>
      <c r="M3504">
        <v>22535.48</v>
      </c>
      <c r="N3504">
        <v>3765.99</v>
      </c>
      <c r="O3504">
        <v>1189.46</v>
      </c>
      <c r="P3504">
        <v>793.49</v>
      </c>
      <c r="Q3504">
        <v>518.51</v>
      </c>
      <c r="R3504">
        <v>2070.7600000000002</v>
      </c>
      <c r="S3504">
        <v>665.33</v>
      </c>
      <c r="T3504">
        <v>31539.03</v>
      </c>
      <c r="U3504">
        <v>13136.38</v>
      </c>
      <c r="V3504">
        <v>4132.84</v>
      </c>
      <c r="W3504">
        <v>3834.75</v>
      </c>
      <c r="X3504">
        <v>36651.15</v>
      </c>
      <c r="Y3504">
        <v>31232.36</v>
      </c>
    </row>
    <row r="3505" spans="1:25" x14ac:dyDescent="0.25">
      <c r="A3505" t="s">
        <v>3561</v>
      </c>
      <c r="B3505" s="1">
        <v>45892</v>
      </c>
      <c r="C3505">
        <v>2025</v>
      </c>
      <c r="D3505">
        <v>8</v>
      </c>
      <c r="E3505" t="s">
        <v>814</v>
      </c>
      <c r="F3505" t="s">
        <v>691</v>
      </c>
      <c r="G3505" t="s">
        <v>35</v>
      </c>
      <c r="H3505" t="s">
        <v>32</v>
      </c>
      <c r="I3505" t="s">
        <v>30</v>
      </c>
      <c r="J3505">
        <v>88</v>
      </c>
      <c r="K3505">
        <v>877.08</v>
      </c>
      <c r="L3505">
        <v>77183.009999999995</v>
      </c>
      <c r="M3505">
        <v>37478.870000000003</v>
      </c>
      <c r="N3505">
        <v>6266.65</v>
      </c>
      <c r="O3505">
        <v>3791.33</v>
      </c>
      <c r="P3505">
        <v>2957.98</v>
      </c>
      <c r="Q3505">
        <v>1268.1500000000001</v>
      </c>
      <c r="R3505">
        <v>2994.36</v>
      </c>
      <c r="S3505">
        <v>1251.95</v>
      </c>
      <c r="T3505">
        <v>56009.29</v>
      </c>
      <c r="U3505">
        <v>39704.129999999997</v>
      </c>
      <c r="V3505">
        <v>21173.72</v>
      </c>
      <c r="W3505">
        <v>19760.04</v>
      </c>
      <c r="X3505">
        <v>74712.78</v>
      </c>
      <c r="Y3505">
        <v>55588.92</v>
      </c>
    </row>
    <row r="3506" spans="1:25" x14ac:dyDescent="0.25">
      <c r="A3506" t="s">
        <v>3562</v>
      </c>
      <c r="B3506" s="1">
        <v>45893</v>
      </c>
      <c r="C3506">
        <v>2025</v>
      </c>
      <c r="D3506">
        <v>8</v>
      </c>
      <c r="E3506" t="s">
        <v>814</v>
      </c>
      <c r="F3506" t="s">
        <v>691</v>
      </c>
      <c r="G3506" t="s">
        <v>44</v>
      </c>
      <c r="H3506" t="s">
        <v>53</v>
      </c>
      <c r="I3506" t="s">
        <v>65</v>
      </c>
      <c r="J3506">
        <v>28</v>
      </c>
      <c r="K3506">
        <v>1774.56</v>
      </c>
      <c r="L3506">
        <v>49687.81</v>
      </c>
      <c r="M3506">
        <v>26204.28</v>
      </c>
      <c r="N3506">
        <v>4841.12</v>
      </c>
      <c r="O3506">
        <v>2812.93</v>
      </c>
      <c r="P3506">
        <v>1406.11</v>
      </c>
      <c r="Q3506">
        <v>403.05</v>
      </c>
      <c r="R3506">
        <v>2000.84</v>
      </c>
      <c r="S3506">
        <v>760.93</v>
      </c>
      <c r="T3506">
        <v>38429.25</v>
      </c>
      <c r="U3506">
        <v>23483.54</v>
      </c>
      <c r="V3506">
        <v>11258.57</v>
      </c>
      <c r="W3506">
        <v>11449.55</v>
      </c>
      <c r="X3506">
        <v>53902.74</v>
      </c>
      <c r="Y3506">
        <v>37146.28</v>
      </c>
    </row>
    <row r="3507" spans="1:25" x14ac:dyDescent="0.25">
      <c r="A3507" t="s">
        <v>3563</v>
      </c>
      <c r="B3507" s="1">
        <v>45894</v>
      </c>
      <c r="C3507">
        <v>2025</v>
      </c>
      <c r="D3507">
        <v>8</v>
      </c>
      <c r="E3507" t="s">
        <v>814</v>
      </c>
      <c r="F3507" t="s">
        <v>691</v>
      </c>
      <c r="G3507" t="s">
        <v>44</v>
      </c>
      <c r="H3507" t="s">
        <v>32</v>
      </c>
      <c r="I3507" t="s">
        <v>45</v>
      </c>
      <c r="J3507">
        <v>68</v>
      </c>
      <c r="K3507">
        <v>885.23</v>
      </c>
      <c r="L3507">
        <v>60195.75</v>
      </c>
      <c r="M3507">
        <v>31634.21</v>
      </c>
      <c r="N3507">
        <v>7466.86</v>
      </c>
      <c r="O3507">
        <v>2261.31</v>
      </c>
      <c r="P3507">
        <v>1650.85</v>
      </c>
      <c r="Q3507">
        <v>396.11</v>
      </c>
      <c r="R3507">
        <v>2697.34</v>
      </c>
      <c r="S3507">
        <v>996.51</v>
      </c>
      <c r="T3507">
        <v>47103.19</v>
      </c>
      <c r="U3507">
        <v>28561.54</v>
      </c>
      <c r="V3507">
        <v>13092.56</v>
      </c>
      <c r="W3507">
        <v>12274.71</v>
      </c>
      <c r="X3507">
        <v>57966.32</v>
      </c>
      <c r="Y3507">
        <v>47693.120000000003</v>
      </c>
    </row>
    <row r="3508" spans="1:25" x14ac:dyDescent="0.25">
      <c r="A3508" t="s">
        <v>3564</v>
      </c>
      <c r="B3508" s="1">
        <v>45894</v>
      </c>
      <c r="C3508">
        <v>2025</v>
      </c>
      <c r="D3508">
        <v>8</v>
      </c>
      <c r="E3508" t="s">
        <v>814</v>
      </c>
      <c r="F3508" t="s">
        <v>691</v>
      </c>
      <c r="G3508" t="s">
        <v>35</v>
      </c>
      <c r="H3508" t="s">
        <v>32</v>
      </c>
      <c r="I3508" t="s">
        <v>65</v>
      </c>
      <c r="J3508">
        <v>49</v>
      </c>
      <c r="K3508">
        <v>1329.21</v>
      </c>
      <c r="L3508">
        <v>65131.18</v>
      </c>
      <c r="M3508">
        <v>33726.11</v>
      </c>
      <c r="N3508">
        <v>6760.48</v>
      </c>
      <c r="O3508">
        <v>4769.83</v>
      </c>
      <c r="P3508">
        <v>1736.43</v>
      </c>
      <c r="Q3508">
        <v>336.28</v>
      </c>
      <c r="R3508">
        <v>3703.19</v>
      </c>
      <c r="S3508">
        <v>746.7</v>
      </c>
      <c r="T3508">
        <v>51779.03</v>
      </c>
      <c r="U3508">
        <v>31405.07</v>
      </c>
      <c r="V3508">
        <v>13352.15</v>
      </c>
      <c r="W3508">
        <v>12479.34</v>
      </c>
      <c r="X3508">
        <v>68074.899999999994</v>
      </c>
      <c r="Y3508">
        <v>49841.46</v>
      </c>
    </row>
    <row r="3509" spans="1:25" x14ac:dyDescent="0.25">
      <c r="A3509" t="s">
        <v>3565</v>
      </c>
      <c r="B3509" s="1">
        <v>45894</v>
      </c>
      <c r="C3509">
        <v>2025</v>
      </c>
      <c r="D3509">
        <v>8</v>
      </c>
      <c r="E3509" t="s">
        <v>814</v>
      </c>
      <c r="F3509" t="s">
        <v>691</v>
      </c>
      <c r="G3509" t="s">
        <v>55</v>
      </c>
      <c r="H3509" t="s">
        <v>58</v>
      </c>
      <c r="I3509" t="s">
        <v>39</v>
      </c>
      <c r="J3509">
        <v>29</v>
      </c>
      <c r="K3509">
        <v>1535.33</v>
      </c>
      <c r="L3509">
        <v>44524.62</v>
      </c>
      <c r="M3509">
        <v>28111.96</v>
      </c>
      <c r="N3509">
        <v>4045.35</v>
      </c>
      <c r="O3509">
        <v>2604</v>
      </c>
      <c r="P3509">
        <v>681.25</v>
      </c>
      <c r="Q3509">
        <v>715.14</v>
      </c>
      <c r="R3509">
        <v>1727.78</v>
      </c>
      <c r="S3509">
        <v>507.94</v>
      </c>
      <c r="T3509">
        <v>38393.42</v>
      </c>
      <c r="U3509">
        <v>16412.66</v>
      </c>
      <c r="V3509">
        <v>6131.2</v>
      </c>
      <c r="W3509">
        <v>6164.84</v>
      </c>
      <c r="X3509">
        <v>43399.519999999997</v>
      </c>
      <c r="Y3509">
        <v>40785.78</v>
      </c>
    </row>
    <row r="3510" spans="1:25" x14ac:dyDescent="0.25">
      <c r="A3510" t="s">
        <v>3566</v>
      </c>
      <c r="B3510" s="1">
        <v>45894</v>
      </c>
      <c r="C3510">
        <v>2025</v>
      </c>
      <c r="D3510">
        <v>8</v>
      </c>
      <c r="E3510" t="s">
        <v>814</v>
      </c>
      <c r="F3510" t="s">
        <v>691</v>
      </c>
      <c r="G3510" t="s">
        <v>55</v>
      </c>
      <c r="H3510" t="s">
        <v>58</v>
      </c>
      <c r="I3510" t="s">
        <v>33</v>
      </c>
      <c r="J3510">
        <v>39</v>
      </c>
      <c r="K3510">
        <v>1483.9</v>
      </c>
      <c r="L3510">
        <v>57872.15</v>
      </c>
      <c r="M3510">
        <v>33798.53</v>
      </c>
      <c r="N3510">
        <v>4298.3</v>
      </c>
      <c r="O3510">
        <v>2422.92</v>
      </c>
      <c r="P3510">
        <v>1055.0999999999999</v>
      </c>
      <c r="Q3510">
        <v>730.22</v>
      </c>
      <c r="R3510">
        <v>2407.2600000000002</v>
      </c>
      <c r="S3510">
        <v>733.72</v>
      </c>
      <c r="T3510">
        <v>45446.04</v>
      </c>
      <c r="U3510">
        <v>24073.63</v>
      </c>
      <c r="V3510">
        <v>12426.11</v>
      </c>
      <c r="W3510">
        <v>12009.79</v>
      </c>
      <c r="X3510">
        <v>63304.99</v>
      </c>
      <c r="Y3510">
        <v>44099.24</v>
      </c>
    </row>
    <row r="3511" spans="1:25" x14ac:dyDescent="0.25">
      <c r="A3511" t="s">
        <v>3567</v>
      </c>
      <c r="B3511" s="1">
        <v>45895</v>
      </c>
      <c r="C3511">
        <v>2025</v>
      </c>
      <c r="D3511">
        <v>8</v>
      </c>
      <c r="E3511" t="s">
        <v>814</v>
      </c>
      <c r="F3511" t="s">
        <v>691</v>
      </c>
      <c r="G3511" t="s">
        <v>44</v>
      </c>
      <c r="H3511" t="s">
        <v>36</v>
      </c>
      <c r="I3511" t="s">
        <v>56</v>
      </c>
      <c r="J3511">
        <v>29</v>
      </c>
      <c r="K3511">
        <v>1234.67</v>
      </c>
      <c r="L3511">
        <v>35805.35</v>
      </c>
      <c r="M3511">
        <v>18536.310000000001</v>
      </c>
      <c r="N3511">
        <v>2810.25</v>
      </c>
      <c r="O3511">
        <v>2643.1</v>
      </c>
      <c r="P3511">
        <v>1501.52</v>
      </c>
      <c r="Q3511">
        <v>238.46</v>
      </c>
      <c r="R3511">
        <v>2037.55</v>
      </c>
      <c r="S3511">
        <v>633.09</v>
      </c>
      <c r="T3511">
        <v>28400.29</v>
      </c>
      <c r="U3511">
        <v>17269.04</v>
      </c>
      <c r="V3511">
        <v>7405.06</v>
      </c>
      <c r="W3511">
        <v>6745.72</v>
      </c>
      <c r="X3511">
        <v>36824.06</v>
      </c>
      <c r="Y3511">
        <v>27957.49</v>
      </c>
    </row>
    <row r="3512" spans="1:25" x14ac:dyDescent="0.25">
      <c r="A3512" t="s">
        <v>3568</v>
      </c>
      <c r="B3512" s="1">
        <v>45895</v>
      </c>
      <c r="C3512">
        <v>2025</v>
      </c>
      <c r="D3512">
        <v>8</v>
      </c>
      <c r="E3512" t="s">
        <v>814</v>
      </c>
      <c r="F3512" t="s">
        <v>691</v>
      </c>
      <c r="G3512" t="s">
        <v>55</v>
      </c>
      <c r="H3512" t="s">
        <v>32</v>
      </c>
      <c r="I3512" t="s">
        <v>45</v>
      </c>
      <c r="J3512">
        <v>25</v>
      </c>
      <c r="K3512">
        <v>1755.58</v>
      </c>
      <c r="L3512">
        <v>43889.599999999999</v>
      </c>
      <c r="M3512">
        <v>22873.03</v>
      </c>
      <c r="N3512">
        <v>5185.9399999999996</v>
      </c>
      <c r="O3512">
        <v>3211.91</v>
      </c>
      <c r="P3512">
        <v>1141.83</v>
      </c>
      <c r="Q3512">
        <v>495.47</v>
      </c>
      <c r="R3512">
        <v>1415.76</v>
      </c>
      <c r="S3512">
        <v>1030.42</v>
      </c>
      <c r="T3512">
        <v>35354.370000000003</v>
      </c>
      <c r="U3512">
        <v>21016.57</v>
      </c>
      <c r="V3512">
        <v>8535.23</v>
      </c>
      <c r="W3512">
        <v>7938.54</v>
      </c>
      <c r="X3512">
        <v>43482.42</v>
      </c>
      <c r="Y3512">
        <v>32952.36</v>
      </c>
    </row>
    <row r="3513" spans="1:25" x14ac:dyDescent="0.25">
      <c r="A3513" t="s">
        <v>3569</v>
      </c>
      <c r="B3513" s="1">
        <v>45895</v>
      </c>
      <c r="C3513">
        <v>2025</v>
      </c>
      <c r="D3513">
        <v>8</v>
      </c>
      <c r="E3513" t="s">
        <v>814</v>
      </c>
      <c r="F3513" t="s">
        <v>691</v>
      </c>
      <c r="G3513" t="s">
        <v>44</v>
      </c>
      <c r="H3513" t="s">
        <v>29</v>
      </c>
      <c r="I3513" t="s">
        <v>45</v>
      </c>
      <c r="J3513">
        <v>34</v>
      </c>
      <c r="K3513">
        <v>1553.14</v>
      </c>
      <c r="L3513">
        <v>52806.86</v>
      </c>
      <c r="M3513">
        <v>35052.629999999997</v>
      </c>
      <c r="N3513">
        <v>3724.89</v>
      </c>
      <c r="O3513">
        <v>2038.54</v>
      </c>
      <c r="P3513">
        <v>1387.97</v>
      </c>
      <c r="Q3513">
        <v>465.55</v>
      </c>
      <c r="R3513">
        <v>3404.06</v>
      </c>
      <c r="S3513">
        <v>1173.8</v>
      </c>
      <c r="T3513">
        <v>47247.44</v>
      </c>
      <c r="U3513">
        <v>17754.240000000002</v>
      </c>
      <c r="V3513">
        <v>5559.42</v>
      </c>
      <c r="W3513">
        <v>5471.67</v>
      </c>
      <c r="X3513">
        <v>58148.87</v>
      </c>
      <c r="Y3513">
        <v>45810.89</v>
      </c>
    </row>
    <row r="3514" spans="1:25" x14ac:dyDescent="0.25">
      <c r="A3514" t="s">
        <v>3570</v>
      </c>
      <c r="B3514" s="1">
        <v>45895</v>
      </c>
      <c r="C3514">
        <v>2025</v>
      </c>
      <c r="D3514">
        <v>8</v>
      </c>
      <c r="E3514" t="s">
        <v>814</v>
      </c>
      <c r="F3514" t="s">
        <v>691</v>
      </c>
      <c r="G3514" t="s">
        <v>28</v>
      </c>
      <c r="H3514" t="s">
        <v>36</v>
      </c>
      <c r="I3514" t="s">
        <v>30</v>
      </c>
      <c r="J3514">
        <v>63</v>
      </c>
      <c r="K3514">
        <v>1233.45</v>
      </c>
      <c r="L3514">
        <v>77707.59</v>
      </c>
      <c r="M3514">
        <v>48620.41</v>
      </c>
      <c r="N3514">
        <v>8020.89</v>
      </c>
      <c r="O3514">
        <v>4262.49</v>
      </c>
      <c r="P3514">
        <v>3337.78</v>
      </c>
      <c r="Q3514">
        <v>433.27</v>
      </c>
      <c r="R3514">
        <v>3712.09</v>
      </c>
      <c r="S3514">
        <v>847.1</v>
      </c>
      <c r="T3514">
        <v>69234.03</v>
      </c>
      <c r="U3514">
        <v>29087.17</v>
      </c>
      <c r="V3514">
        <v>8473.56</v>
      </c>
      <c r="W3514">
        <v>7857.8</v>
      </c>
      <c r="X3514">
        <v>71726.37</v>
      </c>
      <c r="Y3514">
        <v>64835.45</v>
      </c>
    </row>
    <row r="3515" spans="1:25" x14ac:dyDescent="0.25">
      <c r="A3515" t="s">
        <v>3571</v>
      </c>
      <c r="B3515" s="1">
        <v>45896</v>
      </c>
      <c r="C3515">
        <v>2025</v>
      </c>
      <c r="D3515">
        <v>8</v>
      </c>
      <c r="E3515" t="s">
        <v>814</v>
      </c>
      <c r="F3515" t="s">
        <v>691</v>
      </c>
      <c r="G3515" t="s">
        <v>28</v>
      </c>
      <c r="H3515" t="s">
        <v>36</v>
      </c>
      <c r="I3515" t="s">
        <v>30</v>
      </c>
      <c r="J3515">
        <v>103</v>
      </c>
      <c r="K3515">
        <v>1087.78</v>
      </c>
      <c r="L3515">
        <v>112041.63</v>
      </c>
      <c r="M3515">
        <v>63883.53</v>
      </c>
      <c r="N3515">
        <v>10654.3</v>
      </c>
      <c r="O3515">
        <v>3912.44</v>
      </c>
      <c r="P3515">
        <v>4909.96</v>
      </c>
      <c r="Q3515">
        <v>2000.73</v>
      </c>
      <c r="R3515">
        <v>4108.34</v>
      </c>
      <c r="S3515">
        <v>1096.79</v>
      </c>
      <c r="T3515">
        <v>90566.080000000002</v>
      </c>
      <c r="U3515">
        <v>48158.1</v>
      </c>
      <c r="V3515">
        <v>21475.55</v>
      </c>
      <c r="W3515">
        <v>20264.990000000002</v>
      </c>
      <c r="X3515">
        <v>117825.43</v>
      </c>
      <c r="Y3515">
        <v>94030.18</v>
      </c>
    </row>
    <row r="3516" spans="1:25" x14ac:dyDescent="0.25">
      <c r="A3516" t="s">
        <v>3572</v>
      </c>
      <c r="B3516" s="1">
        <v>45897</v>
      </c>
      <c r="C3516">
        <v>2025</v>
      </c>
      <c r="D3516">
        <v>8</v>
      </c>
      <c r="E3516" t="s">
        <v>814</v>
      </c>
      <c r="F3516" t="s">
        <v>691</v>
      </c>
      <c r="G3516" t="s">
        <v>44</v>
      </c>
      <c r="H3516" t="s">
        <v>58</v>
      </c>
      <c r="I3516" t="s">
        <v>56</v>
      </c>
      <c r="J3516">
        <v>31</v>
      </c>
      <c r="K3516">
        <v>1056.28</v>
      </c>
      <c r="L3516">
        <v>32744.720000000001</v>
      </c>
      <c r="M3516">
        <v>20786.38</v>
      </c>
      <c r="N3516">
        <v>3708.11</v>
      </c>
      <c r="O3516">
        <v>2082.9</v>
      </c>
      <c r="P3516">
        <v>1385.68</v>
      </c>
      <c r="Q3516">
        <v>309.12</v>
      </c>
      <c r="R3516">
        <v>1511.16</v>
      </c>
      <c r="S3516">
        <v>555.38</v>
      </c>
      <c r="T3516">
        <v>30338.74</v>
      </c>
      <c r="U3516">
        <v>11958.34</v>
      </c>
      <c r="V3516">
        <v>2405.98</v>
      </c>
      <c r="W3516">
        <v>2316.0100000000002</v>
      </c>
      <c r="X3516">
        <v>33508.78</v>
      </c>
      <c r="Y3516">
        <v>28869.61</v>
      </c>
    </row>
    <row r="3517" spans="1:25" x14ac:dyDescent="0.25">
      <c r="A3517" t="s">
        <v>3573</v>
      </c>
      <c r="B3517" s="1">
        <v>45897</v>
      </c>
      <c r="C3517">
        <v>2025</v>
      </c>
      <c r="D3517">
        <v>8</v>
      </c>
      <c r="E3517" t="s">
        <v>814</v>
      </c>
      <c r="F3517" t="s">
        <v>691</v>
      </c>
      <c r="G3517" t="s">
        <v>28</v>
      </c>
      <c r="H3517" t="s">
        <v>36</v>
      </c>
      <c r="I3517" t="s">
        <v>39</v>
      </c>
      <c r="J3517">
        <v>24</v>
      </c>
      <c r="K3517">
        <v>1510.91</v>
      </c>
      <c r="L3517">
        <v>36261.9</v>
      </c>
      <c r="M3517">
        <v>18250.93</v>
      </c>
      <c r="N3517">
        <v>2824.3</v>
      </c>
      <c r="O3517">
        <v>1299.76</v>
      </c>
      <c r="P3517">
        <v>1502.51</v>
      </c>
      <c r="Q3517">
        <v>288.89</v>
      </c>
      <c r="R3517">
        <v>1009.04</v>
      </c>
      <c r="S3517">
        <v>841.21</v>
      </c>
      <c r="T3517">
        <v>26016.639999999999</v>
      </c>
      <c r="U3517">
        <v>18010.96</v>
      </c>
      <c r="V3517">
        <v>10245.25</v>
      </c>
      <c r="W3517">
        <v>10057.69</v>
      </c>
      <c r="X3517">
        <v>36170.089999999997</v>
      </c>
      <c r="Y3517">
        <v>25482.639999999999</v>
      </c>
    </row>
    <row r="3518" spans="1:25" x14ac:dyDescent="0.25">
      <c r="A3518" t="s">
        <v>3574</v>
      </c>
      <c r="B3518" s="1">
        <v>45897</v>
      </c>
      <c r="C3518">
        <v>2025</v>
      </c>
      <c r="D3518">
        <v>8</v>
      </c>
      <c r="E3518" t="s">
        <v>814</v>
      </c>
      <c r="F3518" t="s">
        <v>691</v>
      </c>
      <c r="G3518" t="s">
        <v>28</v>
      </c>
      <c r="H3518" t="s">
        <v>32</v>
      </c>
      <c r="I3518" t="s">
        <v>65</v>
      </c>
      <c r="J3518">
        <v>70</v>
      </c>
      <c r="K3518">
        <v>1189.1199999999999</v>
      </c>
      <c r="L3518">
        <v>83238.3</v>
      </c>
      <c r="M3518">
        <v>49093.11</v>
      </c>
      <c r="N3518">
        <v>7322.61</v>
      </c>
      <c r="O3518">
        <v>3987.18</v>
      </c>
      <c r="P3518">
        <v>1547.61</v>
      </c>
      <c r="Q3518">
        <v>1065.76</v>
      </c>
      <c r="R3518">
        <v>3065.29</v>
      </c>
      <c r="S3518">
        <v>1341.57</v>
      </c>
      <c r="T3518">
        <v>67423.14</v>
      </c>
      <c r="U3518">
        <v>34145.19</v>
      </c>
      <c r="V3518">
        <v>15815.17</v>
      </c>
      <c r="W3518">
        <v>14981.6</v>
      </c>
      <c r="X3518">
        <v>92977.24</v>
      </c>
      <c r="Y3518">
        <v>69846.63</v>
      </c>
    </row>
    <row r="3519" spans="1:25" x14ac:dyDescent="0.25">
      <c r="A3519" t="s">
        <v>3575</v>
      </c>
      <c r="B3519" s="1">
        <v>45897</v>
      </c>
      <c r="C3519">
        <v>2025</v>
      </c>
      <c r="D3519">
        <v>8</v>
      </c>
      <c r="E3519" t="s">
        <v>814</v>
      </c>
      <c r="F3519" t="s">
        <v>691</v>
      </c>
      <c r="G3519" t="s">
        <v>55</v>
      </c>
      <c r="H3519" t="s">
        <v>36</v>
      </c>
      <c r="I3519" t="s">
        <v>65</v>
      </c>
      <c r="J3519">
        <v>50</v>
      </c>
      <c r="K3519">
        <v>1452.06</v>
      </c>
      <c r="L3519">
        <v>72603.14</v>
      </c>
      <c r="M3519">
        <v>35362.83</v>
      </c>
      <c r="N3519">
        <v>9160.4599999999991</v>
      </c>
      <c r="O3519">
        <v>3294.73</v>
      </c>
      <c r="P3519">
        <v>3003.49</v>
      </c>
      <c r="Q3519">
        <v>757.3</v>
      </c>
      <c r="R3519">
        <v>3177.51</v>
      </c>
      <c r="S3519">
        <v>1392.1</v>
      </c>
      <c r="T3519">
        <v>56148.42</v>
      </c>
      <c r="U3519">
        <v>37240.32</v>
      </c>
      <c r="V3519">
        <v>16454.73</v>
      </c>
      <c r="W3519">
        <v>15863.12</v>
      </c>
      <c r="X3519">
        <v>70497.67</v>
      </c>
      <c r="Y3519">
        <v>54702.95</v>
      </c>
    </row>
    <row r="3520" spans="1:25" x14ac:dyDescent="0.25">
      <c r="A3520" t="s">
        <v>3576</v>
      </c>
      <c r="B3520" s="1">
        <v>45898</v>
      </c>
      <c r="C3520">
        <v>2025</v>
      </c>
      <c r="D3520">
        <v>8</v>
      </c>
      <c r="E3520" t="s">
        <v>814</v>
      </c>
      <c r="F3520" t="s">
        <v>691</v>
      </c>
      <c r="G3520" t="s">
        <v>28</v>
      </c>
      <c r="H3520" t="s">
        <v>29</v>
      </c>
      <c r="I3520" t="s">
        <v>45</v>
      </c>
      <c r="J3520">
        <v>31</v>
      </c>
      <c r="K3520">
        <v>1545.5</v>
      </c>
      <c r="L3520">
        <v>47910.51</v>
      </c>
      <c r="M3520">
        <v>31932.21</v>
      </c>
      <c r="N3520">
        <v>5097.6000000000004</v>
      </c>
      <c r="O3520">
        <v>1323.42</v>
      </c>
      <c r="P3520">
        <v>1712.12</v>
      </c>
      <c r="Q3520">
        <v>423.22</v>
      </c>
      <c r="R3520">
        <v>2372.46</v>
      </c>
      <c r="S3520">
        <v>1075.57</v>
      </c>
      <c r="T3520">
        <v>43936.6</v>
      </c>
      <c r="U3520">
        <v>15978.29</v>
      </c>
      <c r="V3520">
        <v>3973.9</v>
      </c>
      <c r="W3520">
        <v>3844.3</v>
      </c>
      <c r="X3520">
        <v>50073.42</v>
      </c>
      <c r="Y3520">
        <v>43833.87</v>
      </c>
    </row>
    <row r="3521" spans="1:25" x14ac:dyDescent="0.25">
      <c r="A3521" t="s">
        <v>3577</v>
      </c>
      <c r="B3521" s="1">
        <v>45898</v>
      </c>
      <c r="C3521">
        <v>2025</v>
      </c>
      <c r="D3521">
        <v>8</v>
      </c>
      <c r="E3521" t="s">
        <v>814</v>
      </c>
      <c r="F3521" t="s">
        <v>691</v>
      </c>
      <c r="G3521" t="s">
        <v>35</v>
      </c>
      <c r="H3521" t="s">
        <v>36</v>
      </c>
      <c r="I3521" t="s">
        <v>37</v>
      </c>
      <c r="J3521">
        <v>73</v>
      </c>
      <c r="K3521">
        <v>980.3</v>
      </c>
      <c r="L3521">
        <v>71561.600000000006</v>
      </c>
      <c r="M3521">
        <v>43131.7</v>
      </c>
      <c r="N3521">
        <v>6749.93</v>
      </c>
      <c r="O3521">
        <v>3400.32</v>
      </c>
      <c r="P3521">
        <v>3026.64</v>
      </c>
      <c r="Q3521">
        <v>558.01</v>
      </c>
      <c r="R3521">
        <v>2354.36</v>
      </c>
      <c r="S3521">
        <v>1243.3699999999999</v>
      </c>
      <c r="T3521">
        <v>60464.33</v>
      </c>
      <c r="U3521">
        <v>28429.9</v>
      </c>
      <c r="V3521">
        <v>11097.27</v>
      </c>
      <c r="W3521">
        <v>10794.27</v>
      </c>
      <c r="X3521">
        <v>76927.27</v>
      </c>
      <c r="Y3521">
        <v>65800.259999999995</v>
      </c>
    </row>
    <row r="3522" spans="1:25" x14ac:dyDescent="0.25">
      <c r="A3522" t="s">
        <v>3578</v>
      </c>
      <c r="B3522" s="1">
        <v>45898</v>
      </c>
      <c r="C3522">
        <v>2025</v>
      </c>
      <c r="D3522">
        <v>8</v>
      </c>
      <c r="E3522" t="s">
        <v>814</v>
      </c>
      <c r="F3522" t="s">
        <v>691</v>
      </c>
      <c r="G3522" t="s">
        <v>28</v>
      </c>
      <c r="H3522" t="s">
        <v>32</v>
      </c>
      <c r="I3522" t="s">
        <v>33</v>
      </c>
      <c r="J3522">
        <v>77</v>
      </c>
      <c r="K3522">
        <v>1011.81</v>
      </c>
      <c r="L3522">
        <v>77909.02</v>
      </c>
      <c r="M3522">
        <v>40044.61</v>
      </c>
      <c r="N3522">
        <v>6339.13</v>
      </c>
      <c r="O3522">
        <v>5107.3500000000004</v>
      </c>
      <c r="P3522">
        <v>1905.69</v>
      </c>
      <c r="Q3522">
        <v>1372.27</v>
      </c>
      <c r="R3522">
        <v>2642.06</v>
      </c>
      <c r="S3522">
        <v>1115.8599999999999</v>
      </c>
      <c r="T3522">
        <v>58526.98</v>
      </c>
      <c r="U3522">
        <v>37864.410000000003</v>
      </c>
      <c r="V3522">
        <v>19382.04</v>
      </c>
      <c r="W3522">
        <v>17507.939999999999</v>
      </c>
      <c r="X3522">
        <v>80775.03</v>
      </c>
      <c r="Y3522">
        <v>62565.41</v>
      </c>
    </row>
    <row r="3523" spans="1:25" x14ac:dyDescent="0.25">
      <c r="A3523" t="s">
        <v>3579</v>
      </c>
      <c r="B3523" s="1">
        <v>45898</v>
      </c>
      <c r="C3523">
        <v>2025</v>
      </c>
      <c r="D3523">
        <v>8</v>
      </c>
      <c r="E3523" t="s">
        <v>814</v>
      </c>
      <c r="F3523" t="s">
        <v>691</v>
      </c>
      <c r="G3523" t="s">
        <v>35</v>
      </c>
      <c r="H3523" t="s">
        <v>32</v>
      </c>
      <c r="I3523" t="s">
        <v>39</v>
      </c>
      <c r="J3523">
        <v>29</v>
      </c>
      <c r="K3523">
        <v>1596.26</v>
      </c>
      <c r="L3523">
        <v>46291.68</v>
      </c>
      <c r="M3523">
        <v>22949.82</v>
      </c>
      <c r="N3523">
        <v>3863</v>
      </c>
      <c r="O3523">
        <v>2681.63</v>
      </c>
      <c r="P3523">
        <v>1175.01</v>
      </c>
      <c r="Q3523">
        <v>596.03</v>
      </c>
      <c r="R3523">
        <v>2520.84</v>
      </c>
      <c r="S3523">
        <v>931.12</v>
      </c>
      <c r="T3523">
        <v>34717.449999999997</v>
      </c>
      <c r="U3523">
        <v>23341.86</v>
      </c>
      <c r="V3523">
        <v>11574.24</v>
      </c>
      <c r="W3523">
        <v>11611.85</v>
      </c>
      <c r="X3523">
        <v>51255.59</v>
      </c>
      <c r="Y3523">
        <v>33780.639999999999</v>
      </c>
    </row>
    <row r="3524" spans="1:25" x14ac:dyDescent="0.25">
      <c r="A3524" t="s">
        <v>3580</v>
      </c>
      <c r="B3524" s="1">
        <v>45899</v>
      </c>
      <c r="C3524">
        <v>2025</v>
      </c>
      <c r="D3524">
        <v>8</v>
      </c>
      <c r="E3524" t="s">
        <v>814</v>
      </c>
      <c r="F3524" t="s">
        <v>691</v>
      </c>
      <c r="G3524" t="s">
        <v>35</v>
      </c>
      <c r="H3524" t="s">
        <v>29</v>
      </c>
      <c r="I3524" t="s">
        <v>56</v>
      </c>
      <c r="J3524">
        <v>30</v>
      </c>
      <c r="K3524">
        <v>1330.25</v>
      </c>
      <c r="L3524">
        <v>39907.5</v>
      </c>
      <c r="M3524">
        <v>26362.2</v>
      </c>
      <c r="N3524">
        <v>4230.1000000000004</v>
      </c>
      <c r="O3524">
        <v>2587.81</v>
      </c>
      <c r="P3524">
        <v>862.53</v>
      </c>
      <c r="Q3524">
        <v>219.1</v>
      </c>
      <c r="R3524">
        <v>2064.58</v>
      </c>
      <c r="S3524">
        <v>983.56</v>
      </c>
      <c r="T3524">
        <v>37309.870000000003</v>
      </c>
      <c r="U3524">
        <v>13545.3</v>
      </c>
      <c r="V3524">
        <v>2597.63</v>
      </c>
      <c r="W3524">
        <v>2621.3200000000002</v>
      </c>
      <c r="X3524">
        <v>37637.35</v>
      </c>
      <c r="Y3524">
        <v>37833.1</v>
      </c>
    </row>
    <row r="3525" spans="1:25" x14ac:dyDescent="0.25">
      <c r="A3525" t="s">
        <v>3581</v>
      </c>
      <c r="B3525" s="1">
        <v>45899</v>
      </c>
      <c r="C3525">
        <v>2025</v>
      </c>
      <c r="D3525">
        <v>8</v>
      </c>
      <c r="E3525" t="s">
        <v>814</v>
      </c>
      <c r="F3525" t="s">
        <v>691</v>
      </c>
      <c r="G3525" t="s">
        <v>44</v>
      </c>
      <c r="H3525" t="s">
        <v>29</v>
      </c>
      <c r="I3525" t="s">
        <v>65</v>
      </c>
      <c r="J3525">
        <v>53</v>
      </c>
      <c r="K3525">
        <v>1299.95</v>
      </c>
      <c r="L3525">
        <v>68897.23</v>
      </c>
      <c r="M3525">
        <v>35292.69</v>
      </c>
      <c r="N3525">
        <v>8656.17</v>
      </c>
      <c r="O3525">
        <v>2965.8</v>
      </c>
      <c r="P3525">
        <v>1728.87</v>
      </c>
      <c r="Q3525">
        <v>867.52</v>
      </c>
      <c r="R3525">
        <v>2523.96</v>
      </c>
      <c r="S3525">
        <v>1396.79</v>
      </c>
      <c r="T3525">
        <v>53431.8</v>
      </c>
      <c r="U3525">
        <v>33604.53</v>
      </c>
      <c r="V3525">
        <v>15465.43</v>
      </c>
      <c r="W3525">
        <v>13894.82</v>
      </c>
      <c r="X3525">
        <v>71329.61</v>
      </c>
      <c r="Y3525">
        <v>53348.05</v>
      </c>
    </row>
    <row r="3526" spans="1:25" x14ac:dyDescent="0.25">
      <c r="A3526" t="s">
        <v>3582</v>
      </c>
      <c r="B3526" s="1">
        <v>45899</v>
      </c>
      <c r="C3526">
        <v>2025</v>
      </c>
      <c r="D3526">
        <v>8</v>
      </c>
      <c r="E3526" t="s">
        <v>814</v>
      </c>
      <c r="F3526" t="s">
        <v>691</v>
      </c>
      <c r="G3526" t="s">
        <v>55</v>
      </c>
      <c r="H3526" t="s">
        <v>36</v>
      </c>
      <c r="I3526" t="s">
        <v>45</v>
      </c>
      <c r="J3526">
        <v>34</v>
      </c>
      <c r="K3526">
        <v>1575.07</v>
      </c>
      <c r="L3526">
        <v>53552.44</v>
      </c>
      <c r="M3526">
        <v>28626.85</v>
      </c>
      <c r="N3526">
        <v>3818.36</v>
      </c>
      <c r="O3526">
        <v>3963.74</v>
      </c>
      <c r="P3526">
        <v>1757.71</v>
      </c>
      <c r="Q3526">
        <v>273.23</v>
      </c>
      <c r="R3526">
        <v>2653.69</v>
      </c>
      <c r="S3526">
        <v>576.26</v>
      </c>
      <c r="T3526">
        <v>41669.839999999997</v>
      </c>
      <c r="U3526">
        <v>24925.59</v>
      </c>
      <c r="V3526">
        <v>11882.6</v>
      </c>
      <c r="W3526">
        <v>11979.87</v>
      </c>
      <c r="X3526">
        <v>50556.01</v>
      </c>
      <c r="Y3526">
        <v>44746.99</v>
      </c>
    </row>
    <row r="3527" spans="1:25" x14ac:dyDescent="0.25">
      <c r="A3527" t="s">
        <v>3583</v>
      </c>
      <c r="B3527" s="1">
        <v>45899</v>
      </c>
      <c r="C3527">
        <v>2025</v>
      </c>
      <c r="D3527">
        <v>8</v>
      </c>
      <c r="E3527" t="s">
        <v>814</v>
      </c>
      <c r="F3527" t="s">
        <v>691</v>
      </c>
      <c r="G3527" t="s">
        <v>35</v>
      </c>
      <c r="H3527" t="s">
        <v>32</v>
      </c>
      <c r="I3527" t="s">
        <v>50</v>
      </c>
      <c r="J3527">
        <v>49</v>
      </c>
      <c r="K3527">
        <v>797.83</v>
      </c>
      <c r="L3527">
        <v>39093.699999999997</v>
      </c>
      <c r="M3527">
        <v>19454.849999999999</v>
      </c>
      <c r="N3527">
        <v>3334</v>
      </c>
      <c r="O3527">
        <v>2310.62</v>
      </c>
      <c r="P3527">
        <v>1603.35</v>
      </c>
      <c r="Q3527">
        <v>657.95</v>
      </c>
      <c r="R3527">
        <v>1188.99</v>
      </c>
      <c r="S3527">
        <v>770.58</v>
      </c>
      <c r="T3527">
        <v>29320.33</v>
      </c>
      <c r="U3527">
        <v>19638.849999999999</v>
      </c>
      <c r="V3527">
        <v>9773.3700000000008</v>
      </c>
      <c r="W3527">
        <v>9318.2900000000009</v>
      </c>
      <c r="X3527">
        <v>37532.19</v>
      </c>
      <c r="Y3527">
        <v>31991.91</v>
      </c>
    </row>
    <row r="3528" spans="1:25" x14ac:dyDescent="0.25">
      <c r="A3528" t="s">
        <v>3584</v>
      </c>
      <c r="B3528" s="1">
        <v>45899</v>
      </c>
      <c r="C3528">
        <v>2025</v>
      </c>
      <c r="D3528">
        <v>8</v>
      </c>
      <c r="E3528" t="s">
        <v>814</v>
      </c>
      <c r="F3528" t="s">
        <v>691</v>
      </c>
      <c r="G3528" t="s">
        <v>44</v>
      </c>
      <c r="H3528" t="s">
        <v>36</v>
      </c>
      <c r="I3528" t="s">
        <v>33</v>
      </c>
      <c r="J3528">
        <v>73</v>
      </c>
      <c r="K3528">
        <v>1049.48</v>
      </c>
      <c r="L3528">
        <v>76611.81</v>
      </c>
      <c r="M3528">
        <v>42657.83</v>
      </c>
      <c r="N3528">
        <v>6100.59</v>
      </c>
      <c r="O3528">
        <v>1936.63</v>
      </c>
      <c r="P3528">
        <v>1595.04</v>
      </c>
      <c r="Q3528">
        <v>1023.12</v>
      </c>
      <c r="R3528">
        <v>2054.17</v>
      </c>
      <c r="S3528">
        <v>814.74</v>
      </c>
      <c r="T3528">
        <v>56182.12</v>
      </c>
      <c r="U3528">
        <v>33953.980000000003</v>
      </c>
      <c r="V3528">
        <v>20429.689999999999</v>
      </c>
      <c r="W3528">
        <v>18519.21</v>
      </c>
      <c r="X3528">
        <v>80873.25</v>
      </c>
      <c r="Y3528">
        <v>54463.13</v>
      </c>
    </row>
    <row r="3529" spans="1:25" x14ac:dyDescent="0.25">
      <c r="A3529" t="s">
        <v>3585</v>
      </c>
      <c r="B3529" s="1">
        <v>45899</v>
      </c>
      <c r="C3529">
        <v>2025</v>
      </c>
      <c r="D3529">
        <v>8</v>
      </c>
      <c r="E3529" t="s">
        <v>814</v>
      </c>
      <c r="F3529" t="s">
        <v>691</v>
      </c>
      <c r="G3529" t="s">
        <v>55</v>
      </c>
      <c r="H3529" t="s">
        <v>36</v>
      </c>
      <c r="I3529" t="s">
        <v>45</v>
      </c>
      <c r="J3529">
        <v>29</v>
      </c>
      <c r="K3529">
        <v>1560.15</v>
      </c>
      <c r="L3529">
        <v>45244.39</v>
      </c>
      <c r="M3529">
        <v>26931.71</v>
      </c>
      <c r="N3529">
        <v>4382.3100000000004</v>
      </c>
      <c r="O3529">
        <v>2852.96</v>
      </c>
      <c r="P3529">
        <v>1521.33</v>
      </c>
      <c r="Q3529">
        <v>484.42</v>
      </c>
      <c r="R3529">
        <v>2462.88</v>
      </c>
      <c r="S3529">
        <v>1046.56</v>
      </c>
      <c r="T3529">
        <v>39682.17</v>
      </c>
      <c r="U3529">
        <v>18312.68</v>
      </c>
      <c r="V3529">
        <v>5562.22</v>
      </c>
      <c r="W3529">
        <v>5362.72</v>
      </c>
      <c r="X3529">
        <v>49301.95</v>
      </c>
      <c r="Y3529">
        <v>43074.46</v>
      </c>
    </row>
    <row r="3530" spans="1:25" x14ac:dyDescent="0.25">
      <c r="A3530" t="s">
        <v>3586</v>
      </c>
      <c r="B3530" s="1">
        <v>45900</v>
      </c>
      <c r="C3530">
        <v>2025</v>
      </c>
      <c r="D3530">
        <v>8</v>
      </c>
      <c r="E3530" t="s">
        <v>814</v>
      </c>
      <c r="F3530" t="s">
        <v>691</v>
      </c>
      <c r="G3530" t="s">
        <v>55</v>
      </c>
      <c r="H3530" t="s">
        <v>36</v>
      </c>
      <c r="I3530" t="s">
        <v>33</v>
      </c>
      <c r="J3530">
        <v>77</v>
      </c>
      <c r="K3530">
        <v>1223.73</v>
      </c>
      <c r="L3530">
        <v>94227.47</v>
      </c>
      <c r="M3530">
        <v>47015.89</v>
      </c>
      <c r="N3530">
        <v>7786.24</v>
      </c>
      <c r="O3530">
        <v>3484.92</v>
      </c>
      <c r="P3530">
        <v>1652.82</v>
      </c>
      <c r="Q3530">
        <v>1391.13</v>
      </c>
      <c r="R3530">
        <v>4917.17</v>
      </c>
      <c r="S3530">
        <v>1002.63</v>
      </c>
      <c r="T3530">
        <v>67250.8</v>
      </c>
      <c r="U3530">
        <v>47211.57</v>
      </c>
      <c r="V3530">
        <v>26976.66</v>
      </c>
      <c r="W3530">
        <v>25454.45</v>
      </c>
      <c r="X3530">
        <v>102102.25</v>
      </c>
      <c r="Y3530">
        <v>72641.05</v>
      </c>
    </row>
    <row r="3531" spans="1:25" x14ac:dyDescent="0.25">
      <c r="A3531" t="s">
        <v>3587</v>
      </c>
      <c r="B3531" s="1">
        <v>45900</v>
      </c>
      <c r="C3531">
        <v>2025</v>
      </c>
      <c r="D3531">
        <v>8</v>
      </c>
      <c r="E3531" t="s">
        <v>814</v>
      </c>
      <c r="F3531" t="s">
        <v>691</v>
      </c>
      <c r="G3531" t="s">
        <v>35</v>
      </c>
      <c r="H3531" t="s">
        <v>29</v>
      </c>
      <c r="I3531" t="s">
        <v>37</v>
      </c>
      <c r="J3531">
        <v>56</v>
      </c>
      <c r="K3531">
        <v>1210.6300000000001</v>
      </c>
      <c r="L3531">
        <v>67795.13</v>
      </c>
      <c r="M3531">
        <v>36454.480000000003</v>
      </c>
      <c r="N3531">
        <v>7135.16</v>
      </c>
      <c r="O3531">
        <v>2095.84</v>
      </c>
      <c r="P3531">
        <v>1358.17</v>
      </c>
      <c r="Q3531">
        <v>638.53</v>
      </c>
      <c r="R3531">
        <v>4267.49</v>
      </c>
      <c r="S3531">
        <v>1398.34</v>
      </c>
      <c r="T3531">
        <v>53348</v>
      </c>
      <c r="U3531">
        <v>31340.639999999999</v>
      </c>
      <c r="V3531">
        <v>14447.12</v>
      </c>
      <c r="W3531">
        <v>13807</v>
      </c>
      <c r="X3531">
        <v>66519.850000000006</v>
      </c>
      <c r="Y3531">
        <v>51915.95</v>
      </c>
    </row>
    <row r="3532" spans="1:25" x14ac:dyDescent="0.25">
      <c r="A3532" t="s">
        <v>3588</v>
      </c>
      <c r="B3532" s="1">
        <v>45900</v>
      </c>
      <c r="C3532">
        <v>2025</v>
      </c>
      <c r="D3532">
        <v>8</v>
      </c>
      <c r="E3532" t="s">
        <v>814</v>
      </c>
      <c r="F3532" t="s">
        <v>691</v>
      </c>
      <c r="G3532" t="s">
        <v>28</v>
      </c>
      <c r="H3532" t="s">
        <v>36</v>
      </c>
      <c r="I3532" t="s">
        <v>37</v>
      </c>
      <c r="J3532">
        <v>51</v>
      </c>
      <c r="K3532">
        <v>1667.16</v>
      </c>
      <c r="L3532">
        <v>85024.960000000006</v>
      </c>
      <c r="M3532">
        <v>46927.63</v>
      </c>
      <c r="N3532">
        <v>10609.93</v>
      </c>
      <c r="O3532">
        <v>2925.2</v>
      </c>
      <c r="P3532">
        <v>3653.28</v>
      </c>
      <c r="Q3532">
        <v>935.28</v>
      </c>
      <c r="R3532">
        <v>3879.2</v>
      </c>
      <c r="S3532">
        <v>1752.79</v>
      </c>
      <c r="T3532">
        <v>70683.3</v>
      </c>
      <c r="U3532">
        <v>38097.33</v>
      </c>
      <c r="V3532">
        <v>14341.66</v>
      </c>
      <c r="W3532">
        <v>14570.26</v>
      </c>
      <c r="X3532">
        <v>81776.490000000005</v>
      </c>
      <c r="Y3532">
        <v>67948.56</v>
      </c>
    </row>
    <row r="3533" spans="1:25" x14ac:dyDescent="0.25">
      <c r="A3533" t="s">
        <v>3589</v>
      </c>
      <c r="B3533" s="1">
        <v>45900</v>
      </c>
      <c r="C3533">
        <v>2025</v>
      </c>
      <c r="D3533">
        <v>8</v>
      </c>
      <c r="E3533" t="s">
        <v>814</v>
      </c>
      <c r="F3533" t="s">
        <v>691</v>
      </c>
      <c r="G3533" t="s">
        <v>55</v>
      </c>
      <c r="H3533" t="s">
        <v>29</v>
      </c>
      <c r="I3533" t="s">
        <v>50</v>
      </c>
      <c r="J3533">
        <v>72</v>
      </c>
      <c r="K3533">
        <v>920.35</v>
      </c>
      <c r="L3533">
        <v>66265.259999999995</v>
      </c>
      <c r="M3533">
        <v>36439.949999999997</v>
      </c>
      <c r="N3533">
        <v>6098.05</v>
      </c>
      <c r="O3533">
        <v>2668.11</v>
      </c>
      <c r="P3533">
        <v>2725.08</v>
      </c>
      <c r="Q3533">
        <v>900.14</v>
      </c>
      <c r="R3533">
        <v>2914.14</v>
      </c>
      <c r="S3533">
        <v>1285.9100000000001</v>
      </c>
      <c r="T3533">
        <v>53031.39</v>
      </c>
      <c r="U3533">
        <v>29825.31</v>
      </c>
      <c r="V3533">
        <v>13233.87</v>
      </c>
      <c r="W3533">
        <v>12663.84</v>
      </c>
      <c r="X3533">
        <v>69208.7</v>
      </c>
      <c r="Y3533">
        <v>55773.69</v>
      </c>
    </row>
    <row r="3534" spans="1:25" x14ac:dyDescent="0.25">
      <c r="A3534" t="s">
        <v>3590</v>
      </c>
      <c r="B3534" s="1">
        <v>45900</v>
      </c>
      <c r="C3534">
        <v>2025</v>
      </c>
      <c r="D3534">
        <v>8</v>
      </c>
      <c r="E3534" t="s">
        <v>814</v>
      </c>
      <c r="F3534" t="s">
        <v>691</v>
      </c>
      <c r="G3534" t="s">
        <v>35</v>
      </c>
      <c r="H3534" t="s">
        <v>32</v>
      </c>
      <c r="I3534" t="s">
        <v>39</v>
      </c>
      <c r="J3534">
        <v>46</v>
      </c>
      <c r="K3534">
        <v>889.67</v>
      </c>
      <c r="L3534">
        <v>40924.79</v>
      </c>
      <c r="M3534">
        <v>20176.23</v>
      </c>
      <c r="N3534">
        <v>3394.43</v>
      </c>
      <c r="O3534">
        <v>1070.5999999999999</v>
      </c>
      <c r="P3534">
        <v>1817.31</v>
      </c>
      <c r="Q3534">
        <v>414.03</v>
      </c>
      <c r="R3534">
        <v>2385.9299999999998</v>
      </c>
      <c r="S3534">
        <v>437.59</v>
      </c>
      <c r="T3534">
        <v>29696.13</v>
      </c>
      <c r="U3534">
        <v>20748.55</v>
      </c>
      <c r="V3534">
        <v>11228.66</v>
      </c>
      <c r="W3534">
        <v>9916.5300000000007</v>
      </c>
      <c r="X3534">
        <v>43715.08</v>
      </c>
      <c r="Y3534">
        <v>29175.23</v>
      </c>
    </row>
    <row r="3535" spans="1:25" x14ac:dyDescent="0.25">
      <c r="A3535" t="s">
        <v>3591</v>
      </c>
      <c r="B3535" s="1">
        <v>45900</v>
      </c>
      <c r="C3535">
        <v>2025</v>
      </c>
      <c r="D3535">
        <v>8</v>
      </c>
      <c r="E3535" t="s">
        <v>814</v>
      </c>
      <c r="F3535" t="s">
        <v>691</v>
      </c>
      <c r="G3535" t="s">
        <v>44</v>
      </c>
      <c r="H3535" t="s">
        <v>29</v>
      </c>
      <c r="I3535" t="s">
        <v>50</v>
      </c>
      <c r="J3535">
        <v>36</v>
      </c>
      <c r="K3535">
        <v>1471.36</v>
      </c>
      <c r="L3535">
        <v>52969.120000000003</v>
      </c>
      <c r="M3535">
        <v>25642.26</v>
      </c>
      <c r="N3535">
        <v>4806.16</v>
      </c>
      <c r="O3535">
        <v>1711.96</v>
      </c>
      <c r="P3535">
        <v>1002.26</v>
      </c>
      <c r="Q3535">
        <v>816.32</v>
      </c>
      <c r="R3535">
        <v>2659.08</v>
      </c>
      <c r="S3535">
        <v>952.5</v>
      </c>
      <c r="T3535">
        <v>37590.550000000003</v>
      </c>
      <c r="U3535">
        <v>27326.86</v>
      </c>
      <c r="V3535">
        <v>15378.58</v>
      </c>
      <c r="W3535">
        <v>14519.32</v>
      </c>
      <c r="X3535">
        <v>55178.2</v>
      </c>
      <c r="Y3535">
        <v>37730.339999999997</v>
      </c>
    </row>
    <row r="3536" spans="1:25" x14ac:dyDescent="0.25">
      <c r="A3536" t="s">
        <v>3592</v>
      </c>
      <c r="B3536" s="1">
        <v>45900</v>
      </c>
      <c r="C3536">
        <v>2025</v>
      </c>
      <c r="D3536">
        <v>8</v>
      </c>
      <c r="E3536" t="s">
        <v>814</v>
      </c>
      <c r="F3536" t="s">
        <v>691</v>
      </c>
      <c r="G3536" t="s">
        <v>55</v>
      </c>
      <c r="H3536" t="s">
        <v>32</v>
      </c>
      <c r="I3536" t="s">
        <v>50</v>
      </c>
      <c r="J3536">
        <v>47</v>
      </c>
      <c r="K3536">
        <v>1708.33</v>
      </c>
      <c r="L3536">
        <v>80291.58</v>
      </c>
      <c r="M3536">
        <v>40884.639999999999</v>
      </c>
      <c r="N3536">
        <v>7929.47</v>
      </c>
      <c r="O3536">
        <v>3775.01</v>
      </c>
      <c r="P3536">
        <v>2361.0500000000002</v>
      </c>
      <c r="Q3536">
        <v>806.74</v>
      </c>
      <c r="R3536">
        <v>2987.3</v>
      </c>
      <c r="S3536">
        <v>1567.37</v>
      </c>
      <c r="T3536">
        <v>60311.58</v>
      </c>
      <c r="U3536">
        <v>39406.94</v>
      </c>
      <c r="V3536">
        <v>19980</v>
      </c>
      <c r="W3536">
        <v>19904.990000000002</v>
      </c>
      <c r="X3536">
        <v>73887.509999999995</v>
      </c>
      <c r="Y3536">
        <v>59623.57</v>
      </c>
    </row>
    <row r="3537" spans="1:25" x14ac:dyDescent="0.25">
      <c r="A3537" t="s">
        <v>3593</v>
      </c>
      <c r="B3537" s="1">
        <v>45901</v>
      </c>
      <c r="C3537">
        <v>2025</v>
      </c>
      <c r="D3537">
        <v>9</v>
      </c>
      <c r="E3537" t="s">
        <v>918</v>
      </c>
      <c r="F3537" t="s">
        <v>691</v>
      </c>
      <c r="G3537" t="s">
        <v>35</v>
      </c>
      <c r="H3537" t="s">
        <v>32</v>
      </c>
      <c r="I3537" t="s">
        <v>37</v>
      </c>
      <c r="J3537">
        <v>48</v>
      </c>
      <c r="K3537">
        <v>1464.64</v>
      </c>
      <c r="L3537">
        <v>70302.94</v>
      </c>
      <c r="M3537">
        <v>44006.9</v>
      </c>
      <c r="N3537">
        <v>8347.6299999999992</v>
      </c>
      <c r="O3537">
        <v>3010.11</v>
      </c>
      <c r="P3537">
        <v>1058.8699999999999</v>
      </c>
      <c r="Q3537">
        <v>1208.02</v>
      </c>
      <c r="R3537">
        <v>4514.38</v>
      </c>
      <c r="S3537">
        <v>1633.24</v>
      </c>
      <c r="T3537">
        <v>63779.16</v>
      </c>
      <c r="U3537">
        <v>26296.04</v>
      </c>
      <c r="V3537">
        <v>6523.78</v>
      </c>
      <c r="W3537">
        <v>6342.9</v>
      </c>
      <c r="X3537">
        <v>70321.009999999995</v>
      </c>
      <c r="Y3537">
        <v>64776.45</v>
      </c>
    </row>
    <row r="3538" spans="1:25" x14ac:dyDescent="0.25">
      <c r="A3538" t="s">
        <v>3594</v>
      </c>
      <c r="B3538" s="1">
        <v>45901</v>
      </c>
      <c r="C3538">
        <v>2025</v>
      </c>
      <c r="D3538">
        <v>9</v>
      </c>
      <c r="E3538" t="s">
        <v>918</v>
      </c>
      <c r="F3538" t="s">
        <v>691</v>
      </c>
      <c r="G3538" t="s">
        <v>28</v>
      </c>
      <c r="H3538" t="s">
        <v>36</v>
      </c>
      <c r="I3538" t="s">
        <v>45</v>
      </c>
      <c r="J3538">
        <v>67</v>
      </c>
      <c r="K3538">
        <v>808.01</v>
      </c>
      <c r="L3538">
        <v>54136.72</v>
      </c>
      <c r="M3538">
        <v>29462.46</v>
      </c>
      <c r="N3538">
        <v>6716.48</v>
      </c>
      <c r="O3538">
        <v>1532.35</v>
      </c>
      <c r="P3538">
        <v>1380.54</v>
      </c>
      <c r="Q3538">
        <v>548.22</v>
      </c>
      <c r="R3538">
        <v>2463.7800000000002</v>
      </c>
      <c r="S3538">
        <v>739.75</v>
      </c>
      <c r="T3538">
        <v>42843.57</v>
      </c>
      <c r="U3538">
        <v>24674.26</v>
      </c>
      <c r="V3538">
        <v>11293.15</v>
      </c>
      <c r="W3538">
        <v>9969.65</v>
      </c>
      <c r="X3538">
        <v>49836.85</v>
      </c>
      <c r="Y3538">
        <v>40604.86</v>
      </c>
    </row>
    <row r="3539" spans="1:25" x14ac:dyDescent="0.25">
      <c r="A3539" t="s">
        <v>3595</v>
      </c>
      <c r="B3539" s="1">
        <v>45901</v>
      </c>
      <c r="C3539">
        <v>2025</v>
      </c>
      <c r="D3539">
        <v>9</v>
      </c>
      <c r="E3539" t="s">
        <v>918</v>
      </c>
      <c r="F3539" t="s">
        <v>691</v>
      </c>
      <c r="G3539" t="s">
        <v>35</v>
      </c>
      <c r="H3539" t="s">
        <v>53</v>
      </c>
      <c r="I3539" t="s">
        <v>50</v>
      </c>
      <c r="J3539">
        <v>17</v>
      </c>
      <c r="K3539">
        <v>1796.02</v>
      </c>
      <c r="L3539">
        <v>30532.42</v>
      </c>
      <c r="M3539">
        <v>16813.5</v>
      </c>
      <c r="N3539">
        <v>3385.88</v>
      </c>
      <c r="O3539">
        <v>887.67</v>
      </c>
      <c r="P3539">
        <v>1245.5</v>
      </c>
      <c r="Q3539">
        <v>325.47000000000003</v>
      </c>
      <c r="R3539">
        <v>1639.72</v>
      </c>
      <c r="S3539">
        <v>621.21</v>
      </c>
      <c r="T3539">
        <v>24918.959999999999</v>
      </c>
      <c r="U3539">
        <v>13718.92</v>
      </c>
      <c r="V3539">
        <v>5613.46</v>
      </c>
      <c r="W3539">
        <v>4960.43</v>
      </c>
      <c r="X3539">
        <v>31716.25</v>
      </c>
      <c r="Y3539">
        <v>26372.46</v>
      </c>
    </row>
    <row r="3540" spans="1:25" x14ac:dyDescent="0.25">
      <c r="A3540" t="s">
        <v>3596</v>
      </c>
      <c r="B3540" s="1">
        <v>45902</v>
      </c>
      <c r="C3540">
        <v>2025</v>
      </c>
      <c r="D3540">
        <v>9</v>
      </c>
      <c r="E3540" t="s">
        <v>918</v>
      </c>
      <c r="F3540" t="s">
        <v>691</v>
      </c>
      <c r="G3540" t="s">
        <v>44</v>
      </c>
      <c r="H3540" t="s">
        <v>32</v>
      </c>
      <c r="I3540" t="s">
        <v>37</v>
      </c>
      <c r="J3540">
        <v>40</v>
      </c>
      <c r="K3540">
        <v>1792.95</v>
      </c>
      <c r="L3540">
        <v>71718.16</v>
      </c>
      <c r="M3540">
        <v>35766.03</v>
      </c>
      <c r="N3540">
        <v>7288.12</v>
      </c>
      <c r="O3540">
        <v>4774.63</v>
      </c>
      <c r="P3540">
        <v>1487.52</v>
      </c>
      <c r="Q3540">
        <v>683.89</v>
      </c>
      <c r="R3540">
        <v>2314.02</v>
      </c>
      <c r="S3540">
        <v>1414.03</v>
      </c>
      <c r="T3540">
        <v>53728.24</v>
      </c>
      <c r="U3540">
        <v>35952.120000000003</v>
      </c>
      <c r="V3540">
        <v>17989.91</v>
      </c>
      <c r="W3540">
        <v>16053.28</v>
      </c>
      <c r="X3540">
        <v>73691</v>
      </c>
      <c r="Y3540">
        <v>58008.73</v>
      </c>
    </row>
    <row r="3541" spans="1:25" x14ac:dyDescent="0.25">
      <c r="A3541" t="s">
        <v>3597</v>
      </c>
      <c r="B3541" s="1">
        <v>45902</v>
      </c>
      <c r="C3541">
        <v>2025</v>
      </c>
      <c r="D3541">
        <v>9</v>
      </c>
      <c r="E3541" t="s">
        <v>918</v>
      </c>
      <c r="F3541" t="s">
        <v>691</v>
      </c>
      <c r="G3541" t="s">
        <v>28</v>
      </c>
      <c r="H3541" t="s">
        <v>29</v>
      </c>
      <c r="I3541" t="s">
        <v>45</v>
      </c>
      <c r="J3541">
        <v>44</v>
      </c>
      <c r="K3541">
        <v>1206.6300000000001</v>
      </c>
      <c r="L3541">
        <v>53091.85</v>
      </c>
      <c r="M3541">
        <v>31627.84</v>
      </c>
      <c r="N3541">
        <v>6420.05</v>
      </c>
      <c r="O3541">
        <v>1620.16</v>
      </c>
      <c r="P3541">
        <v>1613</v>
      </c>
      <c r="Q3541">
        <v>465.7</v>
      </c>
      <c r="R3541">
        <v>2385.59</v>
      </c>
      <c r="S3541">
        <v>1144.9100000000001</v>
      </c>
      <c r="T3541">
        <v>45277.26</v>
      </c>
      <c r="U3541">
        <v>21464.01</v>
      </c>
      <c r="V3541">
        <v>7814.6</v>
      </c>
      <c r="W3541">
        <v>7599.73</v>
      </c>
      <c r="X3541">
        <v>59208.09</v>
      </c>
      <c r="Y3541">
        <v>45730.01</v>
      </c>
    </row>
    <row r="3542" spans="1:25" x14ac:dyDescent="0.25">
      <c r="A3542" t="s">
        <v>3598</v>
      </c>
      <c r="B3542" s="1">
        <v>45902</v>
      </c>
      <c r="C3542">
        <v>2025</v>
      </c>
      <c r="D3542">
        <v>9</v>
      </c>
      <c r="E3542" t="s">
        <v>918</v>
      </c>
      <c r="F3542" t="s">
        <v>691</v>
      </c>
      <c r="G3542" t="s">
        <v>55</v>
      </c>
      <c r="H3542" t="s">
        <v>32</v>
      </c>
      <c r="I3542" t="s">
        <v>56</v>
      </c>
      <c r="J3542">
        <v>47</v>
      </c>
      <c r="K3542">
        <v>836.49</v>
      </c>
      <c r="L3542">
        <v>39315.160000000003</v>
      </c>
      <c r="M3542">
        <v>19849.22</v>
      </c>
      <c r="N3542">
        <v>3298.31</v>
      </c>
      <c r="O3542">
        <v>2779.11</v>
      </c>
      <c r="P3542">
        <v>1655.44</v>
      </c>
      <c r="Q3542">
        <v>536.1</v>
      </c>
      <c r="R3542">
        <v>2274.04</v>
      </c>
      <c r="S3542">
        <v>530.83000000000004</v>
      </c>
      <c r="T3542">
        <v>30923.05</v>
      </c>
      <c r="U3542">
        <v>19465.939999999999</v>
      </c>
      <c r="V3542">
        <v>8392.1</v>
      </c>
      <c r="W3542">
        <v>7677</v>
      </c>
      <c r="X3542">
        <v>38399.39</v>
      </c>
      <c r="Y3542">
        <v>32117.79</v>
      </c>
    </row>
    <row r="3543" spans="1:25" x14ac:dyDescent="0.25">
      <c r="A3543" t="s">
        <v>3599</v>
      </c>
      <c r="B3543" s="1">
        <v>45903</v>
      </c>
      <c r="C3543">
        <v>2025</v>
      </c>
      <c r="D3543">
        <v>9</v>
      </c>
      <c r="E3543" t="s">
        <v>918</v>
      </c>
      <c r="F3543" t="s">
        <v>691</v>
      </c>
      <c r="G3543" t="s">
        <v>35</v>
      </c>
      <c r="H3543" t="s">
        <v>58</v>
      </c>
      <c r="I3543" t="s">
        <v>37</v>
      </c>
      <c r="J3543">
        <v>27</v>
      </c>
      <c r="K3543">
        <v>1729.73</v>
      </c>
      <c r="L3543">
        <v>46702.82</v>
      </c>
      <c r="M3543">
        <v>30860.560000000001</v>
      </c>
      <c r="N3543">
        <v>4137.8900000000003</v>
      </c>
      <c r="O3543">
        <v>2941.64</v>
      </c>
      <c r="P3543">
        <v>1162.1600000000001</v>
      </c>
      <c r="Q3543">
        <v>337.31</v>
      </c>
      <c r="R3543">
        <v>2469</v>
      </c>
      <c r="S3543">
        <v>658.54</v>
      </c>
      <c r="T3543">
        <v>42567.11</v>
      </c>
      <c r="U3543">
        <v>15842.26</v>
      </c>
      <c r="V3543">
        <v>4135.7</v>
      </c>
      <c r="W3543">
        <v>3822.81</v>
      </c>
      <c r="X3543">
        <v>44664.55</v>
      </c>
      <c r="Y3543">
        <v>40732</v>
      </c>
    </row>
    <row r="3544" spans="1:25" x14ac:dyDescent="0.25">
      <c r="A3544" t="s">
        <v>3600</v>
      </c>
      <c r="B3544" s="1">
        <v>45903</v>
      </c>
      <c r="C3544">
        <v>2025</v>
      </c>
      <c r="D3544">
        <v>9</v>
      </c>
      <c r="E3544" t="s">
        <v>918</v>
      </c>
      <c r="F3544" t="s">
        <v>691</v>
      </c>
      <c r="G3544" t="s">
        <v>28</v>
      </c>
      <c r="H3544" t="s">
        <v>32</v>
      </c>
      <c r="I3544" t="s">
        <v>45</v>
      </c>
      <c r="J3544">
        <v>36</v>
      </c>
      <c r="K3544">
        <v>1548.43</v>
      </c>
      <c r="L3544">
        <v>55743.45</v>
      </c>
      <c r="M3544">
        <v>35281.68</v>
      </c>
      <c r="N3544">
        <v>3958.46</v>
      </c>
      <c r="O3544">
        <v>2706.17</v>
      </c>
      <c r="P3544">
        <v>1389.75</v>
      </c>
      <c r="Q3544">
        <v>840.41</v>
      </c>
      <c r="R3544">
        <v>3147.57</v>
      </c>
      <c r="S3544">
        <v>902.39</v>
      </c>
      <c r="T3544">
        <v>48226.44</v>
      </c>
      <c r="U3544">
        <v>20461.77</v>
      </c>
      <c r="V3544">
        <v>7517.01</v>
      </c>
      <c r="W3544">
        <v>6685.72</v>
      </c>
      <c r="X3544">
        <v>61609.59</v>
      </c>
      <c r="Y3544">
        <v>51369.120000000003</v>
      </c>
    </row>
    <row r="3545" spans="1:25" x14ac:dyDescent="0.25">
      <c r="A3545" t="s">
        <v>3601</v>
      </c>
      <c r="B3545" s="1">
        <v>45903</v>
      </c>
      <c r="C3545">
        <v>2025</v>
      </c>
      <c r="D3545">
        <v>9</v>
      </c>
      <c r="E3545" t="s">
        <v>918</v>
      </c>
      <c r="F3545" t="s">
        <v>691</v>
      </c>
      <c r="G3545" t="s">
        <v>28</v>
      </c>
      <c r="H3545" t="s">
        <v>29</v>
      </c>
      <c r="I3545" t="s">
        <v>39</v>
      </c>
      <c r="J3545">
        <v>44</v>
      </c>
      <c r="K3545">
        <v>1301.3900000000001</v>
      </c>
      <c r="L3545">
        <v>57261</v>
      </c>
      <c r="M3545">
        <v>32691.17</v>
      </c>
      <c r="N3545">
        <v>5007.9799999999996</v>
      </c>
      <c r="O3545">
        <v>4222.9399999999996</v>
      </c>
      <c r="P3545">
        <v>1033.8399999999999</v>
      </c>
      <c r="Q3545">
        <v>644.26</v>
      </c>
      <c r="R3545">
        <v>1836.38</v>
      </c>
      <c r="S3545">
        <v>1193.96</v>
      </c>
      <c r="T3545">
        <v>46630.53</v>
      </c>
      <c r="U3545">
        <v>24569.83</v>
      </c>
      <c r="V3545">
        <v>10630.47</v>
      </c>
      <c r="W3545">
        <v>10834.34</v>
      </c>
      <c r="X3545">
        <v>56382.03</v>
      </c>
      <c r="Y3545">
        <v>46003.06</v>
      </c>
    </row>
    <row r="3546" spans="1:25" x14ac:dyDescent="0.25">
      <c r="A3546" t="s">
        <v>3602</v>
      </c>
      <c r="B3546" s="1">
        <v>45903</v>
      </c>
      <c r="C3546">
        <v>2025</v>
      </c>
      <c r="D3546">
        <v>9</v>
      </c>
      <c r="E3546" t="s">
        <v>918</v>
      </c>
      <c r="F3546" t="s">
        <v>691</v>
      </c>
      <c r="G3546" t="s">
        <v>28</v>
      </c>
      <c r="H3546" t="s">
        <v>29</v>
      </c>
      <c r="I3546" t="s">
        <v>30</v>
      </c>
      <c r="J3546">
        <v>122</v>
      </c>
      <c r="K3546">
        <v>951.91</v>
      </c>
      <c r="L3546">
        <v>116133.56</v>
      </c>
      <c r="M3546">
        <v>70375.55</v>
      </c>
      <c r="N3546">
        <v>14034.45</v>
      </c>
      <c r="O3546">
        <v>4970.79</v>
      </c>
      <c r="P3546">
        <v>1841.15</v>
      </c>
      <c r="Q3546">
        <v>1611.94</v>
      </c>
      <c r="R3546">
        <v>3707.24</v>
      </c>
      <c r="S3546">
        <v>1184.4100000000001</v>
      </c>
      <c r="T3546">
        <v>97725.52</v>
      </c>
      <c r="U3546">
        <v>45758.02</v>
      </c>
      <c r="V3546">
        <v>18408.04</v>
      </c>
      <c r="W3546">
        <v>16732.939999999999</v>
      </c>
      <c r="X3546">
        <v>129942.23</v>
      </c>
      <c r="Y3546">
        <v>94135.95</v>
      </c>
    </row>
    <row r="3547" spans="1:25" x14ac:dyDescent="0.25">
      <c r="A3547" t="s">
        <v>3603</v>
      </c>
      <c r="B3547" s="1">
        <v>45904</v>
      </c>
      <c r="C3547">
        <v>2025</v>
      </c>
      <c r="D3547">
        <v>9</v>
      </c>
      <c r="E3547" t="s">
        <v>918</v>
      </c>
      <c r="F3547" t="s">
        <v>691</v>
      </c>
      <c r="G3547" t="s">
        <v>35</v>
      </c>
      <c r="H3547" t="s">
        <v>53</v>
      </c>
      <c r="I3547" t="s">
        <v>37</v>
      </c>
      <c r="J3547">
        <v>62</v>
      </c>
      <c r="K3547">
        <v>952.54</v>
      </c>
      <c r="L3547">
        <v>59057.21</v>
      </c>
      <c r="M3547">
        <v>34068.050000000003</v>
      </c>
      <c r="N3547">
        <v>6579.58</v>
      </c>
      <c r="O3547">
        <v>1840.49</v>
      </c>
      <c r="P3547">
        <v>1214.8699999999999</v>
      </c>
      <c r="Q3547">
        <v>672.55</v>
      </c>
      <c r="R3547">
        <v>3430.11</v>
      </c>
      <c r="S3547">
        <v>1070.3800000000001</v>
      </c>
      <c r="T3547">
        <v>48876.02</v>
      </c>
      <c r="U3547">
        <v>24989.16</v>
      </c>
      <c r="V3547">
        <v>10181.18</v>
      </c>
      <c r="W3547">
        <v>9796.44</v>
      </c>
      <c r="X3547">
        <v>59952.95</v>
      </c>
      <c r="Y3547">
        <v>53128.4</v>
      </c>
    </row>
    <row r="3548" spans="1:25" x14ac:dyDescent="0.25">
      <c r="A3548" t="s">
        <v>3604</v>
      </c>
      <c r="B3548" s="1">
        <v>45904</v>
      </c>
      <c r="C3548">
        <v>2025</v>
      </c>
      <c r="D3548">
        <v>9</v>
      </c>
      <c r="E3548" t="s">
        <v>918</v>
      </c>
      <c r="F3548" t="s">
        <v>691</v>
      </c>
      <c r="G3548" t="s">
        <v>28</v>
      </c>
      <c r="H3548" t="s">
        <v>29</v>
      </c>
      <c r="I3548" t="s">
        <v>65</v>
      </c>
      <c r="J3548">
        <v>69</v>
      </c>
      <c r="K3548">
        <v>1171.98</v>
      </c>
      <c r="L3548">
        <v>80866.710000000006</v>
      </c>
      <c r="M3548">
        <v>46214.59</v>
      </c>
      <c r="N3548">
        <v>5747.33</v>
      </c>
      <c r="O3548">
        <v>5754.38</v>
      </c>
      <c r="P3548">
        <v>2007.01</v>
      </c>
      <c r="Q3548">
        <v>584.54</v>
      </c>
      <c r="R3548">
        <v>3334.76</v>
      </c>
      <c r="S3548">
        <v>1576.39</v>
      </c>
      <c r="T3548">
        <v>65218.99</v>
      </c>
      <c r="U3548">
        <v>34652.120000000003</v>
      </c>
      <c r="V3548">
        <v>15647.72</v>
      </c>
      <c r="W3548">
        <v>15124.71</v>
      </c>
      <c r="X3548">
        <v>75640.22</v>
      </c>
      <c r="Y3548">
        <v>62234.19</v>
      </c>
    </row>
    <row r="3549" spans="1:25" x14ac:dyDescent="0.25">
      <c r="A3549" t="s">
        <v>3605</v>
      </c>
      <c r="B3549" s="1">
        <v>45904</v>
      </c>
      <c r="C3549">
        <v>2025</v>
      </c>
      <c r="D3549">
        <v>9</v>
      </c>
      <c r="E3549" t="s">
        <v>918</v>
      </c>
      <c r="F3549" t="s">
        <v>691</v>
      </c>
      <c r="G3549" t="s">
        <v>28</v>
      </c>
      <c r="H3549" t="s">
        <v>32</v>
      </c>
      <c r="I3549" t="s">
        <v>65</v>
      </c>
      <c r="J3549">
        <v>36</v>
      </c>
      <c r="K3549">
        <v>1797.79</v>
      </c>
      <c r="L3549">
        <v>64720.57</v>
      </c>
      <c r="M3549">
        <v>32253.33</v>
      </c>
      <c r="N3549">
        <v>5129.29</v>
      </c>
      <c r="O3549">
        <v>1837.56</v>
      </c>
      <c r="P3549">
        <v>2810.65</v>
      </c>
      <c r="Q3549">
        <v>410.46</v>
      </c>
      <c r="R3549">
        <v>3345.89</v>
      </c>
      <c r="S3549">
        <v>793.6</v>
      </c>
      <c r="T3549">
        <v>46580.78</v>
      </c>
      <c r="U3549">
        <v>32467.24</v>
      </c>
      <c r="V3549">
        <v>18139.79</v>
      </c>
      <c r="W3549">
        <v>16876.46</v>
      </c>
      <c r="X3549">
        <v>68166.91</v>
      </c>
      <c r="Y3549">
        <v>45756.51</v>
      </c>
    </row>
    <row r="3550" spans="1:25" x14ac:dyDescent="0.25">
      <c r="A3550" t="s">
        <v>3606</v>
      </c>
      <c r="B3550" s="1">
        <v>45905</v>
      </c>
      <c r="C3550">
        <v>2025</v>
      </c>
      <c r="D3550">
        <v>9</v>
      </c>
      <c r="E3550" t="s">
        <v>918</v>
      </c>
      <c r="F3550" t="s">
        <v>691</v>
      </c>
      <c r="G3550" t="s">
        <v>55</v>
      </c>
      <c r="H3550" t="s">
        <v>32</v>
      </c>
      <c r="I3550" t="s">
        <v>39</v>
      </c>
      <c r="J3550">
        <v>46</v>
      </c>
      <c r="K3550">
        <v>891.57</v>
      </c>
      <c r="L3550">
        <v>41012.44</v>
      </c>
      <c r="M3550">
        <v>24887.17</v>
      </c>
      <c r="N3550">
        <v>5166.9399999999996</v>
      </c>
      <c r="O3550">
        <v>2942.71</v>
      </c>
      <c r="P3550">
        <v>1775.73</v>
      </c>
      <c r="Q3550">
        <v>544.80999999999995</v>
      </c>
      <c r="R3550">
        <v>2483.5300000000002</v>
      </c>
      <c r="S3550">
        <v>728.42</v>
      </c>
      <c r="T3550">
        <v>38529.31</v>
      </c>
      <c r="U3550">
        <v>16125.28</v>
      </c>
      <c r="V3550">
        <v>2483.13</v>
      </c>
      <c r="W3550">
        <v>2189.27</v>
      </c>
      <c r="X3550">
        <v>44614.71</v>
      </c>
      <c r="Y3550">
        <v>41233.19</v>
      </c>
    </row>
    <row r="3551" spans="1:25" x14ac:dyDescent="0.25">
      <c r="A3551" t="s">
        <v>3607</v>
      </c>
      <c r="B3551" s="1">
        <v>45905</v>
      </c>
      <c r="C3551">
        <v>2025</v>
      </c>
      <c r="D3551">
        <v>9</v>
      </c>
      <c r="E3551" t="s">
        <v>918</v>
      </c>
      <c r="F3551" t="s">
        <v>691</v>
      </c>
      <c r="G3551" t="s">
        <v>55</v>
      </c>
      <c r="H3551" t="s">
        <v>36</v>
      </c>
      <c r="I3551" t="s">
        <v>65</v>
      </c>
      <c r="J3551">
        <v>81</v>
      </c>
      <c r="K3551">
        <v>872.35</v>
      </c>
      <c r="L3551">
        <v>70660.62</v>
      </c>
      <c r="M3551">
        <v>37652.83</v>
      </c>
      <c r="N3551">
        <v>6609.12</v>
      </c>
      <c r="O3551">
        <v>3350.73</v>
      </c>
      <c r="P3551">
        <v>1426.99</v>
      </c>
      <c r="Q3551">
        <v>1179.1500000000001</v>
      </c>
      <c r="R3551">
        <v>3426.82</v>
      </c>
      <c r="S3551">
        <v>1255.25</v>
      </c>
      <c r="T3551">
        <v>54900.89</v>
      </c>
      <c r="U3551">
        <v>33007.78</v>
      </c>
      <c r="V3551">
        <v>15759.73</v>
      </c>
      <c r="W3551">
        <v>15447.87</v>
      </c>
      <c r="X3551">
        <v>72054.67</v>
      </c>
      <c r="Y3551">
        <v>53496.42</v>
      </c>
    </row>
    <row r="3552" spans="1:25" x14ac:dyDescent="0.25">
      <c r="A3552" t="s">
        <v>3608</v>
      </c>
      <c r="B3552" s="1">
        <v>45906</v>
      </c>
      <c r="C3552">
        <v>2025</v>
      </c>
      <c r="D3552">
        <v>9</v>
      </c>
      <c r="E3552" t="s">
        <v>918</v>
      </c>
      <c r="F3552" t="s">
        <v>691</v>
      </c>
      <c r="G3552" t="s">
        <v>28</v>
      </c>
      <c r="H3552" t="s">
        <v>32</v>
      </c>
      <c r="I3552" t="s">
        <v>45</v>
      </c>
      <c r="J3552">
        <v>47</v>
      </c>
      <c r="K3552">
        <v>1510.88</v>
      </c>
      <c r="L3552">
        <v>71011.149999999994</v>
      </c>
      <c r="M3552">
        <v>44515.62</v>
      </c>
      <c r="N3552">
        <v>8694.5400000000009</v>
      </c>
      <c r="O3552">
        <v>2286.5100000000002</v>
      </c>
      <c r="P3552">
        <v>2722.13</v>
      </c>
      <c r="Q3552">
        <v>1275.08</v>
      </c>
      <c r="R3552">
        <v>3872.68</v>
      </c>
      <c r="S3552">
        <v>1221.23</v>
      </c>
      <c r="T3552">
        <v>64587.81</v>
      </c>
      <c r="U3552">
        <v>26495.52</v>
      </c>
      <c r="V3552">
        <v>6423.34</v>
      </c>
      <c r="W3552">
        <v>6072.87</v>
      </c>
      <c r="X3552">
        <v>76783.73</v>
      </c>
      <c r="Y3552">
        <v>69184.399999999994</v>
      </c>
    </row>
    <row r="3553" spans="1:25" x14ac:dyDescent="0.25">
      <c r="A3553" t="s">
        <v>3609</v>
      </c>
      <c r="B3553" s="1">
        <v>45906</v>
      </c>
      <c r="C3553">
        <v>2025</v>
      </c>
      <c r="D3553">
        <v>9</v>
      </c>
      <c r="E3553" t="s">
        <v>918</v>
      </c>
      <c r="F3553" t="s">
        <v>691</v>
      </c>
      <c r="G3553" t="s">
        <v>35</v>
      </c>
      <c r="H3553" t="s">
        <v>36</v>
      </c>
      <c r="I3553" t="s">
        <v>50</v>
      </c>
      <c r="J3553">
        <v>30</v>
      </c>
      <c r="K3553">
        <v>1300.6199999999999</v>
      </c>
      <c r="L3553">
        <v>39018.699999999997</v>
      </c>
      <c r="M3553">
        <v>21938</v>
      </c>
      <c r="N3553">
        <v>4592.59</v>
      </c>
      <c r="O3553">
        <v>2382.6799999999998</v>
      </c>
      <c r="P3553">
        <v>937.32</v>
      </c>
      <c r="Q3553">
        <v>610.94000000000005</v>
      </c>
      <c r="R3553">
        <v>1098.8</v>
      </c>
      <c r="S3553">
        <v>704.16</v>
      </c>
      <c r="T3553">
        <v>32264.49</v>
      </c>
      <c r="U3553">
        <v>17080.7</v>
      </c>
      <c r="V3553">
        <v>6754.21</v>
      </c>
      <c r="W3553">
        <v>6726.67</v>
      </c>
      <c r="X3553">
        <v>42639.91</v>
      </c>
      <c r="Y3553">
        <v>31593.94</v>
      </c>
    </row>
    <row r="3554" spans="1:25" x14ac:dyDescent="0.25">
      <c r="A3554" t="s">
        <v>3610</v>
      </c>
      <c r="B3554" s="1">
        <v>45906</v>
      </c>
      <c r="C3554">
        <v>2025</v>
      </c>
      <c r="D3554">
        <v>9</v>
      </c>
      <c r="E3554" t="s">
        <v>918</v>
      </c>
      <c r="F3554" t="s">
        <v>691</v>
      </c>
      <c r="G3554" t="s">
        <v>44</v>
      </c>
      <c r="H3554" t="s">
        <v>32</v>
      </c>
      <c r="I3554" t="s">
        <v>50</v>
      </c>
      <c r="J3554">
        <v>31</v>
      </c>
      <c r="K3554">
        <v>1453.29</v>
      </c>
      <c r="L3554">
        <v>45051.92</v>
      </c>
      <c r="M3554">
        <v>30183.95</v>
      </c>
      <c r="N3554">
        <v>5660.32</v>
      </c>
      <c r="O3554">
        <v>2900.17</v>
      </c>
      <c r="P3554">
        <v>1978.13</v>
      </c>
      <c r="Q3554">
        <v>622.37</v>
      </c>
      <c r="R3554">
        <v>2795.88</v>
      </c>
      <c r="S3554">
        <v>641.79</v>
      </c>
      <c r="T3554">
        <v>44782.61</v>
      </c>
      <c r="U3554">
        <v>14867.97</v>
      </c>
      <c r="V3554">
        <v>269.31</v>
      </c>
      <c r="W3554">
        <v>274.06</v>
      </c>
      <c r="X3554">
        <v>41770</v>
      </c>
      <c r="Y3554">
        <v>44146.15</v>
      </c>
    </row>
    <row r="3555" spans="1:25" x14ac:dyDescent="0.25">
      <c r="A3555" t="s">
        <v>3611</v>
      </c>
      <c r="B3555" s="1">
        <v>45906</v>
      </c>
      <c r="C3555">
        <v>2025</v>
      </c>
      <c r="D3555">
        <v>9</v>
      </c>
      <c r="E3555" t="s">
        <v>918</v>
      </c>
      <c r="F3555" t="s">
        <v>691</v>
      </c>
      <c r="G3555" t="s">
        <v>55</v>
      </c>
      <c r="H3555" t="s">
        <v>53</v>
      </c>
      <c r="I3555" t="s">
        <v>50</v>
      </c>
      <c r="J3555">
        <v>31</v>
      </c>
      <c r="K3555">
        <v>1573.36</v>
      </c>
      <c r="L3555">
        <v>48774.18</v>
      </c>
      <c r="M3555">
        <v>26641.05</v>
      </c>
      <c r="N3555">
        <v>3818.37</v>
      </c>
      <c r="O3555">
        <v>2816.06</v>
      </c>
      <c r="P3555">
        <v>1126.78</v>
      </c>
      <c r="Q3555">
        <v>288.02999999999997</v>
      </c>
      <c r="R3555">
        <v>1836.93</v>
      </c>
      <c r="S3555">
        <v>630.41999999999996</v>
      </c>
      <c r="T3555">
        <v>37157.65</v>
      </c>
      <c r="U3555">
        <v>22133.119999999999</v>
      </c>
      <c r="V3555">
        <v>11616.52</v>
      </c>
      <c r="W3555">
        <v>11324.31</v>
      </c>
      <c r="X3555">
        <v>48546.53</v>
      </c>
      <c r="Y3555">
        <v>37895.839999999997</v>
      </c>
    </row>
    <row r="3556" spans="1:25" x14ac:dyDescent="0.25">
      <c r="A3556" t="s">
        <v>3612</v>
      </c>
      <c r="B3556" s="1">
        <v>45907</v>
      </c>
      <c r="C3556">
        <v>2025</v>
      </c>
      <c r="D3556">
        <v>9</v>
      </c>
      <c r="E3556" t="s">
        <v>918</v>
      </c>
      <c r="F3556" t="s">
        <v>691</v>
      </c>
      <c r="G3556" t="s">
        <v>55</v>
      </c>
      <c r="H3556" t="s">
        <v>32</v>
      </c>
      <c r="I3556" t="s">
        <v>37</v>
      </c>
      <c r="J3556">
        <v>76</v>
      </c>
      <c r="K3556">
        <v>1466.89</v>
      </c>
      <c r="L3556">
        <v>111483.49</v>
      </c>
      <c r="M3556">
        <v>54312.07</v>
      </c>
      <c r="N3556">
        <v>9413.14</v>
      </c>
      <c r="O3556">
        <v>5927.09</v>
      </c>
      <c r="P3556">
        <v>2769.99</v>
      </c>
      <c r="Q3556">
        <v>1308.58</v>
      </c>
      <c r="R3556">
        <v>5414.01</v>
      </c>
      <c r="S3556">
        <v>2634.54</v>
      </c>
      <c r="T3556">
        <v>81779.42</v>
      </c>
      <c r="U3556">
        <v>57171.42</v>
      </c>
      <c r="V3556">
        <v>29704.07</v>
      </c>
      <c r="W3556">
        <v>30107.83</v>
      </c>
      <c r="X3556">
        <v>104853.5</v>
      </c>
      <c r="Y3556">
        <v>77068.740000000005</v>
      </c>
    </row>
    <row r="3557" spans="1:25" x14ac:dyDescent="0.25">
      <c r="A3557" t="s">
        <v>3613</v>
      </c>
      <c r="B3557" s="1">
        <v>45907</v>
      </c>
      <c r="C3557">
        <v>2025</v>
      </c>
      <c r="D3557">
        <v>9</v>
      </c>
      <c r="E3557" t="s">
        <v>918</v>
      </c>
      <c r="F3557" t="s">
        <v>691</v>
      </c>
      <c r="G3557" t="s">
        <v>55</v>
      </c>
      <c r="H3557" t="s">
        <v>36</v>
      </c>
      <c r="I3557" t="s">
        <v>37</v>
      </c>
      <c r="J3557">
        <v>54</v>
      </c>
      <c r="K3557">
        <v>1703.76</v>
      </c>
      <c r="L3557">
        <v>92002.81</v>
      </c>
      <c r="M3557">
        <v>51148.54</v>
      </c>
      <c r="N3557">
        <v>11724.73</v>
      </c>
      <c r="O3557">
        <v>3656.3</v>
      </c>
      <c r="P3557">
        <v>2833.9</v>
      </c>
      <c r="Q3557">
        <v>1227.2</v>
      </c>
      <c r="R3557">
        <v>5806.53</v>
      </c>
      <c r="S3557">
        <v>1791.03</v>
      </c>
      <c r="T3557">
        <v>78188.23</v>
      </c>
      <c r="U3557">
        <v>40854.269999999997</v>
      </c>
      <c r="V3557">
        <v>13814.58</v>
      </c>
      <c r="W3557">
        <v>12870.38</v>
      </c>
      <c r="X3557">
        <v>95068.78</v>
      </c>
      <c r="Y3557">
        <v>75999.47</v>
      </c>
    </row>
    <row r="3558" spans="1:25" x14ac:dyDescent="0.25">
      <c r="A3558" t="s">
        <v>3614</v>
      </c>
      <c r="B3558" s="1">
        <v>45907</v>
      </c>
      <c r="C3558">
        <v>2025</v>
      </c>
      <c r="D3558">
        <v>9</v>
      </c>
      <c r="E3558" t="s">
        <v>918</v>
      </c>
      <c r="F3558" t="s">
        <v>691</v>
      </c>
      <c r="G3558" t="s">
        <v>35</v>
      </c>
      <c r="H3558" t="s">
        <v>32</v>
      </c>
      <c r="I3558" t="s">
        <v>33</v>
      </c>
      <c r="J3558">
        <v>71</v>
      </c>
      <c r="K3558">
        <v>923.99</v>
      </c>
      <c r="L3558">
        <v>65603.47</v>
      </c>
      <c r="M3558">
        <v>38343.440000000002</v>
      </c>
      <c r="N3558">
        <v>8386.5</v>
      </c>
      <c r="O3558">
        <v>2515.79</v>
      </c>
      <c r="P3558">
        <v>2724.93</v>
      </c>
      <c r="Q3558">
        <v>752.34</v>
      </c>
      <c r="R3558">
        <v>2082.65</v>
      </c>
      <c r="S3558">
        <v>1360.74</v>
      </c>
      <c r="T3558">
        <v>56166.39</v>
      </c>
      <c r="U3558">
        <v>27260.03</v>
      </c>
      <c r="V3558">
        <v>9437.07</v>
      </c>
      <c r="W3558">
        <v>9323.91</v>
      </c>
      <c r="X3558">
        <v>69457.25</v>
      </c>
      <c r="Y3558">
        <v>57937.04</v>
      </c>
    </row>
    <row r="3559" spans="1:25" x14ac:dyDescent="0.25">
      <c r="A3559" t="s">
        <v>3615</v>
      </c>
      <c r="B3559" s="1">
        <v>45907</v>
      </c>
      <c r="C3559">
        <v>2025</v>
      </c>
      <c r="D3559">
        <v>9</v>
      </c>
      <c r="E3559" t="s">
        <v>918</v>
      </c>
      <c r="F3559" t="s">
        <v>691</v>
      </c>
      <c r="G3559" t="s">
        <v>35</v>
      </c>
      <c r="H3559" t="s">
        <v>53</v>
      </c>
      <c r="I3559" t="s">
        <v>50</v>
      </c>
      <c r="J3559">
        <v>23</v>
      </c>
      <c r="K3559">
        <v>1612.23</v>
      </c>
      <c r="L3559">
        <v>37081.31</v>
      </c>
      <c r="M3559">
        <v>18455.77</v>
      </c>
      <c r="N3559">
        <v>4048.08</v>
      </c>
      <c r="O3559">
        <v>1942.24</v>
      </c>
      <c r="P3559">
        <v>1385.14</v>
      </c>
      <c r="Q3559">
        <v>540.74</v>
      </c>
      <c r="R3559">
        <v>1919.33</v>
      </c>
      <c r="S3559">
        <v>721.76</v>
      </c>
      <c r="T3559">
        <v>29013.07</v>
      </c>
      <c r="U3559">
        <v>18625.54</v>
      </c>
      <c r="V3559">
        <v>8068.25</v>
      </c>
      <c r="W3559">
        <v>7510.47</v>
      </c>
      <c r="X3559">
        <v>37262.89</v>
      </c>
      <c r="Y3559">
        <v>29765.25</v>
      </c>
    </row>
    <row r="3560" spans="1:25" x14ac:dyDescent="0.25">
      <c r="A3560" t="s">
        <v>3616</v>
      </c>
      <c r="B3560" s="1">
        <v>45907</v>
      </c>
      <c r="C3560">
        <v>2025</v>
      </c>
      <c r="D3560">
        <v>9</v>
      </c>
      <c r="E3560" t="s">
        <v>918</v>
      </c>
      <c r="F3560" t="s">
        <v>691</v>
      </c>
      <c r="G3560" t="s">
        <v>55</v>
      </c>
      <c r="H3560" t="s">
        <v>29</v>
      </c>
      <c r="I3560" t="s">
        <v>33</v>
      </c>
      <c r="J3560">
        <v>48</v>
      </c>
      <c r="K3560">
        <v>1358.85</v>
      </c>
      <c r="L3560">
        <v>65224.57</v>
      </c>
      <c r="M3560">
        <v>41262.97</v>
      </c>
      <c r="N3560">
        <v>6640.18</v>
      </c>
      <c r="O3560">
        <v>2953.88</v>
      </c>
      <c r="P3560">
        <v>1012.37</v>
      </c>
      <c r="Q3560">
        <v>494.97</v>
      </c>
      <c r="R3560">
        <v>3831.12</v>
      </c>
      <c r="S3560">
        <v>1430.1</v>
      </c>
      <c r="T3560">
        <v>57625.599999999999</v>
      </c>
      <c r="U3560">
        <v>23961.59</v>
      </c>
      <c r="V3560">
        <v>7598.96</v>
      </c>
      <c r="W3560">
        <v>7001.95</v>
      </c>
      <c r="X3560">
        <v>64483.13</v>
      </c>
      <c r="Y3560">
        <v>63160.38</v>
      </c>
    </row>
    <row r="3561" spans="1:25" x14ac:dyDescent="0.25">
      <c r="A3561" t="s">
        <v>3617</v>
      </c>
      <c r="B3561" s="1">
        <v>45908</v>
      </c>
      <c r="C3561">
        <v>2025</v>
      </c>
      <c r="D3561">
        <v>9</v>
      </c>
      <c r="E3561" t="s">
        <v>918</v>
      </c>
      <c r="F3561" t="s">
        <v>691</v>
      </c>
      <c r="G3561" t="s">
        <v>28</v>
      </c>
      <c r="H3561" t="s">
        <v>58</v>
      </c>
      <c r="I3561" t="s">
        <v>30</v>
      </c>
      <c r="J3561">
        <v>66</v>
      </c>
      <c r="K3561">
        <v>1068.75</v>
      </c>
      <c r="L3561">
        <v>70537.509999999995</v>
      </c>
      <c r="M3561">
        <v>35184.730000000003</v>
      </c>
      <c r="N3561">
        <v>8353.3799999999992</v>
      </c>
      <c r="O3561">
        <v>4716.9799999999996</v>
      </c>
      <c r="P3561">
        <v>1130.8499999999999</v>
      </c>
      <c r="Q3561">
        <v>1133.77</v>
      </c>
      <c r="R3561">
        <v>2567.27</v>
      </c>
      <c r="S3561">
        <v>1723.38</v>
      </c>
      <c r="T3561">
        <v>54810.37</v>
      </c>
      <c r="U3561">
        <v>35352.78</v>
      </c>
      <c r="V3561">
        <v>15727.14</v>
      </c>
      <c r="W3561">
        <v>15085.35</v>
      </c>
      <c r="X3561">
        <v>73888.42</v>
      </c>
      <c r="Y3561">
        <v>58801.97</v>
      </c>
    </row>
    <row r="3562" spans="1:25" x14ac:dyDescent="0.25">
      <c r="A3562" t="s">
        <v>3618</v>
      </c>
      <c r="B3562" s="1">
        <v>45908</v>
      </c>
      <c r="C3562">
        <v>2025</v>
      </c>
      <c r="D3562">
        <v>9</v>
      </c>
      <c r="E3562" t="s">
        <v>918</v>
      </c>
      <c r="F3562" t="s">
        <v>691</v>
      </c>
      <c r="G3562" t="s">
        <v>44</v>
      </c>
      <c r="H3562" t="s">
        <v>53</v>
      </c>
      <c r="I3562" t="s">
        <v>37</v>
      </c>
      <c r="J3562">
        <v>40</v>
      </c>
      <c r="K3562">
        <v>1538.34</v>
      </c>
      <c r="L3562">
        <v>61533.57</v>
      </c>
      <c r="M3562">
        <v>36975.51</v>
      </c>
      <c r="N3562">
        <v>5770.83</v>
      </c>
      <c r="O3562">
        <v>3001.95</v>
      </c>
      <c r="P3562">
        <v>2268.9899999999998</v>
      </c>
      <c r="Q3562">
        <v>415.7</v>
      </c>
      <c r="R3562">
        <v>2329.63</v>
      </c>
      <c r="S3562">
        <v>1137.27</v>
      </c>
      <c r="T3562">
        <v>51899.87</v>
      </c>
      <c r="U3562">
        <v>24558.07</v>
      </c>
      <c r="V3562">
        <v>9633.7000000000007</v>
      </c>
      <c r="W3562">
        <v>9303.51</v>
      </c>
      <c r="X3562">
        <v>60946.07</v>
      </c>
      <c r="Y3562">
        <v>51938.71</v>
      </c>
    </row>
    <row r="3563" spans="1:25" x14ac:dyDescent="0.25">
      <c r="A3563" t="s">
        <v>3619</v>
      </c>
      <c r="B3563" s="1">
        <v>45908</v>
      </c>
      <c r="C3563">
        <v>2025</v>
      </c>
      <c r="D3563">
        <v>9</v>
      </c>
      <c r="E3563" t="s">
        <v>918</v>
      </c>
      <c r="F3563" t="s">
        <v>691</v>
      </c>
      <c r="G3563" t="s">
        <v>35</v>
      </c>
      <c r="H3563" t="s">
        <v>58</v>
      </c>
      <c r="I3563" t="s">
        <v>39</v>
      </c>
      <c r="J3563">
        <v>19</v>
      </c>
      <c r="K3563">
        <v>1532.49</v>
      </c>
      <c r="L3563">
        <v>29117.22</v>
      </c>
      <c r="M3563">
        <v>14314.59</v>
      </c>
      <c r="N3563">
        <v>2089.66</v>
      </c>
      <c r="O3563">
        <v>1218.73</v>
      </c>
      <c r="P3563">
        <v>473.88</v>
      </c>
      <c r="Q3563">
        <v>239.61</v>
      </c>
      <c r="R3563">
        <v>1260.93</v>
      </c>
      <c r="S3563">
        <v>659.05</v>
      </c>
      <c r="T3563">
        <v>20256.439999999999</v>
      </c>
      <c r="U3563">
        <v>14802.63</v>
      </c>
      <c r="V3563">
        <v>8860.7800000000007</v>
      </c>
      <c r="W3563">
        <v>8786.66</v>
      </c>
      <c r="X3563">
        <v>28597.200000000001</v>
      </c>
      <c r="Y3563">
        <v>20646.84</v>
      </c>
    </row>
    <row r="3564" spans="1:25" x14ac:dyDescent="0.25">
      <c r="A3564" t="s">
        <v>3620</v>
      </c>
      <c r="B3564" s="1">
        <v>45908</v>
      </c>
      <c r="C3564">
        <v>2025</v>
      </c>
      <c r="D3564">
        <v>9</v>
      </c>
      <c r="E3564" t="s">
        <v>918</v>
      </c>
      <c r="F3564" t="s">
        <v>691</v>
      </c>
      <c r="G3564" t="s">
        <v>28</v>
      </c>
      <c r="H3564" t="s">
        <v>36</v>
      </c>
      <c r="I3564" t="s">
        <v>37</v>
      </c>
      <c r="J3564">
        <v>61</v>
      </c>
      <c r="K3564">
        <v>1413.39</v>
      </c>
      <c r="L3564">
        <v>86216.7</v>
      </c>
      <c r="M3564">
        <v>52434.18</v>
      </c>
      <c r="N3564">
        <v>6803.77</v>
      </c>
      <c r="O3564">
        <v>4729.8599999999997</v>
      </c>
      <c r="P3564">
        <v>2056.5300000000002</v>
      </c>
      <c r="Q3564">
        <v>864.88</v>
      </c>
      <c r="R3564">
        <v>4938.5</v>
      </c>
      <c r="S3564">
        <v>1030.28</v>
      </c>
      <c r="T3564">
        <v>72857.990000000005</v>
      </c>
      <c r="U3564">
        <v>33782.53</v>
      </c>
      <c r="V3564">
        <v>13358.71</v>
      </c>
      <c r="W3564">
        <v>13210.21</v>
      </c>
      <c r="X3564">
        <v>93801.45</v>
      </c>
      <c r="Y3564">
        <v>78256.33</v>
      </c>
    </row>
    <row r="3565" spans="1:25" x14ac:dyDescent="0.25">
      <c r="A3565" t="s">
        <v>3621</v>
      </c>
      <c r="B3565" s="1">
        <v>45909</v>
      </c>
      <c r="C3565">
        <v>2025</v>
      </c>
      <c r="D3565">
        <v>9</v>
      </c>
      <c r="E3565" t="s">
        <v>918</v>
      </c>
      <c r="F3565" t="s">
        <v>691</v>
      </c>
      <c r="G3565" t="s">
        <v>28</v>
      </c>
      <c r="H3565" t="s">
        <v>53</v>
      </c>
      <c r="I3565" t="s">
        <v>30</v>
      </c>
      <c r="J3565">
        <v>88</v>
      </c>
      <c r="K3565">
        <v>860.3</v>
      </c>
      <c r="L3565">
        <v>75706.289999999994</v>
      </c>
      <c r="M3565">
        <v>44117.77</v>
      </c>
      <c r="N3565">
        <v>7372.2</v>
      </c>
      <c r="O3565">
        <v>2925.16</v>
      </c>
      <c r="P3565">
        <v>2497.7600000000002</v>
      </c>
      <c r="Q3565">
        <v>568.6</v>
      </c>
      <c r="R3565">
        <v>2127.4899999999998</v>
      </c>
      <c r="S3565">
        <v>1247.82</v>
      </c>
      <c r="T3565">
        <v>60856.79</v>
      </c>
      <c r="U3565">
        <v>31588.52</v>
      </c>
      <c r="V3565">
        <v>14849.5</v>
      </c>
      <c r="W3565">
        <v>14093.79</v>
      </c>
      <c r="X3565">
        <v>82552.240000000005</v>
      </c>
      <c r="Y3565">
        <v>58978.26</v>
      </c>
    </row>
    <row r="3566" spans="1:25" x14ac:dyDescent="0.25">
      <c r="A3566" t="s">
        <v>3622</v>
      </c>
      <c r="B3566" s="1">
        <v>45909</v>
      </c>
      <c r="C3566">
        <v>2025</v>
      </c>
      <c r="D3566">
        <v>9</v>
      </c>
      <c r="E3566" t="s">
        <v>918</v>
      </c>
      <c r="F3566" t="s">
        <v>691</v>
      </c>
      <c r="G3566" t="s">
        <v>55</v>
      </c>
      <c r="H3566" t="s">
        <v>53</v>
      </c>
      <c r="I3566" t="s">
        <v>50</v>
      </c>
      <c r="J3566">
        <v>47</v>
      </c>
      <c r="K3566">
        <v>1167.52</v>
      </c>
      <c r="L3566">
        <v>54873.39</v>
      </c>
      <c r="M3566">
        <v>32487.84</v>
      </c>
      <c r="N3566">
        <v>6839.56</v>
      </c>
      <c r="O3566">
        <v>1378.02</v>
      </c>
      <c r="P3566">
        <v>2200.98</v>
      </c>
      <c r="Q3566">
        <v>856.49</v>
      </c>
      <c r="R3566">
        <v>3336.46</v>
      </c>
      <c r="S3566">
        <v>545.69000000000005</v>
      </c>
      <c r="T3566">
        <v>47645.05</v>
      </c>
      <c r="U3566">
        <v>22385.55</v>
      </c>
      <c r="V3566">
        <v>7228.34</v>
      </c>
      <c r="W3566">
        <v>7162.64</v>
      </c>
      <c r="X3566">
        <v>56507.76</v>
      </c>
      <c r="Y3566">
        <v>46309.13</v>
      </c>
    </row>
    <row r="3567" spans="1:25" x14ac:dyDescent="0.25">
      <c r="A3567" t="s">
        <v>3623</v>
      </c>
      <c r="B3567" s="1">
        <v>45909</v>
      </c>
      <c r="C3567">
        <v>2025</v>
      </c>
      <c r="D3567">
        <v>9</v>
      </c>
      <c r="E3567" t="s">
        <v>918</v>
      </c>
      <c r="F3567" t="s">
        <v>691</v>
      </c>
      <c r="G3567" t="s">
        <v>55</v>
      </c>
      <c r="H3567" t="s">
        <v>58</v>
      </c>
      <c r="I3567" t="s">
        <v>56</v>
      </c>
      <c r="J3567">
        <v>47</v>
      </c>
      <c r="K3567">
        <v>910.82</v>
      </c>
      <c r="L3567">
        <v>42808.39</v>
      </c>
      <c r="M3567">
        <v>21166.37</v>
      </c>
      <c r="N3567">
        <v>4431.18</v>
      </c>
      <c r="O3567">
        <v>1951.78</v>
      </c>
      <c r="P3567">
        <v>1775.45</v>
      </c>
      <c r="Q3567">
        <v>382.17</v>
      </c>
      <c r="R3567">
        <v>1505.18</v>
      </c>
      <c r="S3567">
        <v>865.03</v>
      </c>
      <c r="T3567">
        <v>32077.16</v>
      </c>
      <c r="U3567">
        <v>21642.03</v>
      </c>
      <c r="V3567">
        <v>10731.24</v>
      </c>
      <c r="W3567">
        <v>10575.44</v>
      </c>
      <c r="X3567">
        <v>43513.73</v>
      </c>
      <c r="Y3567">
        <v>32687.51</v>
      </c>
    </row>
    <row r="3568" spans="1:25" x14ac:dyDescent="0.25">
      <c r="A3568" t="s">
        <v>3624</v>
      </c>
      <c r="B3568" s="1">
        <v>45909</v>
      </c>
      <c r="C3568">
        <v>2025</v>
      </c>
      <c r="D3568">
        <v>9</v>
      </c>
      <c r="E3568" t="s">
        <v>918</v>
      </c>
      <c r="F3568" t="s">
        <v>691</v>
      </c>
      <c r="G3568" t="s">
        <v>28</v>
      </c>
      <c r="H3568" t="s">
        <v>32</v>
      </c>
      <c r="I3568" t="s">
        <v>39</v>
      </c>
      <c r="J3568">
        <v>48</v>
      </c>
      <c r="K3568">
        <v>1248.3499999999999</v>
      </c>
      <c r="L3568">
        <v>59920.9</v>
      </c>
      <c r="M3568">
        <v>34568.03</v>
      </c>
      <c r="N3568">
        <v>4626.3900000000003</v>
      </c>
      <c r="O3568">
        <v>1888.36</v>
      </c>
      <c r="P3568">
        <v>1602.16</v>
      </c>
      <c r="Q3568">
        <v>871.28</v>
      </c>
      <c r="R3568">
        <v>1715.62</v>
      </c>
      <c r="S3568">
        <v>541.19000000000005</v>
      </c>
      <c r="T3568">
        <v>45813.02</v>
      </c>
      <c r="U3568">
        <v>25352.880000000001</v>
      </c>
      <c r="V3568">
        <v>14107.88</v>
      </c>
      <c r="W3568">
        <v>13282.61</v>
      </c>
      <c r="X3568">
        <v>63519.95</v>
      </c>
      <c r="Y3568">
        <v>49574.67</v>
      </c>
    </row>
    <row r="3569" spans="1:25" x14ac:dyDescent="0.25">
      <c r="A3569" t="s">
        <v>3625</v>
      </c>
      <c r="B3569" s="1">
        <v>45910</v>
      </c>
      <c r="C3569">
        <v>2025</v>
      </c>
      <c r="D3569">
        <v>9</v>
      </c>
      <c r="E3569" t="s">
        <v>918</v>
      </c>
      <c r="F3569" t="s">
        <v>691</v>
      </c>
      <c r="G3569" t="s">
        <v>35</v>
      </c>
      <c r="H3569" t="s">
        <v>36</v>
      </c>
      <c r="I3569" t="s">
        <v>30</v>
      </c>
      <c r="J3569">
        <v>61</v>
      </c>
      <c r="K3569">
        <v>1523.86</v>
      </c>
      <c r="L3569">
        <v>92955.42</v>
      </c>
      <c r="M3569">
        <v>53707.839999999997</v>
      </c>
      <c r="N3569">
        <v>8154.02</v>
      </c>
      <c r="O3569">
        <v>5465.94</v>
      </c>
      <c r="P3569">
        <v>4087.04</v>
      </c>
      <c r="Q3569">
        <v>1022.6</v>
      </c>
      <c r="R3569">
        <v>3894.14</v>
      </c>
      <c r="S3569">
        <v>1443.19</v>
      </c>
      <c r="T3569">
        <v>77774.759999999995</v>
      </c>
      <c r="U3569">
        <v>39247.589999999997</v>
      </c>
      <c r="V3569">
        <v>15180.66</v>
      </c>
      <c r="W3569">
        <v>14181.33</v>
      </c>
      <c r="X3569">
        <v>93385.600000000006</v>
      </c>
      <c r="Y3569">
        <v>74332.72</v>
      </c>
    </row>
    <row r="3570" spans="1:25" x14ac:dyDescent="0.25">
      <c r="A3570" t="s">
        <v>3626</v>
      </c>
      <c r="B3570" s="1">
        <v>45910</v>
      </c>
      <c r="C3570">
        <v>2025</v>
      </c>
      <c r="D3570">
        <v>9</v>
      </c>
      <c r="E3570" t="s">
        <v>918</v>
      </c>
      <c r="F3570" t="s">
        <v>691</v>
      </c>
      <c r="G3570" t="s">
        <v>28</v>
      </c>
      <c r="H3570" t="s">
        <v>32</v>
      </c>
      <c r="I3570" t="s">
        <v>39</v>
      </c>
      <c r="J3570">
        <v>36</v>
      </c>
      <c r="K3570">
        <v>1334.9</v>
      </c>
      <c r="L3570">
        <v>48056.45</v>
      </c>
      <c r="M3570">
        <v>29752.21</v>
      </c>
      <c r="N3570">
        <v>3801.46</v>
      </c>
      <c r="O3570">
        <v>2207.06</v>
      </c>
      <c r="P3570">
        <v>1737.11</v>
      </c>
      <c r="Q3570">
        <v>610.21</v>
      </c>
      <c r="R3570">
        <v>1884.23</v>
      </c>
      <c r="S3570">
        <v>627.34</v>
      </c>
      <c r="T3570">
        <v>40619.620000000003</v>
      </c>
      <c r="U3570">
        <v>18304.240000000002</v>
      </c>
      <c r="V3570">
        <v>7436.83</v>
      </c>
      <c r="W3570">
        <v>6891.79</v>
      </c>
      <c r="X3570">
        <v>50864.28</v>
      </c>
      <c r="Y3570">
        <v>42447.15</v>
      </c>
    </row>
    <row r="3571" spans="1:25" x14ac:dyDescent="0.25">
      <c r="A3571" t="s">
        <v>3627</v>
      </c>
      <c r="B3571" s="1">
        <v>45910</v>
      </c>
      <c r="C3571">
        <v>2025</v>
      </c>
      <c r="D3571">
        <v>9</v>
      </c>
      <c r="E3571" t="s">
        <v>918</v>
      </c>
      <c r="F3571" t="s">
        <v>691</v>
      </c>
      <c r="G3571" t="s">
        <v>55</v>
      </c>
      <c r="H3571" t="s">
        <v>29</v>
      </c>
      <c r="I3571" t="s">
        <v>37</v>
      </c>
      <c r="J3571">
        <v>72</v>
      </c>
      <c r="K3571">
        <v>1242.5999999999999</v>
      </c>
      <c r="L3571">
        <v>89467.02</v>
      </c>
      <c r="M3571">
        <v>52476.33</v>
      </c>
      <c r="N3571">
        <v>9880.6200000000008</v>
      </c>
      <c r="O3571">
        <v>4527.05</v>
      </c>
      <c r="P3571">
        <v>2624.67</v>
      </c>
      <c r="Q3571">
        <v>635.33000000000004</v>
      </c>
      <c r="R3571">
        <v>4333.54</v>
      </c>
      <c r="S3571">
        <v>1840.81</v>
      </c>
      <c r="T3571">
        <v>76318.34</v>
      </c>
      <c r="U3571">
        <v>36990.69</v>
      </c>
      <c r="V3571">
        <v>13148.68</v>
      </c>
      <c r="W3571">
        <v>11588.06</v>
      </c>
      <c r="X3571">
        <v>91800.88</v>
      </c>
      <c r="Y3571">
        <v>83548.160000000003</v>
      </c>
    </row>
    <row r="3572" spans="1:25" x14ac:dyDescent="0.25">
      <c r="A3572" t="s">
        <v>3628</v>
      </c>
      <c r="B3572" s="1">
        <v>45910</v>
      </c>
      <c r="C3572">
        <v>2025</v>
      </c>
      <c r="D3572">
        <v>9</v>
      </c>
      <c r="E3572" t="s">
        <v>918</v>
      </c>
      <c r="F3572" t="s">
        <v>691</v>
      </c>
      <c r="G3572" t="s">
        <v>44</v>
      </c>
      <c r="H3572" t="s">
        <v>32</v>
      </c>
      <c r="I3572" t="s">
        <v>30</v>
      </c>
      <c r="J3572">
        <v>110</v>
      </c>
      <c r="K3572">
        <v>995.53</v>
      </c>
      <c r="L3572">
        <v>109508.15</v>
      </c>
      <c r="M3572">
        <v>69575.23</v>
      </c>
      <c r="N3572">
        <v>10967</v>
      </c>
      <c r="O3572">
        <v>4771.8900000000003</v>
      </c>
      <c r="P3572">
        <v>3920.94</v>
      </c>
      <c r="Q3572">
        <v>1449.49</v>
      </c>
      <c r="R3572">
        <v>4608.1099999999997</v>
      </c>
      <c r="S3572">
        <v>1832.89</v>
      </c>
      <c r="T3572">
        <v>97125.55</v>
      </c>
      <c r="U3572">
        <v>39932.92</v>
      </c>
      <c r="V3572">
        <v>12382.6</v>
      </c>
      <c r="W3572">
        <v>12050.34</v>
      </c>
      <c r="X3572">
        <v>101070.23</v>
      </c>
      <c r="Y3572">
        <v>101423</v>
      </c>
    </row>
    <row r="3573" spans="1:25" x14ac:dyDescent="0.25">
      <c r="A3573" t="s">
        <v>3629</v>
      </c>
      <c r="B3573" s="1">
        <v>45910</v>
      </c>
      <c r="C3573">
        <v>2025</v>
      </c>
      <c r="D3573">
        <v>9</v>
      </c>
      <c r="E3573" t="s">
        <v>918</v>
      </c>
      <c r="F3573" t="s">
        <v>691</v>
      </c>
      <c r="G3573" t="s">
        <v>35</v>
      </c>
      <c r="H3573" t="s">
        <v>29</v>
      </c>
      <c r="I3573" t="s">
        <v>30</v>
      </c>
      <c r="J3573">
        <v>61</v>
      </c>
      <c r="K3573">
        <v>1213.3</v>
      </c>
      <c r="L3573">
        <v>74011.289999999994</v>
      </c>
      <c r="M3573">
        <v>46366.91</v>
      </c>
      <c r="N3573">
        <v>6520.96</v>
      </c>
      <c r="O3573">
        <v>4618.45</v>
      </c>
      <c r="P3573">
        <v>1408.05</v>
      </c>
      <c r="Q3573">
        <v>410.6</v>
      </c>
      <c r="R3573">
        <v>3187.37</v>
      </c>
      <c r="S3573">
        <v>1397.69</v>
      </c>
      <c r="T3573">
        <v>63910.03</v>
      </c>
      <c r="U3573">
        <v>27644.37</v>
      </c>
      <c r="V3573">
        <v>10101.26</v>
      </c>
      <c r="W3573">
        <v>9565.18</v>
      </c>
      <c r="X3573">
        <v>76913.789999999994</v>
      </c>
      <c r="Y3573">
        <v>68377.97</v>
      </c>
    </row>
    <row r="3574" spans="1:25" x14ac:dyDescent="0.25">
      <c r="A3574" t="s">
        <v>3630</v>
      </c>
      <c r="B3574" s="1">
        <v>45911</v>
      </c>
      <c r="C3574">
        <v>2025</v>
      </c>
      <c r="D3574">
        <v>9</v>
      </c>
      <c r="E3574" t="s">
        <v>918</v>
      </c>
      <c r="F3574" t="s">
        <v>691</v>
      </c>
      <c r="G3574" t="s">
        <v>35</v>
      </c>
      <c r="H3574" t="s">
        <v>58</v>
      </c>
      <c r="I3574" t="s">
        <v>45</v>
      </c>
      <c r="J3574">
        <v>35</v>
      </c>
      <c r="K3574">
        <v>1228.99</v>
      </c>
      <c r="L3574">
        <v>43014.53</v>
      </c>
      <c r="M3574">
        <v>22505.82</v>
      </c>
      <c r="N3574">
        <v>4194.0200000000004</v>
      </c>
      <c r="O3574">
        <v>2986.29</v>
      </c>
      <c r="P3574">
        <v>1052.52</v>
      </c>
      <c r="Q3574">
        <v>715.95</v>
      </c>
      <c r="R3574">
        <v>2080.17</v>
      </c>
      <c r="S3574">
        <v>650.55999999999995</v>
      </c>
      <c r="T3574">
        <v>34185.339999999997</v>
      </c>
      <c r="U3574">
        <v>20508.71</v>
      </c>
      <c r="V3574">
        <v>8829.19</v>
      </c>
      <c r="W3574">
        <v>8907.61</v>
      </c>
      <c r="X3574">
        <v>43088.62</v>
      </c>
      <c r="Y3574">
        <v>35518.9</v>
      </c>
    </row>
    <row r="3575" spans="1:25" x14ac:dyDescent="0.25">
      <c r="A3575" t="s">
        <v>3631</v>
      </c>
      <c r="B3575" s="1">
        <v>45911</v>
      </c>
      <c r="C3575">
        <v>2025</v>
      </c>
      <c r="D3575">
        <v>9</v>
      </c>
      <c r="E3575" t="s">
        <v>918</v>
      </c>
      <c r="F3575" t="s">
        <v>691</v>
      </c>
      <c r="G3575" t="s">
        <v>44</v>
      </c>
      <c r="H3575" t="s">
        <v>36</v>
      </c>
      <c r="I3575" t="s">
        <v>39</v>
      </c>
      <c r="J3575">
        <v>57</v>
      </c>
      <c r="K3575">
        <v>843.34</v>
      </c>
      <c r="L3575">
        <v>48070.39</v>
      </c>
      <c r="M3575">
        <v>28729.63</v>
      </c>
      <c r="N3575">
        <v>4262.9399999999996</v>
      </c>
      <c r="O3575">
        <v>3446.33</v>
      </c>
      <c r="P3575">
        <v>1904.38</v>
      </c>
      <c r="Q3575">
        <v>642.41999999999996</v>
      </c>
      <c r="R3575">
        <v>2541.17</v>
      </c>
      <c r="S3575">
        <v>625.73</v>
      </c>
      <c r="T3575">
        <v>42152.61</v>
      </c>
      <c r="U3575">
        <v>19340.759999999998</v>
      </c>
      <c r="V3575">
        <v>5917.78</v>
      </c>
      <c r="W3575">
        <v>5297.58</v>
      </c>
      <c r="X3575">
        <v>47287.15</v>
      </c>
      <c r="Y3575">
        <v>44229.03</v>
      </c>
    </row>
    <row r="3576" spans="1:25" x14ac:dyDescent="0.25">
      <c r="A3576" t="s">
        <v>3632</v>
      </c>
      <c r="B3576" s="1">
        <v>45911</v>
      </c>
      <c r="C3576">
        <v>2025</v>
      </c>
      <c r="D3576">
        <v>9</v>
      </c>
      <c r="E3576" t="s">
        <v>918</v>
      </c>
      <c r="F3576" t="s">
        <v>691</v>
      </c>
      <c r="G3576" t="s">
        <v>55</v>
      </c>
      <c r="H3576" t="s">
        <v>36</v>
      </c>
      <c r="I3576" t="s">
        <v>56</v>
      </c>
      <c r="J3576">
        <v>33</v>
      </c>
      <c r="K3576">
        <v>1224.03</v>
      </c>
      <c r="L3576">
        <v>40393.11</v>
      </c>
      <c r="M3576">
        <v>24751.32</v>
      </c>
      <c r="N3576">
        <v>3927.79</v>
      </c>
      <c r="O3576">
        <v>1277.5</v>
      </c>
      <c r="P3576">
        <v>1051.74</v>
      </c>
      <c r="Q3576">
        <v>704.68</v>
      </c>
      <c r="R3576">
        <v>1803.03</v>
      </c>
      <c r="S3576">
        <v>712.65</v>
      </c>
      <c r="T3576">
        <v>34228.699999999997</v>
      </c>
      <c r="U3576">
        <v>15641.8</v>
      </c>
      <c r="V3576">
        <v>6164.41</v>
      </c>
      <c r="W3576">
        <v>5508.3</v>
      </c>
      <c r="X3576">
        <v>44069.84</v>
      </c>
      <c r="Y3576">
        <v>34559.78</v>
      </c>
    </row>
    <row r="3577" spans="1:25" x14ac:dyDescent="0.25">
      <c r="A3577" t="s">
        <v>3633</v>
      </c>
      <c r="B3577" s="1">
        <v>45911</v>
      </c>
      <c r="C3577">
        <v>2025</v>
      </c>
      <c r="D3577">
        <v>9</v>
      </c>
      <c r="E3577" t="s">
        <v>918</v>
      </c>
      <c r="F3577" t="s">
        <v>691</v>
      </c>
      <c r="G3577" t="s">
        <v>55</v>
      </c>
      <c r="H3577" t="s">
        <v>36</v>
      </c>
      <c r="I3577" t="s">
        <v>65</v>
      </c>
      <c r="J3577">
        <v>81</v>
      </c>
      <c r="K3577">
        <v>1022.44</v>
      </c>
      <c r="L3577">
        <v>82817.539999999994</v>
      </c>
      <c r="M3577">
        <v>54553.56</v>
      </c>
      <c r="N3577">
        <v>9149.52</v>
      </c>
      <c r="O3577">
        <v>5865.04</v>
      </c>
      <c r="P3577">
        <v>2859.98</v>
      </c>
      <c r="Q3577">
        <v>590.72</v>
      </c>
      <c r="R3577">
        <v>3661.02</v>
      </c>
      <c r="S3577">
        <v>1401.69</v>
      </c>
      <c r="T3577">
        <v>78081.539999999994</v>
      </c>
      <c r="U3577">
        <v>28263.97</v>
      </c>
      <c r="V3577">
        <v>4735.99</v>
      </c>
      <c r="W3577">
        <v>4348.8599999999997</v>
      </c>
      <c r="X3577">
        <v>82773.820000000007</v>
      </c>
      <c r="Y3577">
        <v>76715.210000000006</v>
      </c>
    </row>
    <row r="3578" spans="1:25" x14ac:dyDescent="0.25">
      <c r="A3578" t="s">
        <v>3634</v>
      </c>
      <c r="B3578" s="1">
        <v>45912</v>
      </c>
      <c r="C3578">
        <v>2025</v>
      </c>
      <c r="D3578">
        <v>9</v>
      </c>
      <c r="E3578" t="s">
        <v>918</v>
      </c>
      <c r="F3578" t="s">
        <v>691</v>
      </c>
      <c r="G3578" t="s">
        <v>28</v>
      </c>
      <c r="H3578" t="s">
        <v>53</v>
      </c>
      <c r="I3578" t="s">
        <v>30</v>
      </c>
      <c r="J3578">
        <v>57</v>
      </c>
      <c r="K3578">
        <v>1313.69</v>
      </c>
      <c r="L3578">
        <v>74880.509999999995</v>
      </c>
      <c r="M3578">
        <v>40233.47</v>
      </c>
      <c r="N3578">
        <v>7130.69</v>
      </c>
      <c r="O3578">
        <v>2800.87</v>
      </c>
      <c r="P3578">
        <v>2937.25</v>
      </c>
      <c r="Q3578">
        <v>411.08</v>
      </c>
      <c r="R3578">
        <v>3929.62</v>
      </c>
      <c r="S3578">
        <v>1446.31</v>
      </c>
      <c r="T3578">
        <v>58889.29</v>
      </c>
      <c r="U3578">
        <v>34647.040000000001</v>
      </c>
      <c r="V3578">
        <v>15991.21</v>
      </c>
      <c r="W3578">
        <v>15375.78</v>
      </c>
      <c r="X3578">
        <v>80073.399999999994</v>
      </c>
      <c r="Y3578">
        <v>55702.239999999998</v>
      </c>
    </row>
    <row r="3579" spans="1:25" x14ac:dyDescent="0.25">
      <c r="A3579" t="s">
        <v>3635</v>
      </c>
      <c r="B3579" s="1">
        <v>45912</v>
      </c>
      <c r="C3579">
        <v>2025</v>
      </c>
      <c r="D3579">
        <v>9</v>
      </c>
      <c r="E3579" t="s">
        <v>918</v>
      </c>
      <c r="F3579" t="s">
        <v>691</v>
      </c>
      <c r="G3579" t="s">
        <v>55</v>
      </c>
      <c r="H3579" t="s">
        <v>29</v>
      </c>
      <c r="I3579" t="s">
        <v>39</v>
      </c>
      <c r="J3579">
        <v>49</v>
      </c>
      <c r="K3579">
        <v>1015.15</v>
      </c>
      <c r="L3579">
        <v>49742.53</v>
      </c>
      <c r="M3579">
        <v>28591.5</v>
      </c>
      <c r="N3579">
        <v>5344.04</v>
      </c>
      <c r="O3579">
        <v>2487.62</v>
      </c>
      <c r="P3579">
        <v>828.27</v>
      </c>
      <c r="Q3579">
        <v>757.87</v>
      </c>
      <c r="R3579">
        <v>3172.72</v>
      </c>
      <c r="S3579">
        <v>1010.18</v>
      </c>
      <c r="T3579">
        <v>42192.2</v>
      </c>
      <c r="U3579">
        <v>21151.02</v>
      </c>
      <c r="V3579">
        <v>7550.33</v>
      </c>
      <c r="W3579">
        <v>6765.03</v>
      </c>
      <c r="X3579">
        <v>48656.04</v>
      </c>
      <c r="Y3579">
        <v>42894.41</v>
      </c>
    </row>
    <row r="3580" spans="1:25" x14ac:dyDescent="0.25">
      <c r="A3580" t="s">
        <v>3636</v>
      </c>
      <c r="B3580" s="1">
        <v>45912</v>
      </c>
      <c r="C3580">
        <v>2025</v>
      </c>
      <c r="D3580">
        <v>9</v>
      </c>
      <c r="E3580" t="s">
        <v>918</v>
      </c>
      <c r="F3580" t="s">
        <v>691</v>
      </c>
      <c r="G3580" t="s">
        <v>35</v>
      </c>
      <c r="H3580" t="s">
        <v>53</v>
      </c>
      <c r="I3580" t="s">
        <v>50</v>
      </c>
      <c r="J3580">
        <v>25</v>
      </c>
      <c r="K3580">
        <v>1439.99</v>
      </c>
      <c r="L3580">
        <v>35999.71</v>
      </c>
      <c r="M3580">
        <v>20726.330000000002</v>
      </c>
      <c r="N3580">
        <v>3955.4</v>
      </c>
      <c r="O3580">
        <v>1839.47</v>
      </c>
      <c r="P3580">
        <v>1190.1400000000001</v>
      </c>
      <c r="Q3580">
        <v>476.47</v>
      </c>
      <c r="R3580">
        <v>1270.8599999999999</v>
      </c>
      <c r="S3580">
        <v>634.98</v>
      </c>
      <c r="T3580">
        <v>30093.66</v>
      </c>
      <c r="U3580">
        <v>15273.38</v>
      </c>
      <c r="V3580">
        <v>5906.05</v>
      </c>
      <c r="W3580">
        <v>5485.12</v>
      </c>
      <c r="X3580">
        <v>38301.120000000003</v>
      </c>
      <c r="Y3580">
        <v>33062.720000000001</v>
      </c>
    </row>
    <row r="3581" spans="1:25" x14ac:dyDescent="0.25">
      <c r="A3581" t="s">
        <v>3637</v>
      </c>
      <c r="B3581" s="1">
        <v>45912</v>
      </c>
      <c r="C3581">
        <v>2025</v>
      </c>
      <c r="D3581">
        <v>9</v>
      </c>
      <c r="E3581" t="s">
        <v>918</v>
      </c>
      <c r="F3581" t="s">
        <v>691</v>
      </c>
      <c r="G3581" t="s">
        <v>35</v>
      </c>
      <c r="H3581" t="s">
        <v>29</v>
      </c>
      <c r="I3581" t="s">
        <v>56</v>
      </c>
      <c r="J3581">
        <v>42</v>
      </c>
      <c r="K3581">
        <v>927.25</v>
      </c>
      <c r="L3581">
        <v>38944.44</v>
      </c>
      <c r="M3581">
        <v>23402.23</v>
      </c>
      <c r="N3581">
        <v>3818.37</v>
      </c>
      <c r="O3581">
        <v>2259.0300000000002</v>
      </c>
      <c r="P3581">
        <v>713.48</v>
      </c>
      <c r="Q3581">
        <v>488.75</v>
      </c>
      <c r="R3581">
        <v>2055.92</v>
      </c>
      <c r="S3581">
        <v>596.4</v>
      </c>
      <c r="T3581">
        <v>33334.199999999997</v>
      </c>
      <c r="U3581">
        <v>15542.2</v>
      </c>
      <c r="V3581">
        <v>5610.24</v>
      </c>
      <c r="W3581">
        <v>5166.59</v>
      </c>
      <c r="X3581">
        <v>36596.22</v>
      </c>
      <c r="Y3581">
        <v>36615.83</v>
      </c>
    </row>
    <row r="3582" spans="1:25" x14ac:dyDescent="0.25">
      <c r="A3582" t="s">
        <v>3638</v>
      </c>
      <c r="B3582" s="1">
        <v>45913</v>
      </c>
      <c r="C3582">
        <v>2025</v>
      </c>
      <c r="D3582">
        <v>9</v>
      </c>
      <c r="E3582" t="s">
        <v>918</v>
      </c>
      <c r="F3582" t="s">
        <v>691</v>
      </c>
      <c r="G3582" t="s">
        <v>35</v>
      </c>
      <c r="H3582" t="s">
        <v>53</v>
      </c>
      <c r="I3582" t="s">
        <v>39</v>
      </c>
      <c r="J3582">
        <v>28</v>
      </c>
      <c r="K3582">
        <v>1295.22</v>
      </c>
      <c r="L3582">
        <v>36266.089999999997</v>
      </c>
      <c r="M3582">
        <v>17680.77</v>
      </c>
      <c r="N3582">
        <v>4265.22</v>
      </c>
      <c r="O3582">
        <v>1566.66</v>
      </c>
      <c r="P3582">
        <v>953.75</v>
      </c>
      <c r="Q3582">
        <v>521.79999999999995</v>
      </c>
      <c r="R3582">
        <v>1963.03</v>
      </c>
      <c r="S3582">
        <v>507.45</v>
      </c>
      <c r="T3582">
        <v>27458.69</v>
      </c>
      <c r="U3582">
        <v>18585.32</v>
      </c>
      <c r="V3582">
        <v>8807.4</v>
      </c>
      <c r="W3582">
        <v>8830.8799999999992</v>
      </c>
      <c r="X3582">
        <v>33893.26</v>
      </c>
      <c r="Y3582">
        <v>27084.59</v>
      </c>
    </row>
    <row r="3583" spans="1:25" x14ac:dyDescent="0.25">
      <c r="A3583" t="s">
        <v>3639</v>
      </c>
      <c r="B3583" s="1">
        <v>45914</v>
      </c>
      <c r="C3583">
        <v>2025</v>
      </c>
      <c r="D3583">
        <v>9</v>
      </c>
      <c r="E3583" t="s">
        <v>918</v>
      </c>
      <c r="F3583" t="s">
        <v>691</v>
      </c>
      <c r="G3583" t="s">
        <v>55</v>
      </c>
      <c r="H3583" t="s">
        <v>29</v>
      </c>
      <c r="I3583" t="s">
        <v>56</v>
      </c>
      <c r="J3583">
        <v>26</v>
      </c>
      <c r="K3583">
        <v>1387.53</v>
      </c>
      <c r="L3583">
        <v>36075.69</v>
      </c>
      <c r="M3583">
        <v>22689.07</v>
      </c>
      <c r="N3583">
        <v>4424.67</v>
      </c>
      <c r="O3583">
        <v>2451.36</v>
      </c>
      <c r="P3583">
        <v>787.8</v>
      </c>
      <c r="Q3583">
        <v>498.6</v>
      </c>
      <c r="R3583">
        <v>1512.64</v>
      </c>
      <c r="S3583">
        <v>569.14</v>
      </c>
      <c r="T3583">
        <v>32933.29</v>
      </c>
      <c r="U3583">
        <v>13386.62</v>
      </c>
      <c r="V3583">
        <v>3142.4</v>
      </c>
      <c r="W3583">
        <v>3028.22</v>
      </c>
      <c r="X3583">
        <v>38245.519999999997</v>
      </c>
      <c r="Y3583">
        <v>33404.400000000001</v>
      </c>
    </row>
    <row r="3584" spans="1:25" x14ac:dyDescent="0.25">
      <c r="A3584" t="s">
        <v>3640</v>
      </c>
      <c r="B3584" s="1">
        <v>45914</v>
      </c>
      <c r="C3584">
        <v>2025</v>
      </c>
      <c r="D3584">
        <v>9</v>
      </c>
      <c r="E3584" t="s">
        <v>918</v>
      </c>
      <c r="F3584" t="s">
        <v>691</v>
      </c>
      <c r="G3584" t="s">
        <v>44</v>
      </c>
      <c r="H3584" t="s">
        <v>32</v>
      </c>
      <c r="I3584" t="s">
        <v>50</v>
      </c>
      <c r="J3584">
        <v>32</v>
      </c>
      <c r="K3584">
        <v>1715.2</v>
      </c>
      <c r="L3584">
        <v>54886.34</v>
      </c>
      <c r="M3584">
        <v>26774.68</v>
      </c>
      <c r="N3584">
        <v>4303.3100000000004</v>
      </c>
      <c r="O3584">
        <v>3372.73</v>
      </c>
      <c r="P3584">
        <v>1627.77</v>
      </c>
      <c r="Q3584">
        <v>657.99</v>
      </c>
      <c r="R3584">
        <v>1392.22</v>
      </c>
      <c r="S3584">
        <v>1024.1300000000001</v>
      </c>
      <c r="T3584">
        <v>39152.83</v>
      </c>
      <c r="U3584">
        <v>28111.66</v>
      </c>
      <c r="V3584">
        <v>15733.51</v>
      </c>
      <c r="W3584">
        <v>15668.66</v>
      </c>
      <c r="X3584">
        <v>50555.51</v>
      </c>
      <c r="Y3584">
        <v>41103.46</v>
      </c>
    </row>
    <row r="3585" spans="1:25" x14ac:dyDescent="0.25">
      <c r="A3585" t="s">
        <v>3641</v>
      </c>
      <c r="B3585" s="1">
        <v>45914</v>
      </c>
      <c r="C3585">
        <v>2025</v>
      </c>
      <c r="D3585">
        <v>9</v>
      </c>
      <c r="E3585" t="s">
        <v>918</v>
      </c>
      <c r="F3585" t="s">
        <v>691</v>
      </c>
      <c r="G3585" t="s">
        <v>55</v>
      </c>
      <c r="H3585" t="s">
        <v>32</v>
      </c>
      <c r="I3585" t="s">
        <v>45</v>
      </c>
      <c r="J3585">
        <v>32</v>
      </c>
      <c r="K3585">
        <v>1505.08</v>
      </c>
      <c r="L3585">
        <v>48162.52</v>
      </c>
      <c r="M3585">
        <v>27025.64</v>
      </c>
      <c r="N3585">
        <v>4124.7299999999996</v>
      </c>
      <c r="O3585">
        <v>1377.2</v>
      </c>
      <c r="P3585">
        <v>953.57</v>
      </c>
      <c r="Q3585">
        <v>625.22</v>
      </c>
      <c r="R3585">
        <v>1997.66</v>
      </c>
      <c r="S3585">
        <v>849.78</v>
      </c>
      <c r="T3585">
        <v>36953.800000000003</v>
      </c>
      <c r="U3585">
        <v>21136.880000000001</v>
      </c>
      <c r="V3585">
        <v>11208.72</v>
      </c>
      <c r="W3585">
        <v>10706.9</v>
      </c>
      <c r="X3585">
        <v>46905.38</v>
      </c>
      <c r="Y3585">
        <v>35410.29</v>
      </c>
    </row>
    <row r="3586" spans="1:25" x14ac:dyDescent="0.25">
      <c r="A3586" t="s">
        <v>3642</v>
      </c>
      <c r="B3586" s="1">
        <v>45914</v>
      </c>
      <c r="C3586">
        <v>2025</v>
      </c>
      <c r="D3586">
        <v>9</v>
      </c>
      <c r="E3586" t="s">
        <v>918</v>
      </c>
      <c r="F3586" t="s">
        <v>691</v>
      </c>
      <c r="G3586" t="s">
        <v>55</v>
      </c>
      <c r="H3586" t="s">
        <v>53</v>
      </c>
      <c r="I3586" t="s">
        <v>45</v>
      </c>
      <c r="J3586">
        <v>20</v>
      </c>
      <c r="K3586">
        <v>1745.24</v>
      </c>
      <c r="L3586">
        <v>34904.76</v>
      </c>
      <c r="M3586">
        <v>18146.810000000001</v>
      </c>
      <c r="N3586">
        <v>4220.33</v>
      </c>
      <c r="O3586">
        <v>1137.48</v>
      </c>
      <c r="P3586">
        <v>722.44</v>
      </c>
      <c r="Q3586">
        <v>427.74</v>
      </c>
      <c r="R3586">
        <v>1689.62</v>
      </c>
      <c r="S3586">
        <v>608.75</v>
      </c>
      <c r="T3586">
        <v>26953.18</v>
      </c>
      <c r="U3586">
        <v>16757.939999999999</v>
      </c>
      <c r="V3586">
        <v>7951.58</v>
      </c>
      <c r="W3586">
        <v>7248.06</v>
      </c>
      <c r="X3586">
        <v>36349.57</v>
      </c>
      <c r="Y3586">
        <v>27932.799999999999</v>
      </c>
    </row>
    <row r="3587" spans="1:25" x14ac:dyDescent="0.25">
      <c r="A3587" t="s">
        <v>3643</v>
      </c>
      <c r="B3587" s="1">
        <v>45914</v>
      </c>
      <c r="C3587">
        <v>2025</v>
      </c>
      <c r="D3587">
        <v>9</v>
      </c>
      <c r="E3587" t="s">
        <v>918</v>
      </c>
      <c r="F3587" t="s">
        <v>691</v>
      </c>
      <c r="G3587" t="s">
        <v>55</v>
      </c>
      <c r="H3587" t="s">
        <v>53</v>
      </c>
      <c r="I3587" t="s">
        <v>56</v>
      </c>
      <c r="J3587">
        <v>44</v>
      </c>
      <c r="K3587">
        <v>951.09</v>
      </c>
      <c r="L3587">
        <v>41848.11</v>
      </c>
      <c r="M3587">
        <v>20328.88</v>
      </c>
      <c r="N3587">
        <v>3253.73</v>
      </c>
      <c r="O3587">
        <v>1357.52</v>
      </c>
      <c r="P3587">
        <v>1158.68</v>
      </c>
      <c r="Q3587">
        <v>382.71</v>
      </c>
      <c r="R3587">
        <v>1263.2</v>
      </c>
      <c r="S3587">
        <v>699.41</v>
      </c>
      <c r="T3587">
        <v>28444.12</v>
      </c>
      <c r="U3587">
        <v>21519.24</v>
      </c>
      <c r="V3587">
        <v>13403.99</v>
      </c>
      <c r="W3587">
        <v>11939.82</v>
      </c>
      <c r="X3587">
        <v>43464.28</v>
      </c>
      <c r="Y3587">
        <v>30706.17</v>
      </c>
    </row>
    <row r="3588" spans="1:25" x14ac:dyDescent="0.25">
      <c r="A3588" t="s">
        <v>3644</v>
      </c>
      <c r="B3588" s="1">
        <v>45914</v>
      </c>
      <c r="C3588">
        <v>2025</v>
      </c>
      <c r="D3588">
        <v>9</v>
      </c>
      <c r="E3588" t="s">
        <v>918</v>
      </c>
      <c r="F3588" t="s">
        <v>691</v>
      </c>
      <c r="G3588" t="s">
        <v>28</v>
      </c>
      <c r="H3588" t="s">
        <v>36</v>
      </c>
      <c r="I3588" t="s">
        <v>33</v>
      </c>
      <c r="J3588">
        <v>43</v>
      </c>
      <c r="K3588">
        <v>1714.54</v>
      </c>
      <c r="L3588">
        <v>73725.37</v>
      </c>
      <c r="M3588">
        <v>44362.42</v>
      </c>
      <c r="N3588">
        <v>7721.14</v>
      </c>
      <c r="O3588">
        <v>2804.37</v>
      </c>
      <c r="P3588">
        <v>1813.58</v>
      </c>
      <c r="Q3588">
        <v>1307.6600000000001</v>
      </c>
      <c r="R3588">
        <v>3712.03</v>
      </c>
      <c r="S3588">
        <v>1819.47</v>
      </c>
      <c r="T3588">
        <v>63540.66</v>
      </c>
      <c r="U3588">
        <v>29362.95</v>
      </c>
      <c r="V3588">
        <v>10184.709999999999</v>
      </c>
      <c r="W3588">
        <v>10209.27</v>
      </c>
      <c r="X3588">
        <v>76694.47</v>
      </c>
      <c r="Y3588">
        <v>69284.17</v>
      </c>
    </row>
    <row r="3589" spans="1:25" x14ac:dyDescent="0.25">
      <c r="A3589" t="s">
        <v>3645</v>
      </c>
      <c r="B3589" s="1">
        <v>45915</v>
      </c>
      <c r="C3589">
        <v>2025</v>
      </c>
      <c r="D3589">
        <v>9</v>
      </c>
      <c r="E3589" t="s">
        <v>918</v>
      </c>
      <c r="F3589" t="s">
        <v>691</v>
      </c>
      <c r="G3589" t="s">
        <v>55</v>
      </c>
      <c r="H3589" t="s">
        <v>36</v>
      </c>
      <c r="I3589" t="s">
        <v>50</v>
      </c>
      <c r="J3589">
        <v>41</v>
      </c>
      <c r="K3589">
        <v>1505.86</v>
      </c>
      <c r="L3589">
        <v>61740.22</v>
      </c>
      <c r="M3589">
        <v>37552.410000000003</v>
      </c>
      <c r="N3589">
        <v>5174</v>
      </c>
      <c r="O3589">
        <v>4132.43</v>
      </c>
      <c r="P3589">
        <v>1288.6099999999999</v>
      </c>
      <c r="Q3589">
        <v>837.6</v>
      </c>
      <c r="R3589">
        <v>3888.14</v>
      </c>
      <c r="S3589">
        <v>509.7</v>
      </c>
      <c r="T3589">
        <v>53382.9</v>
      </c>
      <c r="U3589">
        <v>24187.81</v>
      </c>
      <c r="V3589">
        <v>8357.32</v>
      </c>
      <c r="W3589">
        <v>8240.85</v>
      </c>
      <c r="X3589">
        <v>68585.55</v>
      </c>
      <c r="Y3589">
        <v>57311.18</v>
      </c>
    </row>
    <row r="3590" spans="1:25" x14ac:dyDescent="0.25">
      <c r="A3590" t="s">
        <v>3646</v>
      </c>
      <c r="B3590" s="1">
        <v>45915</v>
      </c>
      <c r="C3590">
        <v>2025</v>
      </c>
      <c r="D3590">
        <v>9</v>
      </c>
      <c r="E3590" t="s">
        <v>918</v>
      </c>
      <c r="F3590" t="s">
        <v>691</v>
      </c>
      <c r="G3590" t="s">
        <v>28</v>
      </c>
      <c r="H3590" t="s">
        <v>36</v>
      </c>
      <c r="I3590" t="s">
        <v>30</v>
      </c>
      <c r="J3590">
        <v>54</v>
      </c>
      <c r="K3590">
        <v>1685.2</v>
      </c>
      <c r="L3590">
        <v>91000.76</v>
      </c>
      <c r="M3590">
        <v>49316.58</v>
      </c>
      <c r="N3590">
        <v>8464.9699999999993</v>
      </c>
      <c r="O3590">
        <v>2496.66</v>
      </c>
      <c r="P3590">
        <v>2803.74</v>
      </c>
      <c r="Q3590">
        <v>1179.3499999999999</v>
      </c>
      <c r="R3590">
        <v>2454.1</v>
      </c>
      <c r="S3590">
        <v>1393.46</v>
      </c>
      <c r="T3590">
        <v>68108.86</v>
      </c>
      <c r="U3590">
        <v>41684.18</v>
      </c>
      <c r="V3590">
        <v>22891.9</v>
      </c>
      <c r="W3590">
        <v>20990.080000000002</v>
      </c>
      <c r="X3590">
        <v>87750.89</v>
      </c>
      <c r="Y3590">
        <v>70870.33</v>
      </c>
    </row>
    <row r="3591" spans="1:25" x14ac:dyDescent="0.25">
      <c r="A3591" t="s">
        <v>3647</v>
      </c>
      <c r="B3591" s="1">
        <v>45915</v>
      </c>
      <c r="C3591">
        <v>2025</v>
      </c>
      <c r="D3591">
        <v>9</v>
      </c>
      <c r="E3591" t="s">
        <v>918</v>
      </c>
      <c r="F3591" t="s">
        <v>691</v>
      </c>
      <c r="G3591" t="s">
        <v>28</v>
      </c>
      <c r="H3591" t="s">
        <v>58</v>
      </c>
      <c r="I3591" t="s">
        <v>39</v>
      </c>
      <c r="J3591">
        <v>43</v>
      </c>
      <c r="K3591">
        <v>968.01</v>
      </c>
      <c r="L3591">
        <v>41624.620000000003</v>
      </c>
      <c r="M3591">
        <v>21213.85</v>
      </c>
      <c r="N3591">
        <v>3612.33</v>
      </c>
      <c r="O3591">
        <v>1221.33</v>
      </c>
      <c r="P3591">
        <v>1567.04</v>
      </c>
      <c r="Q3591">
        <v>603.07000000000005</v>
      </c>
      <c r="R3591">
        <v>2640.58</v>
      </c>
      <c r="S3591">
        <v>650.23</v>
      </c>
      <c r="T3591">
        <v>31508.43</v>
      </c>
      <c r="U3591">
        <v>20410.78</v>
      </c>
      <c r="V3591">
        <v>10116.19</v>
      </c>
      <c r="W3591">
        <v>9653.23</v>
      </c>
      <c r="X3591">
        <v>44713.61</v>
      </c>
      <c r="Y3591">
        <v>32744.66</v>
      </c>
    </row>
    <row r="3592" spans="1:25" x14ac:dyDescent="0.25">
      <c r="A3592" t="s">
        <v>3648</v>
      </c>
      <c r="B3592" s="1">
        <v>45916</v>
      </c>
      <c r="C3592">
        <v>2025</v>
      </c>
      <c r="D3592">
        <v>9</v>
      </c>
      <c r="E3592" t="s">
        <v>918</v>
      </c>
      <c r="F3592" t="s">
        <v>691</v>
      </c>
      <c r="G3592" t="s">
        <v>28</v>
      </c>
      <c r="H3592" t="s">
        <v>32</v>
      </c>
      <c r="I3592" t="s">
        <v>37</v>
      </c>
      <c r="J3592">
        <v>53</v>
      </c>
      <c r="K3592">
        <v>1630.61</v>
      </c>
      <c r="L3592">
        <v>86422.35</v>
      </c>
      <c r="M3592">
        <v>43688.39</v>
      </c>
      <c r="N3592">
        <v>7738.95</v>
      </c>
      <c r="O3592">
        <v>5347.29</v>
      </c>
      <c r="P3592">
        <v>1296.3800000000001</v>
      </c>
      <c r="Q3592">
        <v>1431.14</v>
      </c>
      <c r="R3592">
        <v>5239.79</v>
      </c>
      <c r="S3592">
        <v>1547.24</v>
      </c>
      <c r="T3592">
        <v>66289.17</v>
      </c>
      <c r="U3592">
        <v>42733.97</v>
      </c>
      <c r="V3592">
        <v>20133.18</v>
      </c>
      <c r="W3592">
        <v>20050.13</v>
      </c>
      <c r="X3592">
        <v>89412.76</v>
      </c>
      <c r="Y3592">
        <v>65431.02</v>
      </c>
    </row>
    <row r="3593" spans="1:25" x14ac:dyDescent="0.25">
      <c r="A3593" t="s">
        <v>3649</v>
      </c>
      <c r="B3593" s="1">
        <v>45916</v>
      </c>
      <c r="C3593">
        <v>2025</v>
      </c>
      <c r="D3593">
        <v>9</v>
      </c>
      <c r="E3593" t="s">
        <v>918</v>
      </c>
      <c r="F3593" t="s">
        <v>691</v>
      </c>
      <c r="G3593" t="s">
        <v>28</v>
      </c>
      <c r="H3593" t="s">
        <v>29</v>
      </c>
      <c r="I3593" t="s">
        <v>56</v>
      </c>
      <c r="J3593">
        <v>28</v>
      </c>
      <c r="K3593">
        <v>1315.45</v>
      </c>
      <c r="L3593">
        <v>36832.61</v>
      </c>
      <c r="M3593">
        <v>19947.02</v>
      </c>
      <c r="N3593">
        <v>4346.71</v>
      </c>
      <c r="O3593">
        <v>2440.12</v>
      </c>
      <c r="P3593">
        <v>1534.57</v>
      </c>
      <c r="Q3593">
        <v>205.58</v>
      </c>
      <c r="R3593">
        <v>1430.27</v>
      </c>
      <c r="S3593">
        <v>455.73</v>
      </c>
      <c r="T3593">
        <v>30359.99</v>
      </c>
      <c r="U3593">
        <v>16885.59</v>
      </c>
      <c r="V3593">
        <v>6472.62</v>
      </c>
      <c r="W3593">
        <v>6222.18</v>
      </c>
      <c r="X3593">
        <v>34639.54</v>
      </c>
      <c r="Y3593">
        <v>30713.1</v>
      </c>
    </row>
    <row r="3594" spans="1:25" x14ac:dyDescent="0.25">
      <c r="A3594" t="s">
        <v>3650</v>
      </c>
      <c r="B3594" s="1">
        <v>45916</v>
      </c>
      <c r="C3594">
        <v>2025</v>
      </c>
      <c r="D3594">
        <v>9</v>
      </c>
      <c r="E3594" t="s">
        <v>918</v>
      </c>
      <c r="F3594" t="s">
        <v>691</v>
      </c>
      <c r="G3594" t="s">
        <v>44</v>
      </c>
      <c r="H3594" t="s">
        <v>32</v>
      </c>
      <c r="I3594" t="s">
        <v>30</v>
      </c>
      <c r="J3594">
        <v>45</v>
      </c>
      <c r="K3594">
        <v>1654.05</v>
      </c>
      <c r="L3594">
        <v>74432.03</v>
      </c>
      <c r="M3594">
        <v>46307.66</v>
      </c>
      <c r="N3594">
        <v>6115.14</v>
      </c>
      <c r="O3594">
        <v>4852.0600000000004</v>
      </c>
      <c r="P3594">
        <v>2042.76</v>
      </c>
      <c r="Q3594">
        <v>887.58</v>
      </c>
      <c r="R3594">
        <v>4474.3900000000003</v>
      </c>
      <c r="S3594">
        <v>1017.26</v>
      </c>
      <c r="T3594">
        <v>65696.850000000006</v>
      </c>
      <c r="U3594">
        <v>28124.36</v>
      </c>
      <c r="V3594">
        <v>8735.17</v>
      </c>
      <c r="W3594">
        <v>8244.6299999999992</v>
      </c>
      <c r="X3594">
        <v>76796.59</v>
      </c>
      <c r="Y3594">
        <v>66294.429999999993</v>
      </c>
    </row>
    <row r="3595" spans="1:25" x14ac:dyDescent="0.25">
      <c r="A3595" t="s">
        <v>3651</v>
      </c>
      <c r="B3595" s="1">
        <v>45916</v>
      </c>
      <c r="C3595">
        <v>2025</v>
      </c>
      <c r="D3595">
        <v>9</v>
      </c>
      <c r="E3595" t="s">
        <v>918</v>
      </c>
      <c r="F3595" t="s">
        <v>691</v>
      </c>
      <c r="G3595" t="s">
        <v>28</v>
      </c>
      <c r="H3595" t="s">
        <v>32</v>
      </c>
      <c r="I3595" t="s">
        <v>39</v>
      </c>
      <c r="J3595">
        <v>39</v>
      </c>
      <c r="K3595">
        <v>1557.98</v>
      </c>
      <c r="L3595">
        <v>60761.2</v>
      </c>
      <c r="M3595">
        <v>40731.57</v>
      </c>
      <c r="N3595">
        <v>7410.35</v>
      </c>
      <c r="O3595">
        <v>4430.62</v>
      </c>
      <c r="P3595">
        <v>1890.79</v>
      </c>
      <c r="Q3595">
        <v>623.01</v>
      </c>
      <c r="R3595">
        <v>2211.98</v>
      </c>
      <c r="S3595">
        <v>1309.32</v>
      </c>
      <c r="T3595">
        <v>58607.64</v>
      </c>
      <c r="U3595">
        <v>20029.63</v>
      </c>
      <c r="V3595">
        <v>2153.56</v>
      </c>
      <c r="W3595">
        <v>1963.31</v>
      </c>
      <c r="X3595">
        <v>59049.7</v>
      </c>
      <c r="Y3595">
        <v>62818.74</v>
      </c>
    </row>
    <row r="3596" spans="1:25" x14ac:dyDescent="0.25">
      <c r="A3596" t="s">
        <v>3652</v>
      </c>
      <c r="B3596" s="1">
        <v>45916</v>
      </c>
      <c r="C3596">
        <v>2025</v>
      </c>
      <c r="D3596">
        <v>9</v>
      </c>
      <c r="E3596" t="s">
        <v>918</v>
      </c>
      <c r="F3596" t="s">
        <v>691</v>
      </c>
      <c r="G3596" t="s">
        <v>44</v>
      </c>
      <c r="H3596" t="s">
        <v>36</v>
      </c>
      <c r="I3596" t="s">
        <v>37</v>
      </c>
      <c r="J3596">
        <v>36</v>
      </c>
      <c r="K3596">
        <v>1610.57</v>
      </c>
      <c r="L3596">
        <v>57980.65</v>
      </c>
      <c r="M3596">
        <v>34870.26</v>
      </c>
      <c r="N3596">
        <v>7320.05</v>
      </c>
      <c r="O3596">
        <v>2982.76</v>
      </c>
      <c r="P3596">
        <v>2265.52</v>
      </c>
      <c r="Q3596">
        <v>473.56</v>
      </c>
      <c r="R3596">
        <v>1506.46</v>
      </c>
      <c r="S3596">
        <v>551.02</v>
      </c>
      <c r="T3596">
        <v>49969.62</v>
      </c>
      <c r="U3596">
        <v>23110.39</v>
      </c>
      <c r="V3596">
        <v>8011.03</v>
      </c>
      <c r="W3596">
        <v>7876.08</v>
      </c>
      <c r="X3596">
        <v>63222.47</v>
      </c>
      <c r="Y3596">
        <v>51514.74</v>
      </c>
    </row>
    <row r="3597" spans="1:25" x14ac:dyDescent="0.25">
      <c r="A3597" t="s">
        <v>3653</v>
      </c>
      <c r="B3597" s="1">
        <v>45916</v>
      </c>
      <c r="C3597">
        <v>2025</v>
      </c>
      <c r="D3597">
        <v>9</v>
      </c>
      <c r="E3597" t="s">
        <v>918</v>
      </c>
      <c r="F3597" t="s">
        <v>691</v>
      </c>
      <c r="G3597" t="s">
        <v>55</v>
      </c>
      <c r="H3597" t="s">
        <v>29</v>
      </c>
      <c r="I3597" t="s">
        <v>39</v>
      </c>
      <c r="J3597">
        <v>44</v>
      </c>
      <c r="K3597">
        <v>1023.79</v>
      </c>
      <c r="L3597">
        <v>45046.62</v>
      </c>
      <c r="M3597">
        <v>25031.97</v>
      </c>
      <c r="N3597">
        <v>4312.03</v>
      </c>
      <c r="O3597">
        <v>1721.92</v>
      </c>
      <c r="P3597">
        <v>1102.78</v>
      </c>
      <c r="Q3597">
        <v>760.5</v>
      </c>
      <c r="R3597">
        <v>1208.76</v>
      </c>
      <c r="S3597">
        <v>949.95</v>
      </c>
      <c r="T3597">
        <v>35087.9</v>
      </c>
      <c r="U3597">
        <v>20014.650000000001</v>
      </c>
      <c r="V3597">
        <v>9958.7199999999993</v>
      </c>
      <c r="W3597">
        <v>9213.98</v>
      </c>
      <c r="X3597">
        <v>49861.4</v>
      </c>
      <c r="Y3597">
        <v>34201.040000000001</v>
      </c>
    </row>
    <row r="3598" spans="1:25" x14ac:dyDescent="0.25">
      <c r="A3598" t="s">
        <v>3654</v>
      </c>
      <c r="B3598" s="1">
        <v>45916</v>
      </c>
      <c r="C3598">
        <v>2025</v>
      </c>
      <c r="D3598">
        <v>9</v>
      </c>
      <c r="E3598" t="s">
        <v>918</v>
      </c>
      <c r="F3598" t="s">
        <v>691</v>
      </c>
      <c r="G3598" t="s">
        <v>35</v>
      </c>
      <c r="H3598" t="s">
        <v>32</v>
      </c>
      <c r="I3598" t="s">
        <v>50</v>
      </c>
      <c r="J3598">
        <v>33</v>
      </c>
      <c r="K3598">
        <v>1609.35</v>
      </c>
      <c r="L3598">
        <v>53108.65</v>
      </c>
      <c r="M3598">
        <v>31320.02</v>
      </c>
      <c r="N3598">
        <v>6351.67</v>
      </c>
      <c r="O3598">
        <v>2706.15</v>
      </c>
      <c r="P3598">
        <v>1012.11</v>
      </c>
      <c r="Q3598">
        <v>432.14</v>
      </c>
      <c r="R3598">
        <v>2193.3200000000002</v>
      </c>
      <c r="S3598">
        <v>1210.21</v>
      </c>
      <c r="T3598">
        <v>45225.61</v>
      </c>
      <c r="U3598">
        <v>21788.63</v>
      </c>
      <c r="V3598">
        <v>7883.04</v>
      </c>
      <c r="W3598">
        <v>8006.71</v>
      </c>
      <c r="X3598">
        <v>53253.1</v>
      </c>
      <c r="Y3598">
        <v>44179.19</v>
      </c>
    </row>
    <row r="3599" spans="1:25" x14ac:dyDescent="0.25">
      <c r="A3599" t="s">
        <v>3655</v>
      </c>
      <c r="B3599" s="1">
        <v>45917</v>
      </c>
      <c r="C3599">
        <v>2025</v>
      </c>
      <c r="D3599">
        <v>9</v>
      </c>
      <c r="E3599" t="s">
        <v>918</v>
      </c>
      <c r="F3599" t="s">
        <v>691</v>
      </c>
      <c r="G3599" t="s">
        <v>28</v>
      </c>
      <c r="H3599" t="s">
        <v>32</v>
      </c>
      <c r="I3599" t="s">
        <v>45</v>
      </c>
      <c r="J3599">
        <v>35</v>
      </c>
      <c r="K3599">
        <v>1785.38</v>
      </c>
      <c r="L3599">
        <v>62488.29</v>
      </c>
      <c r="M3599">
        <v>35168.300000000003</v>
      </c>
      <c r="N3599">
        <v>6141.28</v>
      </c>
      <c r="O3599">
        <v>2389.0100000000002</v>
      </c>
      <c r="P3599">
        <v>2490.06</v>
      </c>
      <c r="Q3599">
        <v>1032.29</v>
      </c>
      <c r="R3599">
        <v>3129.8</v>
      </c>
      <c r="S3599">
        <v>1397.36</v>
      </c>
      <c r="T3599">
        <v>51748.1</v>
      </c>
      <c r="U3599">
        <v>27320</v>
      </c>
      <c r="V3599">
        <v>10740.2</v>
      </c>
      <c r="W3599">
        <v>10781.77</v>
      </c>
      <c r="X3599">
        <v>63525.58</v>
      </c>
      <c r="Y3599">
        <v>48451.94</v>
      </c>
    </row>
    <row r="3600" spans="1:25" x14ac:dyDescent="0.25">
      <c r="A3600" t="s">
        <v>3656</v>
      </c>
      <c r="B3600" s="1">
        <v>45917</v>
      </c>
      <c r="C3600">
        <v>2025</v>
      </c>
      <c r="D3600">
        <v>9</v>
      </c>
      <c r="E3600" t="s">
        <v>918</v>
      </c>
      <c r="F3600" t="s">
        <v>691</v>
      </c>
      <c r="G3600" t="s">
        <v>28</v>
      </c>
      <c r="H3600" t="s">
        <v>53</v>
      </c>
      <c r="I3600" t="s">
        <v>45</v>
      </c>
      <c r="J3600">
        <v>31</v>
      </c>
      <c r="K3600">
        <v>1341.16</v>
      </c>
      <c r="L3600">
        <v>41576.089999999997</v>
      </c>
      <c r="M3600">
        <v>26931.88</v>
      </c>
      <c r="N3600">
        <v>5010.92</v>
      </c>
      <c r="O3600">
        <v>2311.84</v>
      </c>
      <c r="P3600">
        <v>667.23</v>
      </c>
      <c r="Q3600">
        <v>248.97</v>
      </c>
      <c r="R3600">
        <v>1777.11</v>
      </c>
      <c r="S3600">
        <v>661.12</v>
      </c>
      <c r="T3600">
        <v>37609.07</v>
      </c>
      <c r="U3600">
        <v>14644.21</v>
      </c>
      <c r="V3600">
        <v>3967.01</v>
      </c>
      <c r="W3600">
        <v>3542.6</v>
      </c>
      <c r="X3600">
        <v>40197.65</v>
      </c>
      <c r="Y3600">
        <v>40483.040000000001</v>
      </c>
    </row>
    <row r="3601" spans="1:25" x14ac:dyDescent="0.25">
      <c r="A3601" t="s">
        <v>3657</v>
      </c>
      <c r="B3601" s="1">
        <v>45917</v>
      </c>
      <c r="C3601">
        <v>2025</v>
      </c>
      <c r="D3601">
        <v>9</v>
      </c>
      <c r="E3601" t="s">
        <v>918</v>
      </c>
      <c r="F3601" t="s">
        <v>691</v>
      </c>
      <c r="G3601" t="s">
        <v>28</v>
      </c>
      <c r="H3601" t="s">
        <v>32</v>
      </c>
      <c r="I3601" t="s">
        <v>65</v>
      </c>
      <c r="J3601">
        <v>53</v>
      </c>
      <c r="K3601">
        <v>1448.15</v>
      </c>
      <c r="L3601">
        <v>76752.06</v>
      </c>
      <c r="M3601">
        <v>51207.12</v>
      </c>
      <c r="N3601">
        <v>7518.98</v>
      </c>
      <c r="O3601">
        <v>4225.59</v>
      </c>
      <c r="P3601">
        <v>1925.11</v>
      </c>
      <c r="Q3601">
        <v>1346.4</v>
      </c>
      <c r="R3601">
        <v>4403.07</v>
      </c>
      <c r="S3601">
        <v>1733.68</v>
      </c>
      <c r="T3601">
        <v>72359.95</v>
      </c>
      <c r="U3601">
        <v>25544.95</v>
      </c>
      <c r="V3601">
        <v>4392.1099999999997</v>
      </c>
      <c r="W3601">
        <v>4335.92</v>
      </c>
      <c r="X3601">
        <v>72716.929999999993</v>
      </c>
      <c r="Y3601">
        <v>77502.16</v>
      </c>
    </row>
    <row r="3602" spans="1:25" x14ac:dyDescent="0.25">
      <c r="A3602" t="s">
        <v>3658</v>
      </c>
      <c r="B3602" s="1">
        <v>45918</v>
      </c>
      <c r="C3602">
        <v>2025</v>
      </c>
      <c r="D3602">
        <v>9</v>
      </c>
      <c r="E3602" t="s">
        <v>918</v>
      </c>
      <c r="F3602" t="s">
        <v>691</v>
      </c>
      <c r="G3602" t="s">
        <v>35</v>
      </c>
      <c r="H3602" t="s">
        <v>36</v>
      </c>
      <c r="I3602" t="s">
        <v>37</v>
      </c>
      <c r="J3602">
        <v>42</v>
      </c>
      <c r="K3602">
        <v>1781.75</v>
      </c>
      <c r="L3602">
        <v>74833.33</v>
      </c>
      <c r="M3602">
        <v>39900.839999999997</v>
      </c>
      <c r="N3602">
        <v>6109.24</v>
      </c>
      <c r="O3602">
        <v>2002.52</v>
      </c>
      <c r="P3602">
        <v>1743.77</v>
      </c>
      <c r="Q3602">
        <v>421.2</v>
      </c>
      <c r="R3602">
        <v>2334.58</v>
      </c>
      <c r="S3602">
        <v>615.66999999999996</v>
      </c>
      <c r="T3602">
        <v>53127.83</v>
      </c>
      <c r="U3602">
        <v>34932.49</v>
      </c>
      <c r="V3602">
        <v>21705.51</v>
      </c>
      <c r="W3602">
        <v>21424.23</v>
      </c>
      <c r="X3602">
        <v>76506.59</v>
      </c>
      <c r="Y3602">
        <v>50390.09</v>
      </c>
    </row>
    <row r="3603" spans="1:25" x14ac:dyDescent="0.25">
      <c r="A3603" t="s">
        <v>3659</v>
      </c>
      <c r="B3603" s="1">
        <v>45918</v>
      </c>
      <c r="C3603">
        <v>2025</v>
      </c>
      <c r="D3603">
        <v>9</v>
      </c>
      <c r="E3603" t="s">
        <v>918</v>
      </c>
      <c r="F3603" t="s">
        <v>691</v>
      </c>
      <c r="G3603" t="s">
        <v>35</v>
      </c>
      <c r="H3603" t="s">
        <v>58</v>
      </c>
      <c r="I3603" t="s">
        <v>45</v>
      </c>
      <c r="J3603">
        <v>38</v>
      </c>
      <c r="K3603">
        <v>1089.73</v>
      </c>
      <c r="L3603">
        <v>41409.74</v>
      </c>
      <c r="M3603">
        <v>20338.150000000001</v>
      </c>
      <c r="N3603">
        <v>5038.99</v>
      </c>
      <c r="O3603">
        <v>1514.7</v>
      </c>
      <c r="P3603">
        <v>1542.87</v>
      </c>
      <c r="Q3603">
        <v>360.34</v>
      </c>
      <c r="R3603">
        <v>2602.9499999999998</v>
      </c>
      <c r="S3603">
        <v>995.82</v>
      </c>
      <c r="T3603">
        <v>32393.82</v>
      </c>
      <c r="U3603">
        <v>21071.59</v>
      </c>
      <c r="V3603">
        <v>9015.92</v>
      </c>
      <c r="W3603">
        <v>8603.49</v>
      </c>
      <c r="X3603">
        <v>45542.52</v>
      </c>
      <c r="Y3603">
        <v>30817.13</v>
      </c>
    </row>
    <row r="3604" spans="1:25" x14ac:dyDescent="0.25">
      <c r="A3604" t="s">
        <v>3660</v>
      </c>
      <c r="B3604" s="1">
        <v>45918</v>
      </c>
      <c r="C3604">
        <v>2025</v>
      </c>
      <c r="D3604">
        <v>9</v>
      </c>
      <c r="E3604" t="s">
        <v>918</v>
      </c>
      <c r="F3604" t="s">
        <v>691</v>
      </c>
      <c r="G3604" t="s">
        <v>55</v>
      </c>
      <c r="H3604" t="s">
        <v>32</v>
      </c>
      <c r="I3604" t="s">
        <v>39</v>
      </c>
      <c r="J3604">
        <v>36</v>
      </c>
      <c r="K3604">
        <v>1625.04</v>
      </c>
      <c r="L3604">
        <v>58501.52</v>
      </c>
      <c r="M3604">
        <v>36901.24</v>
      </c>
      <c r="N3604">
        <v>5086.55</v>
      </c>
      <c r="O3604">
        <v>2593.63</v>
      </c>
      <c r="P3604">
        <v>1609.63</v>
      </c>
      <c r="Q3604">
        <v>1040.77</v>
      </c>
      <c r="R3604">
        <v>3304.22</v>
      </c>
      <c r="S3604">
        <v>1087.57</v>
      </c>
      <c r="T3604">
        <v>51623.62</v>
      </c>
      <c r="U3604">
        <v>21600.28</v>
      </c>
      <c r="V3604">
        <v>6877.9</v>
      </c>
      <c r="W3604">
        <v>6521.97</v>
      </c>
      <c r="X3604">
        <v>63032.05</v>
      </c>
      <c r="Y3604">
        <v>48408.38</v>
      </c>
    </row>
    <row r="3605" spans="1:25" x14ac:dyDescent="0.25">
      <c r="A3605" t="s">
        <v>3661</v>
      </c>
      <c r="B3605" s="1">
        <v>45919</v>
      </c>
      <c r="C3605">
        <v>2025</v>
      </c>
      <c r="D3605">
        <v>9</v>
      </c>
      <c r="E3605" t="s">
        <v>918</v>
      </c>
      <c r="F3605" t="s">
        <v>691</v>
      </c>
      <c r="G3605" t="s">
        <v>44</v>
      </c>
      <c r="H3605" t="s">
        <v>32</v>
      </c>
      <c r="I3605" t="s">
        <v>56</v>
      </c>
      <c r="J3605">
        <v>28</v>
      </c>
      <c r="K3605">
        <v>1610.23</v>
      </c>
      <c r="L3605">
        <v>45086.36</v>
      </c>
      <c r="M3605">
        <v>22890.02</v>
      </c>
      <c r="N3605">
        <v>5043.66</v>
      </c>
      <c r="O3605">
        <v>2465.11</v>
      </c>
      <c r="P3605">
        <v>906.04</v>
      </c>
      <c r="Q3605">
        <v>723.13</v>
      </c>
      <c r="R3605">
        <v>2786.19</v>
      </c>
      <c r="S3605">
        <v>767.61</v>
      </c>
      <c r="T3605">
        <v>35581.760000000002</v>
      </c>
      <c r="U3605">
        <v>22196.33</v>
      </c>
      <c r="V3605">
        <v>9504.6</v>
      </c>
      <c r="W3605">
        <v>9661.1</v>
      </c>
      <c r="X3605">
        <v>43431.16</v>
      </c>
      <c r="Y3605">
        <v>36935.199999999997</v>
      </c>
    </row>
    <row r="3606" spans="1:25" x14ac:dyDescent="0.25">
      <c r="A3606" t="s">
        <v>3662</v>
      </c>
      <c r="B3606" s="1">
        <v>45919</v>
      </c>
      <c r="C3606">
        <v>2025</v>
      </c>
      <c r="D3606">
        <v>9</v>
      </c>
      <c r="E3606" t="s">
        <v>918</v>
      </c>
      <c r="F3606" t="s">
        <v>691</v>
      </c>
      <c r="G3606" t="s">
        <v>28</v>
      </c>
      <c r="H3606" t="s">
        <v>29</v>
      </c>
      <c r="I3606" t="s">
        <v>39</v>
      </c>
      <c r="J3606">
        <v>29</v>
      </c>
      <c r="K3606">
        <v>1784.05</v>
      </c>
      <c r="L3606">
        <v>51737.36</v>
      </c>
      <c r="M3606">
        <v>27674.98</v>
      </c>
      <c r="N3606">
        <v>6136.94</v>
      </c>
      <c r="O3606">
        <v>2473.44</v>
      </c>
      <c r="P3606">
        <v>855.87</v>
      </c>
      <c r="Q3606">
        <v>270.41000000000003</v>
      </c>
      <c r="R3606">
        <v>2551.06</v>
      </c>
      <c r="S3606">
        <v>1085.72</v>
      </c>
      <c r="T3606">
        <v>41048.42</v>
      </c>
      <c r="U3606">
        <v>24062.38</v>
      </c>
      <c r="V3606">
        <v>10688.94</v>
      </c>
      <c r="W3606">
        <v>10551.51</v>
      </c>
      <c r="X3606">
        <v>51410.39</v>
      </c>
      <c r="Y3606">
        <v>44560.67</v>
      </c>
    </row>
    <row r="3607" spans="1:25" x14ac:dyDescent="0.25">
      <c r="A3607" t="s">
        <v>3663</v>
      </c>
      <c r="B3607" s="1">
        <v>45919</v>
      </c>
      <c r="C3607">
        <v>2025</v>
      </c>
      <c r="D3607">
        <v>9</v>
      </c>
      <c r="E3607" t="s">
        <v>918</v>
      </c>
      <c r="F3607" t="s">
        <v>691</v>
      </c>
      <c r="G3607" t="s">
        <v>55</v>
      </c>
      <c r="H3607" t="s">
        <v>29</v>
      </c>
      <c r="I3607" t="s">
        <v>30</v>
      </c>
      <c r="J3607">
        <v>150</v>
      </c>
      <c r="K3607">
        <v>809.62</v>
      </c>
      <c r="L3607">
        <v>121442.96</v>
      </c>
      <c r="M3607">
        <v>74296.289999999994</v>
      </c>
      <c r="N3607">
        <v>14399.57</v>
      </c>
      <c r="O3607">
        <v>8422.66</v>
      </c>
      <c r="P3607">
        <v>2429.64</v>
      </c>
      <c r="Q3607">
        <v>1179.49</v>
      </c>
      <c r="R3607">
        <v>6389.6</v>
      </c>
      <c r="S3607">
        <v>1629.08</v>
      </c>
      <c r="T3607">
        <v>108746.33</v>
      </c>
      <c r="U3607">
        <v>47146.67</v>
      </c>
      <c r="V3607">
        <v>12696.63</v>
      </c>
      <c r="W3607">
        <v>11717.91</v>
      </c>
      <c r="X3607">
        <v>134209.21</v>
      </c>
      <c r="Y3607">
        <v>108398.59</v>
      </c>
    </row>
    <row r="3608" spans="1:25" x14ac:dyDescent="0.25">
      <c r="A3608" t="s">
        <v>3664</v>
      </c>
      <c r="B3608" s="1">
        <v>45919</v>
      </c>
      <c r="C3608">
        <v>2025</v>
      </c>
      <c r="D3608">
        <v>9</v>
      </c>
      <c r="E3608" t="s">
        <v>918</v>
      </c>
      <c r="F3608" t="s">
        <v>691</v>
      </c>
      <c r="G3608" t="s">
        <v>55</v>
      </c>
      <c r="H3608" t="s">
        <v>36</v>
      </c>
      <c r="I3608" t="s">
        <v>30</v>
      </c>
      <c r="J3608">
        <v>82</v>
      </c>
      <c r="K3608">
        <v>1452.49</v>
      </c>
      <c r="L3608">
        <v>119103.96</v>
      </c>
      <c r="M3608">
        <v>64603.73</v>
      </c>
      <c r="N3608">
        <v>11877.88</v>
      </c>
      <c r="O3608">
        <v>4038.54</v>
      </c>
      <c r="P3608">
        <v>2364.79</v>
      </c>
      <c r="Q3608">
        <v>1562.6</v>
      </c>
      <c r="R3608">
        <v>3483.31</v>
      </c>
      <c r="S3608">
        <v>2552.5300000000002</v>
      </c>
      <c r="T3608">
        <v>90483.37</v>
      </c>
      <c r="U3608">
        <v>54500.23</v>
      </c>
      <c r="V3608">
        <v>28620.6</v>
      </c>
      <c r="W3608">
        <v>28522.76</v>
      </c>
      <c r="X3608">
        <v>113250.54</v>
      </c>
      <c r="Y3608">
        <v>92266.62</v>
      </c>
    </row>
    <row r="3609" spans="1:25" x14ac:dyDescent="0.25">
      <c r="A3609" t="s">
        <v>3665</v>
      </c>
      <c r="B3609" s="1">
        <v>45919</v>
      </c>
      <c r="C3609">
        <v>2025</v>
      </c>
      <c r="D3609">
        <v>9</v>
      </c>
      <c r="E3609" t="s">
        <v>918</v>
      </c>
      <c r="F3609" t="s">
        <v>691</v>
      </c>
      <c r="G3609" t="s">
        <v>35</v>
      </c>
      <c r="H3609" t="s">
        <v>58</v>
      </c>
      <c r="I3609" t="s">
        <v>39</v>
      </c>
      <c r="J3609">
        <v>25</v>
      </c>
      <c r="K3609">
        <v>1385.48</v>
      </c>
      <c r="L3609">
        <v>34636.910000000003</v>
      </c>
      <c r="M3609">
        <v>22889.599999999999</v>
      </c>
      <c r="N3609">
        <v>2903.35</v>
      </c>
      <c r="O3609">
        <v>2501.56</v>
      </c>
      <c r="P3609">
        <v>1436.26</v>
      </c>
      <c r="Q3609">
        <v>213.77</v>
      </c>
      <c r="R3609">
        <v>1304.18</v>
      </c>
      <c r="S3609">
        <v>370.93</v>
      </c>
      <c r="T3609">
        <v>31619.66</v>
      </c>
      <c r="U3609">
        <v>11747.32</v>
      </c>
      <c r="V3609">
        <v>3017.25</v>
      </c>
      <c r="W3609">
        <v>2900.91</v>
      </c>
      <c r="X3609">
        <v>36372.03</v>
      </c>
      <c r="Y3609">
        <v>33711.43</v>
      </c>
    </row>
    <row r="3610" spans="1:25" x14ac:dyDescent="0.25">
      <c r="A3610" t="s">
        <v>3666</v>
      </c>
      <c r="B3610" s="1">
        <v>45919</v>
      </c>
      <c r="C3610">
        <v>2025</v>
      </c>
      <c r="D3610">
        <v>9</v>
      </c>
      <c r="E3610" t="s">
        <v>918</v>
      </c>
      <c r="F3610" t="s">
        <v>691</v>
      </c>
      <c r="G3610" t="s">
        <v>35</v>
      </c>
      <c r="H3610" t="s">
        <v>36</v>
      </c>
      <c r="I3610" t="s">
        <v>56</v>
      </c>
      <c r="J3610">
        <v>14</v>
      </c>
      <c r="K3610">
        <v>1727.32</v>
      </c>
      <c r="L3610">
        <v>24182.5</v>
      </c>
      <c r="M3610">
        <v>16353.08</v>
      </c>
      <c r="N3610">
        <v>3105.52</v>
      </c>
      <c r="O3610">
        <v>796.25</v>
      </c>
      <c r="P3610">
        <v>581.1</v>
      </c>
      <c r="Q3610">
        <v>327.52999999999997</v>
      </c>
      <c r="R3610">
        <v>838.41</v>
      </c>
      <c r="S3610">
        <v>485.21</v>
      </c>
      <c r="T3610">
        <v>22487.1</v>
      </c>
      <c r="U3610">
        <v>7829.42</v>
      </c>
      <c r="V3610">
        <v>1695.4</v>
      </c>
      <c r="W3610">
        <v>1600.91</v>
      </c>
      <c r="X3610">
        <v>24970.560000000001</v>
      </c>
      <c r="Y3610">
        <v>21022.95</v>
      </c>
    </row>
    <row r="3611" spans="1:25" x14ac:dyDescent="0.25">
      <c r="A3611" t="s">
        <v>3667</v>
      </c>
      <c r="B3611" s="1">
        <v>45920</v>
      </c>
      <c r="C3611">
        <v>2025</v>
      </c>
      <c r="D3611">
        <v>9</v>
      </c>
      <c r="E3611" t="s">
        <v>918</v>
      </c>
      <c r="F3611" t="s">
        <v>691</v>
      </c>
      <c r="G3611" t="s">
        <v>55</v>
      </c>
      <c r="H3611" t="s">
        <v>36</v>
      </c>
      <c r="I3611" t="s">
        <v>37</v>
      </c>
      <c r="J3611">
        <v>50</v>
      </c>
      <c r="K3611">
        <v>1662.84</v>
      </c>
      <c r="L3611">
        <v>83141.89</v>
      </c>
      <c r="M3611">
        <v>44611.8</v>
      </c>
      <c r="N3611">
        <v>6445.35</v>
      </c>
      <c r="O3611">
        <v>4611.51</v>
      </c>
      <c r="P3611">
        <v>2271.46</v>
      </c>
      <c r="Q3611">
        <v>975.86</v>
      </c>
      <c r="R3611">
        <v>4025.75</v>
      </c>
      <c r="S3611">
        <v>1657.12</v>
      </c>
      <c r="T3611">
        <v>64598.86</v>
      </c>
      <c r="U3611">
        <v>38530.089999999997</v>
      </c>
      <c r="V3611">
        <v>18543.03</v>
      </c>
      <c r="W3611">
        <v>18462.57</v>
      </c>
      <c r="X3611">
        <v>82684.91</v>
      </c>
      <c r="Y3611">
        <v>61880.56</v>
      </c>
    </row>
    <row r="3612" spans="1:25" x14ac:dyDescent="0.25">
      <c r="A3612" t="s">
        <v>3668</v>
      </c>
      <c r="B3612" s="1">
        <v>45920</v>
      </c>
      <c r="C3612">
        <v>2025</v>
      </c>
      <c r="D3612">
        <v>9</v>
      </c>
      <c r="E3612" t="s">
        <v>918</v>
      </c>
      <c r="F3612" t="s">
        <v>691</v>
      </c>
      <c r="G3612" t="s">
        <v>44</v>
      </c>
      <c r="H3612" t="s">
        <v>29</v>
      </c>
      <c r="I3612" t="s">
        <v>37</v>
      </c>
      <c r="J3612">
        <v>40</v>
      </c>
      <c r="K3612">
        <v>1758.27</v>
      </c>
      <c r="L3612">
        <v>70330.64</v>
      </c>
      <c r="M3612">
        <v>38226.06</v>
      </c>
      <c r="N3612">
        <v>6481.67</v>
      </c>
      <c r="O3612">
        <v>2902.55</v>
      </c>
      <c r="P3612">
        <v>1335.27</v>
      </c>
      <c r="Q3612">
        <v>1106.8499999999999</v>
      </c>
      <c r="R3612">
        <v>4151.29</v>
      </c>
      <c r="S3612">
        <v>1645.15</v>
      </c>
      <c r="T3612">
        <v>55848.85</v>
      </c>
      <c r="U3612">
        <v>32104.58</v>
      </c>
      <c r="V3612">
        <v>14481.79</v>
      </c>
      <c r="W3612">
        <v>14627.37</v>
      </c>
      <c r="X3612">
        <v>68250.19</v>
      </c>
      <c r="Y3612">
        <v>51964.11</v>
      </c>
    </row>
    <row r="3613" spans="1:25" x14ac:dyDescent="0.25">
      <c r="A3613" t="s">
        <v>3669</v>
      </c>
      <c r="B3613" s="1">
        <v>45920</v>
      </c>
      <c r="C3613">
        <v>2025</v>
      </c>
      <c r="D3613">
        <v>9</v>
      </c>
      <c r="E3613" t="s">
        <v>918</v>
      </c>
      <c r="F3613" t="s">
        <v>691</v>
      </c>
      <c r="G3613" t="s">
        <v>35</v>
      </c>
      <c r="H3613" t="s">
        <v>58</v>
      </c>
      <c r="I3613" t="s">
        <v>65</v>
      </c>
      <c r="J3613">
        <v>31</v>
      </c>
      <c r="K3613">
        <v>1776.4</v>
      </c>
      <c r="L3613">
        <v>55068.27</v>
      </c>
      <c r="M3613">
        <v>35289.300000000003</v>
      </c>
      <c r="N3613">
        <v>6007.26</v>
      </c>
      <c r="O3613">
        <v>2295.2800000000002</v>
      </c>
      <c r="P3613">
        <v>2068.7199999999998</v>
      </c>
      <c r="Q3613">
        <v>846.72</v>
      </c>
      <c r="R3613">
        <v>3083.99</v>
      </c>
      <c r="S3613">
        <v>934.66</v>
      </c>
      <c r="T3613">
        <v>50525.93</v>
      </c>
      <c r="U3613">
        <v>19778.97</v>
      </c>
      <c r="V3613">
        <v>4542.33</v>
      </c>
      <c r="W3613">
        <v>4080.46</v>
      </c>
      <c r="X3613">
        <v>58180.94</v>
      </c>
      <c r="Y3613">
        <v>49581.760000000002</v>
      </c>
    </row>
    <row r="3614" spans="1:25" x14ac:dyDescent="0.25">
      <c r="A3614" t="s">
        <v>3670</v>
      </c>
      <c r="B3614" s="1">
        <v>45920</v>
      </c>
      <c r="C3614">
        <v>2025</v>
      </c>
      <c r="D3614">
        <v>9</v>
      </c>
      <c r="E3614" t="s">
        <v>918</v>
      </c>
      <c r="F3614" t="s">
        <v>691</v>
      </c>
      <c r="G3614" t="s">
        <v>35</v>
      </c>
      <c r="H3614" t="s">
        <v>36</v>
      </c>
      <c r="I3614" t="s">
        <v>56</v>
      </c>
      <c r="J3614">
        <v>25</v>
      </c>
      <c r="K3614">
        <v>1064.06</v>
      </c>
      <c r="L3614">
        <v>26601.55</v>
      </c>
      <c r="M3614">
        <v>16444.099999999999</v>
      </c>
      <c r="N3614">
        <v>2691.53</v>
      </c>
      <c r="O3614">
        <v>764.62</v>
      </c>
      <c r="P3614">
        <v>1165.07</v>
      </c>
      <c r="Q3614">
        <v>243.57</v>
      </c>
      <c r="R3614">
        <v>903.66</v>
      </c>
      <c r="S3614">
        <v>653.21</v>
      </c>
      <c r="T3614">
        <v>22865.75</v>
      </c>
      <c r="U3614">
        <v>10157.450000000001</v>
      </c>
      <c r="V3614">
        <v>3735.8</v>
      </c>
      <c r="W3614">
        <v>3419.97</v>
      </c>
      <c r="X3614">
        <v>25666.41</v>
      </c>
      <c r="Y3614">
        <v>22663.7</v>
      </c>
    </row>
    <row r="3615" spans="1:25" x14ac:dyDescent="0.25">
      <c r="A3615" t="s">
        <v>3671</v>
      </c>
      <c r="B3615" s="1">
        <v>45920</v>
      </c>
      <c r="C3615">
        <v>2025</v>
      </c>
      <c r="D3615">
        <v>9</v>
      </c>
      <c r="E3615" t="s">
        <v>918</v>
      </c>
      <c r="F3615" t="s">
        <v>691</v>
      </c>
      <c r="G3615" t="s">
        <v>35</v>
      </c>
      <c r="H3615" t="s">
        <v>32</v>
      </c>
      <c r="I3615" t="s">
        <v>65</v>
      </c>
      <c r="J3615">
        <v>37</v>
      </c>
      <c r="K3615">
        <v>1308.6099999999999</v>
      </c>
      <c r="L3615">
        <v>48418.44</v>
      </c>
      <c r="M3615">
        <v>29693.49</v>
      </c>
      <c r="N3615">
        <v>4167.45</v>
      </c>
      <c r="O3615">
        <v>3190.45</v>
      </c>
      <c r="P3615">
        <v>2087.3200000000002</v>
      </c>
      <c r="Q3615">
        <v>370.48</v>
      </c>
      <c r="R3615">
        <v>2890.61</v>
      </c>
      <c r="S3615">
        <v>918.62</v>
      </c>
      <c r="T3615">
        <v>43318.41</v>
      </c>
      <c r="U3615">
        <v>18724.95</v>
      </c>
      <c r="V3615">
        <v>5100.03</v>
      </c>
      <c r="W3615">
        <v>5069.42</v>
      </c>
      <c r="X3615">
        <v>47290.15</v>
      </c>
      <c r="Y3615">
        <v>46890.46</v>
      </c>
    </row>
    <row r="3616" spans="1:25" x14ac:dyDescent="0.25">
      <c r="A3616" t="s">
        <v>3672</v>
      </c>
      <c r="B3616" s="1">
        <v>45921</v>
      </c>
      <c r="C3616">
        <v>2025</v>
      </c>
      <c r="D3616">
        <v>9</v>
      </c>
      <c r="E3616" t="s">
        <v>918</v>
      </c>
      <c r="F3616" t="s">
        <v>691</v>
      </c>
      <c r="G3616" t="s">
        <v>55</v>
      </c>
      <c r="H3616" t="s">
        <v>29</v>
      </c>
      <c r="I3616" t="s">
        <v>33</v>
      </c>
      <c r="J3616">
        <v>65</v>
      </c>
      <c r="K3616">
        <v>1490</v>
      </c>
      <c r="L3616">
        <v>96850.08</v>
      </c>
      <c r="M3616">
        <v>48437.87</v>
      </c>
      <c r="N3616">
        <v>12001.79</v>
      </c>
      <c r="O3616">
        <v>6177.45</v>
      </c>
      <c r="P3616">
        <v>3135.08</v>
      </c>
      <c r="Q3616">
        <v>621.41</v>
      </c>
      <c r="R3616">
        <v>3917.76</v>
      </c>
      <c r="S3616">
        <v>1410.56</v>
      </c>
      <c r="T3616">
        <v>75701.919999999998</v>
      </c>
      <c r="U3616">
        <v>48412.21</v>
      </c>
      <c r="V3616">
        <v>21148.16</v>
      </c>
      <c r="W3616">
        <v>18798.23</v>
      </c>
      <c r="X3616">
        <v>107315.52</v>
      </c>
      <c r="Y3616">
        <v>81010.17</v>
      </c>
    </row>
    <row r="3617" spans="1:25" x14ac:dyDescent="0.25">
      <c r="A3617" t="s">
        <v>3673</v>
      </c>
      <c r="B3617" s="1">
        <v>45921</v>
      </c>
      <c r="C3617">
        <v>2025</v>
      </c>
      <c r="D3617">
        <v>9</v>
      </c>
      <c r="E3617" t="s">
        <v>918</v>
      </c>
      <c r="F3617" t="s">
        <v>691</v>
      </c>
      <c r="G3617" t="s">
        <v>35</v>
      </c>
      <c r="H3617" t="s">
        <v>32</v>
      </c>
      <c r="I3617" t="s">
        <v>37</v>
      </c>
      <c r="J3617">
        <v>51</v>
      </c>
      <c r="K3617">
        <v>1246.55</v>
      </c>
      <c r="L3617">
        <v>63574.239999999998</v>
      </c>
      <c r="M3617">
        <v>35257.65</v>
      </c>
      <c r="N3617">
        <v>6202.82</v>
      </c>
      <c r="O3617">
        <v>2324.59</v>
      </c>
      <c r="P3617">
        <v>1625.35</v>
      </c>
      <c r="Q3617">
        <v>948.36</v>
      </c>
      <c r="R3617">
        <v>1734.42</v>
      </c>
      <c r="S3617">
        <v>987.05</v>
      </c>
      <c r="T3617">
        <v>49080.25</v>
      </c>
      <c r="U3617">
        <v>28316.59</v>
      </c>
      <c r="V3617">
        <v>14494</v>
      </c>
      <c r="W3617">
        <v>13162.04</v>
      </c>
      <c r="X3617">
        <v>68092.649999999994</v>
      </c>
      <c r="Y3617">
        <v>53892.36</v>
      </c>
    </row>
    <row r="3618" spans="1:25" x14ac:dyDescent="0.25">
      <c r="A3618" t="s">
        <v>3674</v>
      </c>
      <c r="B3618" s="1">
        <v>45921</v>
      </c>
      <c r="C3618">
        <v>2025</v>
      </c>
      <c r="D3618">
        <v>9</v>
      </c>
      <c r="E3618" t="s">
        <v>918</v>
      </c>
      <c r="F3618" t="s">
        <v>691</v>
      </c>
      <c r="G3618" t="s">
        <v>55</v>
      </c>
      <c r="H3618" t="s">
        <v>32</v>
      </c>
      <c r="I3618" t="s">
        <v>50</v>
      </c>
      <c r="J3618">
        <v>56</v>
      </c>
      <c r="K3618">
        <v>1150.73</v>
      </c>
      <c r="L3618">
        <v>64441.120000000003</v>
      </c>
      <c r="M3618">
        <v>37724.97</v>
      </c>
      <c r="N3618">
        <v>4597.25</v>
      </c>
      <c r="O3618">
        <v>2128.7399999999998</v>
      </c>
      <c r="P3618">
        <v>1593.56</v>
      </c>
      <c r="Q3618">
        <v>671.42</v>
      </c>
      <c r="R3618">
        <v>3077.73</v>
      </c>
      <c r="S3618">
        <v>517.19000000000005</v>
      </c>
      <c r="T3618">
        <v>50310.85</v>
      </c>
      <c r="U3618">
        <v>26716.15</v>
      </c>
      <c r="V3618">
        <v>14130.26</v>
      </c>
      <c r="W3618">
        <v>13812.13</v>
      </c>
      <c r="X3618">
        <v>64000</v>
      </c>
      <c r="Y3618">
        <v>51865.35</v>
      </c>
    </row>
    <row r="3619" spans="1:25" x14ac:dyDescent="0.25">
      <c r="A3619" t="s">
        <v>3675</v>
      </c>
      <c r="B3619" s="1">
        <v>45922</v>
      </c>
      <c r="C3619">
        <v>2025</v>
      </c>
      <c r="D3619">
        <v>9</v>
      </c>
      <c r="E3619" t="s">
        <v>918</v>
      </c>
      <c r="F3619" t="s">
        <v>691</v>
      </c>
      <c r="G3619" t="s">
        <v>44</v>
      </c>
      <c r="H3619" t="s">
        <v>32</v>
      </c>
      <c r="I3619" t="s">
        <v>50</v>
      </c>
      <c r="J3619">
        <v>33</v>
      </c>
      <c r="K3619">
        <v>1743.92</v>
      </c>
      <c r="L3619">
        <v>57549.29</v>
      </c>
      <c r="M3619">
        <v>36985.43</v>
      </c>
      <c r="N3619">
        <v>5012.03</v>
      </c>
      <c r="O3619">
        <v>2057.13</v>
      </c>
      <c r="P3619">
        <v>2017</v>
      </c>
      <c r="Q3619">
        <v>747.59</v>
      </c>
      <c r="R3619">
        <v>3322.71</v>
      </c>
      <c r="S3619">
        <v>477.51</v>
      </c>
      <c r="T3619">
        <v>50619.4</v>
      </c>
      <c r="U3619">
        <v>20563.86</v>
      </c>
      <c r="V3619">
        <v>6929.89</v>
      </c>
      <c r="W3619">
        <v>6905.95</v>
      </c>
      <c r="X3619">
        <v>62779.13</v>
      </c>
      <c r="Y3619">
        <v>52985.29</v>
      </c>
    </row>
    <row r="3620" spans="1:25" x14ac:dyDescent="0.25">
      <c r="A3620" t="s">
        <v>3676</v>
      </c>
      <c r="B3620" s="1">
        <v>45922</v>
      </c>
      <c r="C3620">
        <v>2025</v>
      </c>
      <c r="D3620">
        <v>9</v>
      </c>
      <c r="E3620" t="s">
        <v>918</v>
      </c>
      <c r="F3620" t="s">
        <v>691</v>
      </c>
      <c r="G3620" t="s">
        <v>28</v>
      </c>
      <c r="H3620" t="s">
        <v>29</v>
      </c>
      <c r="I3620" t="s">
        <v>65</v>
      </c>
      <c r="J3620">
        <v>31</v>
      </c>
      <c r="K3620">
        <v>1794.9</v>
      </c>
      <c r="L3620">
        <v>55641.78</v>
      </c>
      <c r="M3620">
        <v>30481.42</v>
      </c>
      <c r="N3620">
        <v>5124.37</v>
      </c>
      <c r="O3620">
        <v>1697.16</v>
      </c>
      <c r="P3620">
        <v>1805.54</v>
      </c>
      <c r="Q3620">
        <v>413.17</v>
      </c>
      <c r="R3620">
        <v>2084.4499999999998</v>
      </c>
      <c r="S3620">
        <v>1217.4100000000001</v>
      </c>
      <c r="T3620">
        <v>42823.519999999997</v>
      </c>
      <c r="U3620">
        <v>25160.37</v>
      </c>
      <c r="V3620">
        <v>12818.27</v>
      </c>
      <c r="W3620">
        <v>12504.3</v>
      </c>
      <c r="X3620">
        <v>60495.03</v>
      </c>
      <c r="Y3620">
        <v>45791.24</v>
      </c>
    </row>
    <row r="3621" spans="1:25" x14ac:dyDescent="0.25">
      <c r="A3621" t="s">
        <v>3677</v>
      </c>
      <c r="B3621" s="1">
        <v>45923</v>
      </c>
      <c r="C3621">
        <v>2025</v>
      </c>
      <c r="D3621">
        <v>9</v>
      </c>
      <c r="E3621" t="s">
        <v>918</v>
      </c>
      <c r="F3621" t="s">
        <v>691</v>
      </c>
      <c r="G3621" t="s">
        <v>28</v>
      </c>
      <c r="H3621" t="s">
        <v>32</v>
      </c>
      <c r="I3621" t="s">
        <v>65</v>
      </c>
      <c r="J3621">
        <v>68</v>
      </c>
      <c r="K3621">
        <v>1338.07</v>
      </c>
      <c r="L3621">
        <v>90988.5</v>
      </c>
      <c r="M3621">
        <v>56092.55</v>
      </c>
      <c r="N3621">
        <v>9654.44</v>
      </c>
      <c r="O3621">
        <v>2852.16</v>
      </c>
      <c r="P3621">
        <v>2992.8</v>
      </c>
      <c r="Q3621">
        <v>1248.1300000000001</v>
      </c>
      <c r="R3621">
        <v>3542.25</v>
      </c>
      <c r="S3621">
        <v>835.48</v>
      </c>
      <c r="T3621">
        <v>77217.8</v>
      </c>
      <c r="U3621">
        <v>34895.949999999997</v>
      </c>
      <c r="V3621">
        <v>13770.7</v>
      </c>
      <c r="W3621">
        <v>12584.44</v>
      </c>
      <c r="X3621">
        <v>90565.04</v>
      </c>
      <c r="Y3621">
        <v>77003.839999999997</v>
      </c>
    </row>
    <row r="3622" spans="1:25" x14ac:dyDescent="0.25">
      <c r="A3622" t="s">
        <v>3678</v>
      </c>
      <c r="B3622" s="1">
        <v>45923</v>
      </c>
      <c r="C3622">
        <v>2025</v>
      </c>
      <c r="D3622">
        <v>9</v>
      </c>
      <c r="E3622" t="s">
        <v>918</v>
      </c>
      <c r="F3622" t="s">
        <v>691</v>
      </c>
      <c r="G3622" t="s">
        <v>44</v>
      </c>
      <c r="H3622" t="s">
        <v>29</v>
      </c>
      <c r="I3622" t="s">
        <v>50</v>
      </c>
      <c r="J3622">
        <v>44</v>
      </c>
      <c r="K3622">
        <v>969.3</v>
      </c>
      <c r="L3622">
        <v>42649.36</v>
      </c>
      <c r="M3622">
        <v>26085.84</v>
      </c>
      <c r="N3622">
        <v>3003.69</v>
      </c>
      <c r="O3622">
        <v>1567.73</v>
      </c>
      <c r="P3622">
        <v>872.4</v>
      </c>
      <c r="Q3622">
        <v>311.47000000000003</v>
      </c>
      <c r="R3622">
        <v>2638.02</v>
      </c>
      <c r="S3622">
        <v>1037.0999999999999</v>
      </c>
      <c r="T3622">
        <v>35516.239999999998</v>
      </c>
      <c r="U3622">
        <v>16563.52</v>
      </c>
      <c r="V3622">
        <v>7133.12</v>
      </c>
      <c r="W3622">
        <v>6609.97</v>
      </c>
      <c r="X3622">
        <v>46459.47</v>
      </c>
      <c r="Y3622">
        <v>38059.69</v>
      </c>
    </row>
    <row r="3623" spans="1:25" x14ac:dyDescent="0.25">
      <c r="A3623" t="s">
        <v>3679</v>
      </c>
      <c r="B3623" s="1">
        <v>45923</v>
      </c>
      <c r="C3623">
        <v>2025</v>
      </c>
      <c r="D3623">
        <v>9</v>
      </c>
      <c r="E3623" t="s">
        <v>918</v>
      </c>
      <c r="F3623" t="s">
        <v>691</v>
      </c>
      <c r="G3623" t="s">
        <v>28</v>
      </c>
      <c r="H3623" t="s">
        <v>53</v>
      </c>
      <c r="I3623" t="s">
        <v>50</v>
      </c>
      <c r="J3623">
        <v>29</v>
      </c>
      <c r="K3623">
        <v>1783.73</v>
      </c>
      <c r="L3623">
        <v>51728.09</v>
      </c>
      <c r="M3623">
        <v>27044.35</v>
      </c>
      <c r="N3623">
        <v>5106.83</v>
      </c>
      <c r="O3623">
        <v>3582.82</v>
      </c>
      <c r="P3623">
        <v>2160.9299999999998</v>
      </c>
      <c r="Q3623">
        <v>770.55</v>
      </c>
      <c r="R3623">
        <v>3009.43</v>
      </c>
      <c r="S3623">
        <v>437.92</v>
      </c>
      <c r="T3623">
        <v>42112.83</v>
      </c>
      <c r="U3623">
        <v>24683.74</v>
      </c>
      <c r="V3623">
        <v>9615.26</v>
      </c>
      <c r="W3623">
        <v>8557.49</v>
      </c>
      <c r="X3623">
        <v>56683.98</v>
      </c>
      <c r="Y3623">
        <v>41484.800000000003</v>
      </c>
    </row>
    <row r="3624" spans="1:25" x14ac:dyDescent="0.25">
      <c r="A3624" t="s">
        <v>3680</v>
      </c>
      <c r="B3624" s="1">
        <v>45924</v>
      </c>
      <c r="C3624">
        <v>2025</v>
      </c>
      <c r="D3624">
        <v>9</v>
      </c>
      <c r="E3624" t="s">
        <v>918</v>
      </c>
      <c r="F3624" t="s">
        <v>691</v>
      </c>
      <c r="G3624" t="s">
        <v>55</v>
      </c>
      <c r="H3624" t="s">
        <v>36</v>
      </c>
      <c r="I3624" t="s">
        <v>37</v>
      </c>
      <c r="J3624">
        <v>61</v>
      </c>
      <c r="K3624">
        <v>1535.88</v>
      </c>
      <c r="L3624">
        <v>93688.81</v>
      </c>
      <c r="M3624">
        <v>57961.27</v>
      </c>
      <c r="N3624">
        <v>6802.83</v>
      </c>
      <c r="O3624">
        <v>2628.76</v>
      </c>
      <c r="P3624">
        <v>1660.47</v>
      </c>
      <c r="Q3624">
        <v>732.02</v>
      </c>
      <c r="R3624">
        <v>3424.21</v>
      </c>
      <c r="S3624">
        <v>1014.17</v>
      </c>
      <c r="T3624">
        <v>74223.73</v>
      </c>
      <c r="U3624">
        <v>35727.54</v>
      </c>
      <c r="V3624">
        <v>19465.080000000002</v>
      </c>
      <c r="W3624">
        <v>17475.57</v>
      </c>
      <c r="X3624">
        <v>103861.04</v>
      </c>
      <c r="Y3624">
        <v>80398.47</v>
      </c>
    </row>
    <row r="3625" spans="1:25" x14ac:dyDescent="0.25">
      <c r="A3625" t="s">
        <v>3681</v>
      </c>
      <c r="B3625" s="1">
        <v>45924</v>
      </c>
      <c r="C3625">
        <v>2025</v>
      </c>
      <c r="D3625">
        <v>9</v>
      </c>
      <c r="E3625" t="s">
        <v>918</v>
      </c>
      <c r="F3625" t="s">
        <v>691</v>
      </c>
      <c r="G3625" t="s">
        <v>44</v>
      </c>
      <c r="H3625" t="s">
        <v>32</v>
      </c>
      <c r="I3625" t="s">
        <v>45</v>
      </c>
      <c r="J3625">
        <v>25</v>
      </c>
      <c r="K3625">
        <v>1489.76</v>
      </c>
      <c r="L3625">
        <v>37244.06</v>
      </c>
      <c r="M3625">
        <v>19732.599999999999</v>
      </c>
      <c r="N3625">
        <v>4489.34</v>
      </c>
      <c r="O3625">
        <v>2304.0100000000002</v>
      </c>
      <c r="P3625">
        <v>602.36</v>
      </c>
      <c r="Q3625">
        <v>640.23</v>
      </c>
      <c r="R3625">
        <v>1070.2</v>
      </c>
      <c r="S3625">
        <v>904.51</v>
      </c>
      <c r="T3625">
        <v>29743.25</v>
      </c>
      <c r="U3625">
        <v>17511.47</v>
      </c>
      <c r="V3625">
        <v>7500.81</v>
      </c>
      <c r="W3625">
        <v>7575.44</v>
      </c>
      <c r="X3625">
        <v>37911.53</v>
      </c>
      <c r="Y3625">
        <v>28895.72</v>
      </c>
    </row>
    <row r="3626" spans="1:25" x14ac:dyDescent="0.25">
      <c r="A3626" t="s">
        <v>3682</v>
      </c>
      <c r="B3626" s="1">
        <v>45924</v>
      </c>
      <c r="C3626">
        <v>2025</v>
      </c>
      <c r="D3626">
        <v>9</v>
      </c>
      <c r="E3626" t="s">
        <v>918</v>
      </c>
      <c r="F3626" t="s">
        <v>691</v>
      </c>
      <c r="G3626" t="s">
        <v>55</v>
      </c>
      <c r="H3626" t="s">
        <v>29</v>
      </c>
      <c r="I3626" t="s">
        <v>30</v>
      </c>
      <c r="J3626">
        <v>55</v>
      </c>
      <c r="K3626">
        <v>1561.2</v>
      </c>
      <c r="L3626">
        <v>85866.15</v>
      </c>
      <c r="M3626">
        <v>43523.94</v>
      </c>
      <c r="N3626">
        <v>7279.55</v>
      </c>
      <c r="O3626">
        <v>2881.8</v>
      </c>
      <c r="P3626">
        <v>1970.86</v>
      </c>
      <c r="Q3626">
        <v>1450.8</v>
      </c>
      <c r="R3626">
        <v>4645.93</v>
      </c>
      <c r="S3626">
        <v>696.38</v>
      </c>
      <c r="T3626">
        <v>62449.26</v>
      </c>
      <c r="U3626">
        <v>42342.21</v>
      </c>
      <c r="V3626">
        <v>23416.89</v>
      </c>
      <c r="W3626">
        <v>23838.33</v>
      </c>
      <c r="X3626">
        <v>94062.14</v>
      </c>
      <c r="Y3626">
        <v>59921.22</v>
      </c>
    </row>
    <row r="3627" spans="1:25" x14ac:dyDescent="0.25">
      <c r="A3627" t="s">
        <v>3683</v>
      </c>
      <c r="B3627" s="1">
        <v>45925</v>
      </c>
      <c r="C3627">
        <v>2025</v>
      </c>
      <c r="D3627">
        <v>9</v>
      </c>
      <c r="E3627" t="s">
        <v>918</v>
      </c>
      <c r="F3627" t="s">
        <v>691</v>
      </c>
      <c r="G3627" t="s">
        <v>35</v>
      </c>
      <c r="H3627" t="s">
        <v>32</v>
      </c>
      <c r="I3627" t="s">
        <v>65</v>
      </c>
      <c r="J3627">
        <v>35</v>
      </c>
      <c r="K3627">
        <v>1544.49</v>
      </c>
      <c r="L3627">
        <v>54057.23</v>
      </c>
      <c r="M3627">
        <v>31294.27</v>
      </c>
      <c r="N3627">
        <v>6392.61</v>
      </c>
      <c r="O3627">
        <v>1354.93</v>
      </c>
      <c r="P3627">
        <v>1210.55</v>
      </c>
      <c r="Q3627">
        <v>807.41</v>
      </c>
      <c r="R3627">
        <v>1354.26</v>
      </c>
      <c r="S3627">
        <v>1309.74</v>
      </c>
      <c r="T3627">
        <v>43723.78</v>
      </c>
      <c r="U3627">
        <v>22762.959999999999</v>
      </c>
      <c r="V3627">
        <v>10333.450000000001</v>
      </c>
      <c r="W3627">
        <v>10082.76</v>
      </c>
      <c r="X3627">
        <v>58791.44</v>
      </c>
      <c r="Y3627">
        <v>43461.17</v>
      </c>
    </row>
    <row r="3628" spans="1:25" x14ac:dyDescent="0.25">
      <c r="A3628" t="s">
        <v>3684</v>
      </c>
      <c r="B3628" s="1">
        <v>45925</v>
      </c>
      <c r="C3628">
        <v>2025</v>
      </c>
      <c r="D3628">
        <v>9</v>
      </c>
      <c r="E3628" t="s">
        <v>918</v>
      </c>
      <c r="F3628" t="s">
        <v>691</v>
      </c>
      <c r="G3628" t="s">
        <v>28</v>
      </c>
      <c r="H3628" t="s">
        <v>29</v>
      </c>
      <c r="I3628" t="s">
        <v>56</v>
      </c>
      <c r="J3628">
        <v>33</v>
      </c>
      <c r="K3628">
        <v>1305.67</v>
      </c>
      <c r="L3628">
        <v>43087.14</v>
      </c>
      <c r="M3628">
        <v>23191.03</v>
      </c>
      <c r="N3628">
        <v>4141.82</v>
      </c>
      <c r="O3628">
        <v>2005.87</v>
      </c>
      <c r="P3628">
        <v>1854.42</v>
      </c>
      <c r="Q3628">
        <v>347.54</v>
      </c>
      <c r="R3628">
        <v>1110.73</v>
      </c>
      <c r="S3628">
        <v>526.94000000000005</v>
      </c>
      <c r="T3628">
        <v>33178.339999999997</v>
      </c>
      <c r="U3628">
        <v>19896.11</v>
      </c>
      <c r="V3628">
        <v>9908.7999999999993</v>
      </c>
      <c r="W3628">
        <v>8940.1200000000008</v>
      </c>
      <c r="X3628">
        <v>42749.440000000002</v>
      </c>
      <c r="Y3628">
        <v>36223.86</v>
      </c>
    </row>
    <row r="3629" spans="1:25" x14ac:dyDescent="0.25">
      <c r="A3629" t="s">
        <v>3685</v>
      </c>
      <c r="B3629" s="1">
        <v>45925</v>
      </c>
      <c r="C3629">
        <v>2025</v>
      </c>
      <c r="D3629">
        <v>9</v>
      </c>
      <c r="E3629" t="s">
        <v>918</v>
      </c>
      <c r="F3629" t="s">
        <v>691</v>
      </c>
      <c r="G3629" t="s">
        <v>35</v>
      </c>
      <c r="H3629" t="s">
        <v>36</v>
      </c>
      <c r="I3629" t="s">
        <v>65</v>
      </c>
      <c r="J3629">
        <v>49</v>
      </c>
      <c r="K3629">
        <v>1244.67</v>
      </c>
      <c r="L3629">
        <v>60989.07</v>
      </c>
      <c r="M3629">
        <v>34621.1</v>
      </c>
      <c r="N3629">
        <v>5649.14</v>
      </c>
      <c r="O3629">
        <v>1613.97</v>
      </c>
      <c r="P3629">
        <v>1768.48</v>
      </c>
      <c r="Q3629">
        <v>629.67999999999995</v>
      </c>
      <c r="R3629">
        <v>3877.84</v>
      </c>
      <c r="S3629">
        <v>1466.28</v>
      </c>
      <c r="T3629">
        <v>49626.48</v>
      </c>
      <c r="U3629">
        <v>26367.97</v>
      </c>
      <c r="V3629">
        <v>11362.59</v>
      </c>
      <c r="W3629">
        <v>10236.26</v>
      </c>
      <c r="X3629">
        <v>63243.43</v>
      </c>
      <c r="Y3629">
        <v>54544.41</v>
      </c>
    </row>
    <row r="3630" spans="1:25" x14ac:dyDescent="0.25">
      <c r="A3630" t="s">
        <v>3686</v>
      </c>
      <c r="B3630" s="1">
        <v>45925</v>
      </c>
      <c r="C3630">
        <v>2025</v>
      </c>
      <c r="D3630">
        <v>9</v>
      </c>
      <c r="E3630" t="s">
        <v>918</v>
      </c>
      <c r="F3630" t="s">
        <v>691</v>
      </c>
      <c r="G3630" t="s">
        <v>35</v>
      </c>
      <c r="H3630" t="s">
        <v>53</v>
      </c>
      <c r="I3630" t="s">
        <v>65</v>
      </c>
      <c r="J3630">
        <v>43</v>
      </c>
      <c r="K3630">
        <v>1113.9100000000001</v>
      </c>
      <c r="L3630">
        <v>47898.29</v>
      </c>
      <c r="M3630">
        <v>29351.54</v>
      </c>
      <c r="N3630">
        <v>4352.38</v>
      </c>
      <c r="O3630">
        <v>2932.79</v>
      </c>
      <c r="P3630">
        <v>757.98</v>
      </c>
      <c r="Q3630">
        <v>858.38</v>
      </c>
      <c r="R3630">
        <v>1385.01</v>
      </c>
      <c r="S3630">
        <v>489.9</v>
      </c>
      <c r="T3630">
        <v>40127.980000000003</v>
      </c>
      <c r="U3630">
        <v>18546.75</v>
      </c>
      <c r="V3630">
        <v>7770.32</v>
      </c>
      <c r="W3630">
        <v>7324.01</v>
      </c>
      <c r="X3630">
        <v>51354.33</v>
      </c>
      <c r="Y3630">
        <v>42202.97</v>
      </c>
    </row>
    <row r="3631" spans="1:25" x14ac:dyDescent="0.25">
      <c r="A3631" t="s">
        <v>3687</v>
      </c>
      <c r="B3631" s="1">
        <v>45926</v>
      </c>
      <c r="C3631">
        <v>2025</v>
      </c>
      <c r="D3631">
        <v>9</v>
      </c>
      <c r="E3631" t="s">
        <v>918</v>
      </c>
      <c r="F3631" t="s">
        <v>691</v>
      </c>
      <c r="G3631" t="s">
        <v>55</v>
      </c>
      <c r="H3631" t="s">
        <v>32</v>
      </c>
      <c r="I3631" t="s">
        <v>30</v>
      </c>
      <c r="J3631">
        <v>69</v>
      </c>
      <c r="K3631">
        <v>1437.54</v>
      </c>
      <c r="L3631">
        <v>99190.26</v>
      </c>
      <c r="M3631">
        <v>60739.89</v>
      </c>
      <c r="N3631">
        <v>9476.7000000000007</v>
      </c>
      <c r="O3631">
        <v>4538.84</v>
      </c>
      <c r="P3631">
        <v>4362.96</v>
      </c>
      <c r="Q3631">
        <v>1268.3900000000001</v>
      </c>
      <c r="R3631">
        <v>3383.17</v>
      </c>
      <c r="S3631">
        <v>1426.73</v>
      </c>
      <c r="T3631">
        <v>85196.68</v>
      </c>
      <c r="U3631">
        <v>38450.370000000003</v>
      </c>
      <c r="V3631">
        <v>13993.58</v>
      </c>
      <c r="W3631">
        <v>12916.79</v>
      </c>
      <c r="X3631">
        <v>97914.16</v>
      </c>
      <c r="Y3631">
        <v>83637</v>
      </c>
    </row>
    <row r="3632" spans="1:25" x14ac:dyDescent="0.25">
      <c r="A3632" t="s">
        <v>3688</v>
      </c>
      <c r="B3632" s="1">
        <v>45927</v>
      </c>
      <c r="C3632">
        <v>2025</v>
      </c>
      <c r="D3632">
        <v>9</v>
      </c>
      <c r="E3632" t="s">
        <v>918</v>
      </c>
      <c r="F3632" t="s">
        <v>691</v>
      </c>
      <c r="G3632" t="s">
        <v>55</v>
      </c>
      <c r="H3632" t="s">
        <v>36</v>
      </c>
      <c r="I3632" t="s">
        <v>33</v>
      </c>
      <c r="J3632">
        <v>77</v>
      </c>
      <c r="K3632">
        <v>1321.16</v>
      </c>
      <c r="L3632">
        <v>101729.43</v>
      </c>
      <c r="M3632">
        <v>67435.539999999994</v>
      </c>
      <c r="N3632">
        <v>10180.77</v>
      </c>
      <c r="O3632">
        <v>4030.23</v>
      </c>
      <c r="P3632">
        <v>2157.9699999999998</v>
      </c>
      <c r="Q3632">
        <v>1220.56</v>
      </c>
      <c r="R3632">
        <v>6113.75</v>
      </c>
      <c r="S3632">
        <v>1698.57</v>
      </c>
      <c r="T3632">
        <v>92837.38</v>
      </c>
      <c r="U3632">
        <v>34293.89</v>
      </c>
      <c r="V3632">
        <v>8892.0499999999993</v>
      </c>
      <c r="W3632">
        <v>8904.14</v>
      </c>
      <c r="X3632">
        <v>99861.88</v>
      </c>
      <c r="Y3632">
        <v>87538.23</v>
      </c>
    </row>
    <row r="3633" spans="1:25" x14ac:dyDescent="0.25">
      <c r="A3633" t="s">
        <v>3689</v>
      </c>
      <c r="B3633" s="1">
        <v>45927</v>
      </c>
      <c r="C3633">
        <v>2025</v>
      </c>
      <c r="D3633">
        <v>9</v>
      </c>
      <c r="E3633" t="s">
        <v>918</v>
      </c>
      <c r="F3633" t="s">
        <v>691</v>
      </c>
      <c r="G3633" t="s">
        <v>55</v>
      </c>
      <c r="H3633" t="s">
        <v>36</v>
      </c>
      <c r="I3633" t="s">
        <v>37</v>
      </c>
      <c r="J3633">
        <v>33</v>
      </c>
      <c r="K3633">
        <v>1761.22</v>
      </c>
      <c r="L3633">
        <v>58120.34</v>
      </c>
      <c r="M3633">
        <v>31796.98</v>
      </c>
      <c r="N3633">
        <v>4407.51</v>
      </c>
      <c r="O3633">
        <v>1988.14</v>
      </c>
      <c r="P3633">
        <v>997.75</v>
      </c>
      <c r="Q3633">
        <v>583.08000000000004</v>
      </c>
      <c r="R3633">
        <v>1565.07</v>
      </c>
      <c r="S3633">
        <v>1084.24</v>
      </c>
      <c r="T3633">
        <v>42422.77</v>
      </c>
      <c r="U3633">
        <v>26323.360000000001</v>
      </c>
      <c r="V3633">
        <v>15697.56</v>
      </c>
      <c r="W3633">
        <v>14903.24</v>
      </c>
      <c r="X3633">
        <v>53882.78</v>
      </c>
      <c r="Y3633">
        <v>40558.29</v>
      </c>
    </row>
    <row r="3634" spans="1:25" x14ac:dyDescent="0.25">
      <c r="A3634" t="s">
        <v>3690</v>
      </c>
      <c r="B3634" s="1">
        <v>45927</v>
      </c>
      <c r="C3634">
        <v>2025</v>
      </c>
      <c r="D3634">
        <v>9</v>
      </c>
      <c r="E3634" t="s">
        <v>918</v>
      </c>
      <c r="F3634" t="s">
        <v>691</v>
      </c>
      <c r="G3634" t="s">
        <v>55</v>
      </c>
      <c r="H3634" t="s">
        <v>32</v>
      </c>
      <c r="I3634" t="s">
        <v>30</v>
      </c>
      <c r="J3634">
        <v>127</v>
      </c>
      <c r="K3634">
        <v>1163.1300000000001</v>
      </c>
      <c r="L3634">
        <v>147717.09</v>
      </c>
      <c r="M3634">
        <v>72252.639999999999</v>
      </c>
      <c r="N3634">
        <v>17780.919999999998</v>
      </c>
      <c r="O3634">
        <v>6546.57</v>
      </c>
      <c r="P3634">
        <v>2379.5500000000002</v>
      </c>
      <c r="Q3634">
        <v>1146.8499999999999</v>
      </c>
      <c r="R3634">
        <v>9331.19</v>
      </c>
      <c r="S3634">
        <v>2625.24</v>
      </c>
      <c r="T3634">
        <v>112062.95</v>
      </c>
      <c r="U3634">
        <v>75464.45</v>
      </c>
      <c r="V3634">
        <v>35654.14</v>
      </c>
      <c r="W3634">
        <v>35614.25</v>
      </c>
      <c r="X3634">
        <v>156491.03</v>
      </c>
      <c r="Y3634">
        <v>121832.28</v>
      </c>
    </row>
    <row r="3635" spans="1:25" x14ac:dyDescent="0.25">
      <c r="A3635" t="s">
        <v>3691</v>
      </c>
      <c r="B3635" s="1">
        <v>45927</v>
      </c>
      <c r="C3635">
        <v>2025</v>
      </c>
      <c r="D3635">
        <v>9</v>
      </c>
      <c r="E3635" t="s">
        <v>918</v>
      </c>
      <c r="F3635" t="s">
        <v>691</v>
      </c>
      <c r="G3635" t="s">
        <v>44</v>
      </c>
      <c r="H3635" t="s">
        <v>36</v>
      </c>
      <c r="I3635" t="s">
        <v>39</v>
      </c>
      <c r="J3635">
        <v>30</v>
      </c>
      <c r="K3635">
        <v>1231.72</v>
      </c>
      <c r="L3635">
        <v>36951.550000000003</v>
      </c>
      <c r="M3635">
        <v>22358.95</v>
      </c>
      <c r="N3635">
        <v>2593.34</v>
      </c>
      <c r="O3635">
        <v>2269.38</v>
      </c>
      <c r="P3635">
        <v>1072.69</v>
      </c>
      <c r="Q3635">
        <v>192.86</v>
      </c>
      <c r="R3635">
        <v>1474.93</v>
      </c>
      <c r="S3635">
        <v>376</v>
      </c>
      <c r="T3635">
        <v>30338.15</v>
      </c>
      <c r="U3635">
        <v>14592.6</v>
      </c>
      <c r="V3635">
        <v>6613.39</v>
      </c>
      <c r="W3635">
        <v>6566.17</v>
      </c>
      <c r="X3635">
        <v>37287.82</v>
      </c>
      <c r="Y3635">
        <v>28442.83</v>
      </c>
    </row>
    <row r="3636" spans="1:25" x14ac:dyDescent="0.25">
      <c r="A3636" t="s">
        <v>3692</v>
      </c>
      <c r="B3636" s="1">
        <v>45928</v>
      </c>
      <c r="C3636">
        <v>2025</v>
      </c>
      <c r="D3636">
        <v>9</v>
      </c>
      <c r="E3636" t="s">
        <v>918</v>
      </c>
      <c r="F3636" t="s">
        <v>691</v>
      </c>
      <c r="G3636" t="s">
        <v>28</v>
      </c>
      <c r="H3636" t="s">
        <v>32</v>
      </c>
      <c r="I3636" t="s">
        <v>39</v>
      </c>
      <c r="J3636">
        <v>29</v>
      </c>
      <c r="K3636">
        <v>1457.67</v>
      </c>
      <c r="L3636">
        <v>42272.55</v>
      </c>
      <c r="M3636">
        <v>28212.95</v>
      </c>
      <c r="N3636">
        <v>4668.78</v>
      </c>
      <c r="O3636">
        <v>2318.73</v>
      </c>
      <c r="P3636">
        <v>1101.3499999999999</v>
      </c>
      <c r="Q3636">
        <v>388.62</v>
      </c>
      <c r="R3636">
        <v>1476.98</v>
      </c>
      <c r="S3636">
        <v>756.65</v>
      </c>
      <c r="T3636">
        <v>38924.06</v>
      </c>
      <c r="U3636">
        <v>14059.6</v>
      </c>
      <c r="V3636">
        <v>3348.49</v>
      </c>
      <c r="W3636">
        <v>3370.36</v>
      </c>
      <c r="X3636">
        <v>40616.1</v>
      </c>
      <c r="Y3636">
        <v>42381.51</v>
      </c>
    </row>
    <row r="3637" spans="1:25" x14ac:dyDescent="0.25">
      <c r="A3637" t="s">
        <v>3693</v>
      </c>
      <c r="B3637" s="1">
        <v>45928</v>
      </c>
      <c r="C3637">
        <v>2025</v>
      </c>
      <c r="D3637">
        <v>9</v>
      </c>
      <c r="E3637" t="s">
        <v>918</v>
      </c>
      <c r="F3637" t="s">
        <v>691</v>
      </c>
      <c r="G3637" t="s">
        <v>35</v>
      </c>
      <c r="H3637" t="s">
        <v>32</v>
      </c>
      <c r="I3637" t="s">
        <v>37</v>
      </c>
      <c r="J3637">
        <v>41</v>
      </c>
      <c r="K3637">
        <v>1412.96</v>
      </c>
      <c r="L3637">
        <v>57931.45</v>
      </c>
      <c r="M3637">
        <v>32661.41</v>
      </c>
      <c r="N3637">
        <v>6829.17</v>
      </c>
      <c r="O3637">
        <v>1847.29</v>
      </c>
      <c r="P3637">
        <v>1020.58</v>
      </c>
      <c r="Q3637">
        <v>951.32</v>
      </c>
      <c r="R3637">
        <v>2602.69</v>
      </c>
      <c r="S3637">
        <v>930.19</v>
      </c>
      <c r="T3637">
        <v>46842.65</v>
      </c>
      <c r="U3637">
        <v>25270.03</v>
      </c>
      <c r="V3637">
        <v>11088.8</v>
      </c>
      <c r="W3637">
        <v>9826.89</v>
      </c>
      <c r="X3637">
        <v>62488.03</v>
      </c>
      <c r="Y3637">
        <v>44734.06</v>
      </c>
    </row>
    <row r="3638" spans="1:25" x14ac:dyDescent="0.25">
      <c r="A3638" t="s">
        <v>3694</v>
      </c>
      <c r="B3638" s="1">
        <v>45929</v>
      </c>
      <c r="C3638">
        <v>2025</v>
      </c>
      <c r="D3638">
        <v>9</v>
      </c>
      <c r="E3638" t="s">
        <v>918</v>
      </c>
      <c r="F3638" t="s">
        <v>691</v>
      </c>
      <c r="G3638" t="s">
        <v>28</v>
      </c>
      <c r="H3638" t="s">
        <v>29</v>
      </c>
      <c r="I3638" t="s">
        <v>33</v>
      </c>
      <c r="J3638">
        <v>62</v>
      </c>
      <c r="K3638">
        <v>1673.73</v>
      </c>
      <c r="L3638">
        <v>103771.44</v>
      </c>
      <c r="M3638">
        <v>67306.89</v>
      </c>
      <c r="N3638">
        <v>10430.75</v>
      </c>
      <c r="O3638">
        <v>4056.25</v>
      </c>
      <c r="P3638">
        <v>3866.87</v>
      </c>
      <c r="Q3638">
        <v>575.35</v>
      </c>
      <c r="R3638">
        <v>5154.4399999999996</v>
      </c>
      <c r="S3638">
        <v>2465.17</v>
      </c>
      <c r="T3638">
        <v>93855.71</v>
      </c>
      <c r="U3638">
        <v>36464.550000000003</v>
      </c>
      <c r="V3638">
        <v>9915.73</v>
      </c>
      <c r="W3638">
        <v>8776.7099999999991</v>
      </c>
      <c r="X3638">
        <v>96095.98</v>
      </c>
      <c r="Y3638">
        <v>96378.71</v>
      </c>
    </row>
    <row r="3639" spans="1:25" x14ac:dyDescent="0.25">
      <c r="A3639" t="s">
        <v>3695</v>
      </c>
      <c r="B3639" s="1">
        <v>45929</v>
      </c>
      <c r="C3639">
        <v>2025</v>
      </c>
      <c r="D3639">
        <v>9</v>
      </c>
      <c r="E3639" t="s">
        <v>918</v>
      </c>
      <c r="F3639" t="s">
        <v>691</v>
      </c>
      <c r="G3639" t="s">
        <v>35</v>
      </c>
      <c r="H3639" t="s">
        <v>32</v>
      </c>
      <c r="I3639" t="s">
        <v>30</v>
      </c>
      <c r="J3639">
        <v>83</v>
      </c>
      <c r="K3639">
        <v>900.96</v>
      </c>
      <c r="L3639">
        <v>74779.570000000007</v>
      </c>
      <c r="M3639">
        <v>45821.89</v>
      </c>
      <c r="N3639">
        <v>9275.61</v>
      </c>
      <c r="O3639">
        <v>4476.92</v>
      </c>
      <c r="P3639">
        <v>2938.94</v>
      </c>
      <c r="Q3639">
        <v>797.52</v>
      </c>
      <c r="R3639">
        <v>2598.04</v>
      </c>
      <c r="S3639">
        <v>866.91</v>
      </c>
      <c r="T3639">
        <v>66775.820000000007</v>
      </c>
      <c r="U3639">
        <v>28957.69</v>
      </c>
      <c r="V3639">
        <v>8003.76</v>
      </c>
      <c r="W3639">
        <v>7479.72</v>
      </c>
      <c r="X3639">
        <v>82674.53</v>
      </c>
      <c r="Y3639">
        <v>65435.05</v>
      </c>
    </row>
    <row r="3640" spans="1:25" x14ac:dyDescent="0.25">
      <c r="A3640" t="s">
        <v>3696</v>
      </c>
      <c r="B3640" s="1">
        <v>45930</v>
      </c>
      <c r="C3640">
        <v>2025</v>
      </c>
      <c r="D3640">
        <v>9</v>
      </c>
      <c r="E3640" t="s">
        <v>918</v>
      </c>
      <c r="F3640" t="s">
        <v>691</v>
      </c>
      <c r="G3640" t="s">
        <v>35</v>
      </c>
      <c r="H3640" t="s">
        <v>29</v>
      </c>
      <c r="I3640" t="s">
        <v>39</v>
      </c>
      <c r="J3640">
        <v>44</v>
      </c>
      <c r="K3640">
        <v>1033.02</v>
      </c>
      <c r="L3640">
        <v>45453.02</v>
      </c>
      <c r="M3640">
        <v>26482.22</v>
      </c>
      <c r="N3640">
        <v>3736.21</v>
      </c>
      <c r="O3640">
        <v>2915.81</v>
      </c>
      <c r="P3640">
        <v>1372.49</v>
      </c>
      <c r="Q3640">
        <v>404.33</v>
      </c>
      <c r="R3640">
        <v>1137.03</v>
      </c>
      <c r="S3640">
        <v>880.73</v>
      </c>
      <c r="T3640">
        <v>36928.81</v>
      </c>
      <c r="U3640">
        <v>18970.8</v>
      </c>
      <c r="V3640">
        <v>8524.2099999999991</v>
      </c>
      <c r="W3640">
        <v>7871.2</v>
      </c>
      <c r="X3640">
        <v>48053.45</v>
      </c>
      <c r="Y3640">
        <v>40114.47</v>
      </c>
    </row>
    <row r="3641" spans="1:25" x14ac:dyDescent="0.25">
      <c r="A3641" t="s">
        <v>3697</v>
      </c>
      <c r="B3641" s="1">
        <v>45930</v>
      </c>
      <c r="C3641">
        <v>2025</v>
      </c>
      <c r="D3641">
        <v>9</v>
      </c>
      <c r="E3641" t="s">
        <v>918</v>
      </c>
      <c r="F3641" t="s">
        <v>691</v>
      </c>
      <c r="G3641" t="s">
        <v>28</v>
      </c>
      <c r="H3641" t="s">
        <v>32</v>
      </c>
      <c r="I3641" t="s">
        <v>56</v>
      </c>
      <c r="J3641">
        <v>23</v>
      </c>
      <c r="K3641">
        <v>1646.45</v>
      </c>
      <c r="L3641">
        <v>37868.269999999997</v>
      </c>
      <c r="M3641">
        <v>24631.4</v>
      </c>
      <c r="N3641">
        <v>4565.8999999999996</v>
      </c>
      <c r="O3641">
        <v>2718.4</v>
      </c>
      <c r="P3641">
        <v>1331.1</v>
      </c>
      <c r="Q3641">
        <v>368.75</v>
      </c>
      <c r="R3641">
        <v>2330.42</v>
      </c>
      <c r="S3641">
        <v>350.86</v>
      </c>
      <c r="T3641">
        <v>36296.839999999997</v>
      </c>
      <c r="U3641">
        <v>13236.87</v>
      </c>
      <c r="V3641">
        <v>1571.43</v>
      </c>
      <c r="W3641">
        <v>1551.59</v>
      </c>
      <c r="X3641">
        <v>38137.370000000003</v>
      </c>
      <c r="Y3641">
        <v>39066.910000000003</v>
      </c>
    </row>
    <row r="3642" spans="1:25" x14ac:dyDescent="0.25">
      <c r="A3642" t="s">
        <v>3698</v>
      </c>
      <c r="B3642" s="1">
        <v>45930</v>
      </c>
      <c r="C3642">
        <v>2025</v>
      </c>
      <c r="D3642">
        <v>9</v>
      </c>
      <c r="E3642" t="s">
        <v>918</v>
      </c>
      <c r="F3642" t="s">
        <v>691</v>
      </c>
      <c r="G3642" t="s">
        <v>28</v>
      </c>
      <c r="H3642" t="s">
        <v>58</v>
      </c>
      <c r="I3642" t="s">
        <v>50</v>
      </c>
      <c r="J3642">
        <v>21</v>
      </c>
      <c r="K3642">
        <v>1740.23</v>
      </c>
      <c r="L3642">
        <v>36544.86</v>
      </c>
      <c r="M3642">
        <v>18580.34</v>
      </c>
      <c r="N3642">
        <v>3149.66</v>
      </c>
      <c r="O3642">
        <v>2358.5700000000002</v>
      </c>
      <c r="P3642">
        <v>1033.3499999999999</v>
      </c>
      <c r="Q3642">
        <v>450.26</v>
      </c>
      <c r="R3642">
        <v>1336.77</v>
      </c>
      <c r="S3642">
        <v>586.82000000000005</v>
      </c>
      <c r="T3642">
        <v>27495.78</v>
      </c>
      <c r="U3642">
        <v>17964.53</v>
      </c>
      <c r="V3642">
        <v>9049.09</v>
      </c>
      <c r="W3642">
        <v>8047.85</v>
      </c>
      <c r="X3642">
        <v>40355.53</v>
      </c>
      <c r="Y3642">
        <v>28838.36</v>
      </c>
    </row>
    <row r="3643" spans="1:25" x14ac:dyDescent="0.25">
      <c r="A3643" t="s">
        <v>3699</v>
      </c>
      <c r="B3643" s="1">
        <v>45931</v>
      </c>
      <c r="C3643">
        <v>2025</v>
      </c>
      <c r="D3643">
        <v>10</v>
      </c>
      <c r="E3643" t="s">
        <v>1017</v>
      </c>
      <c r="F3643" t="s">
        <v>1018</v>
      </c>
      <c r="G3643" t="s">
        <v>44</v>
      </c>
      <c r="H3643" t="s">
        <v>58</v>
      </c>
      <c r="I3643" t="s">
        <v>45</v>
      </c>
      <c r="J3643">
        <v>33</v>
      </c>
      <c r="K3643">
        <v>1372.92</v>
      </c>
      <c r="L3643">
        <v>45306.44</v>
      </c>
      <c r="M3643">
        <v>23818.67</v>
      </c>
      <c r="N3643">
        <v>3579.05</v>
      </c>
      <c r="O3643">
        <v>2042.87</v>
      </c>
      <c r="P3643">
        <v>728.77</v>
      </c>
      <c r="Q3643">
        <v>781.55</v>
      </c>
      <c r="R3643">
        <v>1700.14</v>
      </c>
      <c r="S3643">
        <v>872.48</v>
      </c>
      <c r="T3643">
        <v>33523.54</v>
      </c>
      <c r="U3643">
        <v>21487.759999999998</v>
      </c>
      <c r="V3643">
        <v>11782.9</v>
      </c>
      <c r="W3643">
        <v>10402.73</v>
      </c>
      <c r="X3643">
        <v>49283.99</v>
      </c>
      <c r="Y3643">
        <v>33327.5</v>
      </c>
    </row>
    <row r="3644" spans="1:25" x14ac:dyDescent="0.25">
      <c r="A3644" t="s">
        <v>3700</v>
      </c>
      <c r="B3644" s="1">
        <v>45931</v>
      </c>
      <c r="C3644">
        <v>2025</v>
      </c>
      <c r="D3644">
        <v>10</v>
      </c>
      <c r="E3644" t="s">
        <v>1017</v>
      </c>
      <c r="F3644" t="s">
        <v>1018</v>
      </c>
      <c r="G3644" t="s">
        <v>35</v>
      </c>
      <c r="H3644" t="s">
        <v>32</v>
      </c>
      <c r="I3644" t="s">
        <v>39</v>
      </c>
      <c r="J3644">
        <v>33</v>
      </c>
      <c r="K3644">
        <v>1439.15</v>
      </c>
      <c r="L3644">
        <v>47491.79</v>
      </c>
      <c r="M3644">
        <v>28690.86</v>
      </c>
      <c r="N3644">
        <v>4842.38</v>
      </c>
      <c r="O3644">
        <v>2786.53</v>
      </c>
      <c r="P3644">
        <v>1747.62</v>
      </c>
      <c r="Q3644">
        <v>732.75</v>
      </c>
      <c r="R3644">
        <v>2622.82</v>
      </c>
      <c r="S3644">
        <v>821.57</v>
      </c>
      <c r="T3644">
        <v>42244.53</v>
      </c>
      <c r="U3644">
        <v>18800.919999999998</v>
      </c>
      <c r="V3644">
        <v>5247.25</v>
      </c>
      <c r="W3644">
        <v>5008</v>
      </c>
      <c r="X3644">
        <v>48842.29</v>
      </c>
      <c r="Y3644">
        <v>45749.26</v>
      </c>
    </row>
    <row r="3645" spans="1:25" x14ac:dyDescent="0.25">
      <c r="A3645" t="s">
        <v>3701</v>
      </c>
      <c r="B3645" s="1">
        <v>45931</v>
      </c>
      <c r="C3645">
        <v>2025</v>
      </c>
      <c r="D3645">
        <v>10</v>
      </c>
      <c r="E3645" t="s">
        <v>1017</v>
      </c>
      <c r="F3645" t="s">
        <v>1018</v>
      </c>
      <c r="G3645" t="s">
        <v>55</v>
      </c>
      <c r="H3645" t="s">
        <v>32</v>
      </c>
      <c r="I3645" t="s">
        <v>33</v>
      </c>
      <c r="J3645">
        <v>59</v>
      </c>
      <c r="K3645">
        <v>1643.15</v>
      </c>
      <c r="L3645">
        <v>96945.76</v>
      </c>
      <c r="M3645">
        <v>60552.5</v>
      </c>
      <c r="N3645">
        <v>9381.35</v>
      </c>
      <c r="O3645">
        <v>6458.46</v>
      </c>
      <c r="P3645">
        <v>1891.16</v>
      </c>
      <c r="Q3645">
        <v>1261.56</v>
      </c>
      <c r="R3645">
        <v>5794.28</v>
      </c>
      <c r="S3645">
        <v>1389.61</v>
      </c>
      <c r="T3645">
        <v>86728.92</v>
      </c>
      <c r="U3645">
        <v>36393.269999999997</v>
      </c>
      <c r="V3645">
        <v>10216.85</v>
      </c>
      <c r="W3645">
        <v>9063.91</v>
      </c>
      <c r="X3645">
        <v>91734.19</v>
      </c>
      <c r="Y3645">
        <v>82543.820000000007</v>
      </c>
    </row>
    <row r="3646" spans="1:25" x14ac:dyDescent="0.25">
      <c r="A3646" t="s">
        <v>3702</v>
      </c>
      <c r="B3646" s="1">
        <v>45932</v>
      </c>
      <c r="C3646">
        <v>2025</v>
      </c>
      <c r="D3646">
        <v>10</v>
      </c>
      <c r="E3646" t="s">
        <v>1017</v>
      </c>
      <c r="F3646" t="s">
        <v>1018</v>
      </c>
      <c r="G3646" t="s">
        <v>28</v>
      </c>
      <c r="H3646" t="s">
        <v>32</v>
      </c>
      <c r="I3646" t="s">
        <v>39</v>
      </c>
      <c r="J3646">
        <v>56</v>
      </c>
      <c r="K3646">
        <v>949.45</v>
      </c>
      <c r="L3646">
        <v>53169.47</v>
      </c>
      <c r="M3646">
        <v>34389.57</v>
      </c>
      <c r="N3646">
        <v>6526.91</v>
      </c>
      <c r="O3646">
        <v>2497.75</v>
      </c>
      <c r="P3646">
        <v>887.7</v>
      </c>
      <c r="Q3646">
        <v>941.43</v>
      </c>
      <c r="R3646">
        <v>1619.91</v>
      </c>
      <c r="S3646">
        <v>1207.1099999999999</v>
      </c>
      <c r="T3646">
        <v>48070.37</v>
      </c>
      <c r="U3646">
        <v>18779.900000000001</v>
      </c>
      <c r="V3646">
        <v>5099.1000000000004</v>
      </c>
      <c r="W3646">
        <v>4891.46</v>
      </c>
      <c r="X3646">
        <v>54137.02</v>
      </c>
      <c r="Y3646">
        <v>51647.92</v>
      </c>
    </row>
    <row r="3647" spans="1:25" x14ac:dyDescent="0.25">
      <c r="A3647" t="s">
        <v>3703</v>
      </c>
      <c r="B3647" s="1">
        <v>45933</v>
      </c>
      <c r="C3647">
        <v>2025</v>
      </c>
      <c r="D3647">
        <v>10</v>
      </c>
      <c r="E3647" t="s">
        <v>1017</v>
      </c>
      <c r="F3647" t="s">
        <v>1018</v>
      </c>
      <c r="G3647" t="s">
        <v>55</v>
      </c>
      <c r="H3647" t="s">
        <v>32</v>
      </c>
      <c r="I3647" t="s">
        <v>39</v>
      </c>
      <c r="J3647">
        <v>66</v>
      </c>
      <c r="K3647">
        <v>1018.86</v>
      </c>
      <c r="L3647">
        <v>67244.95</v>
      </c>
      <c r="M3647">
        <v>45453.78</v>
      </c>
      <c r="N3647">
        <v>6316.25</v>
      </c>
      <c r="O3647">
        <v>2157.86</v>
      </c>
      <c r="P3647">
        <v>1682.07</v>
      </c>
      <c r="Q3647">
        <v>819.54</v>
      </c>
      <c r="R3647">
        <v>3327.89</v>
      </c>
      <c r="S3647">
        <v>1625.23</v>
      </c>
      <c r="T3647">
        <v>61382.62</v>
      </c>
      <c r="U3647">
        <v>21791.16</v>
      </c>
      <c r="V3647">
        <v>5862.33</v>
      </c>
      <c r="W3647">
        <v>5221.01</v>
      </c>
      <c r="X3647">
        <v>72818.16</v>
      </c>
      <c r="Y3647">
        <v>57178.81</v>
      </c>
    </row>
    <row r="3648" spans="1:25" x14ac:dyDescent="0.25">
      <c r="A3648" t="s">
        <v>3704</v>
      </c>
      <c r="B3648" s="1">
        <v>45933</v>
      </c>
      <c r="C3648">
        <v>2025</v>
      </c>
      <c r="D3648">
        <v>10</v>
      </c>
      <c r="E3648" t="s">
        <v>1017</v>
      </c>
      <c r="F3648" t="s">
        <v>1018</v>
      </c>
      <c r="G3648" t="s">
        <v>28</v>
      </c>
      <c r="H3648" t="s">
        <v>32</v>
      </c>
      <c r="I3648" t="s">
        <v>56</v>
      </c>
      <c r="J3648">
        <v>48</v>
      </c>
      <c r="K3648">
        <v>836.85</v>
      </c>
      <c r="L3648">
        <v>40168.93</v>
      </c>
      <c r="M3648">
        <v>26527.040000000001</v>
      </c>
      <c r="N3648">
        <v>3734.04</v>
      </c>
      <c r="O3648">
        <v>2894.84</v>
      </c>
      <c r="P3648">
        <v>1772.94</v>
      </c>
      <c r="Q3648">
        <v>683.44</v>
      </c>
      <c r="R3648">
        <v>1389.72</v>
      </c>
      <c r="S3648">
        <v>897.45</v>
      </c>
      <c r="T3648">
        <v>37899.46</v>
      </c>
      <c r="U3648">
        <v>13641.9</v>
      </c>
      <c r="V3648">
        <v>2269.4699999999998</v>
      </c>
      <c r="W3648">
        <v>2075.37</v>
      </c>
      <c r="X3648">
        <v>39145.910000000003</v>
      </c>
      <c r="Y3648">
        <v>37348.120000000003</v>
      </c>
    </row>
    <row r="3649" spans="1:25" x14ac:dyDescent="0.25">
      <c r="A3649" t="s">
        <v>3705</v>
      </c>
      <c r="B3649" s="1">
        <v>45933</v>
      </c>
      <c r="C3649">
        <v>2025</v>
      </c>
      <c r="D3649">
        <v>10</v>
      </c>
      <c r="E3649" t="s">
        <v>1017</v>
      </c>
      <c r="F3649" t="s">
        <v>1018</v>
      </c>
      <c r="G3649" t="s">
        <v>28</v>
      </c>
      <c r="H3649" t="s">
        <v>32</v>
      </c>
      <c r="I3649" t="s">
        <v>50</v>
      </c>
      <c r="J3649">
        <v>79</v>
      </c>
      <c r="K3649">
        <v>846.61</v>
      </c>
      <c r="L3649">
        <v>66881.94</v>
      </c>
      <c r="M3649">
        <v>41330.129999999997</v>
      </c>
      <c r="N3649">
        <v>7140.68</v>
      </c>
      <c r="O3649">
        <v>4773.92</v>
      </c>
      <c r="P3649">
        <v>2141.44</v>
      </c>
      <c r="Q3649">
        <v>643.6</v>
      </c>
      <c r="R3649">
        <v>2077.83</v>
      </c>
      <c r="S3649">
        <v>1400.97</v>
      </c>
      <c r="T3649">
        <v>59508.58</v>
      </c>
      <c r="U3649">
        <v>25551.81</v>
      </c>
      <c r="V3649">
        <v>7373.36</v>
      </c>
      <c r="W3649">
        <v>6585.9</v>
      </c>
      <c r="X3649">
        <v>62231.88</v>
      </c>
      <c r="Y3649">
        <v>55372.6</v>
      </c>
    </row>
    <row r="3650" spans="1:25" x14ac:dyDescent="0.25">
      <c r="A3650" t="s">
        <v>3706</v>
      </c>
      <c r="B3650" s="1">
        <v>45933</v>
      </c>
      <c r="C3650">
        <v>2025</v>
      </c>
      <c r="D3650">
        <v>10</v>
      </c>
      <c r="E3650" t="s">
        <v>1017</v>
      </c>
      <c r="F3650" t="s">
        <v>1018</v>
      </c>
      <c r="G3650" t="s">
        <v>35</v>
      </c>
      <c r="H3650" t="s">
        <v>36</v>
      </c>
      <c r="I3650" t="s">
        <v>45</v>
      </c>
      <c r="J3650">
        <v>42</v>
      </c>
      <c r="K3650">
        <v>813.65</v>
      </c>
      <c r="L3650">
        <v>34173.21</v>
      </c>
      <c r="M3650">
        <v>21050.53</v>
      </c>
      <c r="N3650">
        <v>4153.87</v>
      </c>
      <c r="O3650">
        <v>1695.67</v>
      </c>
      <c r="P3650">
        <v>990.63</v>
      </c>
      <c r="Q3650">
        <v>312.08</v>
      </c>
      <c r="R3650">
        <v>1170.3</v>
      </c>
      <c r="S3650">
        <v>313.26</v>
      </c>
      <c r="T3650">
        <v>29686.33</v>
      </c>
      <c r="U3650">
        <v>13122.68</v>
      </c>
      <c r="V3650">
        <v>4486.87</v>
      </c>
      <c r="W3650">
        <v>4191.18</v>
      </c>
      <c r="X3650">
        <v>37047.199999999997</v>
      </c>
      <c r="Y3650">
        <v>30543.95</v>
      </c>
    </row>
    <row r="3651" spans="1:25" x14ac:dyDescent="0.25">
      <c r="A3651" t="s">
        <v>3707</v>
      </c>
      <c r="B3651" s="1">
        <v>45933</v>
      </c>
      <c r="C3651">
        <v>2025</v>
      </c>
      <c r="D3651">
        <v>10</v>
      </c>
      <c r="E3651" t="s">
        <v>1017</v>
      </c>
      <c r="F3651" t="s">
        <v>1018</v>
      </c>
      <c r="G3651" t="s">
        <v>44</v>
      </c>
      <c r="H3651" t="s">
        <v>32</v>
      </c>
      <c r="I3651" t="s">
        <v>56</v>
      </c>
      <c r="J3651">
        <v>34</v>
      </c>
      <c r="K3651">
        <v>1222.99</v>
      </c>
      <c r="L3651">
        <v>41581.660000000003</v>
      </c>
      <c r="M3651">
        <v>20032.46</v>
      </c>
      <c r="N3651">
        <v>4977.18</v>
      </c>
      <c r="O3651">
        <v>1959.06</v>
      </c>
      <c r="P3651">
        <v>713.07</v>
      </c>
      <c r="Q3651">
        <v>564.98</v>
      </c>
      <c r="R3651">
        <v>2183.5300000000002</v>
      </c>
      <c r="S3651">
        <v>653.15</v>
      </c>
      <c r="T3651">
        <v>31083.439999999999</v>
      </c>
      <c r="U3651">
        <v>21549.200000000001</v>
      </c>
      <c r="V3651">
        <v>10498.22</v>
      </c>
      <c r="W3651">
        <v>9562.07</v>
      </c>
      <c r="X3651">
        <v>40571.31</v>
      </c>
      <c r="Y3651">
        <v>31853.78</v>
      </c>
    </row>
    <row r="3652" spans="1:25" x14ac:dyDescent="0.25">
      <c r="A3652" t="s">
        <v>3708</v>
      </c>
      <c r="B3652" s="1">
        <v>45934</v>
      </c>
      <c r="C3652">
        <v>2025</v>
      </c>
      <c r="D3652">
        <v>10</v>
      </c>
      <c r="E3652" t="s">
        <v>1017</v>
      </c>
      <c r="F3652" t="s">
        <v>1018</v>
      </c>
      <c r="G3652" t="s">
        <v>55</v>
      </c>
      <c r="H3652" t="s">
        <v>36</v>
      </c>
      <c r="I3652" t="s">
        <v>50</v>
      </c>
      <c r="J3652">
        <v>43</v>
      </c>
      <c r="K3652">
        <v>1464.25</v>
      </c>
      <c r="L3652">
        <v>62962.879999999997</v>
      </c>
      <c r="M3652">
        <v>38814.71</v>
      </c>
      <c r="N3652">
        <v>4478.46</v>
      </c>
      <c r="O3652">
        <v>2615.02</v>
      </c>
      <c r="P3652">
        <v>2450.9499999999998</v>
      </c>
      <c r="Q3652">
        <v>334.08</v>
      </c>
      <c r="R3652">
        <v>2965.34</v>
      </c>
      <c r="S3652">
        <v>734.07</v>
      </c>
      <c r="T3652">
        <v>52392.63</v>
      </c>
      <c r="U3652">
        <v>24148.17</v>
      </c>
      <c r="V3652">
        <v>10570.25</v>
      </c>
      <c r="W3652">
        <v>9741.52</v>
      </c>
      <c r="X3652">
        <v>58352.57</v>
      </c>
      <c r="Y3652">
        <v>50822.76</v>
      </c>
    </row>
    <row r="3653" spans="1:25" x14ac:dyDescent="0.25">
      <c r="A3653" t="s">
        <v>3709</v>
      </c>
      <c r="B3653" s="1">
        <v>45934</v>
      </c>
      <c r="C3653">
        <v>2025</v>
      </c>
      <c r="D3653">
        <v>10</v>
      </c>
      <c r="E3653" t="s">
        <v>1017</v>
      </c>
      <c r="F3653" t="s">
        <v>1018</v>
      </c>
      <c r="G3653" t="s">
        <v>55</v>
      </c>
      <c r="H3653" t="s">
        <v>53</v>
      </c>
      <c r="I3653" t="s">
        <v>65</v>
      </c>
      <c r="J3653">
        <v>35</v>
      </c>
      <c r="K3653">
        <v>1712.06</v>
      </c>
      <c r="L3653">
        <v>59922.1</v>
      </c>
      <c r="M3653">
        <v>34989.550000000003</v>
      </c>
      <c r="N3653">
        <v>6302.25</v>
      </c>
      <c r="O3653">
        <v>1703.42</v>
      </c>
      <c r="P3653">
        <v>1852.01</v>
      </c>
      <c r="Q3653">
        <v>408.7</v>
      </c>
      <c r="R3653">
        <v>3658.12</v>
      </c>
      <c r="S3653">
        <v>1165.3399999999999</v>
      </c>
      <c r="T3653">
        <v>50079.39</v>
      </c>
      <c r="U3653">
        <v>24932.560000000001</v>
      </c>
      <c r="V3653">
        <v>9842.7199999999993</v>
      </c>
      <c r="W3653">
        <v>9573.92</v>
      </c>
      <c r="X3653">
        <v>62606.66</v>
      </c>
      <c r="Y3653">
        <v>52852.31</v>
      </c>
    </row>
    <row r="3654" spans="1:25" x14ac:dyDescent="0.25">
      <c r="A3654" t="s">
        <v>3710</v>
      </c>
      <c r="B3654" s="1">
        <v>45934</v>
      </c>
      <c r="C3654">
        <v>2025</v>
      </c>
      <c r="D3654">
        <v>10</v>
      </c>
      <c r="E3654" t="s">
        <v>1017</v>
      </c>
      <c r="F3654" t="s">
        <v>1018</v>
      </c>
      <c r="G3654" t="s">
        <v>55</v>
      </c>
      <c r="H3654" t="s">
        <v>32</v>
      </c>
      <c r="I3654" t="s">
        <v>37</v>
      </c>
      <c r="J3654">
        <v>98</v>
      </c>
      <c r="K3654">
        <v>900.34</v>
      </c>
      <c r="L3654">
        <v>88233.79</v>
      </c>
      <c r="M3654">
        <v>52735.02</v>
      </c>
      <c r="N3654">
        <v>10013.629999999999</v>
      </c>
      <c r="O3654">
        <v>6036.79</v>
      </c>
      <c r="P3654">
        <v>1596.66</v>
      </c>
      <c r="Q3654">
        <v>520.38</v>
      </c>
      <c r="R3654">
        <v>3143.62</v>
      </c>
      <c r="S3654">
        <v>1689.1</v>
      </c>
      <c r="T3654">
        <v>75735.210000000006</v>
      </c>
      <c r="U3654">
        <v>35498.769999999997</v>
      </c>
      <c r="V3654">
        <v>12498.59</v>
      </c>
      <c r="W3654">
        <v>11768.98</v>
      </c>
      <c r="X3654">
        <v>83663.91</v>
      </c>
      <c r="Y3654">
        <v>79186.929999999993</v>
      </c>
    </row>
    <row r="3655" spans="1:25" x14ac:dyDescent="0.25">
      <c r="A3655" t="s">
        <v>3711</v>
      </c>
      <c r="B3655" s="1">
        <v>45934</v>
      </c>
      <c r="C3655">
        <v>2025</v>
      </c>
      <c r="D3655">
        <v>10</v>
      </c>
      <c r="E3655" t="s">
        <v>1017</v>
      </c>
      <c r="F3655" t="s">
        <v>1018</v>
      </c>
      <c r="G3655" t="s">
        <v>28</v>
      </c>
      <c r="H3655" t="s">
        <v>32</v>
      </c>
      <c r="I3655" t="s">
        <v>45</v>
      </c>
      <c r="J3655">
        <v>30</v>
      </c>
      <c r="K3655">
        <v>1427.76</v>
      </c>
      <c r="L3655">
        <v>42832.67</v>
      </c>
      <c r="M3655">
        <v>23460.84</v>
      </c>
      <c r="N3655">
        <v>3454.86</v>
      </c>
      <c r="O3655">
        <v>2926.73</v>
      </c>
      <c r="P3655">
        <v>1287.24</v>
      </c>
      <c r="Q3655">
        <v>637.13</v>
      </c>
      <c r="R3655">
        <v>2230.59</v>
      </c>
      <c r="S3655">
        <v>887.18</v>
      </c>
      <c r="T3655">
        <v>34884.58</v>
      </c>
      <c r="U3655">
        <v>19371.830000000002</v>
      </c>
      <c r="V3655">
        <v>7948.09</v>
      </c>
      <c r="W3655">
        <v>7956.34</v>
      </c>
      <c r="X3655">
        <v>46211.43</v>
      </c>
      <c r="Y3655">
        <v>35815.53</v>
      </c>
    </row>
    <row r="3656" spans="1:25" x14ac:dyDescent="0.25">
      <c r="A3656" t="s">
        <v>3712</v>
      </c>
      <c r="B3656" s="1">
        <v>45934</v>
      </c>
      <c r="C3656">
        <v>2025</v>
      </c>
      <c r="D3656">
        <v>10</v>
      </c>
      <c r="E3656" t="s">
        <v>1017</v>
      </c>
      <c r="F3656" t="s">
        <v>1018</v>
      </c>
      <c r="G3656" t="s">
        <v>44</v>
      </c>
      <c r="H3656" t="s">
        <v>32</v>
      </c>
      <c r="I3656" t="s">
        <v>65</v>
      </c>
      <c r="J3656">
        <v>38</v>
      </c>
      <c r="K3656">
        <v>1706.4</v>
      </c>
      <c r="L3656">
        <v>64843.03</v>
      </c>
      <c r="M3656">
        <v>33011.97</v>
      </c>
      <c r="N3656">
        <v>5759.3</v>
      </c>
      <c r="O3656">
        <v>3666.84</v>
      </c>
      <c r="P3656">
        <v>1648.38</v>
      </c>
      <c r="Q3656">
        <v>853.68</v>
      </c>
      <c r="R3656">
        <v>3937.59</v>
      </c>
      <c r="S3656">
        <v>1162.78</v>
      </c>
      <c r="T3656">
        <v>50040.52</v>
      </c>
      <c r="U3656">
        <v>31831.06</v>
      </c>
      <c r="V3656">
        <v>14802.5</v>
      </c>
      <c r="W3656">
        <v>14130.87</v>
      </c>
      <c r="X3656">
        <v>69085.86</v>
      </c>
      <c r="Y3656">
        <v>54814.02</v>
      </c>
    </row>
    <row r="3657" spans="1:25" x14ac:dyDescent="0.25">
      <c r="A3657" t="s">
        <v>3713</v>
      </c>
      <c r="B3657" s="1">
        <v>45935</v>
      </c>
      <c r="C3657">
        <v>2025</v>
      </c>
      <c r="D3657">
        <v>10</v>
      </c>
      <c r="E3657" t="s">
        <v>1017</v>
      </c>
      <c r="F3657" t="s">
        <v>1018</v>
      </c>
      <c r="G3657" t="s">
        <v>55</v>
      </c>
      <c r="H3657" t="s">
        <v>32</v>
      </c>
      <c r="I3657" t="s">
        <v>56</v>
      </c>
      <c r="J3657">
        <v>28</v>
      </c>
      <c r="K3657">
        <v>1711.41</v>
      </c>
      <c r="L3657">
        <v>47919.6</v>
      </c>
      <c r="M3657">
        <v>32154.18</v>
      </c>
      <c r="N3657">
        <v>6050.64</v>
      </c>
      <c r="O3657">
        <v>2470.36</v>
      </c>
      <c r="P3657">
        <v>1439.62</v>
      </c>
      <c r="Q3657">
        <v>314.69</v>
      </c>
      <c r="R3657">
        <v>2819.72</v>
      </c>
      <c r="S3657">
        <v>501.73</v>
      </c>
      <c r="T3657">
        <v>45750.95</v>
      </c>
      <c r="U3657">
        <v>15765.42</v>
      </c>
      <c r="V3657">
        <v>2168.65</v>
      </c>
      <c r="W3657">
        <v>2103.27</v>
      </c>
      <c r="X3657">
        <v>45249.34</v>
      </c>
      <c r="Y3657">
        <v>45157.95</v>
      </c>
    </row>
    <row r="3658" spans="1:25" x14ac:dyDescent="0.25">
      <c r="A3658" t="s">
        <v>3714</v>
      </c>
      <c r="B3658" s="1">
        <v>45935</v>
      </c>
      <c r="C3658">
        <v>2025</v>
      </c>
      <c r="D3658">
        <v>10</v>
      </c>
      <c r="E3658" t="s">
        <v>1017</v>
      </c>
      <c r="F3658" t="s">
        <v>1018</v>
      </c>
      <c r="G3658" t="s">
        <v>35</v>
      </c>
      <c r="H3658" t="s">
        <v>32</v>
      </c>
      <c r="I3658" t="s">
        <v>50</v>
      </c>
      <c r="J3658">
        <v>30</v>
      </c>
      <c r="K3658">
        <v>1794.1</v>
      </c>
      <c r="L3658">
        <v>53822.86</v>
      </c>
      <c r="M3658">
        <v>27638.93</v>
      </c>
      <c r="N3658">
        <v>5738.39</v>
      </c>
      <c r="O3658">
        <v>1612.83</v>
      </c>
      <c r="P3658">
        <v>1492.15</v>
      </c>
      <c r="Q3658">
        <v>855.2</v>
      </c>
      <c r="R3658">
        <v>1543.68</v>
      </c>
      <c r="S3658">
        <v>1211.69</v>
      </c>
      <c r="T3658">
        <v>40092.870000000003</v>
      </c>
      <c r="U3658">
        <v>26183.93</v>
      </c>
      <c r="V3658">
        <v>13729.99</v>
      </c>
      <c r="W3658">
        <v>13990.18</v>
      </c>
      <c r="X3658">
        <v>51226.82</v>
      </c>
      <c r="Y3658">
        <v>42205.98</v>
      </c>
    </row>
    <row r="3659" spans="1:25" x14ac:dyDescent="0.25">
      <c r="A3659" t="s">
        <v>3715</v>
      </c>
      <c r="B3659" s="1">
        <v>45935</v>
      </c>
      <c r="C3659">
        <v>2025</v>
      </c>
      <c r="D3659">
        <v>10</v>
      </c>
      <c r="E3659" t="s">
        <v>1017</v>
      </c>
      <c r="F3659" t="s">
        <v>1018</v>
      </c>
      <c r="G3659" t="s">
        <v>55</v>
      </c>
      <c r="H3659" t="s">
        <v>32</v>
      </c>
      <c r="I3659" t="s">
        <v>39</v>
      </c>
      <c r="J3659">
        <v>32</v>
      </c>
      <c r="K3659">
        <v>1562.18</v>
      </c>
      <c r="L3659">
        <v>49989.88</v>
      </c>
      <c r="M3659">
        <v>24367.64</v>
      </c>
      <c r="N3659">
        <v>4678.1400000000003</v>
      </c>
      <c r="O3659">
        <v>2095.62</v>
      </c>
      <c r="P3659">
        <v>846.06</v>
      </c>
      <c r="Q3659">
        <v>855.04</v>
      </c>
      <c r="R3659">
        <v>1828.66</v>
      </c>
      <c r="S3659">
        <v>801.62</v>
      </c>
      <c r="T3659">
        <v>35472.769999999997</v>
      </c>
      <c r="U3659">
        <v>25622.240000000002</v>
      </c>
      <c r="V3659">
        <v>14517.12</v>
      </c>
      <c r="W3659">
        <v>14772.5</v>
      </c>
      <c r="X3659">
        <v>46667.91</v>
      </c>
      <c r="Y3659">
        <v>38404.5</v>
      </c>
    </row>
    <row r="3660" spans="1:25" x14ac:dyDescent="0.25">
      <c r="A3660" t="s">
        <v>3716</v>
      </c>
      <c r="B3660" s="1">
        <v>45935</v>
      </c>
      <c r="C3660">
        <v>2025</v>
      </c>
      <c r="D3660">
        <v>10</v>
      </c>
      <c r="E3660" t="s">
        <v>1017</v>
      </c>
      <c r="F3660" t="s">
        <v>1018</v>
      </c>
      <c r="G3660" t="s">
        <v>28</v>
      </c>
      <c r="H3660" t="s">
        <v>32</v>
      </c>
      <c r="I3660" t="s">
        <v>56</v>
      </c>
      <c r="J3660">
        <v>30</v>
      </c>
      <c r="K3660">
        <v>1731.28</v>
      </c>
      <c r="L3660">
        <v>51938.31</v>
      </c>
      <c r="M3660">
        <v>31881.64</v>
      </c>
      <c r="N3660">
        <v>5852.56</v>
      </c>
      <c r="O3660">
        <v>3214.35</v>
      </c>
      <c r="P3660">
        <v>909.79</v>
      </c>
      <c r="Q3660">
        <v>907.37</v>
      </c>
      <c r="R3660">
        <v>1752.82</v>
      </c>
      <c r="S3660">
        <v>1176.18</v>
      </c>
      <c r="T3660">
        <v>45694.7</v>
      </c>
      <c r="U3660">
        <v>20056.68</v>
      </c>
      <c r="V3660">
        <v>6243.61</v>
      </c>
      <c r="W3660">
        <v>6059.33</v>
      </c>
      <c r="X3660">
        <v>49167.56</v>
      </c>
      <c r="Y3660">
        <v>43385.81</v>
      </c>
    </row>
    <row r="3661" spans="1:25" x14ac:dyDescent="0.25">
      <c r="A3661" t="s">
        <v>3717</v>
      </c>
      <c r="B3661" s="1">
        <v>45935</v>
      </c>
      <c r="C3661">
        <v>2025</v>
      </c>
      <c r="D3661">
        <v>10</v>
      </c>
      <c r="E3661" t="s">
        <v>1017</v>
      </c>
      <c r="F3661" t="s">
        <v>1018</v>
      </c>
      <c r="G3661" t="s">
        <v>28</v>
      </c>
      <c r="H3661" t="s">
        <v>29</v>
      </c>
      <c r="I3661" t="s">
        <v>39</v>
      </c>
      <c r="J3661">
        <v>24</v>
      </c>
      <c r="K3661">
        <v>1697.87</v>
      </c>
      <c r="L3661">
        <v>40748.9</v>
      </c>
      <c r="M3661">
        <v>27523.86</v>
      </c>
      <c r="N3661">
        <v>4314.6499999999996</v>
      </c>
      <c r="O3661">
        <v>2467.2199999999998</v>
      </c>
      <c r="P3661">
        <v>1613.62</v>
      </c>
      <c r="Q3661">
        <v>472.57</v>
      </c>
      <c r="R3661">
        <v>1132.28</v>
      </c>
      <c r="S3661">
        <v>617.24</v>
      </c>
      <c r="T3661">
        <v>38141.43</v>
      </c>
      <c r="U3661">
        <v>13225.04</v>
      </c>
      <c r="V3661">
        <v>2607.4699999999998</v>
      </c>
      <c r="W3661">
        <v>2490.77</v>
      </c>
      <c r="X3661">
        <v>40348.410000000003</v>
      </c>
      <c r="Y3661">
        <v>38357.35</v>
      </c>
    </row>
    <row r="3662" spans="1:25" x14ac:dyDescent="0.25">
      <c r="A3662" t="s">
        <v>3718</v>
      </c>
      <c r="B3662" s="1">
        <v>45936</v>
      </c>
      <c r="C3662">
        <v>2025</v>
      </c>
      <c r="D3662">
        <v>10</v>
      </c>
      <c r="E3662" t="s">
        <v>1017</v>
      </c>
      <c r="F3662" t="s">
        <v>1018</v>
      </c>
      <c r="G3662" t="s">
        <v>44</v>
      </c>
      <c r="H3662" t="s">
        <v>36</v>
      </c>
      <c r="I3662" t="s">
        <v>45</v>
      </c>
      <c r="J3662">
        <v>38</v>
      </c>
      <c r="K3662">
        <v>1232.97</v>
      </c>
      <c r="L3662">
        <v>46853</v>
      </c>
      <c r="M3662">
        <v>28004.43</v>
      </c>
      <c r="N3662">
        <v>4262.6499999999996</v>
      </c>
      <c r="O3662">
        <v>3383.13</v>
      </c>
      <c r="P3662">
        <v>794.27</v>
      </c>
      <c r="Q3662">
        <v>658.81</v>
      </c>
      <c r="R3662">
        <v>2118.3000000000002</v>
      </c>
      <c r="S3662">
        <v>926.09</v>
      </c>
      <c r="T3662">
        <v>40147.67</v>
      </c>
      <c r="U3662">
        <v>18848.57</v>
      </c>
      <c r="V3662">
        <v>6705.33</v>
      </c>
      <c r="W3662">
        <v>6375.22</v>
      </c>
      <c r="X3662">
        <v>51639.03</v>
      </c>
      <c r="Y3662">
        <v>38062.449999999997</v>
      </c>
    </row>
    <row r="3663" spans="1:25" x14ac:dyDescent="0.25">
      <c r="A3663" t="s">
        <v>3719</v>
      </c>
      <c r="B3663" s="1">
        <v>45936</v>
      </c>
      <c r="C3663">
        <v>2025</v>
      </c>
      <c r="D3663">
        <v>10</v>
      </c>
      <c r="E3663" t="s">
        <v>1017</v>
      </c>
      <c r="F3663" t="s">
        <v>1018</v>
      </c>
      <c r="G3663" t="s">
        <v>35</v>
      </c>
      <c r="H3663" t="s">
        <v>32</v>
      </c>
      <c r="I3663" t="s">
        <v>45</v>
      </c>
      <c r="J3663">
        <v>23</v>
      </c>
      <c r="K3663">
        <v>1699.85</v>
      </c>
      <c r="L3663">
        <v>39096.46</v>
      </c>
      <c r="M3663">
        <v>23534.45</v>
      </c>
      <c r="N3663">
        <v>3714.45</v>
      </c>
      <c r="O3663">
        <v>2876.98</v>
      </c>
      <c r="P3663">
        <v>735.15</v>
      </c>
      <c r="Q3663">
        <v>613.73</v>
      </c>
      <c r="R3663">
        <v>1126.46</v>
      </c>
      <c r="S3663">
        <v>754.94</v>
      </c>
      <c r="T3663">
        <v>33356.17</v>
      </c>
      <c r="U3663">
        <v>15562.01</v>
      </c>
      <c r="V3663">
        <v>5740.3</v>
      </c>
      <c r="W3663">
        <v>5218.45</v>
      </c>
      <c r="X3663">
        <v>37690.379999999997</v>
      </c>
      <c r="Y3663">
        <v>34864.400000000001</v>
      </c>
    </row>
    <row r="3664" spans="1:25" x14ac:dyDescent="0.25">
      <c r="A3664" t="s">
        <v>3720</v>
      </c>
      <c r="B3664" s="1">
        <v>45936</v>
      </c>
      <c r="C3664">
        <v>2025</v>
      </c>
      <c r="D3664">
        <v>10</v>
      </c>
      <c r="E3664" t="s">
        <v>1017</v>
      </c>
      <c r="F3664" t="s">
        <v>1018</v>
      </c>
      <c r="G3664" t="s">
        <v>28</v>
      </c>
      <c r="H3664" t="s">
        <v>36</v>
      </c>
      <c r="I3664" t="s">
        <v>50</v>
      </c>
      <c r="J3664">
        <v>37</v>
      </c>
      <c r="K3664">
        <v>1580.51</v>
      </c>
      <c r="L3664">
        <v>58478.73</v>
      </c>
      <c r="M3664">
        <v>28165.7</v>
      </c>
      <c r="N3664">
        <v>4286.97</v>
      </c>
      <c r="O3664">
        <v>3140.53</v>
      </c>
      <c r="P3664">
        <v>1126.3599999999999</v>
      </c>
      <c r="Q3664">
        <v>568.54999999999995</v>
      </c>
      <c r="R3664">
        <v>2240.59</v>
      </c>
      <c r="S3664">
        <v>539.21</v>
      </c>
      <c r="T3664">
        <v>40067.910000000003</v>
      </c>
      <c r="U3664">
        <v>30313.03</v>
      </c>
      <c r="V3664">
        <v>18410.82</v>
      </c>
      <c r="W3664">
        <v>16644.7</v>
      </c>
      <c r="X3664">
        <v>57653.95</v>
      </c>
      <c r="Y3664">
        <v>38067.11</v>
      </c>
    </row>
    <row r="3665" spans="1:25" x14ac:dyDescent="0.25">
      <c r="A3665" t="s">
        <v>3721</v>
      </c>
      <c r="B3665" s="1">
        <v>45937</v>
      </c>
      <c r="C3665">
        <v>2025</v>
      </c>
      <c r="D3665">
        <v>10</v>
      </c>
      <c r="E3665" t="s">
        <v>1017</v>
      </c>
      <c r="F3665" t="s">
        <v>1018</v>
      </c>
      <c r="G3665" t="s">
        <v>28</v>
      </c>
      <c r="H3665" t="s">
        <v>32</v>
      </c>
      <c r="I3665" t="s">
        <v>33</v>
      </c>
      <c r="J3665">
        <v>67</v>
      </c>
      <c r="K3665">
        <v>1148.8900000000001</v>
      </c>
      <c r="L3665">
        <v>76975.7</v>
      </c>
      <c r="M3665">
        <v>45362.95</v>
      </c>
      <c r="N3665">
        <v>8017.31</v>
      </c>
      <c r="O3665">
        <v>3902.14</v>
      </c>
      <c r="P3665">
        <v>1526.49</v>
      </c>
      <c r="Q3665">
        <v>1147.0899999999999</v>
      </c>
      <c r="R3665">
        <v>2296.09</v>
      </c>
      <c r="S3665">
        <v>1117.3900000000001</v>
      </c>
      <c r="T3665">
        <v>63369.46</v>
      </c>
      <c r="U3665">
        <v>31612.75</v>
      </c>
      <c r="V3665">
        <v>13606.24</v>
      </c>
      <c r="W3665">
        <v>13323.22</v>
      </c>
      <c r="X3665">
        <v>75605.62</v>
      </c>
      <c r="Y3665">
        <v>66426.820000000007</v>
      </c>
    </row>
    <row r="3666" spans="1:25" x14ac:dyDescent="0.25">
      <c r="A3666" t="s">
        <v>3722</v>
      </c>
      <c r="B3666" s="1">
        <v>45937</v>
      </c>
      <c r="C3666">
        <v>2025</v>
      </c>
      <c r="D3666">
        <v>10</v>
      </c>
      <c r="E3666" t="s">
        <v>1017</v>
      </c>
      <c r="F3666" t="s">
        <v>1018</v>
      </c>
      <c r="G3666" t="s">
        <v>44</v>
      </c>
      <c r="H3666" t="s">
        <v>29</v>
      </c>
      <c r="I3666" t="s">
        <v>37</v>
      </c>
      <c r="J3666">
        <v>43</v>
      </c>
      <c r="K3666">
        <v>1461.34</v>
      </c>
      <c r="L3666">
        <v>62837.72</v>
      </c>
      <c r="M3666">
        <v>39573.82</v>
      </c>
      <c r="N3666">
        <v>5986.32</v>
      </c>
      <c r="O3666">
        <v>4193.24</v>
      </c>
      <c r="P3666">
        <v>2247.88</v>
      </c>
      <c r="Q3666">
        <v>451.83</v>
      </c>
      <c r="R3666">
        <v>2968.2</v>
      </c>
      <c r="S3666">
        <v>735.81</v>
      </c>
      <c r="T3666">
        <v>56157.09</v>
      </c>
      <c r="U3666">
        <v>23263.9</v>
      </c>
      <c r="V3666">
        <v>6680.63</v>
      </c>
      <c r="W3666">
        <v>6021.02</v>
      </c>
      <c r="X3666">
        <v>67093.36</v>
      </c>
      <c r="Y3666">
        <v>57296.7</v>
      </c>
    </row>
    <row r="3667" spans="1:25" x14ac:dyDescent="0.25">
      <c r="A3667" t="s">
        <v>3723</v>
      </c>
      <c r="B3667" s="1">
        <v>45938</v>
      </c>
      <c r="C3667">
        <v>2025</v>
      </c>
      <c r="D3667">
        <v>10</v>
      </c>
      <c r="E3667" t="s">
        <v>1017</v>
      </c>
      <c r="F3667" t="s">
        <v>1018</v>
      </c>
      <c r="G3667" t="s">
        <v>55</v>
      </c>
      <c r="H3667" t="s">
        <v>32</v>
      </c>
      <c r="I3667" t="s">
        <v>45</v>
      </c>
      <c r="J3667">
        <v>32</v>
      </c>
      <c r="K3667">
        <v>1475.71</v>
      </c>
      <c r="L3667">
        <v>47222.62</v>
      </c>
      <c r="M3667">
        <v>25599.73</v>
      </c>
      <c r="N3667">
        <v>5563.41</v>
      </c>
      <c r="O3667">
        <v>1469.52</v>
      </c>
      <c r="P3667">
        <v>940.78</v>
      </c>
      <c r="Q3667">
        <v>518.66</v>
      </c>
      <c r="R3667">
        <v>2407.27</v>
      </c>
      <c r="S3667">
        <v>596.44000000000005</v>
      </c>
      <c r="T3667">
        <v>37095.82</v>
      </c>
      <c r="U3667">
        <v>21622.89</v>
      </c>
      <c r="V3667">
        <v>10126.799999999999</v>
      </c>
      <c r="W3667">
        <v>9516.6</v>
      </c>
      <c r="X3667">
        <v>49466.47</v>
      </c>
      <c r="Y3667">
        <v>37376.03</v>
      </c>
    </row>
    <row r="3668" spans="1:25" x14ac:dyDescent="0.25">
      <c r="A3668" t="s">
        <v>3724</v>
      </c>
      <c r="B3668" s="1">
        <v>45938</v>
      </c>
      <c r="C3668">
        <v>2025</v>
      </c>
      <c r="D3668">
        <v>10</v>
      </c>
      <c r="E3668" t="s">
        <v>1017</v>
      </c>
      <c r="F3668" t="s">
        <v>1018</v>
      </c>
      <c r="G3668" t="s">
        <v>28</v>
      </c>
      <c r="H3668" t="s">
        <v>36</v>
      </c>
      <c r="I3668" t="s">
        <v>39</v>
      </c>
      <c r="J3668">
        <v>46</v>
      </c>
      <c r="K3668">
        <v>993</v>
      </c>
      <c r="L3668">
        <v>45678.05</v>
      </c>
      <c r="M3668">
        <v>30668.23</v>
      </c>
      <c r="N3668">
        <v>4546.2</v>
      </c>
      <c r="O3668">
        <v>1562.8</v>
      </c>
      <c r="P3668">
        <v>1787.57</v>
      </c>
      <c r="Q3668">
        <v>574.42999999999995</v>
      </c>
      <c r="R3668">
        <v>1746.54</v>
      </c>
      <c r="S3668">
        <v>840.55</v>
      </c>
      <c r="T3668">
        <v>41726.32</v>
      </c>
      <c r="U3668">
        <v>15009.82</v>
      </c>
      <c r="V3668">
        <v>3951.73</v>
      </c>
      <c r="W3668">
        <v>4015.75</v>
      </c>
      <c r="X3668">
        <v>47449.39</v>
      </c>
      <c r="Y3668">
        <v>44051.78</v>
      </c>
    </row>
    <row r="3669" spans="1:25" x14ac:dyDescent="0.25">
      <c r="A3669" t="s">
        <v>3725</v>
      </c>
      <c r="B3669" s="1">
        <v>45938</v>
      </c>
      <c r="C3669">
        <v>2025</v>
      </c>
      <c r="D3669">
        <v>10</v>
      </c>
      <c r="E3669" t="s">
        <v>1017</v>
      </c>
      <c r="F3669" t="s">
        <v>1018</v>
      </c>
      <c r="G3669" t="s">
        <v>35</v>
      </c>
      <c r="H3669" t="s">
        <v>58</v>
      </c>
      <c r="I3669" t="s">
        <v>45</v>
      </c>
      <c r="J3669">
        <v>43</v>
      </c>
      <c r="K3669">
        <v>1000.63</v>
      </c>
      <c r="L3669">
        <v>43027.09</v>
      </c>
      <c r="M3669">
        <v>22122.98</v>
      </c>
      <c r="N3669">
        <v>3273.06</v>
      </c>
      <c r="O3669">
        <v>1657.67</v>
      </c>
      <c r="P3669">
        <v>1905.12</v>
      </c>
      <c r="Q3669">
        <v>659.62</v>
      </c>
      <c r="R3669">
        <v>2558.17</v>
      </c>
      <c r="S3669">
        <v>800.38</v>
      </c>
      <c r="T3669">
        <v>32977.01</v>
      </c>
      <c r="U3669">
        <v>20904.11</v>
      </c>
      <c r="V3669">
        <v>10050.08</v>
      </c>
      <c r="W3669">
        <v>10024.82</v>
      </c>
      <c r="X3669">
        <v>48123.07</v>
      </c>
      <c r="Y3669">
        <v>35345.68</v>
      </c>
    </row>
    <row r="3670" spans="1:25" x14ac:dyDescent="0.25">
      <c r="A3670" t="s">
        <v>3726</v>
      </c>
      <c r="B3670" s="1">
        <v>45938</v>
      </c>
      <c r="C3670">
        <v>2025</v>
      </c>
      <c r="D3670">
        <v>10</v>
      </c>
      <c r="E3670" t="s">
        <v>1017</v>
      </c>
      <c r="F3670" t="s">
        <v>1018</v>
      </c>
      <c r="G3670" t="s">
        <v>35</v>
      </c>
      <c r="H3670" t="s">
        <v>36</v>
      </c>
      <c r="I3670" t="s">
        <v>45</v>
      </c>
      <c r="J3670">
        <v>35</v>
      </c>
      <c r="K3670">
        <v>947.64</v>
      </c>
      <c r="L3670">
        <v>33167.269999999997</v>
      </c>
      <c r="M3670">
        <v>19785.46</v>
      </c>
      <c r="N3670">
        <v>2706.62</v>
      </c>
      <c r="O3670">
        <v>1799.83</v>
      </c>
      <c r="P3670">
        <v>1432.33</v>
      </c>
      <c r="Q3670">
        <v>581.83000000000004</v>
      </c>
      <c r="R3670">
        <v>1058.6300000000001</v>
      </c>
      <c r="S3670">
        <v>514.39</v>
      </c>
      <c r="T3670">
        <v>27879.08</v>
      </c>
      <c r="U3670">
        <v>13381.81</v>
      </c>
      <c r="V3670">
        <v>5288.19</v>
      </c>
      <c r="W3670">
        <v>4656.2299999999996</v>
      </c>
      <c r="X3670">
        <v>31617.439999999999</v>
      </c>
      <c r="Y3670">
        <v>26478.38</v>
      </c>
    </row>
    <row r="3671" spans="1:25" x14ac:dyDescent="0.25">
      <c r="A3671" t="s">
        <v>3727</v>
      </c>
      <c r="B3671" s="1">
        <v>45938</v>
      </c>
      <c r="C3671">
        <v>2025</v>
      </c>
      <c r="D3671">
        <v>10</v>
      </c>
      <c r="E3671" t="s">
        <v>1017</v>
      </c>
      <c r="F3671" t="s">
        <v>1018</v>
      </c>
      <c r="G3671" t="s">
        <v>55</v>
      </c>
      <c r="H3671" t="s">
        <v>53</v>
      </c>
      <c r="I3671" t="s">
        <v>30</v>
      </c>
      <c r="J3671">
        <v>43</v>
      </c>
      <c r="K3671">
        <v>1640.41</v>
      </c>
      <c r="L3671">
        <v>70537.789999999994</v>
      </c>
      <c r="M3671">
        <v>37240.449999999997</v>
      </c>
      <c r="N3671">
        <v>5231.83</v>
      </c>
      <c r="O3671">
        <v>2296.81</v>
      </c>
      <c r="P3671">
        <v>2375.15</v>
      </c>
      <c r="Q3671">
        <v>1126.44</v>
      </c>
      <c r="R3671">
        <v>2813.64</v>
      </c>
      <c r="S3671">
        <v>1338.43</v>
      </c>
      <c r="T3671">
        <v>52422.74</v>
      </c>
      <c r="U3671">
        <v>33297.35</v>
      </c>
      <c r="V3671">
        <v>18115.05</v>
      </c>
      <c r="W3671">
        <v>17795.900000000001</v>
      </c>
      <c r="X3671">
        <v>67706.399999999994</v>
      </c>
      <c r="Y3671">
        <v>50586.84</v>
      </c>
    </row>
    <row r="3672" spans="1:25" x14ac:dyDescent="0.25">
      <c r="A3672" t="s">
        <v>3728</v>
      </c>
      <c r="B3672" s="1">
        <v>45939</v>
      </c>
      <c r="C3672">
        <v>2025</v>
      </c>
      <c r="D3672">
        <v>10</v>
      </c>
      <c r="E3672" t="s">
        <v>1017</v>
      </c>
      <c r="F3672" t="s">
        <v>1018</v>
      </c>
      <c r="G3672" t="s">
        <v>44</v>
      </c>
      <c r="H3672" t="s">
        <v>32</v>
      </c>
      <c r="I3672" t="s">
        <v>65</v>
      </c>
      <c r="J3672">
        <v>58</v>
      </c>
      <c r="K3672">
        <v>1019.18</v>
      </c>
      <c r="L3672">
        <v>59112.38</v>
      </c>
      <c r="M3672">
        <v>37163.040000000001</v>
      </c>
      <c r="N3672">
        <v>7493.51</v>
      </c>
      <c r="O3672">
        <v>1889.11</v>
      </c>
      <c r="P3672">
        <v>1643.45</v>
      </c>
      <c r="Q3672">
        <v>974.35</v>
      </c>
      <c r="R3672">
        <v>2221.5300000000002</v>
      </c>
      <c r="S3672">
        <v>953.41</v>
      </c>
      <c r="T3672">
        <v>52338.41</v>
      </c>
      <c r="U3672">
        <v>21949.34</v>
      </c>
      <c r="V3672">
        <v>6773.97</v>
      </c>
      <c r="W3672">
        <v>6526.69</v>
      </c>
      <c r="X3672">
        <v>57830.52</v>
      </c>
      <c r="Y3672">
        <v>54522.48</v>
      </c>
    </row>
    <row r="3673" spans="1:25" x14ac:dyDescent="0.25">
      <c r="A3673" t="s">
        <v>3729</v>
      </c>
      <c r="B3673" s="1">
        <v>45939</v>
      </c>
      <c r="C3673">
        <v>2025</v>
      </c>
      <c r="D3673">
        <v>10</v>
      </c>
      <c r="E3673" t="s">
        <v>1017</v>
      </c>
      <c r="F3673" t="s">
        <v>1018</v>
      </c>
      <c r="G3673" t="s">
        <v>35</v>
      </c>
      <c r="H3673" t="s">
        <v>53</v>
      </c>
      <c r="I3673" t="s">
        <v>65</v>
      </c>
      <c r="J3673">
        <v>47</v>
      </c>
      <c r="K3673">
        <v>855.67</v>
      </c>
      <c r="L3673">
        <v>40216.67</v>
      </c>
      <c r="M3673">
        <v>22673.78</v>
      </c>
      <c r="N3673">
        <v>4918.07</v>
      </c>
      <c r="O3673">
        <v>1550.01</v>
      </c>
      <c r="P3673">
        <v>1023.81</v>
      </c>
      <c r="Q3673">
        <v>557.47</v>
      </c>
      <c r="R3673">
        <v>1750.74</v>
      </c>
      <c r="S3673">
        <v>720.48</v>
      </c>
      <c r="T3673">
        <v>33194.35</v>
      </c>
      <c r="U3673">
        <v>17542.89</v>
      </c>
      <c r="V3673">
        <v>7022.32</v>
      </c>
      <c r="W3673">
        <v>6583.41</v>
      </c>
      <c r="X3673">
        <v>43757.14</v>
      </c>
      <c r="Y3673">
        <v>33750.31</v>
      </c>
    </row>
    <row r="3674" spans="1:25" x14ac:dyDescent="0.25">
      <c r="A3674" t="s">
        <v>3730</v>
      </c>
      <c r="B3674" s="1">
        <v>45939</v>
      </c>
      <c r="C3674">
        <v>2025</v>
      </c>
      <c r="D3674">
        <v>10</v>
      </c>
      <c r="E3674" t="s">
        <v>1017</v>
      </c>
      <c r="F3674" t="s">
        <v>1018</v>
      </c>
      <c r="G3674" t="s">
        <v>35</v>
      </c>
      <c r="H3674" t="s">
        <v>36</v>
      </c>
      <c r="I3674" t="s">
        <v>45</v>
      </c>
      <c r="J3674">
        <v>23</v>
      </c>
      <c r="K3674">
        <v>1711.18</v>
      </c>
      <c r="L3674">
        <v>39357.21</v>
      </c>
      <c r="M3674">
        <v>23594.51</v>
      </c>
      <c r="N3674">
        <v>5110.3</v>
      </c>
      <c r="O3674">
        <v>2385.1999999999998</v>
      </c>
      <c r="P3674">
        <v>1117.48</v>
      </c>
      <c r="Q3674">
        <v>269.04000000000002</v>
      </c>
      <c r="R3674">
        <v>2261.6</v>
      </c>
      <c r="S3674">
        <v>513.53</v>
      </c>
      <c r="T3674">
        <v>35251.660000000003</v>
      </c>
      <c r="U3674">
        <v>15762.69</v>
      </c>
      <c r="V3674">
        <v>4105.54</v>
      </c>
      <c r="W3674">
        <v>3823.34</v>
      </c>
      <c r="X3674">
        <v>39316.01</v>
      </c>
      <c r="Y3674">
        <v>34715.96</v>
      </c>
    </row>
    <row r="3675" spans="1:25" x14ac:dyDescent="0.25">
      <c r="A3675" t="s">
        <v>3731</v>
      </c>
      <c r="B3675" s="1">
        <v>45939</v>
      </c>
      <c r="C3675">
        <v>2025</v>
      </c>
      <c r="D3675">
        <v>10</v>
      </c>
      <c r="E3675" t="s">
        <v>1017</v>
      </c>
      <c r="F3675" t="s">
        <v>1018</v>
      </c>
      <c r="G3675" t="s">
        <v>35</v>
      </c>
      <c r="H3675" t="s">
        <v>36</v>
      </c>
      <c r="I3675" t="s">
        <v>65</v>
      </c>
      <c r="J3675">
        <v>45</v>
      </c>
      <c r="K3675">
        <v>1236.04</v>
      </c>
      <c r="L3675">
        <v>55621.9</v>
      </c>
      <c r="M3675">
        <v>33468.720000000001</v>
      </c>
      <c r="N3675">
        <v>5209.21</v>
      </c>
      <c r="O3675">
        <v>2828.04</v>
      </c>
      <c r="P3675">
        <v>1482.53</v>
      </c>
      <c r="Q3675">
        <v>733.56</v>
      </c>
      <c r="R3675">
        <v>2633.02</v>
      </c>
      <c r="S3675">
        <v>647.41999999999996</v>
      </c>
      <c r="T3675">
        <v>47002.49</v>
      </c>
      <c r="U3675">
        <v>22153.18</v>
      </c>
      <c r="V3675">
        <v>8619.4</v>
      </c>
      <c r="W3675">
        <v>7962.87</v>
      </c>
      <c r="X3675">
        <v>59368.65</v>
      </c>
      <c r="Y3675">
        <v>49403.86</v>
      </c>
    </row>
    <row r="3676" spans="1:25" x14ac:dyDescent="0.25">
      <c r="A3676" t="s">
        <v>3732</v>
      </c>
      <c r="B3676" s="1">
        <v>45939</v>
      </c>
      <c r="C3676">
        <v>2025</v>
      </c>
      <c r="D3676">
        <v>10</v>
      </c>
      <c r="E3676" t="s">
        <v>1017</v>
      </c>
      <c r="F3676" t="s">
        <v>1018</v>
      </c>
      <c r="G3676" t="s">
        <v>55</v>
      </c>
      <c r="H3676" t="s">
        <v>32</v>
      </c>
      <c r="I3676" t="s">
        <v>50</v>
      </c>
      <c r="J3676">
        <v>98</v>
      </c>
      <c r="K3676">
        <v>851.17</v>
      </c>
      <c r="L3676">
        <v>83414.649999999994</v>
      </c>
      <c r="M3676">
        <v>47199.28</v>
      </c>
      <c r="N3676">
        <v>8079.03</v>
      </c>
      <c r="O3676">
        <v>2492.59</v>
      </c>
      <c r="P3676">
        <v>3690.31</v>
      </c>
      <c r="Q3676">
        <v>636.53</v>
      </c>
      <c r="R3676">
        <v>3972.21</v>
      </c>
      <c r="S3676">
        <v>1925.2</v>
      </c>
      <c r="T3676">
        <v>67995.14</v>
      </c>
      <c r="U3676">
        <v>36215.370000000003</v>
      </c>
      <c r="V3676">
        <v>15419.51</v>
      </c>
      <c r="W3676">
        <v>14486.46</v>
      </c>
      <c r="X3676">
        <v>83671.28</v>
      </c>
      <c r="Y3676">
        <v>66671.91</v>
      </c>
    </row>
    <row r="3677" spans="1:25" x14ac:dyDescent="0.25">
      <c r="A3677" t="s">
        <v>3733</v>
      </c>
      <c r="B3677" s="1">
        <v>45940</v>
      </c>
      <c r="C3677">
        <v>2025</v>
      </c>
      <c r="D3677">
        <v>10</v>
      </c>
      <c r="E3677" t="s">
        <v>1017</v>
      </c>
      <c r="F3677" t="s">
        <v>1018</v>
      </c>
      <c r="G3677" t="s">
        <v>55</v>
      </c>
      <c r="H3677" t="s">
        <v>53</v>
      </c>
      <c r="I3677" t="s">
        <v>39</v>
      </c>
      <c r="J3677">
        <v>45</v>
      </c>
      <c r="K3677">
        <v>964.63</v>
      </c>
      <c r="L3677">
        <v>43408.32</v>
      </c>
      <c r="M3677">
        <v>25472.080000000002</v>
      </c>
      <c r="N3677">
        <v>5298.34</v>
      </c>
      <c r="O3677">
        <v>1763.44</v>
      </c>
      <c r="P3677">
        <v>1489.43</v>
      </c>
      <c r="Q3677">
        <v>749.71</v>
      </c>
      <c r="R3677">
        <v>2670.36</v>
      </c>
      <c r="S3677">
        <v>939.15</v>
      </c>
      <c r="T3677">
        <v>38382.51</v>
      </c>
      <c r="U3677">
        <v>17936.240000000002</v>
      </c>
      <c r="V3677">
        <v>5025.8100000000004</v>
      </c>
      <c r="W3677">
        <v>4804.55</v>
      </c>
      <c r="X3677">
        <v>43655.76</v>
      </c>
      <c r="Y3677">
        <v>38004.85</v>
      </c>
    </row>
    <row r="3678" spans="1:25" x14ac:dyDescent="0.25">
      <c r="A3678" t="s">
        <v>3734</v>
      </c>
      <c r="B3678" s="1">
        <v>45940</v>
      </c>
      <c r="C3678">
        <v>2025</v>
      </c>
      <c r="D3678">
        <v>10</v>
      </c>
      <c r="E3678" t="s">
        <v>1017</v>
      </c>
      <c r="F3678" t="s">
        <v>1018</v>
      </c>
      <c r="G3678" t="s">
        <v>44</v>
      </c>
      <c r="H3678" t="s">
        <v>53</v>
      </c>
      <c r="I3678" t="s">
        <v>33</v>
      </c>
      <c r="J3678">
        <v>45</v>
      </c>
      <c r="K3678">
        <v>1705.72</v>
      </c>
      <c r="L3678">
        <v>76757.56</v>
      </c>
      <c r="M3678">
        <v>39371.64</v>
      </c>
      <c r="N3678">
        <v>6084.75</v>
      </c>
      <c r="O3678">
        <v>2470.16</v>
      </c>
      <c r="P3678">
        <v>2673.56</v>
      </c>
      <c r="Q3678">
        <v>643.41999999999996</v>
      </c>
      <c r="R3678">
        <v>1975.73</v>
      </c>
      <c r="S3678">
        <v>796.31</v>
      </c>
      <c r="T3678">
        <v>54015.57</v>
      </c>
      <c r="U3678">
        <v>37385.919999999998</v>
      </c>
      <c r="V3678">
        <v>22741.99</v>
      </c>
      <c r="W3678">
        <v>21227.77</v>
      </c>
      <c r="X3678">
        <v>84426.38</v>
      </c>
      <c r="Y3678">
        <v>59270.01</v>
      </c>
    </row>
    <row r="3679" spans="1:25" x14ac:dyDescent="0.25">
      <c r="A3679" t="s">
        <v>3735</v>
      </c>
      <c r="B3679" s="1">
        <v>45940</v>
      </c>
      <c r="C3679">
        <v>2025</v>
      </c>
      <c r="D3679">
        <v>10</v>
      </c>
      <c r="E3679" t="s">
        <v>1017</v>
      </c>
      <c r="F3679" t="s">
        <v>1018</v>
      </c>
      <c r="G3679" t="s">
        <v>55</v>
      </c>
      <c r="H3679" t="s">
        <v>32</v>
      </c>
      <c r="I3679" t="s">
        <v>30</v>
      </c>
      <c r="J3679">
        <v>85</v>
      </c>
      <c r="K3679">
        <v>1212.6500000000001</v>
      </c>
      <c r="L3679">
        <v>103075.65</v>
      </c>
      <c r="M3679">
        <v>49686.05</v>
      </c>
      <c r="N3679">
        <v>11484.14</v>
      </c>
      <c r="O3679">
        <v>3731.54</v>
      </c>
      <c r="P3679">
        <v>4063.05</v>
      </c>
      <c r="Q3679">
        <v>1755.82</v>
      </c>
      <c r="R3679">
        <v>4282.72</v>
      </c>
      <c r="S3679">
        <v>2565.91</v>
      </c>
      <c r="T3679">
        <v>77569.240000000005</v>
      </c>
      <c r="U3679">
        <v>53389.599999999999</v>
      </c>
      <c r="V3679">
        <v>25506.41</v>
      </c>
      <c r="W3679">
        <v>25100.74</v>
      </c>
      <c r="X3679">
        <v>112179.84</v>
      </c>
      <c r="Y3679">
        <v>81800.42</v>
      </c>
    </row>
    <row r="3680" spans="1:25" x14ac:dyDescent="0.25">
      <c r="A3680" t="s">
        <v>3736</v>
      </c>
      <c r="B3680" s="1">
        <v>45940</v>
      </c>
      <c r="C3680">
        <v>2025</v>
      </c>
      <c r="D3680">
        <v>10</v>
      </c>
      <c r="E3680" t="s">
        <v>1017</v>
      </c>
      <c r="F3680" t="s">
        <v>1018</v>
      </c>
      <c r="G3680" t="s">
        <v>44</v>
      </c>
      <c r="H3680" t="s">
        <v>32</v>
      </c>
      <c r="I3680" t="s">
        <v>45</v>
      </c>
      <c r="J3680">
        <v>32</v>
      </c>
      <c r="K3680">
        <v>1488.14</v>
      </c>
      <c r="L3680">
        <v>47620.45</v>
      </c>
      <c r="M3680">
        <v>30566.83</v>
      </c>
      <c r="N3680">
        <v>3604.66</v>
      </c>
      <c r="O3680">
        <v>1960.11</v>
      </c>
      <c r="P3680">
        <v>1743.3</v>
      </c>
      <c r="Q3680">
        <v>530.02</v>
      </c>
      <c r="R3680">
        <v>1209.33</v>
      </c>
      <c r="S3680">
        <v>501.66</v>
      </c>
      <c r="T3680">
        <v>40115.910000000003</v>
      </c>
      <c r="U3680">
        <v>17053.62</v>
      </c>
      <c r="V3680">
        <v>7504.54</v>
      </c>
      <c r="W3680">
        <v>7408.72</v>
      </c>
      <c r="X3680">
        <v>43938.38</v>
      </c>
      <c r="Y3680">
        <v>41934.75</v>
      </c>
    </row>
    <row r="3681" spans="1:25" x14ac:dyDescent="0.25">
      <c r="A3681" t="s">
        <v>3737</v>
      </c>
      <c r="B3681" s="1">
        <v>45940</v>
      </c>
      <c r="C3681">
        <v>2025</v>
      </c>
      <c r="D3681">
        <v>10</v>
      </c>
      <c r="E3681" t="s">
        <v>1017</v>
      </c>
      <c r="F3681" t="s">
        <v>1018</v>
      </c>
      <c r="G3681" t="s">
        <v>44</v>
      </c>
      <c r="H3681" t="s">
        <v>53</v>
      </c>
      <c r="I3681" t="s">
        <v>45</v>
      </c>
      <c r="J3681">
        <v>20</v>
      </c>
      <c r="K3681">
        <v>1626.04</v>
      </c>
      <c r="L3681">
        <v>32520.83</v>
      </c>
      <c r="M3681">
        <v>15790.77</v>
      </c>
      <c r="N3681">
        <v>2357.25</v>
      </c>
      <c r="O3681">
        <v>1758.75</v>
      </c>
      <c r="P3681">
        <v>1195.43</v>
      </c>
      <c r="Q3681">
        <v>569.26</v>
      </c>
      <c r="R3681">
        <v>1004.86</v>
      </c>
      <c r="S3681">
        <v>467.2</v>
      </c>
      <c r="T3681">
        <v>23143.51</v>
      </c>
      <c r="U3681">
        <v>16730.060000000001</v>
      </c>
      <c r="V3681">
        <v>9377.31</v>
      </c>
      <c r="W3681">
        <v>8382.43</v>
      </c>
      <c r="X3681">
        <v>33555.51</v>
      </c>
      <c r="Y3681">
        <v>24511.83</v>
      </c>
    </row>
    <row r="3682" spans="1:25" x14ac:dyDescent="0.25">
      <c r="A3682" t="s">
        <v>3738</v>
      </c>
      <c r="B3682" s="1">
        <v>45941</v>
      </c>
      <c r="C3682">
        <v>2025</v>
      </c>
      <c r="D3682">
        <v>10</v>
      </c>
      <c r="E3682" t="s">
        <v>1017</v>
      </c>
      <c r="F3682" t="s">
        <v>1018</v>
      </c>
      <c r="G3682" t="s">
        <v>28</v>
      </c>
      <c r="H3682" t="s">
        <v>58</v>
      </c>
      <c r="I3682" t="s">
        <v>56</v>
      </c>
      <c r="J3682">
        <v>27</v>
      </c>
      <c r="K3682">
        <v>1553.22</v>
      </c>
      <c r="L3682">
        <v>41937.07</v>
      </c>
      <c r="M3682">
        <v>20982.06</v>
      </c>
      <c r="N3682">
        <v>4855.1000000000004</v>
      </c>
      <c r="O3682">
        <v>1399.08</v>
      </c>
      <c r="P3682">
        <v>933.19</v>
      </c>
      <c r="Q3682">
        <v>385.77</v>
      </c>
      <c r="R3682">
        <v>1840.76</v>
      </c>
      <c r="S3682">
        <v>972.15</v>
      </c>
      <c r="T3682">
        <v>31368.11</v>
      </c>
      <c r="U3682">
        <v>20955.009999999998</v>
      </c>
      <c r="V3682">
        <v>10568.96</v>
      </c>
      <c r="W3682">
        <v>10044.219999999999</v>
      </c>
      <c r="X3682">
        <v>45285.35</v>
      </c>
      <c r="Y3682">
        <v>32056.1</v>
      </c>
    </row>
    <row r="3683" spans="1:25" x14ac:dyDescent="0.25">
      <c r="A3683" t="s">
        <v>3739</v>
      </c>
      <c r="B3683" s="1">
        <v>45941</v>
      </c>
      <c r="C3683">
        <v>2025</v>
      </c>
      <c r="D3683">
        <v>10</v>
      </c>
      <c r="E3683" t="s">
        <v>1017</v>
      </c>
      <c r="F3683" t="s">
        <v>1018</v>
      </c>
      <c r="G3683" t="s">
        <v>55</v>
      </c>
      <c r="H3683" t="s">
        <v>53</v>
      </c>
      <c r="I3683" t="s">
        <v>65</v>
      </c>
      <c r="J3683">
        <v>47</v>
      </c>
      <c r="K3683">
        <v>1448.15</v>
      </c>
      <c r="L3683">
        <v>68062.850000000006</v>
      </c>
      <c r="M3683">
        <v>45271.89</v>
      </c>
      <c r="N3683">
        <v>7968.2</v>
      </c>
      <c r="O3683">
        <v>4447.6000000000004</v>
      </c>
      <c r="P3683">
        <v>2251.9299999999998</v>
      </c>
      <c r="Q3683">
        <v>906.39</v>
      </c>
      <c r="R3683">
        <v>3493.6</v>
      </c>
      <c r="S3683">
        <v>876.47</v>
      </c>
      <c r="T3683">
        <v>65216.09</v>
      </c>
      <c r="U3683">
        <v>22790.959999999999</v>
      </c>
      <c r="V3683">
        <v>2846.76</v>
      </c>
      <c r="W3683">
        <v>2708.26</v>
      </c>
      <c r="X3683">
        <v>74905.87</v>
      </c>
      <c r="Y3683">
        <v>66913.22</v>
      </c>
    </row>
    <row r="3684" spans="1:25" x14ac:dyDescent="0.25">
      <c r="A3684" t="s">
        <v>3740</v>
      </c>
      <c r="B3684" s="1">
        <v>45941</v>
      </c>
      <c r="C3684">
        <v>2025</v>
      </c>
      <c r="D3684">
        <v>10</v>
      </c>
      <c r="E3684" t="s">
        <v>1017</v>
      </c>
      <c r="F3684" t="s">
        <v>1018</v>
      </c>
      <c r="G3684" t="s">
        <v>28</v>
      </c>
      <c r="H3684" t="s">
        <v>36</v>
      </c>
      <c r="I3684" t="s">
        <v>45</v>
      </c>
      <c r="J3684">
        <v>52</v>
      </c>
      <c r="K3684">
        <v>885.24</v>
      </c>
      <c r="L3684">
        <v>46032.5</v>
      </c>
      <c r="M3684">
        <v>29941.46</v>
      </c>
      <c r="N3684">
        <v>5854.28</v>
      </c>
      <c r="O3684">
        <v>2672.62</v>
      </c>
      <c r="P3684">
        <v>1880.12</v>
      </c>
      <c r="Q3684">
        <v>666.39</v>
      </c>
      <c r="R3684">
        <v>2538.64</v>
      </c>
      <c r="S3684">
        <v>1124.3599999999999</v>
      </c>
      <c r="T3684">
        <v>44677.87</v>
      </c>
      <c r="U3684">
        <v>16091.04</v>
      </c>
      <c r="V3684">
        <v>1354.63</v>
      </c>
      <c r="W3684">
        <v>1346.22</v>
      </c>
      <c r="X3684">
        <v>44723.31</v>
      </c>
      <c r="Y3684">
        <v>49068.73</v>
      </c>
    </row>
    <row r="3685" spans="1:25" x14ac:dyDescent="0.25">
      <c r="A3685" t="s">
        <v>3741</v>
      </c>
      <c r="B3685" s="1">
        <v>45941</v>
      </c>
      <c r="C3685">
        <v>2025</v>
      </c>
      <c r="D3685">
        <v>10</v>
      </c>
      <c r="E3685" t="s">
        <v>1017</v>
      </c>
      <c r="F3685" t="s">
        <v>1018</v>
      </c>
      <c r="G3685" t="s">
        <v>55</v>
      </c>
      <c r="H3685" t="s">
        <v>32</v>
      </c>
      <c r="I3685" t="s">
        <v>45</v>
      </c>
      <c r="J3685">
        <v>92</v>
      </c>
      <c r="K3685">
        <v>804.31</v>
      </c>
      <c r="L3685">
        <v>73996.509999999995</v>
      </c>
      <c r="M3685">
        <v>41184.43</v>
      </c>
      <c r="N3685">
        <v>5851.91</v>
      </c>
      <c r="O3685">
        <v>3853.45</v>
      </c>
      <c r="P3685">
        <v>1520.06</v>
      </c>
      <c r="Q3685">
        <v>882.25</v>
      </c>
      <c r="R3685">
        <v>2235.25</v>
      </c>
      <c r="S3685">
        <v>1167.9000000000001</v>
      </c>
      <c r="T3685">
        <v>56695.26</v>
      </c>
      <c r="U3685">
        <v>32812.080000000002</v>
      </c>
      <c r="V3685">
        <v>17301.25</v>
      </c>
      <c r="W3685">
        <v>16628.89</v>
      </c>
      <c r="X3685">
        <v>70399.86</v>
      </c>
      <c r="Y3685">
        <v>56090.879999999997</v>
      </c>
    </row>
    <row r="3686" spans="1:25" x14ac:dyDescent="0.25">
      <c r="A3686" t="s">
        <v>3742</v>
      </c>
      <c r="B3686" s="1">
        <v>45941</v>
      </c>
      <c r="C3686">
        <v>2025</v>
      </c>
      <c r="D3686">
        <v>10</v>
      </c>
      <c r="E3686" t="s">
        <v>1017</v>
      </c>
      <c r="F3686" t="s">
        <v>1018</v>
      </c>
      <c r="G3686" t="s">
        <v>35</v>
      </c>
      <c r="H3686" t="s">
        <v>29</v>
      </c>
      <c r="I3686" t="s">
        <v>56</v>
      </c>
      <c r="J3686">
        <v>34</v>
      </c>
      <c r="K3686">
        <v>1029.1300000000001</v>
      </c>
      <c r="L3686">
        <v>34990.449999999997</v>
      </c>
      <c r="M3686">
        <v>20210.419999999998</v>
      </c>
      <c r="N3686">
        <v>3267.61</v>
      </c>
      <c r="O3686">
        <v>1230.8</v>
      </c>
      <c r="P3686">
        <v>1532.78</v>
      </c>
      <c r="Q3686">
        <v>193.54</v>
      </c>
      <c r="R3686">
        <v>2006.07</v>
      </c>
      <c r="S3686">
        <v>285.14999999999998</v>
      </c>
      <c r="T3686">
        <v>28726.37</v>
      </c>
      <c r="U3686">
        <v>14780.03</v>
      </c>
      <c r="V3686">
        <v>6264.08</v>
      </c>
      <c r="W3686">
        <v>5824.94</v>
      </c>
      <c r="X3686">
        <v>36025.870000000003</v>
      </c>
      <c r="Y3686">
        <v>27066.22</v>
      </c>
    </row>
    <row r="3687" spans="1:25" x14ac:dyDescent="0.25">
      <c r="A3687" t="s">
        <v>3743</v>
      </c>
      <c r="B3687" s="1">
        <v>45941</v>
      </c>
      <c r="C3687">
        <v>2025</v>
      </c>
      <c r="D3687">
        <v>10</v>
      </c>
      <c r="E3687" t="s">
        <v>1017</v>
      </c>
      <c r="F3687" t="s">
        <v>1018</v>
      </c>
      <c r="G3687" t="s">
        <v>55</v>
      </c>
      <c r="H3687" t="s">
        <v>58</v>
      </c>
      <c r="I3687" t="s">
        <v>33</v>
      </c>
      <c r="J3687">
        <v>47</v>
      </c>
      <c r="K3687">
        <v>1716.32</v>
      </c>
      <c r="L3687">
        <v>80666.91</v>
      </c>
      <c r="M3687">
        <v>42439.61</v>
      </c>
      <c r="N3687">
        <v>10196.43</v>
      </c>
      <c r="O3687">
        <v>6028.22</v>
      </c>
      <c r="P3687">
        <v>1372.43</v>
      </c>
      <c r="Q3687">
        <v>1064.08</v>
      </c>
      <c r="R3687">
        <v>4998.3</v>
      </c>
      <c r="S3687">
        <v>1840.15</v>
      </c>
      <c r="T3687">
        <v>67939.210000000006</v>
      </c>
      <c r="U3687">
        <v>38227.29</v>
      </c>
      <c r="V3687">
        <v>12727.7</v>
      </c>
      <c r="W3687">
        <v>12566.35</v>
      </c>
      <c r="X3687">
        <v>74696.41</v>
      </c>
      <c r="Y3687">
        <v>72989.33</v>
      </c>
    </row>
    <row r="3688" spans="1:25" x14ac:dyDescent="0.25">
      <c r="A3688" t="s">
        <v>3744</v>
      </c>
      <c r="B3688" s="1">
        <v>45941</v>
      </c>
      <c r="C3688">
        <v>2025</v>
      </c>
      <c r="D3688">
        <v>10</v>
      </c>
      <c r="E3688" t="s">
        <v>1017</v>
      </c>
      <c r="F3688" t="s">
        <v>1018</v>
      </c>
      <c r="G3688" t="s">
        <v>28</v>
      </c>
      <c r="H3688" t="s">
        <v>53</v>
      </c>
      <c r="I3688" t="s">
        <v>33</v>
      </c>
      <c r="J3688">
        <v>33</v>
      </c>
      <c r="K3688">
        <v>1705.48</v>
      </c>
      <c r="L3688">
        <v>56280.78</v>
      </c>
      <c r="M3688">
        <v>28452.48</v>
      </c>
      <c r="N3688">
        <v>4432.7299999999996</v>
      </c>
      <c r="O3688">
        <v>2354.7600000000002</v>
      </c>
      <c r="P3688">
        <v>1407.42</v>
      </c>
      <c r="Q3688">
        <v>802.85</v>
      </c>
      <c r="R3688">
        <v>2667.38</v>
      </c>
      <c r="S3688">
        <v>1248.18</v>
      </c>
      <c r="T3688">
        <v>41365.79</v>
      </c>
      <c r="U3688">
        <v>27828.3</v>
      </c>
      <c r="V3688">
        <v>14914.99</v>
      </c>
      <c r="W3688">
        <v>14148.84</v>
      </c>
      <c r="X3688">
        <v>62605.36</v>
      </c>
      <c r="Y3688">
        <v>43924.36</v>
      </c>
    </row>
    <row r="3689" spans="1:25" x14ac:dyDescent="0.25">
      <c r="A3689" t="s">
        <v>3745</v>
      </c>
      <c r="B3689" s="1">
        <v>45941</v>
      </c>
      <c r="C3689">
        <v>2025</v>
      </c>
      <c r="D3689">
        <v>10</v>
      </c>
      <c r="E3689" t="s">
        <v>1017</v>
      </c>
      <c r="F3689" t="s">
        <v>1018</v>
      </c>
      <c r="G3689" t="s">
        <v>55</v>
      </c>
      <c r="H3689" t="s">
        <v>36</v>
      </c>
      <c r="I3689" t="s">
        <v>65</v>
      </c>
      <c r="J3689">
        <v>43</v>
      </c>
      <c r="K3689">
        <v>1550.77</v>
      </c>
      <c r="L3689">
        <v>66683.12</v>
      </c>
      <c r="M3689">
        <v>43600.87</v>
      </c>
      <c r="N3689">
        <v>7154.17</v>
      </c>
      <c r="O3689">
        <v>3825.77</v>
      </c>
      <c r="P3689">
        <v>2481.5700000000002</v>
      </c>
      <c r="Q3689">
        <v>464.04</v>
      </c>
      <c r="R3689">
        <v>2407.81</v>
      </c>
      <c r="S3689">
        <v>1052.6500000000001</v>
      </c>
      <c r="T3689">
        <v>60986.879999999997</v>
      </c>
      <c r="U3689">
        <v>23082.25</v>
      </c>
      <c r="V3689">
        <v>5696.24</v>
      </c>
      <c r="W3689">
        <v>5698.44</v>
      </c>
      <c r="X3689">
        <v>72568.44</v>
      </c>
      <c r="Y3689">
        <v>65299.01</v>
      </c>
    </row>
    <row r="3690" spans="1:25" x14ac:dyDescent="0.25">
      <c r="A3690" t="s">
        <v>3746</v>
      </c>
      <c r="B3690" s="1">
        <v>45942</v>
      </c>
      <c r="C3690">
        <v>2025</v>
      </c>
      <c r="D3690">
        <v>10</v>
      </c>
      <c r="E3690" t="s">
        <v>1017</v>
      </c>
      <c r="F3690" t="s">
        <v>1018</v>
      </c>
      <c r="G3690" t="s">
        <v>55</v>
      </c>
      <c r="H3690" t="s">
        <v>32</v>
      </c>
      <c r="I3690" t="s">
        <v>37</v>
      </c>
      <c r="J3690">
        <v>111</v>
      </c>
      <c r="K3690">
        <v>908.26</v>
      </c>
      <c r="L3690">
        <v>100816.94</v>
      </c>
      <c r="M3690">
        <v>51756.160000000003</v>
      </c>
      <c r="N3690">
        <v>9228.5499999999993</v>
      </c>
      <c r="O3690">
        <v>4463.63</v>
      </c>
      <c r="P3690">
        <v>3342.64</v>
      </c>
      <c r="Q3690">
        <v>1444.15</v>
      </c>
      <c r="R3690">
        <v>6425.24</v>
      </c>
      <c r="S3690">
        <v>1706.39</v>
      </c>
      <c r="T3690">
        <v>78366.759999999995</v>
      </c>
      <c r="U3690">
        <v>49060.78</v>
      </c>
      <c r="V3690">
        <v>22450.18</v>
      </c>
      <c r="W3690">
        <v>21450.89</v>
      </c>
      <c r="X3690">
        <v>111516.52</v>
      </c>
      <c r="Y3690">
        <v>81715.240000000005</v>
      </c>
    </row>
    <row r="3691" spans="1:25" x14ac:dyDescent="0.25">
      <c r="A3691" t="s">
        <v>3747</v>
      </c>
      <c r="B3691" s="1">
        <v>45942</v>
      </c>
      <c r="C3691">
        <v>2025</v>
      </c>
      <c r="D3691">
        <v>10</v>
      </c>
      <c r="E3691" t="s">
        <v>1017</v>
      </c>
      <c r="F3691" t="s">
        <v>1018</v>
      </c>
      <c r="G3691" t="s">
        <v>55</v>
      </c>
      <c r="H3691" t="s">
        <v>32</v>
      </c>
      <c r="I3691" t="s">
        <v>39</v>
      </c>
      <c r="J3691">
        <v>68</v>
      </c>
      <c r="K3691">
        <v>1002.28</v>
      </c>
      <c r="L3691">
        <v>68154.899999999994</v>
      </c>
      <c r="M3691">
        <v>43010.94</v>
      </c>
      <c r="N3691">
        <v>6338.25</v>
      </c>
      <c r="O3691">
        <v>3426</v>
      </c>
      <c r="P3691">
        <v>1929.84</v>
      </c>
      <c r="Q3691">
        <v>454.61</v>
      </c>
      <c r="R3691">
        <v>2347.85</v>
      </c>
      <c r="S3691">
        <v>1367.65</v>
      </c>
      <c r="T3691">
        <v>58875.13</v>
      </c>
      <c r="U3691">
        <v>25143.96</v>
      </c>
      <c r="V3691">
        <v>9279.77</v>
      </c>
      <c r="W3691">
        <v>8597.24</v>
      </c>
      <c r="X3691">
        <v>74216.600000000006</v>
      </c>
      <c r="Y3691">
        <v>61185.64</v>
      </c>
    </row>
    <row r="3692" spans="1:25" x14ac:dyDescent="0.25">
      <c r="A3692" t="s">
        <v>3748</v>
      </c>
      <c r="B3692" s="1">
        <v>45942</v>
      </c>
      <c r="C3692">
        <v>2025</v>
      </c>
      <c r="D3692">
        <v>10</v>
      </c>
      <c r="E3692" t="s">
        <v>1017</v>
      </c>
      <c r="F3692" t="s">
        <v>1018</v>
      </c>
      <c r="G3692" t="s">
        <v>55</v>
      </c>
      <c r="H3692" t="s">
        <v>29</v>
      </c>
      <c r="I3692" t="s">
        <v>39</v>
      </c>
      <c r="J3692">
        <v>50</v>
      </c>
      <c r="K3692">
        <v>1005.52</v>
      </c>
      <c r="L3692">
        <v>50276.2</v>
      </c>
      <c r="M3692">
        <v>33898.28</v>
      </c>
      <c r="N3692">
        <v>4113.99</v>
      </c>
      <c r="O3692">
        <v>3342.8</v>
      </c>
      <c r="P3692">
        <v>1105.18</v>
      </c>
      <c r="Q3692">
        <v>273.58999999999997</v>
      </c>
      <c r="R3692">
        <v>1634.9</v>
      </c>
      <c r="S3692">
        <v>1237.9000000000001</v>
      </c>
      <c r="T3692">
        <v>45606.64</v>
      </c>
      <c r="U3692">
        <v>16377.92</v>
      </c>
      <c r="V3692">
        <v>4669.5600000000004</v>
      </c>
      <c r="W3692">
        <v>4627.6400000000003</v>
      </c>
      <c r="X3692">
        <v>54673.71</v>
      </c>
      <c r="Y3692">
        <v>45004.86</v>
      </c>
    </row>
    <row r="3693" spans="1:25" x14ac:dyDescent="0.25">
      <c r="A3693" t="s">
        <v>3749</v>
      </c>
      <c r="B3693" s="1">
        <v>45943</v>
      </c>
      <c r="C3693">
        <v>2025</v>
      </c>
      <c r="D3693">
        <v>10</v>
      </c>
      <c r="E3693" t="s">
        <v>1017</v>
      </c>
      <c r="F3693" t="s">
        <v>1018</v>
      </c>
      <c r="G3693" t="s">
        <v>55</v>
      </c>
      <c r="H3693" t="s">
        <v>29</v>
      </c>
      <c r="I3693" t="s">
        <v>65</v>
      </c>
      <c r="J3693">
        <v>76</v>
      </c>
      <c r="K3693">
        <v>1026.17</v>
      </c>
      <c r="L3693">
        <v>77989.149999999994</v>
      </c>
      <c r="M3693">
        <v>42035.88</v>
      </c>
      <c r="N3693">
        <v>8004.7</v>
      </c>
      <c r="O3693">
        <v>2913.62</v>
      </c>
      <c r="P3693">
        <v>2260.86</v>
      </c>
      <c r="Q3693">
        <v>622.76</v>
      </c>
      <c r="R3693">
        <v>2571.9</v>
      </c>
      <c r="S3693">
        <v>1848.01</v>
      </c>
      <c r="T3693">
        <v>60257.72</v>
      </c>
      <c r="U3693">
        <v>35953.269999999997</v>
      </c>
      <c r="V3693">
        <v>17731.43</v>
      </c>
      <c r="W3693">
        <v>15744.79</v>
      </c>
      <c r="X3693">
        <v>82341.919999999998</v>
      </c>
      <c r="Y3693">
        <v>60131.49</v>
      </c>
    </row>
    <row r="3694" spans="1:25" x14ac:dyDescent="0.25">
      <c r="A3694" t="s">
        <v>3750</v>
      </c>
      <c r="B3694" s="1">
        <v>45943</v>
      </c>
      <c r="C3694">
        <v>2025</v>
      </c>
      <c r="D3694">
        <v>10</v>
      </c>
      <c r="E3694" t="s">
        <v>1017</v>
      </c>
      <c r="F3694" t="s">
        <v>1018</v>
      </c>
      <c r="G3694" t="s">
        <v>28</v>
      </c>
      <c r="H3694" t="s">
        <v>36</v>
      </c>
      <c r="I3694" t="s">
        <v>56</v>
      </c>
      <c r="J3694">
        <v>24</v>
      </c>
      <c r="K3694">
        <v>1457.13</v>
      </c>
      <c r="L3694">
        <v>34971.17</v>
      </c>
      <c r="M3694">
        <v>21897.17</v>
      </c>
      <c r="N3694">
        <v>4092.64</v>
      </c>
      <c r="O3694">
        <v>1305.95</v>
      </c>
      <c r="P3694">
        <v>739.41</v>
      </c>
      <c r="Q3694">
        <v>542.75</v>
      </c>
      <c r="R3694">
        <v>2104.67</v>
      </c>
      <c r="S3694">
        <v>299.11</v>
      </c>
      <c r="T3694">
        <v>30981.69</v>
      </c>
      <c r="U3694">
        <v>13073.99</v>
      </c>
      <c r="V3694">
        <v>3989.47</v>
      </c>
      <c r="W3694">
        <v>3960</v>
      </c>
      <c r="X3694">
        <v>32413.17</v>
      </c>
      <c r="Y3694">
        <v>33684.06</v>
      </c>
    </row>
    <row r="3695" spans="1:25" x14ac:dyDescent="0.25">
      <c r="A3695" t="s">
        <v>3751</v>
      </c>
      <c r="B3695" s="1">
        <v>45943</v>
      </c>
      <c r="C3695">
        <v>2025</v>
      </c>
      <c r="D3695">
        <v>10</v>
      </c>
      <c r="E3695" t="s">
        <v>1017</v>
      </c>
      <c r="F3695" t="s">
        <v>1018</v>
      </c>
      <c r="G3695" t="s">
        <v>28</v>
      </c>
      <c r="H3695" t="s">
        <v>58</v>
      </c>
      <c r="I3695" t="s">
        <v>39</v>
      </c>
      <c r="J3695">
        <v>34</v>
      </c>
      <c r="K3695">
        <v>1552.25</v>
      </c>
      <c r="L3695">
        <v>52776.54</v>
      </c>
      <c r="M3695">
        <v>30158.95</v>
      </c>
      <c r="N3695">
        <v>6856.75</v>
      </c>
      <c r="O3695">
        <v>2565.3200000000002</v>
      </c>
      <c r="P3695">
        <v>924.85</v>
      </c>
      <c r="Q3695">
        <v>474.44</v>
      </c>
      <c r="R3695">
        <v>1750.44</v>
      </c>
      <c r="S3695">
        <v>1287.1199999999999</v>
      </c>
      <c r="T3695">
        <v>44017.87</v>
      </c>
      <c r="U3695">
        <v>22617.59</v>
      </c>
      <c r="V3695">
        <v>8758.67</v>
      </c>
      <c r="W3695">
        <v>8589.7000000000007</v>
      </c>
      <c r="X3695">
        <v>51219.8</v>
      </c>
      <c r="Y3695">
        <v>47602.07</v>
      </c>
    </row>
    <row r="3696" spans="1:25" x14ac:dyDescent="0.25">
      <c r="A3696" t="s">
        <v>3752</v>
      </c>
      <c r="B3696" s="1">
        <v>45943</v>
      </c>
      <c r="C3696">
        <v>2025</v>
      </c>
      <c r="D3696">
        <v>10</v>
      </c>
      <c r="E3696" t="s">
        <v>1017</v>
      </c>
      <c r="F3696" t="s">
        <v>1018</v>
      </c>
      <c r="G3696" t="s">
        <v>28</v>
      </c>
      <c r="H3696" t="s">
        <v>36</v>
      </c>
      <c r="I3696" t="s">
        <v>56</v>
      </c>
      <c r="J3696">
        <v>27</v>
      </c>
      <c r="K3696">
        <v>1055.8</v>
      </c>
      <c r="L3696">
        <v>28506.71</v>
      </c>
      <c r="M3696">
        <v>17284.650000000001</v>
      </c>
      <c r="N3696">
        <v>2875.49</v>
      </c>
      <c r="O3696">
        <v>1853.6</v>
      </c>
      <c r="P3696">
        <v>537.41999999999996</v>
      </c>
      <c r="Q3696">
        <v>467.56</v>
      </c>
      <c r="R3696">
        <v>1812.38</v>
      </c>
      <c r="S3696">
        <v>710.47</v>
      </c>
      <c r="T3696">
        <v>25541.56</v>
      </c>
      <c r="U3696">
        <v>11222.06</v>
      </c>
      <c r="V3696">
        <v>2965.15</v>
      </c>
      <c r="W3696">
        <v>2966.27</v>
      </c>
      <c r="X3696">
        <v>29331.26</v>
      </c>
      <c r="Y3696">
        <v>27446.52</v>
      </c>
    </row>
    <row r="3697" spans="1:25" x14ac:dyDescent="0.25">
      <c r="A3697" t="s">
        <v>3753</v>
      </c>
      <c r="B3697" s="1">
        <v>45943</v>
      </c>
      <c r="C3697">
        <v>2025</v>
      </c>
      <c r="D3697">
        <v>10</v>
      </c>
      <c r="E3697" t="s">
        <v>1017</v>
      </c>
      <c r="F3697" t="s">
        <v>1018</v>
      </c>
      <c r="G3697" t="s">
        <v>44</v>
      </c>
      <c r="H3697" t="s">
        <v>32</v>
      </c>
      <c r="I3697" t="s">
        <v>56</v>
      </c>
      <c r="J3697">
        <v>22</v>
      </c>
      <c r="K3697">
        <v>1746.63</v>
      </c>
      <c r="L3697">
        <v>38425.85</v>
      </c>
      <c r="M3697">
        <v>22096.11</v>
      </c>
      <c r="N3697">
        <v>4115.55</v>
      </c>
      <c r="O3697">
        <v>2010.4</v>
      </c>
      <c r="P3697">
        <v>1257.18</v>
      </c>
      <c r="Q3697">
        <v>684.71</v>
      </c>
      <c r="R3697">
        <v>1168.0999999999999</v>
      </c>
      <c r="S3697">
        <v>375.73</v>
      </c>
      <c r="T3697">
        <v>31707.79</v>
      </c>
      <c r="U3697">
        <v>16329.74</v>
      </c>
      <c r="V3697">
        <v>6718.06</v>
      </c>
      <c r="W3697">
        <v>6652.85</v>
      </c>
      <c r="X3697">
        <v>39871.65</v>
      </c>
      <c r="Y3697">
        <v>32191.06</v>
      </c>
    </row>
    <row r="3698" spans="1:25" x14ac:dyDescent="0.25">
      <c r="A3698" t="s">
        <v>3754</v>
      </c>
      <c r="B3698" s="1">
        <v>45943</v>
      </c>
      <c r="C3698">
        <v>2025</v>
      </c>
      <c r="D3698">
        <v>10</v>
      </c>
      <c r="E3698" t="s">
        <v>1017</v>
      </c>
      <c r="F3698" t="s">
        <v>1018</v>
      </c>
      <c r="G3698" t="s">
        <v>35</v>
      </c>
      <c r="H3698" t="s">
        <v>32</v>
      </c>
      <c r="I3698" t="s">
        <v>56</v>
      </c>
      <c r="J3698">
        <v>19</v>
      </c>
      <c r="K3698">
        <v>1631.51</v>
      </c>
      <c r="L3698">
        <v>30998.73</v>
      </c>
      <c r="M3698">
        <v>17926.810000000001</v>
      </c>
      <c r="N3698">
        <v>3595.77</v>
      </c>
      <c r="O3698">
        <v>1027.45</v>
      </c>
      <c r="P3698">
        <v>613.09</v>
      </c>
      <c r="Q3698">
        <v>488.08</v>
      </c>
      <c r="R3698">
        <v>1454.53</v>
      </c>
      <c r="S3698">
        <v>577.61</v>
      </c>
      <c r="T3698">
        <v>25683.35</v>
      </c>
      <c r="U3698">
        <v>13071.92</v>
      </c>
      <c r="V3698">
        <v>5315.38</v>
      </c>
      <c r="W3698">
        <v>4772.66</v>
      </c>
      <c r="X3698">
        <v>31903.88</v>
      </c>
      <c r="Y3698">
        <v>24078.1</v>
      </c>
    </row>
    <row r="3699" spans="1:25" x14ac:dyDescent="0.25">
      <c r="A3699" t="s">
        <v>3755</v>
      </c>
      <c r="B3699" s="1">
        <v>45943</v>
      </c>
      <c r="C3699">
        <v>2025</v>
      </c>
      <c r="D3699">
        <v>10</v>
      </c>
      <c r="E3699" t="s">
        <v>1017</v>
      </c>
      <c r="F3699" t="s">
        <v>1018</v>
      </c>
      <c r="G3699" t="s">
        <v>35</v>
      </c>
      <c r="H3699" t="s">
        <v>36</v>
      </c>
      <c r="I3699" t="s">
        <v>37</v>
      </c>
      <c r="J3699">
        <v>41</v>
      </c>
      <c r="K3699">
        <v>1272.95</v>
      </c>
      <c r="L3699">
        <v>52191.08</v>
      </c>
      <c r="M3699">
        <v>29479.39</v>
      </c>
      <c r="N3699">
        <v>4388.9399999999996</v>
      </c>
      <c r="O3699">
        <v>2844.04</v>
      </c>
      <c r="P3699">
        <v>2295.5300000000002</v>
      </c>
      <c r="Q3699">
        <v>899.09</v>
      </c>
      <c r="R3699">
        <v>2337.42</v>
      </c>
      <c r="S3699">
        <v>1090.52</v>
      </c>
      <c r="T3699">
        <v>43334.93</v>
      </c>
      <c r="U3699">
        <v>22711.69</v>
      </c>
      <c r="V3699">
        <v>8856.15</v>
      </c>
      <c r="W3699">
        <v>8253.2099999999991</v>
      </c>
      <c r="X3699">
        <v>48674.77</v>
      </c>
      <c r="Y3699">
        <v>45803.97</v>
      </c>
    </row>
    <row r="3700" spans="1:25" x14ac:dyDescent="0.25">
      <c r="A3700" t="s">
        <v>3756</v>
      </c>
      <c r="B3700" s="1">
        <v>45943</v>
      </c>
      <c r="C3700">
        <v>2025</v>
      </c>
      <c r="D3700">
        <v>10</v>
      </c>
      <c r="E3700" t="s">
        <v>1017</v>
      </c>
      <c r="F3700" t="s">
        <v>1018</v>
      </c>
      <c r="G3700" t="s">
        <v>28</v>
      </c>
      <c r="H3700" t="s">
        <v>32</v>
      </c>
      <c r="I3700" t="s">
        <v>45</v>
      </c>
      <c r="J3700">
        <v>40</v>
      </c>
      <c r="K3700">
        <v>1222.74</v>
      </c>
      <c r="L3700">
        <v>48909.45</v>
      </c>
      <c r="M3700">
        <v>25926.959999999999</v>
      </c>
      <c r="N3700">
        <v>5626.87</v>
      </c>
      <c r="O3700">
        <v>3456.47</v>
      </c>
      <c r="P3700">
        <v>1355.37</v>
      </c>
      <c r="Q3700">
        <v>830.86</v>
      </c>
      <c r="R3700">
        <v>2130.13</v>
      </c>
      <c r="S3700">
        <v>984.39</v>
      </c>
      <c r="T3700">
        <v>40311.050000000003</v>
      </c>
      <c r="U3700">
        <v>22982.49</v>
      </c>
      <c r="V3700">
        <v>8598.4</v>
      </c>
      <c r="W3700">
        <v>8379.65</v>
      </c>
      <c r="X3700">
        <v>51849.64</v>
      </c>
      <c r="Y3700">
        <v>43205.08</v>
      </c>
    </row>
    <row r="3701" spans="1:25" x14ac:dyDescent="0.25">
      <c r="A3701" t="s">
        <v>3757</v>
      </c>
      <c r="B3701" s="1">
        <v>45944</v>
      </c>
      <c r="C3701">
        <v>2025</v>
      </c>
      <c r="D3701">
        <v>10</v>
      </c>
      <c r="E3701" t="s">
        <v>1017</v>
      </c>
      <c r="F3701" t="s">
        <v>1018</v>
      </c>
      <c r="G3701" t="s">
        <v>55</v>
      </c>
      <c r="H3701" t="s">
        <v>36</v>
      </c>
      <c r="I3701" t="s">
        <v>50</v>
      </c>
      <c r="J3701">
        <v>37</v>
      </c>
      <c r="K3701">
        <v>1364.04</v>
      </c>
      <c r="L3701">
        <v>50469.38</v>
      </c>
      <c r="M3701">
        <v>28573.94</v>
      </c>
      <c r="N3701">
        <v>6294.6</v>
      </c>
      <c r="O3701">
        <v>2939.07</v>
      </c>
      <c r="P3701">
        <v>922.41</v>
      </c>
      <c r="Q3701">
        <v>653.96</v>
      </c>
      <c r="R3701">
        <v>2056.73</v>
      </c>
      <c r="S3701">
        <v>909.39</v>
      </c>
      <c r="T3701">
        <v>42350.1</v>
      </c>
      <c r="U3701">
        <v>21895.439999999999</v>
      </c>
      <c r="V3701">
        <v>8119.28</v>
      </c>
      <c r="W3701">
        <v>7235.14</v>
      </c>
      <c r="X3701">
        <v>53956.43</v>
      </c>
      <c r="Y3701">
        <v>46076.02</v>
      </c>
    </row>
    <row r="3702" spans="1:25" x14ac:dyDescent="0.25">
      <c r="A3702" t="s">
        <v>3758</v>
      </c>
      <c r="B3702" s="1">
        <v>45944</v>
      </c>
      <c r="C3702">
        <v>2025</v>
      </c>
      <c r="D3702">
        <v>10</v>
      </c>
      <c r="E3702" t="s">
        <v>1017</v>
      </c>
      <c r="F3702" t="s">
        <v>1018</v>
      </c>
      <c r="G3702" t="s">
        <v>55</v>
      </c>
      <c r="H3702" t="s">
        <v>32</v>
      </c>
      <c r="I3702" t="s">
        <v>39</v>
      </c>
      <c r="J3702">
        <v>38</v>
      </c>
      <c r="K3702">
        <v>1651.11</v>
      </c>
      <c r="L3702">
        <v>62742.35</v>
      </c>
      <c r="M3702">
        <v>40498.49</v>
      </c>
      <c r="N3702">
        <v>7208.91</v>
      </c>
      <c r="O3702">
        <v>4602.26</v>
      </c>
      <c r="P3702">
        <v>1196.54</v>
      </c>
      <c r="Q3702">
        <v>355.03</v>
      </c>
      <c r="R3702">
        <v>2852.59</v>
      </c>
      <c r="S3702">
        <v>560.14</v>
      </c>
      <c r="T3702">
        <v>57273.95</v>
      </c>
      <c r="U3702">
        <v>22243.86</v>
      </c>
      <c r="V3702">
        <v>5468.39</v>
      </c>
      <c r="W3702">
        <v>5444.78</v>
      </c>
      <c r="X3702">
        <v>62836.74</v>
      </c>
      <c r="Y3702">
        <v>55568.09</v>
      </c>
    </row>
    <row r="3703" spans="1:25" x14ac:dyDescent="0.25">
      <c r="A3703" t="s">
        <v>3759</v>
      </c>
      <c r="B3703" s="1">
        <v>45944</v>
      </c>
      <c r="C3703">
        <v>2025</v>
      </c>
      <c r="D3703">
        <v>10</v>
      </c>
      <c r="E3703" t="s">
        <v>1017</v>
      </c>
      <c r="F3703" t="s">
        <v>1018</v>
      </c>
      <c r="G3703" t="s">
        <v>44</v>
      </c>
      <c r="H3703" t="s">
        <v>29</v>
      </c>
      <c r="I3703" t="s">
        <v>65</v>
      </c>
      <c r="J3703">
        <v>47</v>
      </c>
      <c r="K3703">
        <v>1177.57</v>
      </c>
      <c r="L3703">
        <v>55345.97</v>
      </c>
      <c r="M3703">
        <v>36950.730000000003</v>
      </c>
      <c r="N3703">
        <v>3918.42</v>
      </c>
      <c r="O3703">
        <v>3127.25</v>
      </c>
      <c r="P3703">
        <v>1814.17</v>
      </c>
      <c r="Q3703">
        <v>788.65</v>
      </c>
      <c r="R3703">
        <v>3084.86</v>
      </c>
      <c r="S3703">
        <v>562.45000000000005</v>
      </c>
      <c r="T3703">
        <v>50246.53</v>
      </c>
      <c r="U3703">
        <v>18395.23</v>
      </c>
      <c r="V3703">
        <v>5099.43</v>
      </c>
      <c r="W3703">
        <v>5057.55</v>
      </c>
      <c r="X3703">
        <v>52740.53</v>
      </c>
      <c r="Y3703">
        <v>52393.46</v>
      </c>
    </row>
    <row r="3704" spans="1:25" x14ac:dyDescent="0.25">
      <c r="A3704" t="s">
        <v>3760</v>
      </c>
      <c r="B3704" s="1">
        <v>45945</v>
      </c>
      <c r="C3704">
        <v>2025</v>
      </c>
      <c r="D3704">
        <v>10</v>
      </c>
      <c r="E3704" t="s">
        <v>1017</v>
      </c>
      <c r="F3704" t="s">
        <v>1018</v>
      </c>
      <c r="G3704" t="s">
        <v>55</v>
      </c>
      <c r="H3704" t="s">
        <v>36</v>
      </c>
      <c r="I3704" t="s">
        <v>33</v>
      </c>
      <c r="J3704">
        <v>86</v>
      </c>
      <c r="K3704">
        <v>807.77</v>
      </c>
      <c r="L3704">
        <v>69468.27</v>
      </c>
      <c r="M3704">
        <v>44718.77</v>
      </c>
      <c r="N3704">
        <v>8449.77</v>
      </c>
      <c r="O3704">
        <v>3707.64</v>
      </c>
      <c r="P3704">
        <v>2654.28</v>
      </c>
      <c r="Q3704">
        <v>788.62</v>
      </c>
      <c r="R3704">
        <v>2524.5500000000002</v>
      </c>
      <c r="S3704">
        <v>1089.74</v>
      </c>
      <c r="T3704">
        <v>63933.37</v>
      </c>
      <c r="U3704">
        <v>24749.5</v>
      </c>
      <c r="V3704">
        <v>5534.9</v>
      </c>
      <c r="W3704">
        <v>5572.11</v>
      </c>
      <c r="X3704">
        <v>73639.63</v>
      </c>
      <c r="Y3704">
        <v>68624.179999999993</v>
      </c>
    </row>
    <row r="3705" spans="1:25" x14ac:dyDescent="0.25">
      <c r="A3705" t="s">
        <v>3761</v>
      </c>
      <c r="B3705" s="1">
        <v>45946</v>
      </c>
      <c r="C3705">
        <v>2025</v>
      </c>
      <c r="D3705">
        <v>10</v>
      </c>
      <c r="E3705" t="s">
        <v>1017</v>
      </c>
      <c r="F3705" t="s">
        <v>1018</v>
      </c>
      <c r="G3705" t="s">
        <v>44</v>
      </c>
      <c r="H3705" t="s">
        <v>32</v>
      </c>
      <c r="I3705" t="s">
        <v>37</v>
      </c>
      <c r="J3705">
        <v>63</v>
      </c>
      <c r="K3705">
        <v>1248.95</v>
      </c>
      <c r="L3705">
        <v>78683.73</v>
      </c>
      <c r="M3705">
        <v>45315.360000000001</v>
      </c>
      <c r="N3705">
        <v>6489.05</v>
      </c>
      <c r="O3705">
        <v>4033.93</v>
      </c>
      <c r="P3705">
        <v>2013.1</v>
      </c>
      <c r="Q3705">
        <v>1102.58</v>
      </c>
      <c r="R3705">
        <v>4612.1899999999996</v>
      </c>
      <c r="S3705">
        <v>1483.01</v>
      </c>
      <c r="T3705">
        <v>65049.22</v>
      </c>
      <c r="U3705">
        <v>33368.379999999997</v>
      </c>
      <c r="V3705">
        <v>13634.51</v>
      </c>
      <c r="W3705">
        <v>12680.15</v>
      </c>
      <c r="X3705">
        <v>75837.17</v>
      </c>
      <c r="Y3705">
        <v>65971.839999999997</v>
      </c>
    </row>
    <row r="3706" spans="1:25" x14ac:dyDescent="0.25">
      <c r="A3706" t="s">
        <v>3762</v>
      </c>
      <c r="B3706" s="1">
        <v>45946</v>
      </c>
      <c r="C3706">
        <v>2025</v>
      </c>
      <c r="D3706">
        <v>10</v>
      </c>
      <c r="E3706" t="s">
        <v>1017</v>
      </c>
      <c r="F3706" t="s">
        <v>1018</v>
      </c>
      <c r="G3706" t="s">
        <v>35</v>
      </c>
      <c r="H3706" t="s">
        <v>29</v>
      </c>
      <c r="I3706" t="s">
        <v>37</v>
      </c>
      <c r="J3706">
        <v>29</v>
      </c>
      <c r="K3706">
        <v>1608.05</v>
      </c>
      <c r="L3706">
        <v>46633.42</v>
      </c>
      <c r="M3706">
        <v>25499</v>
      </c>
      <c r="N3706">
        <v>5453.33</v>
      </c>
      <c r="O3706">
        <v>2574.52</v>
      </c>
      <c r="P3706">
        <v>1551.34</v>
      </c>
      <c r="Q3706">
        <v>295.86</v>
      </c>
      <c r="R3706">
        <v>2528.29</v>
      </c>
      <c r="S3706">
        <v>1117.57</v>
      </c>
      <c r="T3706">
        <v>39019.910000000003</v>
      </c>
      <c r="U3706">
        <v>21134.41</v>
      </c>
      <c r="V3706">
        <v>7613.51</v>
      </c>
      <c r="W3706">
        <v>7672.99</v>
      </c>
      <c r="X3706">
        <v>46654.51</v>
      </c>
      <c r="Y3706">
        <v>42078.5</v>
      </c>
    </row>
    <row r="3707" spans="1:25" x14ac:dyDescent="0.25">
      <c r="A3707" t="s">
        <v>3763</v>
      </c>
      <c r="B3707" s="1">
        <v>45946</v>
      </c>
      <c r="C3707">
        <v>2025</v>
      </c>
      <c r="D3707">
        <v>10</v>
      </c>
      <c r="E3707" t="s">
        <v>1017</v>
      </c>
      <c r="F3707" t="s">
        <v>1018</v>
      </c>
      <c r="G3707" t="s">
        <v>55</v>
      </c>
      <c r="H3707" t="s">
        <v>32</v>
      </c>
      <c r="I3707" t="s">
        <v>50</v>
      </c>
      <c r="J3707">
        <v>39</v>
      </c>
      <c r="K3707">
        <v>1379.72</v>
      </c>
      <c r="L3707">
        <v>53809.23</v>
      </c>
      <c r="M3707">
        <v>26079.599999999999</v>
      </c>
      <c r="N3707">
        <v>4074.78</v>
      </c>
      <c r="O3707">
        <v>2765.04</v>
      </c>
      <c r="P3707">
        <v>1874.68</v>
      </c>
      <c r="Q3707">
        <v>282.76</v>
      </c>
      <c r="R3707">
        <v>1346.58</v>
      </c>
      <c r="S3707">
        <v>715.32</v>
      </c>
      <c r="T3707">
        <v>37138.76</v>
      </c>
      <c r="U3707">
        <v>27729.63</v>
      </c>
      <c r="V3707">
        <v>16670.47</v>
      </c>
      <c r="W3707">
        <v>16960.73</v>
      </c>
      <c r="X3707">
        <v>54101.56</v>
      </c>
      <c r="Y3707">
        <v>39663.24</v>
      </c>
    </row>
    <row r="3708" spans="1:25" x14ac:dyDescent="0.25">
      <c r="A3708" t="s">
        <v>3764</v>
      </c>
      <c r="B3708" s="1">
        <v>45946</v>
      </c>
      <c r="C3708">
        <v>2025</v>
      </c>
      <c r="D3708">
        <v>10</v>
      </c>
      <c r="E3708" t="s">
        <v>1017</v>
      </c>
      <c r="F3708" t="s">
        <v>1018</v>
      </c>
      <c r="G3708" t="s">
        <v>28</v>
      </c>
      <c r="H3708" t="s">
        <v>58</v>
      </c>
      <c r="I3708" t="s">
        <v>30</v>
      </c>
      <c r="J3708">
        <v>69</v>
      </c>
      <c r="K3708">
        <v>1400.69</v>
      </c>
      <c r="L3708">
        <v>96647.6</v>
      </c>
      <c r="M3708">
        <v>51720.7</v>
      </c>
      <c r="N3708">
        <v>11538.06</v>
      </c>
      <c r="O3708">
        <v>2787.21</v>
      </c>
      <c r="P3708">
        <v>3025.75</v>
      </c>
      <c r="Q3708">
        <v>1392.67</v>
      </c>
      <c r="R3708">
        <v>3160.91</v>
      </c>
      <c r="S3708">
        <v>2355.4899999999998</v>
      </c>
      <c r="T3708">
        <v>75980.789999999994</v>
      </c>
      <c r="U3708">
        <v>44926.9</v>
      </c>
      <c r="V3708">
        <v>20666.8</v>
      </c>
      <c r="W3708">
        <v>19524.63</v>
      </c>
      <c r="X3708">
        <v>92535.21</v>
      </c>
      <c r="Y3708">
        <v>70917.75</v>
      </c>
    </row>
    <row r="3709" spans="1:25" x14ac:dyDescent="0.25">
      <c r="A3709" t="s">
        <v>3765</v>
      </c>
      <c r="B3709" s="1">
        <v>45946</v>
      </c>
      <c r="C3709">
        <v>2025</v>
      </c>
      <c r="D3709">
        <v>10</v>
      </c>
      <c r="E3709" t="s">
        <v>1017</v>
      </c>
      <c r="F3709" t="s">
        <v>1018</v>
      </c>
      <c r="G3709" t="s">
        <v>55</v>
      </c>
      <c r="H3709" t="s">
        <v>36</v>
      </c>
      <c r="I3709" t="s">
        <v>65</v>
      </c>
      <c r="J3709">
        <v>41</v>
      </c>
      <c r="K3709">
        <v>1453.34</v>
      </c>
      <c r="L3709">
        <v>59586.97</v>
      </c>
      <c r="M3709">
        <v>33945.269999999997</v>
      </c>
      <c r="N3709">
        <v>5312.77</v>
      </c>
      <c r="O3709">
        <v>1592.86</v>
      </c>
      <c r="P3709">
        <v>2040.54</v>
      </c>
      <c r="Q3709">
        <v>615.79999999999995</v>
      </c>
      <c r="R3709">
        <v>3110.12</v>
      </c>
      <c r="S3709">
        <v>1461.91</v>
      </c>
      <c r="T3709">
        <v>48079.27</v>
      </c>
      <c r="U3709">
        <v>25641.7</v>
      </c>
      <c r="V3709">
        <v>11507.7</v>
      </c>
      <c r="W3709">
        <v>11141.38</v>
      </c>
      <c r="X3709">
        <v>65256.86</v>
      </c>
      <c r="Y3709">
        <v>50701.440000000002</v>
      </c>
    </row>
    <row r="3710" spans="1:25" x14ac:dyDescent="0.25">
      <c r="A3710" t="s">
        <v>3766</v>
      </c>
      <c r="B3710" s="1">
        <v>45947</v>
      </c>
      <c r="C3710">
        <v>2025</v>
      </c>
      <c r="D3710">
        <v>10</v>
      </c>
      <c r="E3710" t="s">
        <v>1017</v>
      </c>
      <c r="F3710" t="s">
        <v>1018</v>
      </c>
      <c r="G3710" t="s">
        <v>28</v>
      </c>
      <c r="H3710" t="s">
        <v>36</v>
      </c>
      <c r="I3710" t="s">
        <v>50</v>
      </c>
      <c r="J3710">
        <v>26</v>
      </c>
      <c r="K3710">
        <v>1667.1</v>
      </c>
      <c r="L3710">
        <v>43344.51</v>
      </c>
      <c r="M3710">
        <v>27218.76</v>
      </c>
      <c r="N3710">
        <v>5531.03</v>
      </c>
      <c r="O3710">
        <v>2151.44</v>
      </c>
      <c r="P3710">
        <v>1692.74</v>
      </c>
      <c r="Q3710">
        <v>269.08999999999997</v>
      </c>
      <c r="R3710">
        <v>1339.83</v>
      </c>
      <c r="S3710">
        <v>481.93</v>
      </c>
      <c r="T3710">
        <v>38684.82</v>
      </c>
      <c r="U3710">
        <v>16125.75</v>
      </c>
      <c r="V3710">
        <v>4659.6899999999996</v>
      </c>
      <c r="W3710">
        <v>4206.04</v>
      </c>
      <c r="X3710">
        <v>46411.76</v>
      </c>
      <c r="Y3710">
        <v>37199.519999999997</v>
      </c>
    </row>
    <row r="3711" spans="1:25" x14ac:dyDescent="0.25">
      <c r="A3711" t="s">
        <v>3767</v>
      </c>
      <c r="B3711" s="1">
        <v>45947</v>
      </c>
      <c r="C3711">
        <v>2025</v>
      </c>
      <c r="D3711">
        <v>10</v>
      </c>
      <c r="E3711" t="s">
        <v>1017</v>
      </c>
      <c r="F3711" t="s">
        <v>1018</v>
      </c>
      <c r="G3711" t="s">
        <v>44</v>
      </c>
      <c r="H3711" t="s">
        <v>58</v>
      </c>
      <c r="I3711" t="s">
        <v>56</v>
      </c>
      <c r="J3711">
        <v>18</v>
      </c>
      <c r="K3711">
        <v>1697.13</v>
      </c>
      <c r="L3711">
        <v>30548.41</v>
      </c>
      <c r="M3711">
        <v>15972.81</v>
      </c>
      <c r="N3711">
        <v>3181.3</v>
      </c>
      <c r="O3711">
        <v>830.57</v>
      </c>
      <c r="P3711">
        <v>1264.04</v>
      </c>
      <c r="Q3711">
        <v>446.08</v>
      </c>
      <c r="R3711">
        <v>1456.8</v>
      </c>
      <c r="S3711">
        <v>704.51</v>
      </c>
      <c r="T3711">
        <v>23856.12</v>
      </c>
      <c r="U3711">
        <v>14575.6</v>
      </c>
      <c r="V3711">
        <v>6692.29</v>
      </c>
      <c r="W3711">
        <v>6255.23</v>
      </c>
      <c r="X3711">
        <v>30159.84</v>
      </c>
      <c r="Y3711">
        <v>23486.33</v>
      </c>
    </row>
    <row r="3712" spans="1:25" x14ac:dyDescent="0.25">
      <c r="A3712" t="s">
        <v>3768</v>
      </c>
      <c r="B3712" s="1">
        <v>45947</v>
      </c>
      <c r="C3712">
        <v>2025</v>
      </c>
      <c r="D3712">
        <v>10</v>
      </c>
      <c r="E3712" t="s">
        <v>1017</v>
      </c>
      <c r="F3712" t="s">
        <v>1018</v>
      </c>
      <c r="G3712" t="s">
        <v>28</v>
      </c>
      <c r="H3712" t="s">
        <v>32</v>
      </c>
      <c r="I3712" t="s">
        <v>39</v>
      </c>
      <c r="J3712">
        <v>41</v>
      </c>
      <c r="K3712">
        <v>1583.56</v>
      </c>
      <c r="L3712">
        <v>64926.01</v>
      </c>
      <c r="M3712">
        <v>41280.879999999997</v>
      </c>
      <c r="N3712">
        <v>6125.01</v>
      </c>
      <c r="O3712">
        <v>4140.33</v>
      </c>
      <c r="P3712">
        <v>2328.7800000000002</v>
      </c>
      <c r="Q3712">
        <v>974.35</v>
      </c>
      <c r="R3712">
        <v>4110.34</v>
      </c>
      <c r="S3712">
        <v>1117.3900000000001</v>
      </c>
      <c r="T3712">
        <v>60077.1</v>
      </c>
      <c r="U3712">
        <v>23645.119999999999</v>
      </c>
      <c r="V3712">
        <v>4848.91</v>
      </c>
      <c r="W3712">
        <v>4442.4799999999996</v>
      </c>
      <c r="X3712">
        <v>62351.17</v>
      </c>
      <c r="Y3712">
        <v>60779.23</v>
      </c>
    </row>
    <row r="3713" spans="1:25" x14ac:dyDescent="0.25">
      <c r="A3713" t="s">
        <v>3769</v>
      </c>
      <c r="B3713" s="1">
        <v>45947</v>
      </c>
      <c r="C3713">
        <v>2025</v>
      </c>
      <c r="D3713">
        <v>10</v>
      </c>
      <c r="E3713" t="s">
        <v>1017</v>
      </c>
      <c r="F3713" t="s">
        <v>1018</v>
      </c>
      <c r="G3713" t="s">
        <v>28</v>
      </c>
      <c r="H3713" t="s">
        <v>32</v>
      </c>
      <c r="I3713" t="s">
        <v>33</v>
      </c>
      <c r="J3713">
        <v>95</v>
      </c>
      <c r="K3713">
        <v>986.94</v>
      </c>
      <c r="L3713">
        <v>93759.75</v>
      </c>
      <c r="M3713">
        <v>50349.05</v>
      </c>
      <c r="N3713">
        <v>8611.2900000000009</v>
      </c>
      <c r="O3713">
        <v>5201.5</v>
      </c>
      <c r="P3713">
        <v>1976.16</v>
      </c>
      <c r="Q3713">
        <v>1212.28</v>
      </c>
      <c r="R3713">
        <v>3113.93</v>
      </c>
      <c r="S3713">
        <v>1770.98</v>
      </c>
      <c r="T3713">
        <v>72235.19</v>
      </c>
      <c r="U3713">
        <v>43410.7</v>
      </c>
      <c r="V3713">
        <v>21524.560000000001</v>
      </c>
      <c r="W3713">
        <v>21208.46</v>
      </c>
      <c r="X3713">
        <v>89730.74</v>
      </c>
      <c r="Y3713">
        <v>75085.66</v>
      </c>
    </row>
    <row r="3714" spans="1:25" x14ac:dyDescent="0.25">
      <c r="A3714" t="s">
        <v>3770</v>
      </c>
      <c r="B3714" s="1">
        <v>45948</v>
      </c>
      <c r="C3714">
        <v>2025</v>
      </c>
      <c r="D3714">
        <v>10</v>
      </c>
      <c r="E3714" t="s">
        <v>1017</v>
      </c>
      <c r="F3714" t="s">
        <v>1018</v>
      </c>
      <c r="G3714" t="s">
        <v>44</v>
      </c>
      <c r="H3714" t="s">
        <v>36</v>
      </c>
      <c r="I3714" t="s">
        <v>65</v>
      </c>
      <c r="J3714">
        <v>35</v>
      </c>
      <c r="K3714">
        <v>1254.94</v>
      </c>
      <c r="L3714">
        <v>43922.76</v>
      </c>
      <c r="M3714">
        <v>29720.959999999999</v>
      </c>
      <c r="N3714">
        <v>3435.12</v>
      </c>
      <c r="O3714">
        <v>2990.72</v>
      </c>
      <c r="P3714">
        <v>1333.79</v>
      </c>
      <c r="Q3714">
        <v>588.04999999999995</v>
      </c>
      <c r="R3714">
        <v>2030.33</v>
      </c>
      <c r="S3714">
        <v>818.07</v>
      </c>
      <c r="T3714">
        <v>40917.03</v>
      </c>
      <c r="U3714">
        <v>14201.8</v>
      </c>
      <c r="V3714">
        <v>3005.73</v>
      </c>
      <c r="W3714">
        <v>2913.56</v>
      </c>
      <c r="X3714">
        <v>43516.02</v>
      </c>
      <c r="Y3714">
        <v>38980.160000000003</v>
      </c>
    </row>
    <row r="3715" spans="1:25" x14ac:dyDescent="0.25">
      <c r="A3715" t="s">
        <v>3771</v>
      </c>
      <c r="B3715" s="1">
        <v>45948</v>
      </c>
      <c r="C3715">
        <v>2025</v>
      </c>
      <c r="D3715">
        <v>10</v>
      </c>
      <c r="E3715" t="s">
        <v>1017</v>
      </c>
      <c r="F3715" t="s">
        <v>1018</v>
      </c>
      <c r="G3715" t="s">
        <v>44</v>
      </c>
      <c r="H3715" t="s">
        <v>32</v>
      </c>
      <c r="I3715" t="s">
        <v>56</v>
      </c>
      <c r="J3715">
        <v>49</v>
      </c>
      <c r="K3715">
        <v>868.39</v>
      </c>
      <c r="L3715">
        <v>42551.31</v>
      </c>
      <c r="M3715">
        <v>24284.52</v>
      </c>
      <c r="N3715">
        <v>5091.8100000000004</v>
      </c>
      <c r="O3715">
        <v>2429.0300000000002</v>
      </c>
      <c r="P3715">
        <v>1625.19</v>
      </c>
      <c r="Q3715">
        <v>394.92</v>
      </c>
      <c r="R3715">
        <v>1955.56</v>
      </c>
      <c r="S3715">
        <v>780.82</v>
      </c>
      <c r="T3715">
        <v>36561.85</v>
      </c>
      <c r="U3715">
        <v>18266.79</v>
      </c>
      <c r="V3715">
        <v>5989.46</v>
      </c>
      <c r="W3715">
        <v>5541.5</v>
      </c>
      <c r="X3715">
        <v>40239.879999999997</v>
      </c>
      <c r="Y3715">
        <v>35087.85</v>
      </c>
    </row>
    <row r="3716" spans="1:25" x14ac:dyDescent="0.25">
      <c r="A3716" t="s">
        <v>3772</v>
      </c>
      <c r="B3716" s="1">
        <v>45948</v>
      </c>
      <c r="C3716">
        <v>2025</v>
      </c>
      <c r="D3716">
        <v>10</v>
      </c>
      <c r="E3716" t="s">
        <v>1017</v>
      </c>
      <c r="F3716" t="s">
        <v>1018</v>
      </c>
      <c r="G3716" t="s">
        <v>35</v>
      </c>
      <c r="H3716" t="s">
        <v>32</v>
      </c>
      <c r="I3716" t="s">
        <v>30</v>
      </c>
      <c r="J3716">
        <v>90</v>
      </c>
      <c r="K3716">
        <v>1335.98</v>
      </c>
      <c r="L3716">
        <v>120238.42</v>
      </c>
      <c r="M3716">
        <v>62863.25</v>
      </c>
      <c r="N3716">
        <v>11240.36</v>
      </c>
      <c r="O3716">
        <v>6574.52</v>
      </c>
      <c r="P3716">
        <v>4073.1</v>
      </c>
      <c r="Q3716">
        <v>781.76</v>
      </c>
      <c r="R3716">
        <v>3890.3</v>
      </c>
      <c r="S3716">
        <v>2702.74</v>
      </c>
      <c r="T3716">
        <v>92126.04</v>
      </c>
      <c r="U3716">
        <v>57375.17</v>
      </c>
      <c r="V3716">
        <v>28112.38</v>
      </c>
      <c r="W3716">
        <v>25067.68</v>
      </c>
      <c r="X3716">
        <v>112051.41</v>
      </c>
      <c r="Y3716">
        <v>90184.8</v>
      </c>
    </row>
    <row r="3717" spans="1:25" x14ac:dyDescent="0.25">
      <c r="A3717" t="s">
        <v>3773</v>
      </c>
      <c r="B3717" s="1">
        <v>45948</v>
      </c>
      <c r="C3717">
        <v>2025</v>
      </c>
      <c r="D3717">
        <v>10</v>
      </c>
      <c r="E3717" t="s">
        <v>1017</v>
      </c>
      <c r="F3717" t="s">
        <v>1018</v>
      </c>
      <c r="G3717" t="s">
        <v>55</v>
      </c>
      <c r="H3717" t="s">
        <v>36</v>
      </c>
      <c r="I3717" t="s">
        <v>39</v>
      </c>
      <c r="J3717">
        <v>25</v>
      </c>
      <c r="K3717">
        <v>1578.97</v>
      </c>
      <c r="L3717">
        <v>39474.199999999997</v>
      </c>
      <c r="M3717">
        <v>24265.03</v>
      </c>
      <c r="N3717">
        <v>2943.15</v>
      </c>
      <c r="O3717">
        <v>1267.53</v>
      </c>
      <c r="P3717">
        <v>1180.18</v>
      </c>
      <c r="Q3717">
        <v>200.18</v>
      </c>
      <c r="R3717">
        <v>2083.9699999999998</v>
      </c>
      <c r="S3717">
        <v>921.35</v>
      </c>
      <c r="T3717">
        <v>32861.39</v>
      </c>
      <c r="U3717">
        <v>15209.16</v>
      </c>
      <c r="V3717">
        <v>6612.8</v>
      </c>
      <c r="W3717">
        <v>6289.53</v>
      </c>
      <c r="X3717">
        <v>40616.49</v>
      </c>
      <c r="Y3717">
        <v>34498.379999999997</v>
      </c>
    </row>
    <row r="3718" spans="1:25" x14ac:dyDescent="0.25">
      <c r="A3718" t="s">
        <v>3774</v>
      </c>
      <c r="B3718" s="1">
        <v>45949</v>
      </c>
      <c r="C3718">
        <v>2025</v>
      </c>
      <c r="D3718">
        <v>10</v>
      </c>
      <c r="E3718" t="s">
        <v>1017</v>
      </c>
      <c r="F3718" t="s">
        <v>1018</v>
      </c>
      <c r="G3718" t="s">
        <v>28</v>
      </c>
      <c r="H3718" t="s">
        <v>53</v>
      </c>
      <c r="I3718" t="s">
        <v>39</v>
      </c>
      <c r="J3718">
        <v>25</v>
      </c>
      <c r="K3718">
        <v>1771.11</v>
      </c>
      <c r="L3718">
        <v>44277.69</v>
      </c>
      <c r="M3718">
        <v>24479.57</v>
      </c>
      <c r="N3718">
        <v>4904.26</v>
      </c>
      <c r="O3718">
        <v>1733</v>
      </c>
      <c r="P3718">
        <v>1083.73</v>
      </c>
      <c r="Q3718">
        <v>425.5</v>
      </c>
      <c r="R3718">
        <v>1614.73</v>
      </c>
      <c r="S3718">
        <v>1099.94</v>
      </c>
      <c r="T3718">
        <v>35340.720000000001</v>
      </c>
      <c r="U3718">
        <v>19798.13</v>
      </c>
      <c r="V3718">
        <v>8936.9699999999993</v>
      </c>
      <c r="W3718">
        <v>8785.5</v>
      </c>
      <c r="X3718">
        <v>42474.25</v>
      </c>
      <c r="Y3718">
        <v>37493.69</v>
      </c>
    </row>
    <row r="3719" spans="1:25" x14ac:dyDescent="0.25">
      <c r="A3719" t="s">
        <v>3775</v>
      </c>
      <c r="B3719" s="1">
        <v>45949</v>
      </c>
      <c r="C3719">
        <v>2025</v>
      </c>
      <c r="D3719">
        <v>10</v>
      </c>
      <c r="E3719" t="s">
        <v>1017</v>
      </c>
      <c r="F3719" t="s">
        <v>1018</v>
      </c>
      <c r="G3719" t="s">
        <v>35</v>
      </c>
      <c r="H3719" t="s">
        <v>32</v>
      </c>
      <c r="I3719" t="s">
        <v>65</v>
      </c>
      <c r="J3719">
        <v>43</v>
      </c>
      <c r="K3719">
        <v>1391.7</v>
      </c>
      <c r="L3719">
        <v>59842.98</v>
      </c>
      <c r="M3719">
        <v>35631.33</v>
      </c>
      <c r="N3719">
        <v>5055.78</v>
      </c>
      <c r="O3719">
        <v>4451.25</v>
      </c>
      <c r="P3719">
        <v>1321.58</v>
      </c>
      <c r="Q3719">
        <v>382.9</v>
      </c>
      <c r="R3719">
        <v>2587.27</v>
      </c>
      <c r="S3719">
        <v>1413.01</v>
      </c>
      <c r="T3719">
        <v>50843.12</v>
      </c>
      <c r="U3719">
        <v>24211.65</v>
      </c>
      <c r="V3719">
        <v>8999.85</v>
      </c>
      <c r="W3719">
        <v>9055.9599999999991</v>
      </c>
      <c r="X3719">
        <v>55942.239999999998</v>
      </c>
      <c r="Y3719">
        <v>55402.7</v>
      </c>
    </row>
    <row r="3720" spans="1:25" x14ac:dyDescent="0.25">
      <c r="A3720" t="s">
        <v>3776</v>
      </c>
      <c r="B3720" s="1">
        <v>45950</v>
      </c>
      <c r="C3720">
        <v>2025</v>
      </c>
      <c r="D3720">
        <v>10</v>
      </c>
      <c r="E3720" t="s">
        <v>1017</v>
      </c>
      <c r="F3720" t="s">
        <v>1018</v>
      </c>
      <c r="G3720" t="s">
        <v>44</v>
      </c>
      <c r="H3720" t="s">
        <v>32</v>
      </c>
      <c r="I3720" t="s">
        <v>37</v>
      </c>
      <c r="J3720">
        <v>73</v>
      </c>
      <c r="K3720">
        <v>984.09</v>
      </c>
      <c r="L3720">
        <v>71838.73</v>
      </c>
      <c r="M3720">
        <v>42557.57</v>
      </c>
      <c r="N3720">
        <v>5162.74</v>
      </c>
      <c r="O3720">
        <v>4841.05</v>
      </c>
      <c r="P3720">
        <v>1344.82</v>
      </c>
      <c r="Q3720">
        <v>977.48</v>
      </c>
      <c r="R3720">
        <v>2181.87</v>
      </c>
      <c r="S3720">
        <v>919.53</v>
      </c>
      <c r="T3720">
        <v>57985.05</v>
      </c>
      <c r="U3720">
        <v>29281.16</v>
      </c>
      <c r="V3720">
        <v>13853.68</v>
      </c>
      <c r="W3720">
        <v>12884.15</v>
      </c>
      <c r="X3720">
        <v>74597.94</v>
      </c>
      <c r="Y3720">
        <v>58672.42</v>
      </c>
    </row>
    <row r="3721" spans="1:25" x14ac:dyDescent="0.25">
      <c r="A3721" t="s">
        <v>3777</v>
      </c>
      <c r="B3721" s="1">
        <v>45950</v>
      </c>
      <c r="C3721">
        <v>2025</v>
      </c>
      <c r="D3721">
        <v>10</v>
      </c>
      <c r="E3721" t="s">
        <v>1017</v>
      </c>
      <c r="F3721" t="s">
        <v>1018</v>
      </c>
      <c r="G3721" t="s">
        <v>35</v>
      </c>
      <c r="H3721" t="s">
        <v>36</v>
      </c>
      <c r="I3721" t="s">
        <v>37</v>
      </c>
      <c r="J3721">
        <v>52</v>
      </c>
      <c r="K3721">
        <v>1406.74</v>
      </c>
      <c r="L3721">
        <v>73150.31</v>
      </c>
      <c r="M3721">
        <v>46570.57</v>
      </c>
      <c r="N3721">
        <v>7251.99</v>
      </c>
      <c r="O3721">
        <v>3219.11</v>
      </c>
      <c r="P3721">
        <v>2833.38</v>
      </c>
      <c r="Q3721">
        <v>1218.1300000000001</v>
      </c>
      <c r="R3721">
        <v>4051.43</v>
      </c>
      <c r="S3721">
        <v>622.82000000000005</v>
      </c>
      <c r="T3721">
        <v>65767.429999999993</v>
      </c>
      <c r="U3721">
        <v>26579.73</v>
      </c>
      <c r="V3721">
        <v>7382.87</v>
      </c>
      <c r="W3721">
        <v>7047.56</v>
      </c>
      <c r="X3721">
        <v>79093.64</v>
      </c>
      <c r="Y3721">
        <v>69402.62</v>
      </c>
    </row>
    <row r="3722" spans="1:25" x14ac:dyDescent="0.25">
      <c r="A3722" t="s">
        <v>3778</v>
      </c>
      <c r="B3722" s="1">
        <v>45950</v>
      </c>
      <c r="C3722">
        <v>2025</v>
      </c>
      <c r="D3722">
        <v>10</v>
      </c>
      <c r="E3722" t="s">
        <v>1017</v>
      </c>
      <c r="F3722" t="s">
        <v>1018</v>
      </c>
      <c r="G3722" t="s">
        <v>28</v>
      </c>
      <c r="H3722" t="s">
        <v>58</v>
      </c>
      <c r="I3722" t="s">
        <v>45</v>
      </c>
      <c r="J3722">
        <v>24</v>
      </c>
      <c r="K3722">
        <v>1668.12</v>
      </c>
      <c r="L3722">
        <v>40034.839999999997</v>
      </c>
      <c r="M3722">
        <v>20537.13</v>
      </c>
      <c r="N3722">
        <v>4873.87</v>
      </c>
      <c r="O3722">
        <v>2013.88</v>
      </c>
      <c r="P3722">
        <v>1554.47</v>
      </c>
      <c r="Q3722">
        <v>625.26</v>
      </c>
      <c r="R3722">
        <v>2087.33</v>
      </c>
      <c r="S3722">
        <v>752.22</v>
      </c>
      <c r="T3722">
        <v>32444.16</v>
      </c>
      <c r="U3722">
        <v>19497.71</v>
      </c>
      <c r="V3722">
        <v>7590.68</v>
      </c>
      <c r="W3722">
        <v>7441.68</v>
      </c>
      <c r="X3722">
        <v>41166.94</v>
      </c>
      <c r="Y3722">
        <v>30437.71</v>
      </c>
    </row>
    <row r="3723" spans="1:25" x14ac:dyDescent="0.25">
      <c r="A3723" t="s">
        <v>3779</v>
      </c>
      <c r="B3723" s="1">
        <v>45951</v>
      </c>
      <c r="C3723">
        <v>2025</v>
      </c>
      <c r="D3723">
        <v>10</v>
      </c>
      <c r="E3723" t="s">
        <v>1017</v>
      </c>
      <c r="F3723" t="s">
        <v>1018</v>
      </c>
      <c r="G3723" t="s">
        <v>28</v>
      </c>
      <c r="H3723" t="s">
        <v>32</v>
      </c>
      <c r="I3723" t="s">
        <v>45</v>
      </c>
      <c r="J3723">
        <v>53</v>
      </c>
      <c r="K3723">
        <v>1250.45</v>
      </c>
      <c r="L3723">
        <v>66273.97</v>
      </c>
      <c r="M3723">
        <v>38267.18</v>
      </c>
      <c r="N3723">
        <v>5759.53</v>
      </c>
      <c r="O3723">
        <v>2354.9899999999998</v>
      </c>
      <c r="P3723">
        <v>2862.39</v>
      </c>
      <c r="Q3723">
        <v>396.01</v>
      </c>
      <c r="R3723">
        <v>3152.22</v>
      </c>
      <c r="S3723">
        <v>1345.41</v>
      </c>
      <c r="T3723">
        <v>54137.73</v>
      </c>
      <c r="U3723">
        <v>28006.79</v>
      </c>
      <c r="V3723">
        <v>12136.24</v>
      </c>
      <c r="W3723">
        <v>12335.21</v>
      </c>
      <c r="X3723">
        <v>71029.990000000005</v>
      </c>
      <c r="Y3723">
        <v>57020.53</v>
      </c>
    </row>
    <row r="3724" spans="1:25" x14ac:dyDescent="0.25">
      <c r="A3724" t="s">
        <v>3780</v>
      </c>
      <c r="B3724" s="1">
        <v>45951</v>
      </c>
      <c r="C3724">
        <v>2025</v>
      </c>
      <c r="D3724">
        <v>10</v>
      </c>
      <c r="E3724" t="s">
        <v>1017</v>
      </c>
      <c r="F3724" t="s">
        <v>1018</v>
      </c>
      <c r="G3724" t="s">
        <v>35</v>
      </c>
      <c r="H3724" t="s">
        <v>58</v>
      </c>
      <c r="I3724" t="s">
        <v>30</v>
      </c>
      <c r="J3724">
        <v>45</v>
      </c>
      <c r="K3724">
        <v>1482.92</v>
      </c>
      <c r="L3724">
        <v>66731.210000000006</v>
      </c>
      <c r="M3724">
        <v>38235.980000000003</v>
      </c>
      <c r="N3724">
        <v>6950.08</v>
      </c>
      <c r="O3724">
        <v>3366.07</v>
      </c>
      <c r="P3724">
        <v>1792.96</v>
      </c>
      <c r="Q3724">
        <v>346.47</v>
      </c>
      <c r="R3724">
        <v>3704.33</v>
      </c>
      <c r="S3724">
        <v>1374.29</v>
      </c>
      <c r="T3724">
        <v>55770.18</v>
      </c>
      <c r="U3724">
        <v>28495.23</v>
      </c>
      <c r="V3724">
        <v>10961.04</v>
      </c>
      <c r="W3724">
        <v>9764.5</v>
      </c>
      <c r="X3724">
        <v>62636</v>
      </c>
      <c r="Y3724">
        <v>61129.27</v>
      </c>
    </row>
    <row r="3725" spans="1:25" x14ac:dyDescent="0.25">
      <c r="A3725" t="s">
        <v>3781</v>
      </c>
      <c r="B3725" s="1">
        <v>45951</v>
      </c>
      <c r="C3725">
        <v>2025</v>
      </c>
      <c r="D3725">
        <v>10</v>
      </c>
      <c r="E3725" t="s">
        <v>1017</v>
      </c>
      <c r="F3725" t="s">
        <v>1018</v>
      </c>
      <c r="G3725" t="s">
        <v>35</v>
      </c>
      <c r="H3725" t="s">
        <v>32</v>
      </c>
      <c r="I3725" t="s">
        <v>37</v>
      </c>
      <c r="J3725">
        <v>40</v>
      </c>
      <c r="K3725">
        <v>1737.11</v>
      </c>
      <c r="L3725">
        <v>69484.28</v>
      </c>
      <c r="M3725">
        <v>33355.86</v>
      </c>
      <c r="N3725">
        <v>6224.1</v>
      </c>
      <c r="O3725">
        <v>1900.06</v>
      </c>
      <c r="P3725">
        <v>1364.99</v>
      </c>
      <c r="Q3725">
        <v>971.78</v>
      </c>
      <c r="R3725">
        <v>2690.28</v>
      </c>
      <c r="S3725">
        <v>592.08000000000004</v>
      </c>
      <c r="T3725">
        <v>47099.16</v>
      </c>
      <c r="U3725">
        <v>36128.42</v>
      </c>
      <c r="V3725">
        <v>22385.119999999999</v>
      </c>
      <c r="W3725">
        <v>21444.71</v>
      </c>
      <c r="X3725">
        <v>73690.36</v>
      </c>
      <c r="Y3725">
        <v>45596.87</v>
      </c>
    </row>
    <row r="3726" spans="1:25" x14ac:dyDescent="0.25">
      <c r="A3726" t="s">
        <v>3782</v>
      </c>
      <c r="B3726" s="1">
        <v>45951</v>
      </c>
      <c r="C3726">
        <v>2025</v>
      </c>
      <c r="D3726">
        <v>10</v>
      </c>
      <c r="E3726" t="s">
        <v>1017</v>
      </c>
      <c r="F3726" t="s">
        <v>1018</v>
      </c>
      <c r="G3726" t="s">
        <v>44</v>
      </c>
      <c r="H3726" t="s">
        <v>32</v>
      </c>
      <c r="I3726" t="s">
        <v>37</v>
      </c>
      <c r="J3726">
        <v>74</v>
      </c>
      <c r="K3726">
        <v>807.76</v>
      </c>
      <c r="L3726">
        <v>59774.58</v>
      </c>
      <c r="M3726">
        <v>30374.62</v>
      </c>
      <c r="N3726">
        <v>5484.11</v>
      </c>
      <c r="O3726">
        <v>4031.59</v>
      </c>
      <c r="P3726">
        <v>2150.85</v>
      </c>
      <c r="Q3726">
        <v>931.17</v>
      </c>
      <c r="R3726">
        <v>2064.2600000000002</v>
      </c>
      <c r="S3726">
        <v>1408.02</v>
      </c>
      <c r="T3726">
        <v>46444.61</v>
      </c>
      <c r="U3726">
        <v>29399.96</v>
      </c>
      <c r="V3726">
        <v>13329.97</v>
      </c>
      <c r="W3726">
        <v>11849.68</v>
      </c>
      <c r="X3726">
        <v>58304.14</v>
      </c>
      <c r="Y3726">
        <v>49053.75</v>
      </c>
    </row>
    <row r="3727" spans="1:25" x14ac:dyDescent="0.25">
      <c r="A3727" t="s">
        <v>3783</v>
      </c>
      <c r="B3727" s="1">
        <v>45951</v>
      </c>
      <c r="C3727">
        <v>2025</v>
      </c>
      <c r="D3727">
        <v>10</v>
      </c>
      <c r="E3727" t="s">
        <v>1017</v>
      </c>
      <c r="F3727" t="s">
        <v>1018</v>
      </c>
      <c r="G3727" t="s">
        <v>35</v>
      </c>
      <c r="H3727" t="s">
        <v>36</v>
      </c>
      <c r="I3727" t="s">
        <v>33</v>
      </c>
      <c r="J3727">
        <v>77</v>
      </c>
      <c r="K3727">
        <v>981.79</v>
      </c>
      <c r="L3727">
        <v>75597.820000000007</v>
      </c>
      <c r="M3727">
        <v>38370.33</v>
      </c>
      <c r="N3727">
        <v>9421.3799999999992</v>
      </c>
      <c r="O3727">
        <v>5105.79</v>
      </c>
      <c r="P3727">
        <v>1867.48</v>
      </c>
      <c r="Q3727">
        <v>378.68</v>
      </c>
      <c r="R3727">
        <v>4308.62</v>
      </c>
      <c r="S3727">
        <v>1180.21</v>
      </c>
      <c r="T3727">
        <v>60632.49</v>
      </c>
      <c r="U3727">
        <v>37227.49</v>
      </c>
      <c r="V3727">
        <v>14965.34</v>
      </c>
      <c r="W3727">
        <v>13879.53</v>
      </c>
      <c r="X3727">
        <v>77017.710000000006</v>
      </c>
      <c r="Y3727">
        <v>65237.57</v>
      </c>
    </row>
    <row r="3728" spans="1:25" x14ac:dyDescent="0.25">
      <c r="A3728" t="s">
        <v>3784</v>
      </c>
      <c r="B3728" s="1">
        <v>45951</v>
      </c>
      <c r="C3728">
        <v>2025</v>
      </c>
      <c r="D3728">
        <v>10</v>
      </c>
      <c r="E3728" t="s">
        <v>1017</v>
      </c>
      <c r="F3728" t="s">
        <v>1018</v>
      </c>
      <c r="G3728" t="s">
        <v>28</v>
      </c>
      <c r="H3728" t="s">
        <v>29</v>
      </c>
      <c r="I3728" t="s">
        <v>37</v>
      </c>
      <c r="J3728">
        <v>79</v>
      </c>
      <c r="K3728">
        <v>1028.4100000000001</v>
      </c>
      <c r="L3728">
        <v>81244.77</v>
      </c>
      <c r="M3728">
        <v>55204.58</v>
      </c>
      <c r="N3728">
        <v>10019.950000000001</v>
      </c>
      <c r="O3728">
        <v>3829.52</v>
      </c>
      <c r="P3728">
        <v>2942.05</v>
      </c>
      <c r="Q3728">
        <v>686.83</v>
      </c>
      <c r="R3728">
        <v>2283.67</v>
      </c>
      <c r="S3728">
        <v>1759.93</v>
      </c>
      <c r="T3728">
        <v>76726.53</v>
      </c>
      <c r="U3728">
        <v>26040.18</v>
      </c>
      <c r="V3728">
        <v>4518.2299999999996</v>
      </c>
      <c r="W3728">
        <v>4230.01</v>
      </c>
      <c r="X3728">
        <v>89691.73</v>
      </c>
      <c r="Y3728">
        <v>79007.3</v>
      </c>
    </row>
    <row r="3729" spans="1:25" x14ac:dyDescent="0.25">
      <c r="A3729" t="s">
        <v>3785</v>
      </c>
      <c r="B3729" s="1">
        <v>45952</v>
      </c>
      <c r="C3729">
        <v>2025</v>
      </c>
      <c r="D3729">
        <v>10</v>
      </c>
      <c r="E3729" t="s">
        <v>1017</v>
      </c>
      <c r="F3729" t="s">
        <v>1018</v>
      </c>
      <c r="G3729" t="s">
        <v>55</v>
      </c>
      <c r="H3729" t="s">
        <v>36</v>
      </c>
      <c r="I3729" t="s">
        <v>65</v>
      </c>
      <c r="J3729">
        <v>48</v>
      </c>
      <c r="K3729">
        <v>1303.71</v>
      </c>
      <c r="L3729">
        <v>62578.01</v>
      </c>
      <c r="M3729">
        <v>36010</v>
      </c>
      <c r="N3729">
        <v>8118.55</v>
      </c>
      <c r="O3729">
        <v>2539.1999999999998</v>
      </c>
      <c r="P3729">
        <v>2791.36</v>
      </c>
      <c r="Q3729">
        <v>718.37</v>
      </c>
      <c r="R3729">
        <v>2236.69</v>
      </c>
      <c r="S3729">
        <v>795.1</v>
      </c>
      <c r="T3729">
        <v>53209.279999999999</v>
      </c>
      <c r="U3729">
        <v>26568.01</v>
      </c>
      <c r="V3729">
        <v>9368.73</v>
      </c>
      <c r="W3729">
        <v>8582.0499999999993</v>
      </c>
      <c r="X3729">
        <v>58587.26</v>
      </c>
      <c r="Y3729">
        <v>51796.94</v>
      </c>
    </row>
    <row r="3730" spans="1:25" x14ac:dyDescent="0.25">
      <c r="A3730" t="s">
        <v>3786</v>
      </c>
      <c r="B3730" s="1">
        <v>45952</v>
      </c>
      <c r="C3730">
        <v>2025</v>
      </c>
      <c r="D3730">
        <v>10</v>
      </c>
      <c r="E3730" t="s">
        <v>1017</v>
      </c>
      <c r="F3730" t="s">
        <v>1018</v>
      </c>
      <c r="G3730" t="s">
        <v>55</v>
      </c>
      <c r="H3730" t="s">
        <v>36</v>
      </c>
      <c r="I3730" t="s">
        <v>45</v>
      </c>
      <c r="J3730">
        <v>57</v>
      </c>
      <c r="K3730">
        <v>966.82</v>
      </c>
      <c r="L3730">
        <v>55108.480000000003</v>
      </c>
      <c r="M3730">
        <v>29862.19</v>
      </c>
      <c r="N3730">
        <v>6322.31</v>
      </c>
      <c r="O3730">
        <v>2017.2</v>
      </c>
      <c r="P3730">
        <v>2245.2800000000002</v>
      </c>
      <c r="Q3730">
        <v>417.77</v>
      </c>
      <c r="R3730">
        <v>2380.9299999999998</v>
      </c>
      <c r="S3730">
        <v>1288.1600000000001</v>
      </c>
      <c r="T3730">
        <v>44533.84</v>
      </c>
      <c r="U3730">
        <v>25246.28</v>
      </c>
      <c r="V3730">
        <v>10574.63</v>
      </c>
      <c r="W3730">
        <v>9820.18</v>
      </c>
      <c r="X3730">
        <v>58564.71</v>
      </c>
      <c r="Y3730">
        <v>47864.62</v>
      </c>
    </row>
    <row r="3731" spans="1:25" x14ac:dyDescent="0.25">
      <c r="A3731" t="s">
        <v>3787</v>
      </c>
      <c r="B3731" s="1">
        <v>45953</v>
      </c>
      <c r="C3731">
        <v>2025</v>
      </c>
      <c r="D3731">
        <v>10</v>
      </c>
      <c r="E3731" t="s">
        <v>1017</v>
      </c>
      <c r="F3731" t="s">
        <v>1018</v>
      </c>
      <c r="G3731" t="s">
        <v>55</v>
      </c>
      <c r="H3731" t="s">
        <v>36</v>
      </c>
      <c r="I3731" t="s">
        <v>30</v>
      </c>
      <c r="J3731">
        <v>63</v>
      </c>
      <c r="K3731">
        <v>1677.33</v>
      </c>
      <c r="L3731">
        <v>105671.49</v>
      </c>
      <c r="M3731">
        <v>68571.210000000006</v>
      </c>
      <c r="N3731">
        <v>7742.99</v>
      </c>
      <c r="O3731">
        <v>4831.37</v>
      </c>
      <c r="P3731">
        <v>3407.56</v>
      </c>
      <c r="Q3731">
        <v>1748.13</v>
      </c>
      <c r="R3731">
        <v>2823.89</v>
      </c>
      <c r="S3731">
        <v>1778.83</v>
      </c>
      <c r="T3731">
        <v>90903.99</v>
      </c>
      <c r="U3731">
        <v>37100.28</v>
      </c>
      <c r="V3731">
        <v>14767.5</v>
      </c>
      <c r="W3731">
        <v>14054.54</v>
      </c>
      <c r="X3731">
        <v>103596.38</v>
      </c>
      <c r="Y3731">
        <v>95918.65</v>
      </c>
    </row>
    <row r="3732" spans="1:25" x14ac:dyDescent="0.25">
      <c r="A3732" t="s">
        <v>3788</v>
      </c>
      <c r="B3732" s="1">
        <v>45953</v>
      </c>
      <c r="C3732">
        <v>2025</v>
      </c>
      <c r="D3732">
        <v>10</v>
      </c>
      <c r="E3732" t="s">
        <v>1017</v>
      </c>
      <c r="F3732" t="s">
        <v>1018</v>
      </c>
      <c r="G3732" t="s">
        <v>44</v>
      </c>
      <c r="H3732" t="s">
        <v>36</v>
      </c>
      <c r="I3732" t="s">
        <v>33</v>
      </c>
      <c r="J3732">
        <v>64</v>
      </c>
      <c r="K3732">
        <v>1324.06</v>
      </c>
      <c r="L3732">
        <v>84740.11</v>
      </c>
      <c r="M3732">
        <v>51693.38</v>
      </c>
      <c r="N3732">
        <v>10964.77</v>
      </c>
      <c r="O3732">
        <v>3395.8</v>
      </c>
      <c r="P3732">
        <v>2700.63</v>
      </c>
      <c r="Q3732">
        <v>526.80999999999995</v>
      </c>
      <c r="R3732">
        <v>4443.99</v>
      </c>
      <c r="S3732">
        <v>1187.0899999999999</v>
      </c>
      <c r="T3732">
        <v>74912.479999999996</v>
      </c>
      <c r="U3732">
        <v>33046.730000000003</v>
      </c>
      <c r="V3732">
        <v>9827.6299999999992</v>
      </c>
      <c r="W3732">
        <v>9862.76</v>
      </c>
      <c r="X3732">
        <v>91560.35</v>
      </c>
      <c r="Y3732">
        <v>73168.62</v>
      </c>
    </row>
    <row r="3733" spans="1:25" x14ac:dyDescent="0.25">
      <c r="A3733" t="s">
        <v>3789</v>
      </c>
      <c r="B3733" s="1">
        <v>45953</v>
      </c>
      <c r="C3733">
        <v>2025</v>
      </c>
      <c r="D3733">
        <v>10</v>
      </c>
      <c r="E3733" t="s">
        <v>1017</v>
      </c>
      <c r="F3733" t="s">
        <v>1018</v>
      </c>
      <c r="G3733" t="s">
        <v>44</v>
      </c>
      <c r="H3733" t="s">
        <v>58</v>
      </c>
      <c r="I3733" t="s">
        <v>45</v>
      </c>
      <c r="J3733">
        <v>33</v>
      </c>
      <c r="K3733">
        <v>1495.64</v>
      </c>
      <c r="L3733">
        <v>49356.28</v>
      </c>
      <c r="M3733">
        <v>31749.97</v>
      </c>
      <c r="N3733">
        <v>5584.73</v>
      </c>
      <c r="O3733">
        <v>3472.46</v>
      </c>
      <c r="P3733">
        <v>1913.02</v>
      </c>
      <c r="Q3733">
        <v>654.92999999999995</v>
      </c>
      <c r="R3733">
        <v>1613.73</v>
      </c>
      <c r="S3733">
        <v>530.4</v>
      </c>
      <c r="T3733">
        <v>45519.25</v>
      </c>
      <c r="U3733">
        <v>17606.32</v>
      </c>
      <c r="V3733">
        <v>3837.03</v>
      </c>
      <c r="W3733">
        <v>3515.68</v>
      </c>
      <c r="X3733">
        <v>53746.8</v>
      </c>
      <c r="Y3733">
        <v>47735.57</v>
      </c>
    </row>
    <row r="3734" spans="1:25" x14ac:dyDescent="0.25">
      <c r="A3734" t="s">
        <v>3790</v>
      </c>
      <c r="B3734" s="1">
        <v>45953</v>
      </c>
      <c r="C3734">
        <v>2025</v>
      </c>
      <c r="D3734">
        <v>10</v>
      </c>
      <c r="E3734" t="s">
        <v>1017</v>
      </c>
      <c r="F3734" t="s">
        <v>1018</v>
      </c>
      <c r="G3734" t="s">
        <v>55</v>
      </c>
      <c r="H3734" t="s">
        <v>36</v>
      </c>
      <c r="I3734" t="s">
        <v>56</v>
      </c>
      <c r="J3734">
        <v>29</v>
      </c>
      <c r="K3734">
        <v>1044.83</v>
      </c>
      <c r="L3734">
        <v>30300.04</v>
      </c>
      <c r="M3734">
        <v>20053.919999999998</v>
      </c>
      <c r="N3734">
        <v>3010.96</v>
      </c>
      <c r="O3734">
        <v>1619.91</v>
      </c>
      <c r="P3734">
        <v>1143.31</v>
      </c>
      <c r="Q3734">
        <v>463.39</v>
      </c>
      <c r="R3734">
        <v>872.77</v>
      </c>
      <c r="S3734">
        <v>262.67</v>
      </c>
      <c r="T3734">
        <v>27426.93</v>
      </c>
      <c r="U3734">
        <v>10246.120000000001</v>
      </c>
      <c r="V3734">
        <v>2873.11</v>
      </c>
      <c r="W3734">
        <v>2815.3</v>
      </c>
      <c r="X3734">
        <v>31593.19</v>
      </c>
      <c r="Y3734">
        <v>26575.71</v>
      </c>
    </row>
    <row r="3735" spans="1:25" x14ac:dyDescent="0.25">
      <c r="A3735" t="s">
        <v>3791</v>
      </c>
      <c r="B3735" s="1">
        <v>45954</v>
      </c>
      <c r="C3735">
        <v>2025</v>
      </c>
      <c r="D3735">
        <v>10</v>
      </c>
      <c r="E3735" t="s">
        <v>1017</v>
      </c>
      <c r="F3735" t="s">
        <v>1018</v>
      </c>
      <c r="G3735" t="s">
        <v>44</v>
      </c>
      <c r="H3735" t="s">
        <v>58</v>
      </c>
      <c r="I3735" t="s">
        <v>65</v>
      </c>
      <c r="J3735">
        <v>30</v>
      </c>
      <c r="K3735">
        <v>1509.37</v>
      </c>
      <c r="L3735">
        <v>45281.11</v>
      </c>
      <c r="M3735">
        <v>28613.79</v>
      </c>
      <c r="N3735">
        <v>5082.74</v>
      </c>
      <c r="O3735">
        <v>2924.94</v>
      </c>
      <c r="P3735">
        <v>690.29</v>
      </c>
      <c r="Q3735">
        <v>756.37</v>
      </c>
      <c r="R3735">
        <v>1797.79</v>
      </c>
      <c r="S3735">
        <v>908.19</v>
      </c>
      <c r="T3735">
        <v>40774.120000000003</v>
      </c>
      <c r="U3735">
        <v>16667.32</v>
      </c>
      <c r="V3735">
        <v>4506.99</v>
      </c>
      <c r="W3735">
        <v>4332</v>
      </c>
      <c r="X3735">
        <v>47224.84</v>
      </c>
      <c r="Y3735">
        <v>39759.26</v>
      </c>
    </row>
    <row r="3736" spans="1:25" x14ac:dyDescent="0.25">
      <c r="A3736" t="s">
        <v>3792</v>
      </c>
      <c r="B3736" s="1">
        <v>45955</v>
      </c>
      <c r="C3736">
        <v>2025</v>
      </c>
      <c r="D3736">
        <v>10</v>
      </c>
      <c r="E3736" t="s">
        <v>1017</v>
      </c>
      <c r="F3736" t="s">
        <v>1018</v>
      </c>
      <c r="G3736" t="s">
        <v>35</v>
      </c>
      <c r="H3736" t="s">
        <v>36</v>
      </c>
      <c r="I3736" t="s">
        <v>33</v>
      </c>
      <c r="J3736">
        <v>46</v>
      </c>
      <c r="K3736">
        <v>1451.3</v>
      </c>
      <c r="L3736">
        <v>66759.929999999993</v>
      </c>
      <c r="M3736">
        <v>45119.5</v>
      </c>
      <c r="N3736">
        <v>5523.67</v>
      </c>
      <c r="O3736">
        <v>2248.3000000000002</v>
      </c>
      <c r="P3736">
        <v>2983.08</v>
      </c>
      <c r="Q3736">
        <v>1174.5999999999999</v>
      </c>
      <c r="R3736">
        <v>1796.57</v>
      </c>
      <c r="S3736">
        <v>740.16</v>
      </c>
      <c r="T3736">
        <v>59585.87</v>
      </c>
      <c r="U3736">
        <v>21640.43</v>
      </c>
      <c r="V3736">
        <v>7174.06</v>
      </c>
      <c r="W3736">
        <v>6741.97</v>
      </c>
      <c r="X3736">
        <v>64392.71</v>
      </c>
      <c r="Y3736">
        <v>56142.99</v>
      </c>
    </row>
    <row r="3737" spans="1:25" x14ac:dyDescent="0.25">
      <c r="A3737" t="s">
        <v>3793</v>
      </c>
      <c r="B3737" s="1">
        <v>45955</v>
      </c>
      <c r="C3737">
        <v>2025</v>
      </c>
      <c r="D3737">
        <v>10</v>
      </c>
      <c r="E3737" t="s">
        <v>1017</v>
      </c>
      <c r="F3737" t="s">
        <v>1018</v>
      </c>
      <c r="G3737" t="s">
        <v>55</v>
      </c>
      <c r="H3737" t="s">
        <v>36</v>
      </c>
      <c r="I3737" t="s">
        <v>39</v>
      </c>
      <c r="J3737">
        <v>26</v>
      </c>
      <c r="K3737">
        <v>1362.26</v>
      </c>
      <c r="L3737">
        <v>35418.660000000003</v>
      </c>
      <c r="M3737">
        <v>19880.36</v>
      </c>
      <c r="N3737">
        <v>2533.66</v>
      </c>
      <c r="O3737">
        <v>1068.6099999999999</v>
      </c>
      <c r="P3737">
        <v>1063.21</v>
      </c>
      <c r="Q3737">
        <v>388.81</v>
      </c>
      <c r="R3737">
        <v>1786.22</v>
      </c>
      <c r="S3737">
        <v>834</v>
      </c>
      <c r="T3737">
        <v>27554.87</v>
      </c>
      <c r="U3737">
        <v>15538.29</v>
      </c>
      <c r="V3737">
        <v>7863.79</v>
      </c>
      <c r="W3737">
        <v>7368.81</v>
      </c>
      <c r="X3737">
        <v>36116.300000000003</v>
      </c>
      <c r="Y3737">
        <v>30252.87</v>
      </c>
    </row>
    <row r="3738" spans="1:25" x14ac:dyDescent="0.25">
      <c r="A3738" t="s">
        <v>3794</v>
      </c>
      <c r="B3738" s="1">
        <v>45955</v>
      </c>
      <c r="C3738">
        <v>2025</v>
      </c>
      <c r="D3738">
        <v>10</v>
      </c>
      <c r="E3738" t="s">
        <v>1017</v>
      </c>
      <c r="F3738" t="s">
        <v>1018</v>
      </c>
      <c r="G3738" t="s">
        <v>55</v>
      </c>
      <c r="H3738" t="s">
        <v>32</v>
      </c>
      <c r="I3738" t="s">
        <v>33</v>
      </c>
      <c r="J3738">
        <v>77</v>
      </c>
      <c r="K3738">
        <v>1545.06</v>
      </c>
      <c r="L3738">
        <v>118969.37</v>
      </c>
      <c r="M3738">
        <v>68389.34</v>
      </c>
      <c r="N3738">
        <v>12750.27</v>
      </c>
      <c r="O3738">
        <v>6662.52</v>
      </c>
      <c r="P3738">
        <v>3125.51</v>
      </c>
      <c r="Q3738">
        <v>877.72</v>
      </c>
      <c r="R3738">
        <v>6840.13</v>
      </c>
      <c r="S3738">
        <v>1329.26</v>
      </c>
      <c r="T3738">
        <v>99974.75</v>
      </c>
      <c r="U3738">
        <v>50580.03</v>
      </c>
      <c r="V3738">
        <v>18994.62</v>
      </c>
      <c r="W3738">
        <v>19370.87</v>
      </c>
      <c r="X3738">
        <v>115573.86</v>
      </c>
      <c r="Y3738">
        <v>96256.54</v>
      </c>
    </row>
    <row r="3739" spans="1:25" x14ac:dyDescent="0.25">
      <c r="A3739" t="s">
        <v>3795</v>
      </c>
      <c r="B3739" s="1">
        <v>45955</v>
      </c>
      <c r="C3739">
        <v>2025</v>
      </c>
      <c r="D3739">
        <v>10</v>
      </c>
      <c r="E3739" t="s">
        <v>1017</v>
      </c>
      <c r="F3739" t="s">
        <v>1018</v>
      </c>
      <c r="G3739" t="s">
        <v>55</v>
      </c>
      <c r="H3739" t="s">
        <v>32</v>
      </c>
      <c r="I3739" t="s">
        <v>30</v>
      </c>
      <c r="J3739">
        <v>60</v>
      </c>
      <c r="K3739">
        <v>1663.92</v>
      </c>
      <c r="L3739">
        <v>99835.34</v>
      </c>
      <c r="M3739">
        <v>48814.66</v>
      </c>
      <c r="N3739">
        <v>11523.3</v>
      </c>
      <c r="O3739">
        <v>6293.2</v>
      </c>
      <c r="P3739">
        <v>3950.38</v>
      </c>
      <c r="Q3739">
        <v>1474.64</v>
      </c>
      <c r="R3739">
        <v>3528.99</v>
      </c>
      <c r="S3739">
        <v>1384.4</v>
      </c>
      <c r="T3739">
        <v>76969.570000000007</v>
      </c>
      <c r="U3739">
        <v>51020.69</v>
      </c>
      <c r="V3739">
        <v>22865.77</v>
      </c>
      <c r="W3739">
        <v>22110.45</v>
      </c>
      <c r="X3739">
        <v>105060.33</v>
      </c>
      <c r="Y3739">
        <v>71729.179999999993</v>
      </c>
    </row>
    <row r="3740" spans="1:25" x14ac:dyDescent="0.25">
      <c r="A3740" t="s">
        <v>3796</v>
      </c>
      <c r="B3740" s="1">
        <v>45956</v>
      </c>
      <c r="C3740">
        <v>2025</v>
      </c>
      <c r="D3740">
        <v>10</v>
      </c>
      <c r="E3740" t="s">
        <v>1017</v>
      </c>
      <c r="F3740" t="s">
        <v>1018</v>
      </c>
      <c r="G3740" t="s">
        <v>28</v>
      </c>
      <c r="H3740" t="s">
        <v>53</v>
      </c>
      <c r="I3740" t="s">
        <v>33</v>
      </c>
      <c r="J3740">
        <v>66</v>
      </c>
      <c r="K3740">
        <v>1333.69</v>
      </c>
      <c r="L3740">
        <v>88023.86</v>
      </c>
      <c r="M3740">
        <v>48254.37</v>
      </c>
      <c r="N3740">
        <v>11084.7</v>
      </c>
      <c r="O3740">
        <v>6366.17</v>
      </c>
      <c r="P3740">
        <v>3647.98</v>
      </c>
      <c r="Q3740">
        <v>743.2</v>
      </c>
      <c r="R3740">
        <v>2231.7399999999998</v>
      </c>
      <c r="S3740">
        <v>1882.06</v>
      </c>
      <c r="T3740">
        <v>74210.22</v>
      </c>
      <c r="U3740">
        <v>39769.49</v>
      </c>
      <c r="V3740">
        <v>13813.64</v>
      </c>
      <c r="W3740">
        <v>13094.96</v>
      </c>
      <c r="X3740">
        <v>83172.52</v>
      </c>
      <c r="Y3740">
        <v>80850.429999999993</v>
      </c>
    </row>
    <row r="3741" spans="1:25" x14ac:dyDescent="0.25">
      <c r="A3741" t="s">
        <v>3797</v>
      </c>
      <c r="B3741" s="1">
        <v>45956</v>
      </c>
      <c r="C3741">
        <v>2025</v>
      </c>
      <c r="D3741">
        <v>10</v>
      </c>
      <c r="E3741" t="s">
        <v>1017</v>
      </c>
      <c r="F3741" t="s">
        <v>1018</v>
      </c>
      <c r="G3741" t="s">
        <v>44</v>
      </c>
      <c r="H3741" t="s">
        <v>53</v>
      </c>
      <c r="I3741" t="s">
        <v>33</v>
      </c>
      <c r="J3741">
        <v>35</v>
      </c>
      <c r="K3741">
        <v>1444.39</v>
      </c>
      <c r="L3741">
        <v>50553.54</v>
      </c>
      <c r="M3741">
        <v>26300.71</v>
      </c>
      <c r="N3741">
        <v>5763.12</v>
      </c>
      <c r="O3741">
        <v>1659.04</v>
      </c>
      <c r="P3741">
        <v>1985.11</v>
      </c>
      <c r="Q3741">
        <v>518.01</v>
      </c>
      <c r="R3741">
        <v>3075.43</v>
      </c>
      <c r="S3741">
        <v>1152.53</v>
      </c>
      <c r="T3741">
        <v>40453.949999999997</v>
      </c>
      <c r="U3741">
        <v>24252.83</v>
      </c>
      <c r="V3741">
        <v>10099.6</v>
      </c>
      <c r="W3741">
        <v>10041.049999999999</v>
      </c>
      <c r="X3741">
        <v>47202</v>
      </c>
      <c r="Y3741">
        <v>39010.1</v>
      </c>
    </row>
    <row r="3742" spans="1:25" x14ac:dyDescent="0.25">
      <c r="A3742" t="s">
        <v>3798</v>
      </c>
      <c r="B3742" s="1">
        <v>45957</v>
      </c>
      <c r="C3742">
        <v>2025</v>
      </c>
      <c r="D3742">
        <v>10</v>
      </c>
      <c r="E3742" t="s">
        <v>1017</v>
      </c>
      <c r="F3742" t="s">
        <v>1018</v>
      </c>
      <c r="G3742" t="s">
        <v>28</v>
      </c>
      <c r="H3742" t="s">
        <v>53</v>
      </c>
      <c r="I3742" t="s">
        <v>37</v>
      </c>
      <c r="J3742">
        <v>77</v>
      </c>
      <c r="K3742">
        <v>974.51</v>
      </c>
      <c r="L3742">
        <v>75037.05</v>
      </c>
      <c r="M3742">
        <v>38523.61</v>
      </c>
      <c r="N3742">
        <v>5786.24</v>
      </c>
      <c r="O3742">
        <v>4049.58</v>
      </c>
      <c r="P3742">
        <v>1130.1099999999999</v>
      </c>
      <c r="Q3742">
        <v>959.09</v>
      </c>
      <c r="R3742">
        <v>3513.27</v>
      </c>
      <c r="S3742">
        <v>1846.64</v>
      </c>
      <c r="T3742">
        <v>55808.55</v>
      </c>
      <c r="U3742">
        <v>36513.440000000002</v>
      </c>
      <c r="V3742">
        <v>19228.5</v>
      </c>
      <c r="W3742">
        <v>19216.259999999998</v>
      </c>
      <c r="X3742">
        <v>78926.14</v>
      </c>
      <c r="Y3742">
        <v>53144.83</v>
      </c>
    </row>
    <row r="3743" spans="1:25" x14ac:dyDescent="0.25">
      <c r="A3743" t="s">
        <v>3799</v>
      </c>
      <c r="B3743" s="1">
        <v>45957</v>
      </c>
      <c r="C3743">
        <v>2025</v>
      </c>
      <c r="D3743">
        <v>10</v>
      </c>
      <c r="E3743" t="s">
        <v>1017</v>
      </c>
      <c r="F3743" t="s">
        <v>1018</v>
      </c>
      <c r="G3743" t="s">
        <v>44</v>
      </c>
      <c r="H3743" t="s">
        <v>36</v>
      </c>
      <c r="I3743" t="s">
        <v>56</v>
      </c>
      <c r="J3743">
        <v>27</v>
      </c>
      <c r="K3743">
        <v>1161.45</v>
      </c>
      <c r="L3743">
        <v>31359.11</v>
      </c>
      <c r="M3743">
        <v>18556.72</v>
      </c>
      <c r="N3743">
        <v>2245.4899999999998</v>
      </c>
      <c r="O3743">
        <v>2238.0500000000002</v>
      </c>
      <c r="P3743">
        <v>1024.69</v>
      </c>
      <c r="Q3743">
        <v>228.75</v>
      </c>
      <c r="R3743">
        <v>1755.67</v>
      </c>
      <c r="S3743">
        <v>692</v>
      </c>
      <c r="T3743">
        <v>26741.37</v>
      </c>
      <c r="U3743">
        <v>12802.39</v>
      </c>
      <c r="V3743">
        <v>4617.7299999999996</v>
      </c>
      <c r="W3743">
        <v>4165.05</v>
      </c>
      <c r="X3743">
        <v>31425.85</v>
      </c>
      <c r="Y3743">
        <v>25593.63</v>
      </c>
    </row>
    <row r="3744" spans="1:25" x14ac:dyDescent="0.25">
      <c r="A3744" t="s">
        <v>3800</v>
      </c>
      <c r="B3744" s="1">
        <v>45957</v>
      </c>
      <c r="C3744">
        <v>2025</v>
      </c>
      <c r="D3744">
        <v>10</v>
      </c>
      <c r="E3744" t="s">
        <v>1017</v>
      </c>
      <c r="F3744" t="s">
        <v>1018</v>
      </c>
      <c r="G3744" t="s">
        <v>44</v>
      </c>
      <c r="H3744" t="s">
        <v>36</v>
      </c>
      <c r="I3744" t="s">
        <v>50</v>
      </c>
      <c r="J3744">
        <v>46</v>
      </c>
      <c r="K3744">
        <v>917.09</v>
      </c>
      <c r="L3744">
        <v>42186.09</v>
      </c>
      <c r="M3744">
        <v>26717.279999999999</v>
      </c>
      <c r="N3744">
        <v>3610.98</v>
      </c>
      <c r="O3744">
        <v>2363.2199999999998</v>
      </c>
      <c r="P3744">
        <v>1314.5</v>
      </c>
      <c r="Q3744">
        <v>372.25</v>
      </c>
      <c r="R3744">
        <v>2399.23</v>
      </c>
      <c r="S3744">
        <v>655.24</v>
      </c>
      <c r="T3744">
        <v>37432.69</v>
      </c>
      <c r="U3744">
        <v>15468.81</v>
      </c>
      <c r="V3744">
        <v>4753.3999999999996</v>
      </c>
      <c r="W3744">
        <v>4275.0600000000004</v>
      </c>
      <c r="X3744">
        <v>44078.35</v>
      </c>
      <c r="Y3744">
        <v>35942.300000000003</v>
      </c>
    </row>
    <row r="3745" spans="1:25" x14ac:dyDescent="0.25">
      <c r="A3745" t="s">
        <v>3801</v>
      </c>
      <c r="B3745" s="1">
        <v>45957</v>
      </c>
      <c r="C3745">
        <v>2025</v>
      </c>
      <c r="D3745">
        <v>10</v>
      </c>
      <c r="E3745" t="s">
        <v>1017</v>
      </c>
      <c r="F3745" t="s">
        <v>1018</v>
      </c>
      <c r="G3745" t="s">
        <v>55</v>
      </c>
      <c r="H3745" t="s">
        <v>58</v>
      </c>
      <c r="I3745" t="s">
        <v>33</v>
      </c>
      <c r="J3745">
        <v>101</v>
      </c>
      <c r="K3745">
        <v>860.48</v>
      </c>
      <c r="L3745">
        <v>86908.96</v>
      </c>
      <c r="M3745">
        <v>50522.77</v>
      </c>
      <c r="N3745">
        <v>6884.82</v>
      </c>
      <c r="O3745">
        <v>5720.37</v>
      </c>
      <c r="P3745">
        <v>2983.22</v>
      </c>
      <c r="Q3745">
        <v>444.8</v>
      </c>
      <c r="R3745">
        <v>3494.66</v>
      </c>
      <c r="S3745">
        <v>2096.16</v>
      </c>
      <c r="T3745">
        <v>72146.8</v>
      </c>
      <c r="U3745">
        <v>36386.19</v>
      </c>
      <c r="V3745">
        <v>14762.16</v>
      </c>
      <c r="W3745">
        <v>14260.52</v>
      </c>
      <c r="X3745">
        <v>80398.070000000007</v>
      </c>
      <c r="Y3745">
        <v>73602.61</v>
      </c>
    </row>
    <row r="3746" spans="1:25" x14ac:dyDescent="0.25">
      <c r="A3746" t="s">
        <v>3802</v>
      </c>
      <c r="B3746" s="1">
        <v>45957</v>
      </c>
      <c r="C3746">
        <v>2025</v>
      </c>
      <c r="D3746">
        <v>10</v>
      </c>
      <c r="E3746" t="s">
        <v>1017</v>
      </c>
      <c r="F3746" t="s">
        <v>1018</v>
      </c>
      <c r="G3746" t="s">
        <v>28</v>
      </c>
      <c r="H3746" t="s">
        <v>58</v>
      </c>
      <c r="I3746" t="s">
        <v>39</v>
      </c>
      <c r="J3746">
        <v>25</v>
      </c>
      <c r="K3746">
        <v>1486.28</v>
      </c>
      <c r="L3746">
        <v>37157.03</v>
      </c>
      <c r="M3746">
        <v>19516.400000000001</v>
      </c>
      <c r="N3746">
        <v>2961.55</v>
      </c>
      <c r="O3746">
        <v>1698.84</v>
      </c>
      <c r="P3746">
        <v>1549.25</v>
      </c>
      <c r="Q3746">
        <v>365.8</v>
      </c>
      <c r="R3746">
        <v>961.4</v>
      </c>
      <c r="S3746">
        <v>457.65</v>
      </c>
      <c r="T3746">
        <v>27510.880000000001</v>
      </c>
      <c r="U3746">
        <v>17640.63</v>
      </c>
      <c r="V3746">
        <v>9646.15</v>
      </c>
      <c r="W3746">
        <v>8855.6</v>
      </c>
      <c r="X3746">
        <v>35862.29</v>
      </c>
      <c r="Y3746">
        <v>27010.55</v>
      </c>
    </row>
    <row r="3747" spans="1:25" x14ac:dyDescent="0.25">
      <c r="A3747" t="s">
        <v>3803</v>
      </c>
      <c r="B3747" s="1">
        <v>45958</v>
      </c>
      <c r="C3747">
        <v>2025</v>
      </c>
      <c r="D3747">
        <v>10</v>
      </c>
      <c r="E3747" t="s">
        <v>1017</v>
      </c>
      <c r="F3747" t="s">
        <v>1018</v>
      </c>
      <c r="G3747" t="s">
        <v>44</v>
      </c>
      <c r="H3747" t="s">
        <v>53</v>
      </c>
      <c r="I3747" t="s">
        <v>30</v>
      </c>
      <c r="J3747">
        <v>72</v>
      </c>
      <c r="K3747">
        <v>1282.78</v>
      </c>
      <c r="L3747">
        <v>92360.28</v>
      </c>
      <c r="M3747">
        <v>45003.74</v>
      </c>
      <c r="N3747">
        <v>9315.56</v>
      </c>
      <c r="O3747">
        <v>2395.3200000000002</v>
      </c>
      <c r="P3747">
        <v>3604.01</v>
      </c>
      <c r="Q3747">
        <v>1221.32</v>
      </c>
      <c r="R3747">
        <v>4229.54</v>
      </c>
      <c r="S3747">
        <v>1270.72</v>
      </c>
      <c r="T3747">
        <v>67040.210000000006</v>
      </c>
      <c r="U3747">
        <v>47356.54</v>
      </c>
      <c r="V3747">
        <v>25320.07</v>
      </c>
      <c r="W3747">
        <v>25685.439999999999</v>
      </c>
      <c r="X3747">
        <v>93263.57</v>
      </c>
      <c r="Y3747">
        <v>71600.740000000005</v>
      </c>
    </row>
    <row r="3748" spans="1:25" x14ac:dyDescent="0.25">
      <c r="A3748" t="s">
        <v>3804</v>
      </c>
      <c r="B3748" s="1">
        <v>45958</v>
      </c>
      <c r="C3748">
        <v>2025</v>
      </c>
      <c r="D3748">
        <v>10</v>
      </c>
      <c r="E3748" t="s">
        <v>1017</v>
      </c>
      <c r="F3748" t="s">
        <v>1018</v>
      </c>
      <c r="G3748" t="s">
        <v>55</v>
      </c>
      <c r="H3748" t="s">
        <v>32</v>
      </c>
      <c r="I3748" t="s">
        <v>33</v>
      </c>
      <c r="J3748">
        <v>73</v>
      </c>
      <c r="K3748">
        <v>1489</v>
      </c>
      <c r="L3748">
        <v>108696.69</v>
      </c>
      <c r="M3748">
        <v>59379.65</v>
      </c>
      <c r="N3748">
        <v>9859.91</v>
      </c>
      <c r="O3748">
        <v>8003.58</v>
      </c>
      <c r="P3748">
        <v>3645.72</v>
      </c>
      <c r="Q3748">
        <v>1420.95</v>
      </c>
      <c r="R3748">
        <v>3515.94</v>
      </c>
      <c r="S3748">
        <v>1245.93</v>
      </c>
      <c r="T3748">
        <v>87071.69</v>
      </c>
      <c r="U3748">
        <v>49317.03</v>
      </c>
      <c r="V3748">
        <v>21625</v>
      </c>
      <c r="W3748">
        <v>21362.25</v>
      </c>
      <c r="X3748">
        <v>106924.37</v>
      </c>
      <c r="Y3748">
        <v>84054.62</v>
      </c>
    </row>
    <row r="3749" spans="1:25" x14ac:dyDescent="0.25">
      <c r="A3749" t="s">
        <v>3805</v>
      </c>
      <c r="B3749" s="1">
        <v>45958</v>
      </c>
      <c r="C3749">
        <v>2025</v>
      </c>
      <c r="D3749">
        <v>10</v>
      </c>
      <c r="E3749" t="s">
        <v>1017</v>
      </c>
      <c r="F3749" t="s">
        <v>1018</v>
      </c>
      <c r="G3749" t="s">
        <v>28</v>
      </c>
      <c r="H3749" t="s">
        <v>32</v>
      </c>
      <c r="I3749" t="s">
        <v>56</v>
      </c>
      <c r="J3749">
        <v>23</v>
      </c>
      <c r="K3749">
        <v>1459.33</v>
      </c>
      <c r="L3749">
        <v>33564.589999999997</v>
      </c>
      <c r="M3749">
        <v>19761.12</v>
      </c>
      <c r="N3749">
        <v>3810.96</v>
      </c>
      <c r="O3749">
        <v>1209.27</v>
      </c>
      <c r="P3749">
        <v>1015.16</v>
      </c>
      <c r="Q3749">
        <v>494.14</v>
      </c>
      <c r="R3749">
        <v>2006.32</v>
      </c>
      <c r="S3749">
        <v>428.61</v>
      </c>
      <c r="T3749">
        <v>28725.59</v>
      </c>
      <c r="U3749">
        <v>13803.47</v>
      </c>
      <c r="V3749">
        <v>4839</v>
      </c>
      <c r="W3749">
        <v>4360.5600000000004</v>
      </c>
      <c r="X3749">
        <v>35796.019999999997</v>
      </c>
      <c r="Y3749">
        <v>28361.22</v>
      </c>
    </row>
    <row r="3750" spans="1:25" x14ac:dyDescent="0.25">
      <c r="A3750" t="s">
        <v>3806</v>
      </c>
      <c r="B3750" s="1">
        <v>45958</v>
      </c>
      <c r="C3750">
        <v>2025</v>
      </c>
      <c r="D3750">
        <v>10</v>
      </c>
      <c r="E3750" t="s">
        <v>1017</v>
      </c>
      <c r="F3750" t="s">
        <v>1018</v>
      </c>
      <c r="G3750" t="s">
        <v>28</v>
      </c>
      <c r="H3750" t="s">
        <v>53</v>
      </c>
      <c r="I3750" t="s">
        <v>50</v>
      </c>
      <c r="J3750">
        <v>47</v>
      </c>
      <c r="K3750">
        <v>1145.3499999999999</v>
      </c>
      <c r="L3750">
        <v>53831.57</v>
      </c>
      <c r="M3750">
        <v>31652.03</v>
      </c>
      <c r="N3750">
        <v>4320.91</v>
      </c>
      <c r="O3750">
        <v>2254.08</v>
      </c>
      <c r="P3750">
        <v>1488.04</v>
      </c>
      <c r="Q3750">
        <v>694.52</v>
      </c>
      <c r="R3750">
        <v>1961.18</v>
      </c>
      <c r="S3750">
        <v>1022.04</v>
      </c>
      <c r="T3750">
        <v>43392.82</v>
      </c>
      <c r="U3750">
        <v>22179.54</v>
      </c>
      <c r="V3750">
        <v>10438.75</v>
      </c>
      <c r="W3750">
        <v>10098.93</v>
      </c>
      <c r="X3750">
        <v>59033.51</v>
      </c>
      <c r="Y3750">
        <v>43824.3</v>
      </c>
    </row>
    <row r="3751" spans="1:25" x14ac:dyDescent="0.25">
      <c r="A3751" t="s">
        <v>3807</v>
      </c>
      <c r="B3751" s="1">
        <v>45958</v>
      </c>
      <c r="C3751">
        <v>2025</v>
      </c>
      <c r="D3751">
        <v>10</v>
      </c>
      <c r="E3751" t="s">
        <v>1017</v>
      </c>
      <c r="F3751" t="s">
        <v>1018</v>
      </c>
      <c r="G3751" t="s">
        <v>28</v>
      </c>
      <c r="H3751" t="s">
        <v>32</v>
      </c>
      <c r="I3751" t="s">
        <v>30</v>
      </c>
      <c r="J3751">
        <v>126</v>
      </c>
      <c r="K3751">
        <v>868.57</v>
      </c>
      <c r="L3751">
        <v>109440.41</v>
      </c>
      <c r="M3751">
        <v>58374.47</v>
      </c>
      <c r="N3751">
        <v>9402.34</v>
      </c>
      <c r="O3751">
        <v>3303.76</v>
      </c>
      <c r="P3751">
        <v>2816.53</v>
      </c>
      <c r="Q3751">
        <v>859.92</v>
      </c>
      <c r="R3751">
        <v>2841.1</v>
      </c>
      <c r="S3751">
        <v>1568.35</v>
      </c>
      <c r="T3751">
        <v>79166.45</v>
      </c>
      <c r="U3751">
        <v>51065.95</v>
      </c>
      <c r="V3751">
        <v>30273.96</v>
      </c>
      <c r="W3751">
        <v>28041.32</v>
      </c>
      <c r="X3751">
        <v>118533.98</v>
      </c>
      <c r="Y3751">
        <v>83708.55</v>
      </c>
    </row>
    <row r="3752" spans="1:25" x14ac:dyDescent="0.25">
      <c r="A3752" t="s">
        <v>3808</v>
      </c>
      <c r="B3752" s="1">
        <v>45958</v>
      </c>
      <c r="C3752">
        <v>2025</v>
      </c>
      <c r="D3752">
        <v>10</v>
      </c>
      <c r="E3752" t="s">
        <v>1017</v>
      </c>
      <c r="F3752" t="s">
        <v>1018</v>
      </c>
      <c r="G3752" t="s">
        <v>28</v>
      </c>
      <c r="H3752" t="s">
        <v>58</v>
      </c>
      <c r="I3752" t="s">
        <v>37</v>
      </c>
      <c r="J3752">
        <v>62</v>
      </c>
      <c r="K3752">
        <v>1341.05</v>
      </c>
      <c r="L3752">
        <v>83145.37</v>
      </c>
      <c r="M3752">
        <v>44852.91</v>
      </c>
      <c r="N3752">
        <v>8998.57</v>
      </c>
      <c r="O3752">
        <v>3095.04</v>
      </c>
      <c r="P3752">
        <v>3528.71</v>
      </c>
      <c r="Q3752">
        <v>1078.58</v>
      </c>
      <c r="R3752">
        <v>4065.56</v>
      </c>
      <c r="S3752">
        <v>1229.48</v>
      </c>
      <c r="T3752">
        <v>66848.84</v>
      </c>
      <c r="U3752">
        <v>38292.46</v>
      </c>
      <c r="V3752">
        <v>16296.52</v>
      </c>
      <c r="W3752">
        <v>16336.68</v>
      </c>
      <c r="X3752">
        <v>87127.6</v>
      </c>
      <c r="Y3752">
        <v>62270.67</v>
      </c>
    </row>
    <row r="3753" spans="1:25" x14ac:dyDescent="0.25">
      <c r="A3753" t="s">
        <v>3809</v>
      </c>
      <c r="B3753" s="1">
        <v>45959</v>
      </c>
      <c r="C3753">
        <v>2025</v>
      </c>
      <c r="D3753">
        <v>10</v>
      </c>
      <c r="E3753" t="s">
        <v>1017</v>
      </c>
      <c r="F3753" t="s">
        <v>1018</v>
      </c>
      <c r="G3753" t="s">
        <v>35</v>
      </c>
      <c r="H3753" t="s">
        <v>32</v>
      </c>
      <c r="I3753" t="s">
        <v>56</v>
      </c>
      <c r="J3753">
        <v>39</v>
      </c>
      <c r="K3753">
        <v>802.1</v>
      </c>
      <c r="L3753">
        <v>31281.86</v>
      </c>
      <c r="M3753">
        <v>16769.61</v>
      </c>
      <c r="N3753">
        <v>2791.64</v>
      </c>
      <c r="O3753">
        <v>848.56</v>
      </c>
      <c r="P3753">
        <v>893.77</v>
      </c>
      <c r="Q3753">
        <v>545.97</v>
      </c>
      <c r="R3753">
        <v>1319.25</v>
      </c>
      <c r="S3753">
        <v>465.02</v>
      </c>
      <c r="T3753">
        <v>23633.82</v>
      </c>
      <c r="U3753">
        <v>14512.25</v>
      </c>
      <c r="V3753">
        <v>7648.04</v>
      </c>
      <c r="W3753">
        <v>7078.55</v>
      </c>
      <c r="X3753">
        <v>31000.99</v>
      </c>
      <c r="Y3753">
        <v>22654.42</v>
      </c>
    </row>
    <row r="3754" spans="1:25" x14ac:dyDescent="0.25">
      <c r="A3754" t="s">
        <v>3810</v>
      </c>
      <c r="B3754" s="1">
        <v>45960</v>
      </c>
      <c r="C3754">
        <v>2025</v>
      </c>
      <c r="D3754">
        <v>10</v>
      </c>
      <c r="E3754" t="s">
        <v>1017</v>
      </c>
      <c r="F3754" t="s">
        <v>1018</v>
      </c>
      <c r="G3754" t="s">
        <v>35</v>
      </c>
      <c r="H3754" t="s">
        <v>29</v>
      </c>
      <c r="I3754" t="s">
        <v>50</v>
      </c>
      <c r="J3754">
        <v>32</v>
      </c>
      <c r="K3754">
        <v>1098.0999999999999</v>
      </c>
      <c r="L3754">
        <v>35139.26</v>
      </c>
      <c r="M3754">
        <v>23851.46</v>
      </c>
      <c r="N3754">
        <v>3878.67</v>
      </c>
      <c r="O3754">
        <v>1094.1099999999999</v>
      </c>
      <c r="P3754">
        <v>797.33</v>
      </c>
      <c r="Q3754">
        <v>608.69000000000005</v>
      </c>
      <c r="R3754">
        <v>1932.11</v>
      </c>
      <c r="S3754">
        <v>720.88</v>
      </c>
      <c r="T3754">
        <v>32883.26</v>
      </c>
      <c r="U3754">
        <v>11287.8</v>
      </c>
      <c r="V3754">
        <v>2256</v>
      </c>
      <c r="W3754">
        <v>2132.0700000000002</v>
      </c>
      <c r="X3754">
        <v>37761.040000000001</v>
      </c>
      <c r="Y3754">
        <v>30753.69</v>
      </c>
    </row>
    <row r="3755" spans="1:25" x14ac:dyDescent="0.25">
      <c r="A3755" t="s">
        <v>3811</v>
      </c>
      <c r="B3755" s="1">
        <v>45960</v>
      </c>
      <c r="C3755">
        <v>2025</v>
      </c>
      <c r="D3755">
        <v>10</v>
      </c>
      <c r="E3755" t="s">
        <v>1017</v>
      </c>
      <c r="F3755" t="s">
        <v>1018</v>
      </c>
      <c r="G3755" t="s">
        <v>28</v>
      </c>
      <c r="H3755" t="s">
        <v>53</v>
      </c>
      <c r="I3755" t="s">
        <v>50</v>
      </c>
      <c r="J3755">
        <v>32</v>
      </c>
      <c r="K3755">
        <v>1659.86</v>
      </c>
      <c r="L3755">
        <v>53115.5</v>
      </c>
      <c r="M3755">
        <v>26993.62</v>
      </c>
      <c r="N3755">
        <v>4121.49</v>
      </c>
      <c r="O3755">
        <v>1462.35</v>
      </c>
      <c r="P3755">
        <v>2199.1999999999998</v>
      </c>
      <c r="Q3755">
        <v>895.53</v>
      </c>
      <c r="R3755">
        <v>3337.76</v>
      </c>
      <c r="S3755">
        <v>1250.3499999999999</v>
      </c>
      <c r="T3755">
        <v>40260.28</v>
      </c>
      <c r="U3755">
        <v>26121.89</v>
      </c>
      <c r="V3755">
        <v>12855.22</v>
      </c>
      <c r="W3755">
        <v>12788.11</v>
      </c>
      <c r="X3755">
        <v>49332.91</v>
      </c>
      <c r="Y3755">
        <v>39315.379999999997</v>
      </c>
    </row>
    <row r="3756" spans="1:25" x14ac:dyDescent="0.25">
      <c r="A3756" t="s">
        <v>3812</v>
      </c>
      <c r="B3756" s="1">
        <v>45960</v>
      </c>
      <c r="C3756">
        <v>2025</v>
      </c>
      <c r="D3756">
        <v>10</v>
      </c>
      <c r="E3756" t="s">
        <v>1017</v>
      </c>
      <c r="F3756" t="s">
        <v>1018</v>
      </c>
      <c r="G3756" t="s">
        <v>28</v>
      </c>
      <c r="H3756" t="s">
        <v>36</v>
      </c>
      <c r="I3756" t="s">
        <v>30</v>
      </c>
      <c r="J3756">
        <v>107</v>
      </c>
      <c r="K3756">
        <v>1119.49</v>
      </c>
      <c r="L3756">
        <v>119785.52</v>
      </c>
      <c r="M3756">
        <v>76845.37</v>
      </c>
      <c r="N3756">
        <v>12250.16</v>
      </c>
      <c r="O3756">
        <v>3936.86</v>
      </c>
      <c r="P3756">
        <v>1999.53</v>
      </c>
      <c r="Q3756">
        <v>1620.15</v>
      </c>
      <c r="R3756">
        <v>4546.3500000000004</v>
      </c>
      <c r="S3756">
        <v>1035.1099999999999</v>
      </c>
      <c r="T3756">
        <v>102233.53</v>
      </c>
      <c r="U3756">
        <v>42940.15</v>
      </c>
      <c r="V3756">
        <v>17552</v>
      </c>
      <c r="W3756">
        <v>17349.11</v>
      </c>
      <c r="X3756">
        <v>121106.62</v>
      </c>
      <c r="Y3756">
        <v>112388.72</v>
      </c>
    </row>
    <row r="3757" spans="1:25" x14ac:dyDescent="0.25">
      <c r="A3757" t="s">
        <v>3813</v>
      </c>
      <c r="B3757" s="1">
        <v>45960</v>
      </c>
      <c r="C3757">
        <v>2025</v>
      </c>
      <c r="D3757">
        <v>10</v>
      </c>
      <c r="E3757" t="s">
        <v>1017</v>
      </c>
      <c r="F3757" t="s">
        <v>1018</v>
      </c>
      <c r="G3757" t="s">
        <v>35</v>
      </c>
      <c r="H3757" t="s">
        <v>36</v>
      </c>
      <c r="I3757" t="s">
        <v>65</v>
      </c>
      <c r="J3757">
        <v>30</v>
      </c>
      <c r="K3757">
        <v>1640.5</v>
      </c>
      <c r="L3757">
        <v>49214.93</v>
      </c>
      <c r="M3757">
        <v>30698.59</v>
      </c>
      <c r="N3757">
        <v>3549.33</v>
      </c>
      <c r="O3757">
        <v>2400.79</v>
      </c>
      <c r="P3757">
        <v>1279.8900000000001</v>
      </c>
      <c r="Q3757">
        <v>708.21</v>
      </c>
      <c r="R3757">
        <v>2153.48</v>
      </c>
      <c r="S3757">
        <v>923.14</v>
      </c>
      <c r="T3757">
        <v>41713.43</v>
      </c>
      <c r="U3757">
        <v>18516.34</v>
      </c>
      <c r="V3757">
        <v>7501.5</v>
      </c>
      <c r="W3757">
        <v>7426.47</v>
      </c>
      <c r="X3757">
        <v>52690.43</v>
      </c>
      <c r="Y3757">
        <v>41443.94</v>
      </c>
    </row>
    <row r="3758" spans="1:25" x14ac:dyDescent="0.25">
      <c r="A3758" t="s">
        <v>3814</v>
      </c>
      <c r="B3758" s="1">
        <v>45960</v>
      </c>
      <c r="C3758">
        <v>2025</v>
      </c>
      <c r="D3758">
        <v>10</v>
      </c>
      <c r="E3758" t="s">
        <v>1017</v>
      </c>
      <c r="F3758" t="s">
        <v>1018</v>
      </c>
      <c r="G3758" t="s">
        <v>44</v>
      </c>
      <c r="H3758" t="s">
        <v>32</v>
      </c>
      <c r="I3758" t="s">
        <v>30</v>
      </c>
      <c r="J3758">
        <v>66</v>
      </c>
      <c r="K3758">
        <v>1628.39</v>
      </c>
      <c r="L3758">
        <v>107473.85</v>
      </c>
      <c r="M3758">
        <v>68475.509999999995</v>
      </c>
      <c r="N3758">
        <v>12097.86</v>
      </c>
      <c r="O3758">
        <v>6547.65</v>
      </c>
      <c r="P3758">
        <v>2211.77</v>
      </c>
      <c r="Q3758">
        <v>971.37</v>
      </c>
      <c r="R3758">
        <v>5370.98</v>
      </c>
      <c r="S3758">
        <v>1957.55</v>
      </c>
      <c r="T3758">
        <v>97632.69</v>
      </c>
      <c r="U3758">
        <v>38998.35</v>
      </c>
      <c r="V3758">
        <v>9841.16</v>
      </c>
      <c r="W3758">
        <v>8957.06</v>
      </c>
      <c r="X3758">
        <v>109130.35</v>
      </c>
      <c r="Y3758">
        <v>104998.66</v>
      </c>
    </row>
    <row r="3759" spans="1:25" x14ac:dyDescent="0.25">
      <c r="A3759" t="s">
        <v>3815</v>
      </c>
      <c r="B3759" s="1">
        <v>45961</v>
      </c>
      <c r="C3759">
        <v>2025</v>
      </c>
      <c r="D3759">
        <v>10</v>
      </c>
      <c r="E3759" t="s">
        <v>1017</v>
      </c>
      <c r="F3759" t="s">
        <v>1018</v>
      </c>
      <c r="G3759" t="s">
        <v>44</v>
      </c>
      <c r="H3759" t="s">
        <v>53</v>
      </c>
      <c r="I3759" t="s">
        <v>37</v>
      </c>
      <c r="J3759">
        <v>48</v>
      </c>
      <c r="K3759">
        <v>1464.96</v>
      </c>
      <c r="L3759">
        <v>70318.06</v>
      </c>
      <c r="M3759">
        <v>46092.53</v>
      </c>
      <c r="N3759">
        <v>5781.79</v>
      </c>
      <c r="O3759">
        <v>2899.8</v>
      </c>
      <c r="P3759">
        <v>2361.9499999999998</v>
      </c>
      <c r="Q3759">
        <v>1245.78</v>
      </c>
      <c r="R3759">
        <v>2147.5100000000002</v>
      </c>
      <c r="S3759">
        <v>1354.97</v>
      </c>
      <c r="T3759">
        <v>61884.33</v>
      </c>
      <c r="U3759">
        <v>24225.53</v>
      </c>
      <c r="V3759">
        <v>8433.73</v>
      </c>
      <c r="W3759">
        <v>7854.22</v>
      </c>
      <c r="X3759">
        <v>75055.789999999994</v>
      </c>
      <c r="Y3759">
        <v>59956.15</v>
      </c>
    </row>
    <row r="3760" spans="1:25" x14ac:dyDescent="0.25">
      <c r="A3760" t="s">
        <v>3816</v>
      </c>
      <c r="B3760" s="1">
        <v>45962</v>
      </c>
      <c r="C3760">
        <v>2025</v>
      </c>
      <c r="D3760">
        <v>11</v>
      </c>
      <c r="E3760" t="s">
        <v>1117</v>
      </c>
      <c r="F3760" t="s">
        <v>1018</v>
      </c>
      <c r="G3760" t="s">
        <v>28</v>
      </c>
      <c r="H3760" t="s">
        <v>32</v>
      </c>
      <c r="I3760" t="s">
        <v>45</v>
      </c>
      <c r="J3760">
        <v>44</v>
      </c>
      <c r="K3760">
        <v>1580.46</v>
      </c>
      <c r="L3760">
        <v>69540.38</v>
      </c>
      <c r="M3760">
        <v>41412.839999999997</v>
      </c>
      <c r="N3760">
        <v>7702.02</v>
      </c>
      <c r="O3760">
        <v>1747.23</v>
      </c>
      <c r="P3760">
        <v>1211.5999999999999</v>
      </c>
      <c r="Q3760">
        <v>557.75</v>
      </c>
      <c r="R3760">
        <v>3064.54</v>
      </c>
      <c r="S3760">
        <v>854.59</v>
      </c>
      <c r="T3760">
        <v>56550.57</v>
      </c>
      <c r="U3760">
        <v>28127.54</v>
      </c>
      <c r="V3760">
        <v>12989.81</v>
      </c>
      <c r="W3760">
        <v>13159.6</v>
      </c>
      <c r="X3760">
        <v>68929.69</v>
      </c>
      <c r="Y3760">
        <v>56797.38</v>
      </c>
    </row>
    <row r="3761" spans="1:25" x14ac:dyDescent="0.25">
      <c r="A3761" t="s">
        <v>3817</v>
      </c>
      <c r="B3761" s="1">
        <v>45962</v>
      </c>
      <c r="C3761">
        <v>2025</v>
      </c>
      <c r="D3761">
        <v>11</v>
      </c>
      <c r="E3761" t="s">
        <v>1117</v>
      </c>
      <c r="F3761" t="s">
        <v>1018</v>
      </c>
      <c r="G3761" t="s">
        <v>55</v>
      </c>
      <c r="H3761" t="s">
        <v>36</v>
      </c>
      <c r="I3761" t="s">
        <v>50</v>
      </c>
      <c r="J3761">
        <v>36</v>
      </c>
      <c r="K3761">
        <v>1803.64</v>
      </c>
      <c r="L3761">
        <v>64930.98</v>
      </c>
      <c r="M3761">
        <v>41280.269999999997</v>
      </c>
      <c r="N3761">
        <v>5502.58</v>
      </c>
      <c r="O3761">
        <v>4581.6899999999996</v>
      </c>
      <c r="P3761">
        <v>1276.05</v>
      </c>
      <c r="Q3761">
        <v>680.45</v>
      </c>
      <c r="R3761">
        <v>1683.96</v>
      </c>
      <c r="S3761">
        <v>1173.8399999999999</v>
      </c>
      <c r="T3761">
        <v>56178.84</v>
      </c>
      <c r="U3761">
        <v>23650.71</v>
      </c>
      <c r="V3761">
        <v>8752.14</v>
      </c>
      <c r="W3761">
        <v>8148.63</v>
      </c>
      <c r="X3761">
        <v>71647.25</v>
      </c>
      <c r="Y3761">
        <v>61099.57</v>
      </c>
    </row>
    <row r="3762" spans="1:25" x14ac:dyDescent="0.25">
      <c r="A3762" t="s">
        <v>3818</v>
      </c>
      <c r="B3762" s="1">
        <v>45962</v>
      </c>
      <c r="C3762">
        <v>2025</v>
      </c>
      <c r="D3762">
        <v>11</v>
      </c>
      <c r="E3762" t="s">
        <v>1117</v>
      </c>
      <c r="F3762" t="s">
        <v>1018</v>
      </c>
      <c r="G3762" t="s">
        <v>55</v>
      </c>
      <c r="H3762" t="s">
        <v>32</v>
      </c>
      <c r="I3762" t="s">
        <v>50</v>
      </c>
      <c r="J3762">
        <v>37</v>
      </c>
      <c r="K3762">
        <v>1418.52</v>
      </c>
      <c r="L3762">
        <v>52485.32</v>
      </c>
      <c r="M3762">
        <v>32210.48</v>
      </c>
      <c r="N3762">
        <v>6054.09</v>
      </c>
      <c r="O3762">
        <v>1939.22</v>
      </c>
      <c r="P3762">
        <v>973.91</v>
      </c>
      <c r="Q3762">
        <v>379.98</v>
      </c>
      <c r="R3762">
        <v>2310.0300000000002</v>
      </c>
      <c r="S3762">
        <v>592.96</v>
      </c>
      <c r="T3762">
        <v>44460.66</v>
      </c>
      <c r="U3762">
        <v>20274.84</v>
      </c>
      <c r="V3762">
        <v>8024.66</v>
      </c>
      <c r="W3762">
        <v>7889.51</v>
      </c>
      <c r="X3762">
        <v>57125.23</v>
      </c>
      <c r="Y3762">
        <v>46095.66</v>
      </c>
    </row>
    <row r="3763" spans="1:25" x14ac:dyDescent="0.25">
      <c r="A3763" t="s">
        <v>3819</v>
      </c>
      <c r="B3763" s="1">
        <v>45962</v>
      </c>
      <c r="C3763">
        <v>2025</v>
      </c>
      <c r="D3763">
        <v>11</v>
      </c>
      <c r="E3763" t="s">
        <v>1117</v>
      </c>
      <c r="F3763" t="s">
        <v>1018</v>
      </c>
      <c r="G3763" t="s">
        <v>44</v>
      </c>
      <c r="H3763" t="s">
        <v>36</v>
      </c>
      <c r="I3763" t="s">
        <v>65</v>
      </c>
      <c r="J3763">
        <v>74</v>
      </c>
      <c r="K3763">
        <v>874.65</v>
      </c>
      <c r="L3763">
        <v>64723.79</v>
      </c>
      <c r="M3763">
        <v>40096.239999999998</v>
      </c>
      <c r="N3763">
        <v>8163.3</v>
      </c>
      <c r="O3763">
        <v>3480.62</v>
      </c>
      <c r="P3763">
        <v>2030.75</v>
      </c>
      <c r="Q3763">
        <v>1086.75</v>
      </c>
      <c r="R3763">
        <v>2213.7600000000002</v>
      </c>
      <c r="S3763">
        <v>1604.17</v>
      </c>
      <c r="T3763">
        <v>58675.59</v>
      </c>
      <c r="U3763">
        <v>24627.56</v>
      </c>
      <c r="V3763">
        <v>6048.21</v>
      </c>
      <c r="W3763">
        <v>5411.88</v>
      </c>
      <c r="X3763">
        <v>60746.43</v>
      </c>
      <c r="Y3763">
        <v>63887.19</v>
      </c>
    </row>
    <row r="3764" spans="1:25" x14ac:dyDescent="0.25">
      <c r="A3764" t="s">
        <v>3820</v>
      </c>
      <c r="B3764" s="1">
        <v>45962</v>
      </c>
      <c r="C3764">
        <v>2025</v>
      </c>
      <c r="D3764">
        <v>11</v>
      </c>
      <c r="E3764" t="s">
        <v>1117</v>
      </c>
      <c r="F3764" t="s">
        <v>1018</v>
      </c>
      <c r="G3764" t="s">
        <v>28</v>
      </c>
      <c r="H3764" t="s">
        <v>29</v>
      </c>
      <c r="I3764" t="s">
        <v>50</v>
      </c>
      <c r="J3764">
        <v>37</v>
      </c>
      <c r="K3764">
        <v>1625.46</v>
      </c>
      <c r="L3764">
        <v>60142.09</v>
      </c>
      <c r="M3764">
        <v>29234.21</v>
      </c>
      <c r="N3764">
        <v>7304.61</v>
      </c>
      <c r="O3764">
        <v>2469.0500000000002</v>
      </c>
      <c r="P3764">
        <v>1761.52</v>
      </c>
      <c r="Q3764">
        <v>1030.8499999999999</v>
      </c>
      <c r="R3764">
        <v>2309.37</v>
      </c>
      <c r="S3764">
        <v>785.91</v>
      </c>
      <c r="T3764">
        <v>44895.53</v>
      </c>
      <c r="U3764">
        <v>30907.88</v>
      </c>
      <c r="V3764">
        <v>15246.56</v>
      </c>
      <c r="W3764">
        <v>13477.31</v>
      </c>
      <c r="X3764">
        <v>60272.38</v>
      </c>
      <c r="Y3764">
        <v>43397.61</v>
      </c>
    </row>
    <row r="3765" spans="1:25" x14ac:dyDescent="0.25">
      <c r="A3765" t="s">
        <v>3821</v>
      </c>
      <c r="B3765" s="1">
        <v>45962</v>
      </c>
      <c r="C3765">
        <v>2025</v>
      </c>
      <c r="D3765">
        <v>11</v>
      </c>
      <c r="E3765" t="s">
        <v>1117</v>
      </c>
      <c r="F3765" t="s">
        <v>1018</v>
      </c>
      <c r="G3765" t="s">
        <v>28</v>
      </c>
      <c r="H3765" t="s">
        <v>53</v>
      </c>
      <c r="I3765" t="s">
        <v>65</v>
      </c>
      <c r="J3765">
        <v>35</v>
      </c>
      <c r="K3765">
        <v>1519.35</v>
      </c>
      <c r="L3765">
        <v>53177.22</v>
      </c>
      <c r="M3765">
        <v>30947.1</v>
      </c>
      <c r="N3765">
        <v>4644.3</v>
      </c>
      <c r="O3765">
        <v>1609.77</v>
      </c>
      <c r="P3765">
        <v>1511.11</v>
      </c>
      <c r="Q3765">
        <v>668.09</v>
      </c>
      <c r="R3765">
        <v>2447.52</v>
      </c>
      <c r="S3765">
        <v>651.01</v>
      </c>
      <c r="T3765">
        <v>42478.9</v>
      </c>
      <c r="U3765">
        <v>22230.12</v>
      </c>
      <c r="V3765">
        <v>10698.33</v>
      </c>
      <c r="W3765">
        <v>10200.549999999999</v>
      </c>
      <c r="X3765">
        <v>55468.22</v>
      </c>
      <c r="Y3765">
        <v>43383.81</v>
      </c>
    </row>
    <row r="3766" spans="1:25" x14ac:dyDescent="0.25">
      <c r="A3766" t="s">
        <v>3822</v>
      </c>
      <c r="B3766" s="1">
        <v>45962</v>
      </c>
      <c r="C3766">
        <v>2025</v>
      </c>
      <c r="D3766">
        <v>11</v>
      </c>
      <c r="E3766" t="s">
        <v>1117</v>
      </c>
      <c r="F3766" t="s">
        <v>1018</v>
      </c>
      <c r="G3766" t="s">
        <v>55</v>
      </c>
      <c r="H3766" t="s">
        <v>53</v>
      </c>
      <c r="I3766" t="s">
        <v>56</v>
      </c>
      <c r="J3766">
        <v>24</v>
      </c>
      <c r="K3766">
        <v>1570.84</v>
      </c>
      <c r="L3766">
        <v>37700.230000000003</v>
      </c>
      <c r="M3766">
        <v>20508.25</v>
      </c>
      <c r="N3766">
        <v>4497.33</v>
      </c>
      <c r="O3766">
        <v>1140.58</v>
      </c>
      <c r="P3766">
        <v>1551.06</v>
      </c>
      <c r="Q3766">
        <v>442.6</v>
      </c>
      <c r="R3766">
        <v>2160.9899999999998</v>
      </c>
      <c r="S3766">
        <v>704.01</v>
      </c>
      <c r="T3766">
        <v>31004.82</v>
      </c>
      <c r="U3766">
        <v>17191.97</v>
      </c>
      <c r="V3766">
        <v>6695.41</v>
      </c>
      <c r="W3766">
        <v>6695.58</v>
      </c>
      <c r="X3766">
        <v>42111.75</v>
      </c>
      <c r="Y3766">
        <v>32665.45</v>
      </c>
    </row>
    <row r="3767" spans="1:25" x14ac:dyDescent="0.25">
      <c r="A3767" t="s">
        <v>3823</v>
      </c>
      <c r="B3767" s="1">
        <v>45962</v>
      </c>
      <c r="C3767">
        <v>2025</v>
      </c>
      <c r="D3767">
        <v>11</v>
      </c>
      <c r="E3767" t="s">
        <v>1117</v>
      </c>
      <c r="F3767" t="s">
        <v>1018</v>
      </c>
      <c r="G3767" t="s">
        <v>55</v>
      </c>
      <c r="H3767" t="s">
        <v>32</v>
      </c>
      <c r="I3767" t="s">
        <v>45</v>
      </c>
      <c r="J3767">
        <v>42</v>
      </c>
      <c r="K3767">
        <v>1537.33</v>
      </c>
      <c r="L3767">
        <v>64567.79</v>
      </c>
      <c r="M3767">
        <v>31997.22</v>
      </c>
      <c r="N3767">
        <v>6710.43</v>
      </c>
      <c r="O3767">
        <v>3664.01</v>
      </c>
      <c r="P3767">
        <v>1541.71</v>
      </c>
      <c r="Q3767">
        <v>863.43</v>
      </c>
      <c r="R3767">
        <v>2581.0700000000002</v>
      </c>
      <c r="S3767">
        <v>1427.32</v>
      </c>
      <c r="T3767">
        <v>48785.18</v>
      </c>
      <c r="U3767">
        <v>32570.58</v>
      </c>
      <c r="V3767">
        <v>15782.61</v>
      </c>
      <c r="W3767">
        <v>15344.45</v>
      </c>
      <c r="X3767">
        <v>61308.21</v>
      </c>
      <c r="Y3767">
        <v>46404.77</v>
      </c>
    </row>
    <row r="3768" spans="1:25" x14ac:dyDescent="0.25">
      <c r="A3768" t="s">
        <v>3824</v>
      </c>
      <c r="B3768" s="1">
        <v>45963</v>
      </c>
      <c r="C3768">
        <v>2025</v>
      </c>
      <c r="D3768">
        <v>11</v>
      </c>
      <c r="E3768" t="s">
        <v>1117</v>
      </c>
      <c r="F3768" t="s">
        <v>1018</v>
      </c>
      <c r="G3768" t="s">
        <v>28</v>
      </c>
      <c r="H3768" t="s">
        <v>29</v>
      </c>
      <c r="I3768" t="s">
        <v>33</v>
      </c>
      <c r="J3768">
        <v>72</v>
      </c>
      <c r="K3768">
        <v>1293.1099999999999</v>
      </c>
      <c r="L3768">
        <v>93104.11</v>
      </c>
      <c r="M3768">
        <v>58818.35</v>
      </c>
      <c r="N3768">
        <v>8689.19</v>
      </c>
      <c r="O3768">
        <v>5037.2299999999996</v>
      </c>
      <c r="P3768">
        <v>3411.79</v>
      </c>
      <c r="Q3768">
        <v>1379.5</v>
      </c>
      <c r="R3768">
        <v>3263.09</v>
      </c>
      <c r="S3768">
        <v>1313</v>
      </c>
      <c r="T3768">
        <v>81912.160000000003</v>
      </c>
      <c r="U3768">
        <v>34285.760000000002</v>
      </c>
      <c r="V3768">
        <v>11191.95</v>
      </c>
      <c r="W3768">
        <v>10872.53</v>
      </c>
      <c r="X3768">
        <v>86651.05</v>
      </c>
      <c r="Y3768">
        <v>81725.87</v>
      </c>
    </row>
    <row r="3769" spans="1:25" x14ac:dyDescent="0.25">
      <c r="A3769" t="s">
        <v>3825</v>
      </c>
      <c r="B3769" s="1">
        <v>45963</v>
      </c>
      <c r="C3769">
        <v>2025</v>
      </c>
      <c r="D3769">
        <v>11</v>
      </c>
      <c r="E3769" t="s">
        <v>1117</v>
      </c>
      <c r="F3769" t="s">
        <v>1018</v>
      </c>
      <c r="G3769" t="s">
        <v>28</v>
      </c>
      <c r="H3769" t="s">
        <v>36</v>
      </c>
      <c r="I3769" t="s">
        <v>56</v>
      </c>
      <c r="J3769">
        <v>38</v>
      </c>
      <c r="K3769">
        <v>1200.4000000000001</v>
      </c>
      <c r="L3769">
        <v>45615.05</v>
      </c>
      <c r="M3769">
        <v>28167.27</v>
      </c>
      <c r="N3769">
        <v>3611.35</v>
      </c>
      <c r="O3769">
        <v>3148.84</v>
      </c>
      <c r="P3769">
        <v>1944.93</v>
      </c>
      <c r="Q3769">
        <v>614.89</v>
      </c>
      <c r="R3769">
        <v>2826.41</v>
      </c>
      <c r="S3769">
        <v>682.06</v>
      </c>
      <c r="T3769">
        <v>40995.75</v>
      </c>
      <c r="U3769">
        <v>17447.77</v>
      </c>
      <c r="V3769">
        <v>4619.3</v>
      </c>
      <c r="W3769">
        <v>4255.71</v>
      </c>
      <c r="X3769">
        <v>48808.01</v>
      </c>
      <c r="Y3769">
        <v>39798.480000000003</v>
      </c>
    </row>
    <row r="3770" spans="1:25" x14ac:dyDescent="0.25">
      <c r="A3770" t="s">
        <v>3826</v>
      </c>
      <c r="B3770" s="1">
        <v>45963</v>
      </c>
      <c r="C3770">
        <v>2025</v>
      </c>
      <c r="D3770">
        <v>11</v>
      </c>
      <c r="E3770" t="s">
        <v>1117</v>
      </c>
      <c r="F3770" t="s">
        <v>1018</v>
      </c>
      <c r="G3770" t="s">
        <v>28</v>
      </c>
      <c r="H3770" t="s">
        <v>29</v>
      </c>
      <c r="I3770" t="s">
        <v>39</v>
      </c>
      <c r="J3770">
        <v>20</v>
      </c>
      <c r="K3770">
        <v>1795.28</v>
      </c>
      <c r="L3770">
        <v>35905.699999999997</v>
      </c>
      <c r="M3770">
        <v>22279.88</v>
      </c>
      <c r="N3770">
        <v>2600.52</v>
      </c>
      <c r="O3770">
        <v>1248.4000000000001</v>
      </c>
      <c r="P3770">
        <v>1149.01</v>
      </c>
      <c r="Q3770">
        <v>378.79</v>
      </c>
      <c r="R3770">
        <v>959.36</v>
      </c>
      <c r="S3770">
        <v>596.94000000000005</v>
      </c>
      <c r="T3770">
        <v>29212.91</v>
      </c>
      <c r="U3770">
        <v>13625.82</v>
      </c>
      <c r="V3770">
        <v>6692.79</v>
      </c>
      <c r="W3770">
        <v>6492.85</v>
      </c>
      <c r="X3770">
        <v>34486.74</v>
      </c>
      <c r="Y3770">
        <v>31983.75</v>
      </c>
    </row>
    <row r="3771" spans="1:25" x14ac:dyDescent="0.25">
      <c r="A3771" t="s">
        <v>3827</v>
      </c>
      <c r="B3771" s="1">
        <v>45963</v>
      </c>
      <c r="C3771">
        <v>2025</v>
      </c>
      <c r="D3771">
        <v>11</v>
      </c>
      <c r="E3771" t="s">
        <v>1117</v>
      </c>
      <c r="F3771" t="s">
        <v>1018</v>
      </c>
      <c r="G3771" t="s">
        <v>35</v>
      </c>
      <c r="H3771" t="s">
        <v>53</v>
      </c>
      <c r="I3771" t="s">
        <v>56</v>
      </c>
      <c r="J3771">
        <v>17</v>
      </c>
      <c r="K3771">
        <v>1706.12</v>
      </c>
      <c r="L3771">
        <v>29004.02</v>
      </c>
      <c r="M3771">
        <v>14365.53</v>
      </c>
      <c r="N3771">
        <v>2857.23</v>
      </c>
      <c r="O3771">
        <v>1511.38</v>
      </c>
      <c r="P3771">
        <v>510.65</v>
      </c>
      <c r="Q3771">
        <v>202.91</v>
      </c>
      <c r="R3771">
        <v>1809.72</v>
      </c>
      <c r="S3771">
        <v>690.53</v>
      </c>
      <c r="T3771">
        <v>21947.95</v>
      </c>
      <c r="U3771">
        <v>14638.48</v>
      </c>
      <c r="V3771">
        <v>7056.07</v>
      </c>
      <c r="W3771">
        <v>6481.11</v>
      </c>
      <c r="X3771">
        <v>30512.57</v>
      </c>
      <c r="Y3771">
        <v>23989.97</v>
      </c>
    </row>
    <row r="3772" spans="1:25" x14ac:dyDescent="0.25">
      <c r="A3772" t="s">
        <v>3828</v>
      </c>
      <c r="B3772" s="1">
        <v>45963</v>
      </c>
      <c r="C3772">
        <v>2025</v>
      </c>
      <c r="D3772">
        <v>11</v>
      </c>
      <c r="E3772" t="s">
        <v>1117</v>
      </c>
      <c r="F3772" t="s">
        <v>1018</v>
      </c>
      <c r="G3772" t="s">
        <v>55</v>
      </c>
      <c r="H3772" t="s">
        <v>58</v>
      </c>
      <c r="I3772" t="s">
        <v>45</v>
      </c>
      <c r="J3772">
        <v>21</v>
      </c>
      <c r="K3772">
        <v>1721.53</v>
      </c>
      <c r="L3772">
        <v>36152.21</v>
      </c>
      <c r="M3772">
        <v>22749.58</v>
      </c>
      <c r="N3772">
        <v>3684.28</v>
      </c>
      <c r="O3772">
        <v>2452.83</v>
      </c>
      <c r="P3772">
        <v>1619.1</v>
      </c>
      <c r="Q3772">
        <v>581.95000000000005</v>
      </c>
      <c r="R3772">
        <v>1916.45</v>
      </c>
      <c r="S3772">
        <v>641.42999999999995</v>
      </c>
      <c r="T3772">
        <v>33645.620000000003</v>
      </c>
      <c r="U3772">
        <v>13402.63</v>
      </c>
      <c r="V3772">
        <v>2506.58</v>
      </c>
      <c r="W3772">
        <v>2536.37</v>
      </c>
      <c r="X3772">
        <v>34533.83</v>
      </c>
      <c r="Y3772">
        <v>31472.47</v>
      </c>
    </row>
    <row r="3773" spans="1:25" x14ac:dyDescent="0.25">
      <c r="A3773" t="s">
        <v>3829</v>
      </c>
      <c r="B3773" s="1">
        <v>45963</v>
      </c>
      <c r="C3773">
        <v>2025</v>
      </c>
      <c r="D3773">
        <v>11</v>
      </c>
      <c r="E3773" t="s">
        <v>1117</v>
      </c>
      <c r="F3773" t="s">
        <v>1018</v>
      </c>
      <c r="G3773" t="s">
        <v>55</v>
      </c>
      <c r="H3773" t="s">
        <v>58</v>
      </c>
      <c r="I3773" t="s">
        <v>56</v>
      </c>
      <c r="J3773">
        <v>27</v>
      </c>
      <c r="K3773">
        <v>1093.67</v>
      </c>
      <c r="L3773">
        <v>29529.13</v>
      </c>
      <c r="M3773">
        <v>14309.09</v>
      </c>
      <c r="N3773">
        <v>3230.15</v>
      </c>
      <c r="O3773">
        <v>1521.64</v>
      </c>
      <c r="P3773">
        <v>801.95</v>
      </c>
      <c r="Q3773">
        <v>292.99</v>
      </c>
      <c r="R3773">
        <v>1039.7</v>
      </c>
      <c r="S3773">
        <v>370.9</v>
      </c>
      <c r="T3773">
        <v>21566.43</v>
      </c>
      <c r="U3773">
        <v>15220.03</v>
      </c>
      <c r="V3773">
        <v>7962.7</v>
      </c>
      <c r="W3773">
        <v>7082.82</v>
      </c>
      <c r="X3773">
        <v>32861.440000000002</v>
      </c>
      <c r="Y3773">
        <v>21522.74</v>
      </c>
    </row>
    <row r="3774" spans="1:25" x14ac:dyDescent="0.25">
      <c r="A3774" t="s">
        <v>3830</v>
      </c>
      <c r="B3774" s="1">
        <v>45963</v>
      </c>
      <c r="C3774">
        <v>2025</v>
      </c>
      <c r="D3774">
        <v>11</v>
      </c>
      <c r="E3774" t="s">
        <v>1117</v>
      </c>
      <c r="F3774" t="s">
        <v>1018</v>
      </c>
      <c r="G3774" t="s">
        <v>35</v>
      </c>
      <c r="H3774" t="s">
        <v>53</v>
      </c>
      <c r="I3774" t="s">
        <v>45</v>
      </c>
      <c r="J3774">
        <v>20</v>
      </c>
      <c r="K3774">
        <v>1314.07</v>
      </c>
      <c r="L3774">
        <v>26281.33</v>
      </c>
      <c r="M3774">
        <v>14581.16</v>
      </c>
      <c r="N3774">
        <v>2483.0700000000002</v>
      </c>
      <c r="O3774">
        <v>844.57</v>
      </c>
      <c r="P3774">
        <v>1119.27</v>
      </c>
      <c r="Q3774">
        <v>401.06</v>
      </c>
      <c r="R3774">
        <v>1616.28</v>
      </c>
      <c r="S3774">
        <v>524.62</v>
      </c>
      <c r="T3774">
        <v>21570.03</v>
      </c>
      <c r="U3774">
        <v>11700.17</v>
      </c>
      <c r="V3774">
        <v>4711.3</v>
      </c>
      <c r="W3774">
        <v>4202.66</v>
      </c>
      <c r="X3774">
        <v>28067.63</v>
      </c>
      <c r="Y3774">
        <v>20809.43</v>
      </c>
    </row>
    <row r="3775" spans="1:25" x14ac:dyDescent="0.25">
      <c r="A3775" t="s">
        <v>3831</v>
      </c>
      <c r="B3775" s="1">
        <v>45964</v>
      </c>
      <c r="C3775">
        <v>2025</v>
      </c>
      <c r="D3775">
        <v>11</v>
      </c>
      <c r="E3775" t="s">
        <v>1117</v>
      </c>
      <c r="F3775" t="s">
        <v>1018</v>
      </c>
      <c r="G3775" t="s">
        <v>28</v>
      </c>
      <c r="H3775" t="s">
        <v>53</v>
      </c>
      <c r="I3775" t="s">
        <v>39</v>
      </c>
      <c r="J3775">
        <v>28</v>
      </c>
      <c r="K3775">
        <v>1065.1199999999999</v>
      </c>
      <c r="L3775">
        <v>29823.43</v>
      </c>
      <c r="M3775">
        <v>18337.39</v>
      </c>
      <c r="N3775">
        <v>2643.22</v>
      </c>
      <c r="O3775">
        <v>1832.37</v>
      </c>
      <c r="P3775">
        <v>1331.96</v>
      </c>
      <c r="Q3775">
        <v>154.71</v>
      </c>
      <c r="R3775">
        <v>1668.93</v>
      </c>
      <c r="S3775">
        <v>335.03</v>
      </c>
      <c r="T3775">
        <v>26303.61</v>
      </c>
      <c r="U3775">
        <v>11486.04</v>
      </c>
      <c r="V3775">
        <v>3519.82</v>
      </c>
      <c r="W3775">
        <v>3467.73</v>
      </c>
      <c r="X3775">
        <v>32113.1</v>
      </c>
      <c r="Y3775">
        <v>26829.69</v>
      </c>
    </row>
    <row r="3776" spans="1:25" x14ac:dyDescent="0.25">
      <c r="A3776" t="s">
        <v>3832</v>
      </c>
      <c r="B3776" s="1">
        <v>45964</v>
      </c>
      <c r="C3776">
        <v>2025</v>
      </c>
      <c r="D3776">
        <v>11</v>
      </c>
      <c r="E3776" t="s">
        <v>1117</v>
      </c>
      <c r="F3776" t="s">
        <v>1018</v>
      </c>
      <c r="G3776" t="s">
        <v>55</v>
      </c>
      <c r="H3776" t="s">
        <v>32</v>
      </c>
      <c r="I3776" t="s">
        <v>39</v>
      </c>
      <c r="J3776">
        <v>53</v>
      </c>
      <c r="K3776">
        <v>1260.1300000000001</v>
      </c>
      <c r="L3776">
        <v>66787.03</v>
      </c>
      <c r="M3776">
        <v>44737.37</v>
      </c>
      <c r="N3776">
        <v>7450.29</v>
      </c>
      <c r="O3776">
        <v>2669.07</v>
      </c>
      <c r="P3776">
        <v>1711.71</v>
      </c>
      <c r="Q3776">
        <v>749.17</v>
      </c>
      <c r="R3776">
        <v>2495.13</v>
      </c>
      <c r="S3776">
        <v>1375.88</v>
      </c>
      <c r="T3776">
        <v>61188.62</v>
      </c>
      <c r="U3776">
        <v>22049.66</v>
      </c>
      <c r="V3776">
        <v>5598.41</v>
      </c>
      <c r="W3776">
        <v>5120.03</v>
      </c>
      <c r="X3776">
        <v>71065.119999999995</v>
      </c>
      <c r="Y3776">
        <v>58565.84</v>
      </c>
    </row>
    <row r="3777" spans="1:25" x14ac:dyDescent="0.25">
      <c r="A3777" t="s">
        <v>3833</v>
      </c>
      <c r="B3777" s="1">
        <v>45964</v>
      </c>
      <c r="C3777">
        <v>2025</v>
      </c>
      <c r="D3777">
        <v>11</v>
      </c>
      <c r="E3777" t="s">
        <v>1117</v>
      </c>
      <c r="F3777" t="s">
        <v>1018</v>
      </c>
      <c r="G3777" t="s">
        <v>44</v>
      </c>
      <c r="H3777" t="s">
        <v>32</v>
      </c>
      <c r="I3777" t="s">
        <v>56</v>
      </c>
      <c r="J3777">
        <v>26</v>
      </c>
      <c r="K3777">
        <v>1602.92</v>
      </c>
      <c r="L3777">
        <v>41675.839999999997</v>
      </c>
      <c r="M3777">
        <v>25531.21</v>
      </c>
      <c r="N3777">
        <v>3396.7</v>
      </c>
      <c r="O3777">
        <v>2320.4499999999998</v>
      </c>
      <c r="P3777">
        <v>1857.01</v>
      </c>
      <c r="Q3777">
        <v>380.75</v>
      </c>
      <c r="R3777">
        <v>1889.64</v>
      </c>
      <c r="S3777">
        <v>702.77</v>
      </c>
      <c r="T3777">
        <v>36078.519999999997</v>
      </c>
      <c r="U3777">
        <v>16144.63</v>
      </c>
      <c r="V3777">
        <v>5597.32</v>
      </c>
      <c r="W3777">
        <v>5012.05</v>
      </c>
      <c r="X3777">
        <v>39048.19</v>
      </c>
      <c r="Y3777">
        <v>38793.54</v>
      </c>
    </row>
    <row r="3778" spans="1:25" x14ac:dyDescent="0.25">
      <c r="A3778" t="s">
        <v>3834</v>
      </c>
      <c r="B3778" s="1">
        <v>45965</v>
      </c>
      <c r="C3778">
        <v>2025</v>
      </c>
      <c r="D3778">
        <v>11</v>
      </c>
      <c r="E3778" t="s">
        <v>1117</v>
      </c>
      <c r="F3778" t="s">
        <v>1018</v>
      </c>
      <c r="G3778" t="s">
        <v>35</v>
      </c>
      <c r="H3778" t="s">
        <v>29</v>
      </c>
      <c r="I3778" t="s">
        <v>33</v>
      </c>
      <c r="J3778">
        <v>94</v>
      </c>
      <c r="K3778">
        <v>804.08</v>
      </c>
      <c r="L3778">
        <v>75583.08</v>
      </c>
      <c r="M3778">
        <v>38957.81</v>
      </c>
      <c r="N3778">
        <v>8022.81</v>
      </c>
      <c r="O3778">
        <v>2840.88</v>
      </c>
      <c r="P3778">
        <v>1961.24</v>
      </c>
      <c r="Q3778">
        <v>821.08</v>
      </c>
      <c r="R3778">
        <v>4830.51</v>
      </c>
      <c r="S3778">
        <v>657.09</v>
      </c>
      <c r="T3778">
        <v>58091.42</v>
      </c>
      <c r="U3778">
        <v>36625.269999999997</v>
      </c>
      <c r="V3778">
        <v>17491.66</v>
      </c>
      <c r="W3778">
        <v>16859.39</v>
      </c>
      <c r="X3778">
        <v>81952.12</v>
      </c>
      <c r="Y3778">
        <v>59638.22</v>
      </c>
    </row>
    <row r="3779" spans="1:25" x14ac:dyDescent="0.25">
      <c r="A3779" t="s">
        <v>3835</v>
      </c>
      <c r="B3779" s="1">
        <v>45965</v>
      </c>
      <c r="C3779">
        <v>2025</v>
      </c>
      <c r="D3779">
        <v>11</v>
      </c>
      <c r="E3779" t="s">
        <v>1117</v>
      </c>
      <c r="F3779" t="s">
        <v>1018</v>
      </c>
      <c r="G3779" t="s">
        <v>55</v>
      </c>
      <c r="H3779" t="s">
        <v>32</v>
      </c>
      <c r="I3779" t="s">
        <v>65</v>
      </c>
      <c r="J3779">
        <v>54</v>
      </c>
      <c r="K3779">
        <v>1379.57</v>
      </c>
      <c r="L3779">
        <v>74496.639999999999</v>
      </c>
      <c r="M3779">
        <v>37532.339999999997</v>
      </c>
      <c r="N3779">
        <v>5729.21</v>
      </c>
      <c r="O3779">
        <v>4981.84</v>
      </c>
      <c r="P3779">
        <v>3171.65</v>
      </c>
      <c r="Q3779">
        <v>486.2</v>
      </c>
      <c r="R3779">
        <v>3224.01</v>
      </c>
      <c r="S3779">
        <v>780.45</v>
      </c>
      <c r="T3779">
        <v>55905.7</v>
      </c>
      <c r="U3779">
        <v>36964.300000000003</v>
      </c>
      <c r="V3779">
        <v>18590.93</v>
      </c>
      <c r="W3779">
        <v>18138.07</v>
      </c>
      <c r="X3779">
        <v>70143.899999999994</v>
      </c>
      <c r="Y3779">
        <v>56756.86</v>
      </c>
    </row>
    <row r="3780" spans="1:25" x14ac:dyDescent="0.25">
      <c r="A3780" t="s">
        <v>3836</v>
      </c>
      <c r="B3780" s="1">
        <v>45965</v>
      </c>
      <c r="C3780">
        <v>2025</v>
      </c>
      <c r="D3780">
        <v>11</v>
      </c>
      <c r="E3780" t="s">
        <v>1117</v>
      </c>
      <c r="F3780" t="s">
        <v>1018</v>
      </c>
      <c r="G3780" t="s">
        <v>28</v>
      </c>
      <c r="H3780" t="s">
        <v>53</v>
      </c>
      <c r="I3780" t="s">
        <v>30</v>
      </c>
      <c r="J3780">
        <v>53</v>
      </c>
      <c r="K3780">
        <v>1727.28</v>
      </c>
      <c r="L3780">
        <v>91545.66</v>
      </c>
      <c r="M3780">
        <v>61017.39</v>
      </c>
      <c r="N3780">
        <v>11457.35</v>
      </c>
      <c r="O3780">
        <v>3346.89</v>
      </c>
      <c r="P3780">
        <v>3460.26</v>
      </c>
      <c r="Q3780">
        <v>1432.21</v>
      </c>
      <c r="R3780">
        <v>4844.8</v>
      </c>
      <c r="S3780">
        <v>1619.73</v>
      </c>
      <c r="T3780">
        <v>87178.64</v>
      </c>
      <c r="U3780">
        <v>30528.27</v>
      </c>
      <c r="V3780">
        <v>4367.03</v>
      </c>
      <c r="W3780">
        <v>4025.31</v>
      </c>
      <c r="X3780">
        <v>94579.8</v>
      </c>
      <c r="Y3780">
        <v>93966.38</v>
      </c>
    </row>
    <row r="3781" spans="1:25" x14ac:dyDescent="0.25">
      <c r="A3781" t="s">
        <v>3837</v>
      </c>
      <c r="B3781" s="1">
        <v>45966</v>
      </c>
      <c r="C3781">
        <v>2025</v>
      </c>
      <c r="D3781">
        <v>11</v>
      </c>
      <c r="E3781" t="s">
        <v>1117</v>
      </c>
      <c r="F3781" t="s">
        <v>1018</v>
      </c>
      <c r="G3781" t="s">
        <v>35</v>
      </c>
      <c r="H3781" t="s">
        <v>58</v>
      </c>
      <c r="I3781" t="s">
        <v>56</v>
      </c>
      <c r="J3781">
        <v>21</v>
      </c>
      <c r="K3781">
        <v>1233.52</v>
      </c>
      <c r="L3781">
        <v>25903.83</v>
      </c>
      <c r="M3781">
        <v>14616.61</v>
      </c>
      <c r="N3781">
        <v>1958.68</v>
      </c>
      <c r="O3781">
        <v>1473.24</v>
      </c>
      <c r="P3781">
        <v>586.52</v>
      </c>
      <c r="Q3781">
        <v>179.71</v>
      </c>
      <c r="R3781">
        <v>1421.69</v>
      </c>
      <c r="S3781">
        <v>444.98</v>
      </c>
      <c r="T3781">
        <v>20681.43</v>
      </c>
      <c r="U3781">
        <v>11287.22</v>
      </c>
      <c r="V3781">
        <v>5222.3999999999996</v>
      </c>
      <c r="W3781">
        <v>5094.3100000000004</v>
      </c>
      <c r="X3781">
        <v>28022.98</v>
      </c>
      <c r="Y3781">
        <v>22537.61</v>
      </c>
    </row>
    <row r="3782" spans="1:25" x14ac:dyDescent="0.25">
      <c r="A3782" t="s">
        <v>3838</v>
      </c>
      <c r="B3782" s="1">
        <v>45966</v>
      </c>
      <c r="C3782">
        <v>2025</v>
      </c>
      <c r="D3782">
        <v>11</v>
      </c>
      <c r="E3782" t="s">
        <v>1117</v>
      </c>
      <c r="F3782" t="s">
        <v>1018</v>
      </c>
      <c r="G3782" t="s">
        <v>55</v>
      </c>
      <c r="H3782" t="s">
        <v>53</v>
      </c>
      <c r="I3782" t="s">
        <v>56</v>
      </c>
      <c r="J3782">
        <v>16</v>
      </c>
      <c r="K3782">
        <v>1734.69</v>
      </c>
      <c r="L3782">
        <v>27754.99</v>
      </c>
      <c r="M3782">
        <v>14551.91</v>
      </c>
      <c r="N3782">
        <v>2627.53</v>
      </c>
      <c r="O3782">
        <v>1327.9</v>
      </c>
      <c r="P3782">
        <v>740.75</v>
      </c>
      <c r="Q3782">
        <v>266.98</v>
      </c>
      <c r="R3782">
        <v>1612.92</v>
      </c>
      <c r="S3782">
        <v>526.34</v>
      </c>
      <c r="T3782">
        <v>21654.33</v>
      </c>
      <c r="U3782">
        <v>13203.08</v>
      </c>
      <c r="V3782">
        <v>6100.66</v>
      </c>
      <c r="W3782">
        <v>6071.1</v>
      </c>
      <c r="X3782">
        <v>30752.9</v>
      </c>
      <c r="Y3782">
        <v>20968.13</v>
      </c>
    </row>
    <row r="3783" spans="1:25" x14ac:dyDescent="0.25">
      <c r="A3783" t="s">
        <v>3839</v>
      </c>
      <c r="B3783" s="1">
        <v>45966</v>
      </c>
      <c r="C3783">
        <v>2025</v>
      </c>
      <c r="D3783">
        <v>11</v>
      </c>
      <c r="E3783" t="s">
        <v>1117</v>
      </c>
      <c r="F3783" t="s">
        <v>1018</v>
      </c>
      <c r="G3783" t="s">
        <v>35</v>
      </c>
      <c r="H3783" t="s">
        <v>32</v>
      </c>
      <c r="I3783" t="s">
        <v>45</v>
      </c>
      <c r="J3783">
        <v>43</v>
      </c>
      <c r="K3783">
        <v>1032.46</v>
      </c>
      <c r="L3783">
        <v>44395.91</v>
      </c>
      <c r="M3783">
        <v>23201.72</v>
      </c>
      <c r="N3783">
        <v>5356.21</v>
      </c>
      <c r="O3783">
        <v>2558.0300000000002</v>
      </c>
      <c r="P3783">
        <v>1452.02</v>
      </c>
      <c r="Q3783">
        <v>248.27</v>
      </c>
      <c r="R3783">
        <v>1654.87</v>
      </c>
      <c r="S3783">
        <v>705.1</v>
      </c>
      <c r="T3783">
        <v>35176.22</v>
      </c>
      <c r="U3783">
        <v>21194.19</v>
      </c>
      <c r="V3783">
        <v>9219.69</v>
      </c>
      <c r="W3783">
        <v>8965.83</v>
      </c>
      <c r="X3783">
        <v>44587.28</v>
      </c>
      <c r="Y3783">
        <v>33588.54</v>
      </c>
    </row>
    <row r="3784" spans="1:25" x14ac:dyDescent="0.25">
      <c r="A3784" t="s">
        <v>3840</v>
      </c>
      <c r="B3784" s="1">
        <v>45966</v>
      </c>
      <c r="C3784">
        <v>2025</v>
      </c>
      <c r="D3784">
        <v>11</v>
      </c>
      <c r="E3784" t="s">
        <v>1117</v>
      </c>
      <c r="F3784" t="s">
        <v>1018</v>
      </c>
      <c r="G3784" t="s">
        <v>28</v>
      </c>
      <c r="H3784" t="s">
        <v>32</v>
      </c>
      <c r="I3784" t="s">
        <v>33</v>
      </c>
      <c r="J3784">
        <v>77</v>
      </c>
      <c r="K3784">
        <v>1266.18</v>
      </c>
      <c r="L3784">
        <v>97496.01</v>
      </c>
      <c r="M3784">
        <v>50548.41</v>
      </c>
      <c r="N3784">
        <v>11591.15</v>
      </c>
      <c r="O3784">
        <v>6268.68</v>
      </c>
      <c r="P3784">
        <v>2969.99</v>
      </c>
      <c r="Q3784">
        <v>1540.64</v>
      </c>
      <c r="R3784">
        <v>5346.79</v>
      </c>
      <c r="S3784">
        <v>1361.66</v>
      </c>
      <c r="T3784">
        <v>79627.33</v>
      </c>
      <c r="U3784">
        <v>46947.6</v>
      </c>
      <c r="V3784">
        <v>17868.68</v>
      </c>
      <c r="W3784">
        <v>16928.349999999999</v>
      </c>
      <c r="X3784">
        <v>106220.24</v>
      </c>
      <c r="Y3784">
        <v>83573.960000000006</v>
      </c>
    </row>
    <row r="3785" spans="1:25" x14ac:dyDescent="0.25">
      <c r="A3785" t="s">
        <v>3841</v>
      </c>
      <c r="B3785" s="1">
        <v>45967</v>
      </c>
      <c r="C3785">
        <v>2025</v>
      </c>
      <c r="D3785">
        <v>11</v>
      </c>
      <c r="E3785" t="s">
        <v>1117</v>
      </c>
      <c r="F3785" t="s">
        <v>1018</v>
      </c>
      <c r="G3785" t="s">
        <v>28</v>
      </c>
      <c r="H3785" t="s">
        <v>32</v>
      </c>
      <c r="I3785" t="s">
        <v>45</v>
      </c>
      <c r="J3785">
        <v>35</v>
      </c>
      <c r="K3785">
        <v>1256.6300000000001</v>
      </c>
      <c r="L3785">
        <v>43981.9</v>
      </c>
      <c r="M3785">
        <v>25795.21</v>
      </c>
      <c r="N3785">
        <v>4287.12</v>
      </c>
      <c r="O3785">
        <v>1791.85</v>
      </c>
      <c r="P3785">
        <v>1863</v>
      </c>
      <c r="Q3785">
        <v>607.1</v>
      </c>
      <c r="R3785">
        <v>1562.93</v>
      </c>
      <c r="S3785">
        <v>485.63</v>
      </c>
      <c r="T3785">
        <v>36392.85</v>
      </c>
      <c r="U3785">
        <v>18186.689999999999</v>
      </c>
      <c r="V3785">
        <v>7589.05</v>
      </c>
      <c r="W3785">
        <v>6685.9</v>
      </c>
      <c r="X3785">
        <v>45458</v>
      </c>
      <c r="Y3785">
        <v>35237.47</v>
      </c>
    </row>
    <row r="3786" spans="1:25" x14ac:dyDescent="0.25">
      <c r="A3786" t="s">
        <v>3842</v>
      </c>
      <c r="B3786" s="1">
        <v>45967</v>
      </c>
      <c r="C3786">
        <v>2025</v>
      </c>
      <c r="D3786">
        <v>11</v>
      </c>
      <c r="E3786" t="s">
        <v>1117</v>
      </c>
      <c r="F3786" t="s">
        <v>1018</v>
      </c>
      <c r="G3786" t="s">
        <v>55</v>
      </c>
      <c r="H3786" t="s">
        <v>36</v>
      </c>
      <c r="I3786" t="s">
        <v>50</v>
      </c>
      <c r="J3786">
        <v>27</v>
      </c>
      <c r="K3786">
        <v>1675.7</v>
      </c>
      <c r="L3786">
        <v>45244.02</v>
      </c>
      <c r="M3786">
        <v>22386.09</v>
      </c>
      <c r="N3786">
        <v>5794.45</v>
      </c>
      <c r="O3786">
        <v>2280.1799999999998</v>
      </c>
      <c r="P3786">
        <v>2014.98</v>
      </c>
      <c r="Q3786">
        <v>727.77</v>
      </c>
      <c r="R3786">
        <v>2563.38</v>
      </c>
      <c r="S3786">
        <v>672.79</v>
      </c>
      <c r="T3786">
        <v>36439.64</v>
      </c>
      <c r="U3786">
        <v>22857.93</v>
      </c>
      <c r="V3786">
        <v>8804.3700000000008</v>
      </c>
      <c r="W3786">
        <v>8251.51</v>
      </c>
      <c r="X3786">
        <v>43501.52</v>
      </c>
      <c r="Y3786">
        <v>36496.32</v>
      </c>
    </row>
    <row r="3787" spans="1:25" x14ac:dyDescent="0.25">
      <c r="A3787" t="s">
        <v>3843</v>
      </c>
      <c r="B3787" s="1">
        <v>45967</v>
      </c>
      <c r="C3787">
        <v>2025</v>
      </c>
      <c r="D3787">
        <v>11</v>
      </c>
      <c r="E3787" t="s">
        <v>1117</v>
      </c>
      <c r="F3787" t="s">
        <v>1018</v>
      </c>
      <c r="G3787" t="s">
        <v>44</v>
      </c>
      <c r="H3787" t="s">
        <v>29</v>
      </c>
      <c r="I3787" t="s">
        <v>50</v>
      </c>
      <c r="J3787">
        <v>38</v>
      </c>
      <c r="K3787">
        <v>1015.3</v>
      </c>
      <c r="L3787">
        <v>38581.279999999999</v>
      </c>
      <c r="M3787">
        <v>23627.86</v>
      </c>
      <c r="N3787">
        <v>4438.45</v>
      </c>
      <c r="O3787">
        <v>1881</v>
      </c>
      <c r="P3787">
        <v>1688.72</v>
      </c>
      <c r="Q3787">
        <v>564.01</v>
      </c>
      <c r="R3787">
        <v>2347.84</v>
      </c>
      <c r="S3787">
        <v>517.9</v>
      </c>
      <c r="T3787">
        <v>35065.79</v>
      </c>
      <c r="U3787">
        <v>14953.42</v>
      </c>
      <c r="V3787">
        <v>3515.49</v>
      </c>
      <c r="W3787">
        <v>3223.17</v>
      </c>
      <c r="X3787">
        <v>39529.949999999997</v>
      </c>
      <c r="Y3787">
        <v>35554.28</v>
      </c>
    </row>
    <row r="3788" spans="1:25" x14ac:dyDescent="0.25">
      <c r="A3788" t="s">
        <v>3844</v>
      </c>
      <c r="B3788" s="1">
        <v>45967</v>
      </c>
      <c r="C3788">
        <v>2025</v>
      </c>
      <c r="D3788">
        <v>11</v>
      </c>
      <c r="E3788" t="s">
        <v>1117</v>
      </c>
      <c r="F3788" t="s">
        <v>1018</v>
      </c>
      <c r="G3788" t="s">
        <v>28</v>
      </c>
      <c r="H3788" t="s">
        <v>36</v>
      </c>
      <c r="I3788" t="s">
        <v>33</v>
      </c>
      <c r="J3788">
        <v>53</v>
      </c>
      <c r="K3788">
        <v>1681.28</v>
      </c>
      <c r="L3788">
        <v>89107.88</v>
      </c>
      <c r="M3788">
        <v>43232.77</v>
      </c>
      <c r="N3788">
        <v>7409.24</v>
      </c>
      <c r="O3788">
        <v>4157.82</v>
      </c>
      <c r="P3788">
        <v>2164.69</v>
      </c>
      <c r="Q3788">
        <v>819.89</v>
      </c>
      <c r="R3788">
        <v>5403.89</v>
      </c>
      <c r="S3788">
        <v>1801.77</v>
      </c>
      <c r="T3788">
        <v>64990.07</v>
      </c>
      <c r="U3788">
        <v>45875.1</v>
      </c>
      <c r="V3788">
        <v>24117.81</v>
      </c>
      <c r="W3788">
        <v>23345.98</v>
      </c>
      <c r="X3788">
        <v>90691.05</v>
      </c>
      <c r="Y3788">
        <v>66676.27</v>
      </c>
    </row>
    <row r="3789" spans="1:25" x14ac:dyDescent="0.25">
      <c r="A3789" t="s">
        <v>3845</v>
      </c>
      <c r="B3789" s="1">
        <v>45967</v>
      </c>
      <c r="C3789">
        <v>2025</v>
      </c>
      <c r="D3789">
        <v>11</v>
      </c>
      <c r="E3789" t="s">
        <v>1117</v>
      </c>
      <c r="F3789" t="s">
        <v>1018</v>
      </c>
      <c r="G3789" t="s">
        <v>55</v>
      </c>
      <c r="H3789" t="s">
        <v>53</v>
      </c>
      <c r="I3789" t="s">
        <v>45</v>
      </c>
      <c r="J3789">
        <v>39</v>
      </c>
      <c r="K3789">
        <v>1071.54</v>
      </c>
      <c r="L3789">
        <v>41789.94</v>
      </c>
      <c r="M3789">
        <v>21860.26</v>
      </c>
      <c r="N3789">
        <v>4879.67</v>
      </c>
      <c r="O3789">
        <v>1655.08</v>
      </c>
      <c r="P3789">
        <v>1158.01</v>
      </c>
      <c r="Q3789">
        <v>727.35</v>
      </c>
      <c r="R3789">
        <v>2079.19</v>
      </c>
      <c r="S3789">
        <v>915.86</v>
      </c>
      <c r="T3789">
        <v>33275.42</v>
      </c>
      <c r="U3789">
        <v>19929.68</v>
      </c>
      <c r="V3789">
        <v>8514.52</v>
      </c>
      <c r="W3789">
        <v>8065.02</v>
      </c>
      <c r="X3789">
        <v>41150.86</v>
      </c>
      <c r="Y3789">
        <v>33427.71</v>
      </c>
    </row>
    <row r="3790" spans="1:25" x14ac:dyDescent="0.25">
      <c r="A3790" t="s">
        <v>3846</v>
      </c>
      <c r="B3790" s="1">
        <v>45967</v>
      </c>
      <c r="C3790">
        <v>2025</v>
      </c>
      <c r="D3790">
        <v>11</v>
      </c>
      <c r="E3790" t="s">
        <v>1117</v>
      </c>
      <c r="F3790" t="s">
        <v>1018</v>
      </c>
      <c r="G3790" t="s">
        <v>28</v>
      </c>
      <c r="H3790" t="s">
        <v>29</v>
      </c>
      <c r="I3790" t="s">
        <v>30</v>
      </c>
      <c r="J3790">
        <v>72</v>
      </c>
      <c r="K3790">
        <v>1419.18</v>
      </c>
      <c r="L3790">
        <v>102180.88</v>
      </c>
      <c r="M3790">
        <v>51511.61</v>
      </c>
      <c r="N3790">
        <v>10585.96</v>
      </c>
      <c r="O3790">
        <v>4250.13</v>
      </c>
      <c r="P3790">
        <v>3105.89</v>
      </c>
      <c r="Q3790">
        <v>669.53</v>
      </c>
      <c r="R3790">
        <v>5217.4799999999996</v>
      </c>
      <c r="S3790">
        <v>1452.62</v>
      </c>
      <c r="T3790">
        <v>76793.22</v>
      </c>
      <c r="U3790">
        <v>50669.279999999999</v>
      </c>
      <c r="V3790">
        <v>25387.66</v>
      </c>
      <c r="W3790">
        <v>25838.51</v>
      </c>
      <c r="X3790">
        <v>113901.12</v>
      </c>
      <c r="Y3790">
        <v>82867.009999999995</v>
      </c>
    </row>
    <row r="3791" spans="1:25" x14ac:dyDescent="0.25">
      <c r="A3791" t="s">
        <v>3847</v>
      </c>
      <c r="B3791" s="1">
        <v>45968</v>
      </c>
      <c r="C3791">
        <v>2025</v>
      </c>
      <c r="D3791">
        <v>11</v>
      </c>
      <c r="E3791" t="s">
        <v>1117</v>
      </c>
      <c r="F3791" t="s">
        <v>1018</v>
      </c>
      <c r="G3791" t="s">
        <v>28</v>
      </c>
      <c r="H3791" t="s">
        <v>32</v>
      </c>
      <c r="I3791" t="s">
        <v>50</v>
      </c>
      <c r="J3791">
        <v>59</v>
      </c>
      <c r="K3791">
        <v>861.71</v>
      </c>
      <c r="L3791">
        <v>50841.09</v>
      </c>
      <c r="M3791">
        <v>28002.9</v>
      </c>
      <c r="N3791">
        <v>5774.54</v>
      </c>
      <c r="O3791">
        <v>3794.37</v>
      </c>
      <c r="P3791">
        <v>1397.14</v>
      </c>
      <c r="Q3791">
        <v>558.38</v>
      </c>
      <c r="R3791">
        <v>2239.0700000000002</v>
      </c>
      <c r="S3791">
        <v>845.2</v>
      </c>
      <c r="T3791">
        <v>42611.6</v>
      </c>
      <c r="U3791">
        <v>22838.19</v>
      </c>
      <c r="V3791">
        <v>8229.49</v>
      </c>
      <c r="W3791">
        <v>7583.15</v>
      </c>
      <c r="X3791">
        <v>53535.360000000001</v>
      </c>
      <c r="Y3791">
        <v>43951.79</v>
      </c>
    </row>
    <row r="3792" spans="1:25" x14ac:dyDescent="0.25">
      <c r="A3792" t="s">
        <v>3848</v>
      </c>
      <c r="B3792" s="1">
        <v>45968</v>
      </c>
      <c r="C3792">
        <v>2025</v>
      </c>
      <c r="D3792">
        <v>11</v>
      </c>
      <c r="E3792" t="s">
        <v>1117</v>
      </c>
      <c r="F3792" t="s">
        <v>1018</v>
      </c>
      <c r="G3792" t="s">
        <v>28</v>
      </c>
      <c r="H3792" t="s">
        <v>53</v>
      </c>
      <c r="I3792" t="s">
        <v>45</v>
      </c>
      <c r="J3792">
        <v>40</v>
      </c>
      <c r="K3792">
        <v>901.09</v>
      </c>
      <c r="L3792">
        <v>36043.68</v>
      </c>
      <c r="M3792">
        <v>23883.18</v>
      </c>
      <c r="N3792">
        <v>2894.73</v>
      </c>
      <c r="O3792">
        <v>1287.72</v>
      </c>
      <c r="P3792">
        <v>694.06</v>
      </c>
      <c r="Q3792">
        <v>552.38</v>
      </c>
      <c r="R3792">
        <v>1893.53</v>
      </c>
      <c r="S3792">
        <v>333.47</v>
      </c>
      <c r="T3792">
        <v>31539.07</v>
      </c>
      <c r="U3792">
        <v>12160.5</v>
      </c>
      <c r="V3792">
        <v>4504.6099999999997</v>
      </c>
      <c r="W3792">
        <v>4461.58</v>
      </c>
      <c r="X3792">
        <v>35602.730000000003</v>
      </c>
      <c r="Y3792">
        <v>32989.74</v>
      </c>
    </row>
    <row r="3793" spans="1:25" x14ac:dyDescent="0.25">
      <c r="A3793" t="s">
        <v>3849</v>
      </c>
      <c r="B3793" s="1">
        <v>45969</v>
      </c>
      <c r="C3793">
        <v>2025</v>
      </c>
      <c r="D3793">
        <v>11</v>
      </c>
      <c r="E3793" t="s">
        <v>1117</v>
      </c>
      <c r="F3793" t="s">
        <v>1018</v>
      </c>
      <c r="G3793" t="s">
        <v>44</v>
      </c>
      <c r="H3793" t="s">
        <v>32</v>
      </c>
      <c r="I3793" t="s">
        <v>65</v>
      </c>
      <c r="J3793">
        <v>49</v>
      </c>
      <c r="K3793">
        <v>1363.61</v>
      </c>
      <c r="L3793">
        <v>66817.05</v>
      </c>
      <c r="M3793">
        <v>35481.410000000003</v>
      </c>
      <c r="N3793">
        <v>7447.66</v>
      </c>
      <c r="O3793">
        <v>4326.72</v>
      </c>
      <c r="P3793">
        <v>3000.68</v>
      </c>
      <c r="Q3793">
        <v>351.23</v>
      </c>
      <c r="R3793">
        <v>3702.02</v>
      </c>
      <c r="S3793">
        <v>1181.56</v>
      </c>
      <c r="T3793">
        <v>55491.29</v>
      </c>
      <c r="U3793">
        <v>31335.64</v>
      </c>
      <c r="V3793">
        <v>11325.76</v>
      </c>
      <c r="W3793">
        <v>11118.49</v>
      </c>
      <c r="X3793">
        <v>70779.350000000006</v>
      </c>
      <c r="Y3793">
        <v>60030.85</v>
      </c>
    </row>
    <row r="3794" spans="1:25" x14ac:dyDescent="0.25">
      <c r="A3794" t="s">
        <v>3850</v>
      </c>
      <c r="B3794" s="1">
        <v>45969</v>
      </c>
      <c r="C3794">
        <v>2025</v>
      </c>
      <c r="D3794">
        <v>11</v>
      </c>
      <c r="E3794" t="s">
        <v>1117</v>
      </c>
      <c r="F3794" t="s">
        <v>1018</v>
      </c>
      <c r="G3794" t="s">
        <v>55</v>
      </c>
      <c r="H3794" t="s">
        <v>32</v>
      </c>
      <c r="I3794" t="s">
        <v>37</v>
      </c>
      <c r="J3794">
        <v>56</v>
      </c>
      <c r="K3794">
        <v>1283.1300000000001</v>
      </c>
      <c r="L3794">
        <v>71855.11</v>
      </c>
      <c r="M3794">
        <v>45060.01</v>
      </c>
      <c r="N3794">
        <v>8235.61</v>
      </c>
      <c r="O3794">
        <v>3277.75</v>
      </c>
      <c r="P3794">
        <v>2371.9899999999998</v>
      </c>
      <c r="Q3794">
        <v>586.41</v>
      </c>
      <c r="R3794">
        <v>4368.58</v>
      </c>
      <c r="S3794">
        <v>1560.37</v>
      </c>
      <c r="T3794">
        <v>65460.72</v>
      </c>
      <c r="U3794">
        <v>26795.1</v>
      </c>
      <c r="V3794">
        <v>6394.39</v>
      </c>
      <c r="W3794">
        <v>5630.54</v>
      </c>
      <c r="X3794">
        <v>72714.179999999993</v>
      </c>
      <c r="Y3794">
        <v>67454.55</v>
      </c>
    </row>
    <row r="3795" spans="1:25" x14ac:dyDescent="0.25">
      <c r="A3795" t="s">
        <v>3851</v>
      </c>
      <c r="B3795" s="1">
        <v>45969</v>
      </c>
      <c r="C3795">
        <v>2025</v>
      </c>
      <c r="D3795">
        <v>11</v>
      </c>
      <c r="E3795" t="s">
        <v>1117</v>
      </c>
      <c r="F3795" t="s">
        <v>1018</v>
      </c>
      <c r="G3795" t="s">
        <v>44</v>
      </c>
      <c r="H3795" t="s">
        <v>29</v>
      </c>
      <c r="I3795" t="s">
        <v>37</v>
      </c>
      <c r="J3795">
        <v>28</v>
      </c>
      <c r="K3795">
        <v>1823.7</v>
      </c>
      <c r="L3795">
        <v>51063.62</v>
      </c>
      <c r="M3795">
        <v>31853.66</v>
      </c>
      <c r="N3795">
        <v>5590.19</v>
      </c>
      <c r="O3795">
        <v>2841.4</v>
      </c>
      <c r="P3795">
        <v>1515.51</v>
      </c>
      <c r="Q3795">
        <v>450.17</v>
      </c>
      <c r="R3795">
        <v>2645.28</v>
      </c>
      <c r="S3795">
        <v>936.36</v>
      </c>
      <c r="T3795">
        <v>45832.57</v>
      </c>
      <c r="U3795">
        <v>19209.97</v>
      </c>
      <c r="V3795">
        <v>5231.05</v>
      </c>
      <c r="W3795">
        <v>5078.51</v>
      </c>
      <c r="X3795">
        <v>47252.3</v>
      </c>
      <c r="Y3795">
        <v>43437.03</v>
      </c>
    </row>
    <row r="3796" spans="1:25" x14ac:dyDescent="0.25">
      <c r="A3796" t="s">
        <v>3852</v>
      </c>
      <c r="B3796" s="1">
        <v>45970</v>
      </c>
      <c r="C3796">
        <v>2025</v>
      </c>
      <c r="D3796">
        <v>11</v>
      </c>
      <c r="E3796" t="s">
        <v>1117</v>
      </c>
      <c r="F3796" t="s">
        <v>1018</v>
      </c>
      <c r="G3796" t="s">
        <v>55</v>
      </c>
      <c r="H3796" t="s">
        <v>36</v>
      </c>
      <c r="I3796" t="s">
        <v>56</v>
      </c>
      <c r="J3796">
        <v>34</v>
      </c>
      <c r="K3796">
        <v>1367.34</v>
      </c>
      <c r="L3796">
        <v>46489.51</v>
      </c>
      <c r="M3796">
        <v>22731.759999999998</v>
      </c>
      <c r="N3796">
        <v>3351.84</v>
      </c>
      <c r="O3796">
        <v>3110.95</v>
      </c>
      <c r="P3796">
        <v>1341.8</v>
      </c>
      <c r="Q3796">
        <v>657.61</v>
      </c>
      <c r="R3796">
        <v>1975.9</v>
      </c>
      <c r="S3796">
        <v>756.07</v>
      </c>
      <c r="T3796">
        <v>33925.94</v>
      </c>
      <c r="U3796">
        <v>23757.75</v>
      </c>
      <c r="V3796">
        <v>12563.57</v>
      </c>
      <c r="W3796">
        <v>11337.42</v>
      </c>
      <c r="X3796">
        <v>49614.44</v>
      </c>
      <c r="Y3796">
        <v>32673.27</v>
      </c>
    </row>
    <row r="3797" spans="1:25" x14ac:dyDescent="0.25">
      <c r="A3797" t="s">
        <v>3853</v>
      </c>
      <c r="B3797" s="1">
        <v>45970</v>
      </c>
      <c r="C3797">
        <v>2025</v>
      </c>
      <c r="D3797">
        <v>11</v>
      </c>
      <c r="E3797" t="s">
        <v>1117</v>
      </c>
      <c r="F3797" t="s">
        <v>1018</v>
      </c>
      <c r="G3797" t="s">
        <v>55</v>
      </c>
      <c r="H3797" t="s">
        <v>36</v>
      </c>
      <c r="I3797" t="s">
        <v>65</v>
      </c>
      <c r="J3797">
        <v>46</v>
      </c>
      <c r="K3797">
        <v>1579.43</v>
      </c>
      <c r="L3797">
        <v>72653.73</v>
      </c>
      <c r="M3797">
        <v>43077.32</v>
      </c>
      <c r="N3797">
        <v>7834.43</v>
      </c>
      <c r="O3797">
        <v>3755.63</v>
      </c>
      <c r="P3797">
        <v>1233.0899999999999</v>
      </c>
      <c r="Q3797">
        <v>598.49</v>
      </c>
      <c r="R3797">
        <v>3126.12</v>
      </c>
      <c r="S3797">
        <v>893.31</v>
      </c>
      <c r="T3797">
        <v>60518.400000000001</v>
      </c>
      <c r="U3797">
        <v>29576.42</v>
      </c>
      <c r="V3797">
        <v>12135.34</v>
      </c>
      <c r="W3797">
        <v>11898.68</v>
      </c>
      <c r="X3797">
        <v>69269.78</v>
      </c>
      <c r="Y3797">
        <v>62308.69</v>
      </c>
    </row>
    <row r="3798" spans="1:25" x14ac:dyDescent="0.25">
      <c r="A3798" t="s">
        <v>3854</v>
      </c>
      <c r="B3798" s="1">
        <v>45970</v>
      </c>
      <c r="C3798">
        <v>2025</v>
      </c>
      <c r="D3798">
        <v>11</v>
      </c>
      <c r="E3798" t="s">
        <v>1117</v>
      </c>
      <c r="F3798" t="s">
        <v>1018</v>
      </c>
      <c r="G3798" t="s">
        <v>55</v>
      </c>
      <c r="H3798" t="s">
        <v>58</v>
      </c>
      <c r="I3798" t="s">
        <v>45</v>
      </c>
      <c r="J3798">
        <v>52</v>
      </c>
      <c r="K3798">
        <v>987.3</v>
      </c>
      <c r="L3798">
        <v>51339.51</v>
      </c>
      <c r="M3798">
        <v>32535.37</v>
      </c>
      <c r="N3798">
        <v>4607.6400000000003</v>
      </c>
      <c r="O3798">
        <v>2242.27</v>
      </c>
      <c r="P3798">
        <v>2134.37</v>
      </c>
      <c r="Q3798">
        <v>518.47</v>
      </c>
      <c r="R3798">
        <v>3089.27</v>
      </c>
      <c r="S3798">
        <v>546.65</v>
      </c>
      <c r="T3798">
        <v>45674.03</v>
      </c>
      <c r="U3798">
        <v>18804.150000000001</v>
      </c>
      <c r="V3798">
        <v>5665.48</v>
      </c>
      <c r="W3798">
        <v>5140.8100000000004</v>
      </c>
      <c r="X3798">
        <v>49410.91</v>
      </c>
      <c r="Y3798">
        <v>48202.36</v>
      </c>
    </row>
    <row r="3799" spans="1:25" x14ac:dyDescent="0.25">
      <c r="A3799" t="s">
        <v>3855</v>
      </c>
      <c r="B3799" s="1">
        <v>45970</v>
      </c>
      <c r="C3799">
        <v>2025</v>
      </c>
      <c r="D3799">
        <v>11</v>
      </c>
      <c r="E3799" t="s">
        <v>1117</v>
      </c>
      <c r="F3799" t="s">
        <v>1018</v>
      </c>
      <c r="G3799" t="s">
        <v>44</v>
      </c>
      <c r="H3799" t="s">
        <v>36</v>
      </c>
      <c r="I3799" t="s">
        <v>50</v>
      </c>
      <c r="J3799">
        <v>54</v>
      </c>
      <c r="K3799">
        <v>825.61</v>
      </c>
      <c r="L3799">
        <v>44582.98</v>
      </c>
      <c r="M3799">
        <v>27418.99</v>
      </c>
      <c r="N3799">
        <v>5403.06</v>
      </c>
      <c r="O3799">
        <v>3156.84</v>
      </c>
      <c r="P3799">
        <v>1349.31</v>
      </c>
      <c r="Q3799">
        <v>301.67</v>
      </c>
      <c r="R3799">
        <v>1730.59</v>
      </c>
      <c r="S3799">
        <v>730.92</v>
      </c>
      <c r="T3799">
        <v>40091.360000000001</v>
      </c>
      <c r="U3799">
        <v>17164</v>
      </c>
      <c r="V3799">
        <v>4491.62</v>
      </c>
      <c r="W3799">
        <v>4254.71</v>
      </c>
      <c r="X3799">
        <v>42550</v>
      </c>
      <c r="Y3799">
        <v>38570.53</v>
      </c>
    </row>
    <row r="3800" spans="1:25" x14ac:dyDescent="0.25">
      <c r="A3800" t="s">
        <v>3856</v>
      </c>
      <c r="B3800" s="1">
        <v>45970</v>
      </c>
      <c r="C3800">
        <v>2025</v>
      </c>
      <c r="D3800">
        <v>11</v>
      </c>
      <c r="E3800" t="s">
        <v>1117</v>
      </c>
      <c r="F3800" t="s">
        <v>1018</v>
      </c>
      <c r="G3800" t="s">
        <v>35</v>
      </c>
      <c r="H3800" t="s">
        <v>53</v>
      </c>
      <c r="I3800" t="s">
        <v>33</v>
      </c>
      <c r="J3800">
        <v>57</v>
      </c>
      <c r="K3800">
        <v>1134.54</v>
      </c>
      <c r="L3800">
        <v>64668.63</v>
      </c>
      <c r="M3800">
        <v>39595.35</v>
      </c>
      <c r="N3800">
        <v>8280.9599999999991</v>
      </c>
      <c r="O3800">
        <v>2185.5100000000002</v>
      </c>
      <c r="P3800">
        <v>1434.41</v>
      </c>
      <c r="Q3800">
        <v>872.05</v>
      </c>
      <c r="R3800">
        <v>2374.91</v>
      </c>
      <c r="S3800">
        <v>527.66</v>
      </c>
      <c r="T3800">
        <v>55270.84</v>
      </c>
      <c r="U3800">
        <v>25073.279999999999</v>
      </c>
      <c r="V3800">
        <v>9397.7900000000009</v>
      </c>
      <c r="W3800">
        <v>9264.9500000000007</v>
      </c>
      <c r="X3800">
        <v>62528.160000000003</v>
      </c>
      <c r="Y3800">
        <v>52672.75</v>
      </c>
    </row>
    <row r="3801" spans="1:25" x14ac:dyDescent="0.25">
      <c r="A3801" t="s">
        <v>3857</v>
      </c>
      <c r="B3801" s="1">
        <v>45970</v>
      </c>
      <c r="C3801">
        <v>2025</v>
      </c>
      <c r="D3801">
        <v>11</v>
      </c>
      <c r="E3801" t="s">
        <v>1117</v>
      </c>
      <c r="F3801" t="s">
        <v>1018</v>
      </c>
      <c r="G3801" t="s">
        <v>35</v>
      </c>
      <c r="H3801" t="s">
        <v>36</v>
      </c>
      <c r="I3801" t="s">
        <v>45</v>
      </c>
      <c r="J3801">
        <v>34</v>
      </c>
      <c r="K3801">
        <v>1293.03</v>
      </c>
      <c r="L3801">
        <v>43963.09</v>
      </c>
      <c r="M3801">
        <v>22018.51</v>
      </c>
      <c r="N3801">
        <v>3930.5</v>
      </c>
      <c r="O3801">
        <v>2175.4299999999998</v>
      </c>
      <c r="P3801">
        <v>1101.33</v>
      </c>
      <c r="Q3801">
        <v>458.04</v>
      </c>
      <c r="R3801">
        <v>2654.22</v>
      </c>
      <c r="S3801">
        <v>607.20000000000005</v>
      </c>
      <c r="T3801">
        <v>32945.22</v>
      </c>
      <c r="U3801">
        <v>21944.58</v>
      </c>
      <c r="V3801">
        <v>11017.86</v>
      </c>
      <c r="W3801">
        <v>9865.7800000000007</v>
      </c>
      <c r="X3801">
        <v>41670.74</v>
      </c>
      <c r="Y3801">
        <v>35502.699999999997</v>
      </c>
    </row>
    <row r="3802" spans="1:25" x14ac:dyDescent="0.25">
      <c r="A3802" t="s">
        <v>3858</v>
      </c>
      <c r="B3802" s="1">
        <v>45971</v>
      </c>
      <c r="C3802">
        <v>2025</v>
      </c>
      <c r="D3802">
        <v>11</v>
      </c>
      <c r="E3802" t="s">
        <v>1117</v>
      </c>
      <c r="F3802" t="s">
        <v>1018</v>
      </c>
      <c r="G3802" t="s">
        <v>55</v>
      </c>
      <c r="H3802" t="s">
        <v>36</v>
      </c>
      <c r="I3802" t="s">
        <v>33</v>
      </c>
      <c r="J3802">
        <v>51</v>
      </c>
      <c r="K3802">
        <v>1792.54</v>
      </c>
      <c r="L3802">
        <v>91419.54</v>
      </c>
      <c r="M3802">
        <v>51203.24</v>
      </c>
      <c r="N3802">
        <v>6793.76</v>
      </c>
      <c r="O3802">
        <v>5639.81</v>
      </c>
      <c r="P3802">
        <v>2478.83</v>
      </c>
      <c r="Q3802">
        <v>1520.27</v>
      </c>
      <c r="R3802">
        <v>2711.34</v>
      </c>
      <c r="S3802">
        <v>1150.28</v>
      </c>
      <c r="T3802">
        <v>71497.53</v>
      </c>
      <c r="U3802">
        <v>40216.300000000003</v>
      </c>
      <c r="V3802">
        <v>19922.009999999998</v>
      </c>
      <c r="W3802">
        <v>18499.27</v>
      </c>
      <c r="X3802">
        <v>100583.43</v>
      </c>
      <c r="Y3802">
        <v>68713.05</v>
      </c>
    </row>
    <row r="3803" spans="1:25" x14ac:dyDescent="0.25">
      <c r="A3803" t="s">
        <v>3859</v>
      </c>
      <c r="B3803" s="1">
        <v>45972</v>
      </c>
      <c r="C3803">
        <v>2025</v>
      </c>
      <c r="D3803">
        <v>11</v>
      </c>
      <c r="E3803" t="s">
        <v>1117</v>
      </c>
      <c r="F3803" t="s">
        <v>1018</v>
      </c>
      <c r="G3803" t="s">
        <v>35</v>
      </c>
      <c r="H3803" t="s">
        <v>36</v>
      </c>
      <c r="I3803" t="s">
        <v>65</v>
      </c>
      <c r="J3803">
        <v>26</v>
      </c>
      <c r="K3803">
        <v>1740.08</v>
      </c>
      <c r="L3803">
        <v>45242.13</v>
      </c>
      <c r="M3803">
        <v>28432.17</v>
      </c>
      <c r="N3803">
        <v>5451.01</v>
      </c>
      <c r="O3803">
        <v>1314.77</v>
      </c>
      <c r="P3803">
        <v>934.96</v>
      </c>
      <c r="Q3803">
        <v>791.49</v>
      </c>
      <c r="R3803">
        <v>1242.1600000000001</v>
      </c>
      <c r="S3803">
        <v>668.24</v>
      </c>
      <c r="T3803">
        <v>38834.78</v>
      </c>
      <c r="U3803">
        <v>16809.96</v>
      </c>
      <c r="V3803">
        <v>6407.35</v>
      </c>
      <c r="W3803">
        <v>6080.39</v>
      </c>
      <c r="X3803">
        <v>46639.94</v>
      </c>
      <c r="Y3803">
        <v>37060.47</v>
      </c>
    </row>
    <row r="3804" spans="1:25" x14ac:dyDescent="0.25">
      <c r="A3804" t="s">
        <v>3860</v>
      </c>
      <c r="B3804" s="1">
        <v>45972</v>
      </c>
      <c r="C3804">
        <v>2025</v>
      </c>
      <c r="D3804">
        <v>11</v>
      </c>
      <c r="E3804" t="s">
        <v>1117</v>
      </c>
      <c r="F3804" t="s">
        <v>1018</v>
      </c>
      <c r="G3804" t="s">
        <v>55</v>
      </c>
      <c r="H3804" t="s">
        <v>58</v>
      </c>
      <c r="I3804" t="s">
        <v>56</v>
      </c>
      <c r="J3804">
        <v>40</v>
      </c>
      <c r="K3804">
        <v>847.12</v>
      </c>
      <c r="L3804">
        <v>33884.769999999997</v>
      </c>
      <c r="M3804">
        <v>22581.5</v>
      </c>
      <c r="N3804">
        <v>3976.67</v>
      </c>
      <c r="O3804">
        <v>2172.87</v>
      </c>
      <c r="P3804">
        <v>1015.16</v>
      </c>
      <c r="Q3804">
        <v>323.11</v>
      </c>
      <c r="R3804">
        <v>1376.81</v>
      </c>
      <c r="S3804">
        <v>304.62</v>
      </c>
      <c r="T3804">
        <v>31750.74</v>
      </c>
      <c r="U3804">
        <v>11303.27</v>
      </c>
      <c r="V3804">
        <v>2134.0300000000002</v>
      </c>
      <c r="W3804">
        <v>1941.24</v>
      </c>
      <c r="X3804">
        <v>32740.34</v>
      </c>
      <c r="Y3804">
        <v>29941.360000000001</v>
      </c>
    </row>
    <row r="3805" spans="1:25" x14ac:dyDescent="0.25">
      <c r="A3805" t="s">
        <v>3861</v>
      </c>
      <c r="B3805" s="1">
        <v>45972</v>
      </c>
      <c r="C3805">
        <v>2025</v>
      </c>
      <c r="D3805">
        <v>11</v>
      </c>
      <c r="E3805" t="s">
        <v>1117</v>
      </c>
      <c r="F3805" t="s">
        <v>1018</v>
      </c>
      <c r="G3805" t="s">
        <v>55</v>
      </c>
      <c r="H3805" t="s">
        <v>29</v>
      </c>
      <c r="I3805" t="s">
        <v>30</v>
      </c>
      <c r="J3805">
        <v>116</v>
      </c>
      <c r="K3805">
        <v>938.75</v>
      </c>
      <c r="L3805">
        <v>108894.92</v>
      </c>
      <c r="M3805">
        <v>65780.850000000006</v>
      </c>
      <c r="N3805">
        <v>13919.32</v>
      </c>
      <c r="O3805">
        <v>6499.64</v>
      </c>
      <c r="P3805">
        <v>3794.52</v>
      </c>
      <c r="Q3805">
        <v>871.06</v>
      </c>
      <c r="R3805">
        <v>6539.78</v>
      </c>
      <c r="S3805">
        <v>1002.65</v>
      </c>
      <c r="T3805">
        <v>98407.81</v>
      </c>
      <c r="U3805">
        <v>43114.07</v>
      </c>
      <c r="V3805">
        <v>10487.1</v>
      </c>
      <c r="W3805">
        <v>9367.35</v>
      </c>
      <c r="X3805">
        <v>103759.84</v>
      </c>
      <c r="Y3805">
        <v>92846.64</v>
      </c>
    </row>
    <row r="3806" spans="1:25" x14ac:dyDescent="0.25">
      <c r="A3806" t="s">
        <v>3862</v>
      </c>
      <c r="B3806" s="1">
        <v>45972</v>
      </c>
      <c r="C3806">
        <v>2025</v>
      </c>
      <c r="D3806">
        <v>11</v>
      </c>
      <c r="E3806" t="s">
        <v>1117</v>
      </c>
      <c r="F3806" t="s">
        <v>1018</v>
      </c>
      <c r="G3806" t="s">
        <v>35</v>
      </c>
      <c r="H3806" t="s">
        <v>32</v>
      </c>
      <c r="I3806" t="s">
        <v>37</v>
      </c>
      <c r="J3806">
        <v>44</v>
      </c>
      <c r="K3806">
        <v>1688.56</v>
      </c>
      <c r="L3806">
        <v>74296.479999999996</v>
      </c>
      <c r="M3806">
        <v>36773.519999999997</v>
      </c>
      <c r="N3806">
        <v>6428.46</v>
      </c>
      <c r="O3806">
        <v>4457.96</v>
      </c>
      <c r="P3806">
        <v>2987.64</v>
      </c>
      <c r="Q3806">
        <v>675.2</v>
      </c>
      <c r="R3806">
        <v>2353.35</v>
      </c>
      <c r="S3806">
        <v>1163.6199999999999</v>
      </c>
      <c r="T3806">
        <v>54839.75</v>
      </c>
      <c r="U3806">
        <v>37522.959999999999</v>
      </c>
      <c r="V3806">
        <v>19456.73</v>
      </c>
      <c r="W3806">
        <v>18828.93</v>
      </c>
      <c r="X3806">
        <v>70811.350000000006</v>
      </c>
      <c r="Y3806">
        <v>56726.86</v>
      </c>
    </row>
    <row r="3807" spans="1:25" x14ac:dyDescent="0.25">
      <c r="A3807" t="s">
        <v>3863</v>
      </c>
      <c r="B3807" s="1">
        <v>45972</v>
      </c>
      <c r="C3807">
        <v>2025</v>
      </c>
      <c r="D3807">
        <v>11</v>
      </c>
      <c r="E3807" t="s">
        <v>1117</v>
      </c>
      <c r="F3807" t="s">
        <v>1018</v>
      </c>
      <c r="G3807" t="s">
        <v>28</v>
      </c>
      <c r="H3807" t="s">
        <v>53</v>
      </c>
      <c r="I3807" t="s">
        <v>65</v>
      </c>
      <c r="J3807">
        <v>54</v>
      </c>
      <c r="K3807">
        <v>1031.28</v>
      </c>
      <c r="L3807">
        <v>55688.99</v>
      </c>
      <c r="M3807">
        <v>28430.29</v>
      </c>
      <c r="N3807">
        <v>6104.89</v>
      </c>
      <c r="O3807">
        <v>1764.5</v>
      </c>
      <c r="P3807">
        <v>1450.79</v>
      </c>
      <c r="Q3807">
        <v>800.77</v>
      </c>
      <c r="R3807">
        <v>1481.12</v>
      </c>
      <c r="S3807">
        <v>478.77</v>
      </c>
      <c r="T3807">
        <v>40511.14</v>
      </c>
      <c r="U3807">
        <v>27258.71</v>
      </c>
      <c r="V3807">
        <v>15177.85</v>
      </c>
      <c r="W3807">
        <v>14037.74</v>
      </c>
      <c r="X3807">
        <v>58202.42</v>
      </c>
      <c r="Y3807">
        <v>43479.54</v>
      </c>
    </row>
    <row r="3808" spans="1:25" x14ac:dyDescent="0.25">
      <c r="A3808" t="s">
        <v>3864</v>
      </c>
      <c r="B3808" s="1">
        <v>45973</v>
      </c>
      <c r="C3808">
        <v>2025</v>
      </c>
      <c r="D3808">
        <v>11</v>
      </c>
      <c r="E3808" t="s">
        <v>1117</v>
      </c>
      <c r="F3808" t="s">
        <v>1018</v>
      </c>
      <c r="G3808" t="s">
        <v>35</v>
      </c>
      <c r="H3808" t="s">
        <v>58</v>
      </c>
      <c r="I3808" t="s">
        <v>30</v>
      </c>
      <c r="J3808">
        <v>55</v>
      </c>
      <c r="K3808">
        <v>1597.18</v>
      </c>
      <c r="L3808">
        <v>87844.67</v>
      </c>
      <c r="M3808">
        <v>47951.55</v>
      </c>
      <c r="N3808">
        <v>10141.91</v>
      </c>
      <c r="O3808">
        <v>5580.9</v>
      </c>
      <c r="P3808">
        <v>3464.36</v>
      </c>
      <c r="Q3808">
        <v>1500.39</v>
      </c>
      <c r="R3808">
        <v>2227.7800000000002</v>
      </c>
      <c r="S3808">
        <v>1292.69</v>
      </c>
      <c r="T3808">
        <v>72159.58</v>
      </c>
      <c r="U3808">
        <v>39893.120000000003</v>
      </c>
      <c r="V3808">
        <v>15685.09</v>
      </c>
      <c r="W3808">
        <v>15088.76</v>
      </c>
      <c r="X3808">
        <v>88555.55</v>
      </c>
      <c r="Y3808">
        <v>71709.070000000007</v>
      </c>
    </row>
    <row r="3809" spans="1:25" x14ac:dyDescent="0.25">
      <c r="A3809" t="s">
        <v>3865</v>
      </c>
      <c r="B3809" s="1">
        <v>45973</v>
      </c>
      <c r="C3809">
        <v>2025</v>
      </c>
      <c r="D3809">
        <v>11</v>
      </c>
      <c r="E3809" t="s">
        <v>1117</v>
      </c>
      <c r="F3809" t="s">
        <v>1018</v>
      </c>
      <c r="G3809" t="s">
        <v>28</v>
      </c>
      <c r="H3809" t="s">
        <v>32</v>
      </c>
      <c r="I3809" t="s">
        <v>45</v>
      </c>
      <c r="J3809">
        <v>36</v>
      </c>
      <c r="K3809">
        <v>1596.27</v>
      </c>
      <c r="L3809">
        <v>57465.87</v>
      </c>
      <c r="M3809">
        <v>29087.43</v>
      </c>
      <c r="N3809">
        <v>4602.13</v>
      </c>
      <c r="O3809">
        <v>2432.52</v>
      </c>
      <c r="P3809">
        <v>1228.7</v>
      </c>
      <c r="Q3809">
        <v>495.58</v>
      </c>
      <c r="R3809">
        <v>3393.1</v>
      </c>
      <c r="S3809">
        <v>557.48</v>
      </c>
      <c r="T3809">
        <v>41796.94</v>
      </c>
      <c r="U3809">
        <v>28378.44</v>
      </c>
      <c r="V3809">
        <v>15668.93</v>
      </c>
      <c r="W3809">
        <v>14229.68</v>
      </c>
      <c r="X3809">
        <v>52989.51</v>
      </c>
      <c r="Y3809">
        <v>42003.24</v>
      </c>
    </row>
    <row r="3810" spans="1:25" x14ac:dyDescent="0.25">
      <c r="A3810" t="s">
        <v>3866</v>
      </c>
      <c r="B3810" s="1">
        <v>45973</v>
      </c>
      <c r="C3810">
        <v>2025</v>
      </c>
      <c r="D3810">
        <v>11</v>
      </c>
      <c r="E3810" t="s">
        <v>1117</v>
      </c>
      <c r="F3810" t="s">
        <v>1018</v>
      </c>
      <c r="G3810" t="s">
        <v>35</v>
      </c>
      <c r="H3810" t="s">
        <v>29</v>
      </c>
      <c r="I3810" t="s">
        <v>33</v>
      </c>
      <c r="J3810">
        <v>54</v>
      </c>
      <c r="K3810">
        <v>1251.17</v>
      </c>
      <c r="L3810">
        <v>67563.02</v>
      </c>
      <c r="M3810">
        <v>42614.65</v>
      </c>
      <c r="N3810">
        <v>5126.28</v>
      </c>
      <c r="O3810">
        <v>2599.96</v>
      </c>
      <c r="P3810">
        <v>1309.49</v>
      </c>
      <c r="Q3810">
        <v>1093.76</v>
      </c>
      <c r="R3810">
        <v>3619.06</v>
      </c>
      <c r="S3810">
        <v>1436.71</v>
      </c>
      <c r="T3810">
        <v>57799.9</v>
      </c>
      <c r="U3810">
        <v>24948.38</v>
      </c>
      <c r="V3810">
        <v>9763.1200000000008</v>
      </c>
      <c r="W3810">
        <v>9190.5400000000009</v>
      </c>
      <c r="X3810">
        <v>72924.899999999994</v>
      </c>
      <c r="Y3810">
        <v>57616.07</v>
      </c>
    </row>
    <row r="3811" spans="1:25" x14ac:dyDescent="0.25">
      <c r="A3811" t="s">
        <v>3867</v>
      </c>
      <c r="B3811" s="1">
        <v>45975</v>
      </c>
      <c r="C3811">
        <v>2025</v>
      </c>
      <c r="D3811">
        <v>11</v>
      </c>
      <c r="E3811" t="s">
        <v>1117</v>
      </c>
      <c r="F3811" t="s">
        <v>1018</v>
      </c>
      <c r="G3811" t="s">
        <v>44</v>
      </c>
      <c r="H3811" t="s">
        <v>53</v>
      </c>
      <c r="I3811" t="s">
        <v>56</v>
      </c>
      <c r="J3811">
        <v>15</v>
      </c>
      <c r="K3811">
        <v>1428.89</v>
      </c>
      <c r="L3811">
        <v>21433.41</v>
      </c>
      <c r="M3811">
        <v>12623.55</v>
      </c>
      <c r="N3811">
        <v>1929.18</v>
      </c>
      <c r="O3811">
        <v>547.84</v>
      </c>
      <c r="P3811">
        <v>722.08</v>
      </c>
      <c r="Q3811">
        <v>284.47000000000003</v>
      </c>
      <c r="R3811">
        <v>916.18</v>
      </c>
      <c r="S3811">
        <v>286.67</v>
      </c>
      <c r="T3811">
        <v>17309.96</v>
      </c>
      <c r="U3811">
        <v>8809.86</v>
      </c>
      <c r="V3811">
        <v>4123.4399999999996</v>
      </c>
      <c r="W3811">
        <v>3769.73</v>
      </c>
      <c r="X3811">
        <v>23669.8</v>
      </c>
      <c r="Y3811">
        <v>18944.75</v>
      </c>
    </row>
    <row r="3812" spans="1:25" x14ac:dyDescent="0.25">
      <c r="A3812" t="s">
        <v>3868</v>
      </c>
      <c r="B3812" s="1">
        <v>45975</v>
      </c>
      <c r="C3812">
        <v>2025</v>
      </c>
      <c r="D3812">
        <v>11</v>
      </c>
      <c r="E3812" t="s">
        <v>1117</v>
      </c>
      <c r="F3812" t="s">
        <v>1018</v>
      </c>
      <c r="G3812" t="s">
        <v>55</v>
      </c>
      <c r="H3812" t="s">
        <v>58</v>
      </c>
      <c r="I3812" t="s">
        <v>65</v>
      </c>
      <c r="J3812">
        <v>48</v>
      </c>
      <c r="K3812">
        <v>1451.67</v>
      </c>
      <c r="L3812">
        <v>69680.350000000006</v>
      </c>
      <c r="M3812">
        <v>40183.870000000003</v>
      </c>
      <c r="N3812">
        <v>6557.68</v>
      </c>
      <c r="O3812">
        <v>4092.6</v>
      </c>
      <c r="P3812">
        <v>3041.19</v>
      </c>
      <c r="Q3812">
        <v>447.17</v>
      </c>
      <c r="R3812">
        <v>2237.17</v>
      </c>
      <c r="S3812">
        <v>676.22</v>
      </c>
      <c r="T3812">
        <v>57235.9</v>
      </c>
      <c r="U3812">
        <v>29496.48</v>
      </c>
      <c r="V3812">
        <v>12444.44</v>
      </c>
      <c r="W3812">
        <v>12621.01</v>
      </c>
      <c r="X3812">
        <v>65475.85</v>
      </c>
      <c r="Y3812">
        <v>55256.93</v>
      </c>
    </row>
    <row r="3813" spans="1:25" x14ac:dyDescent="0.25">
      <c r="A3813" t="s">
        <v>3869</v>
      </c>
      <c r="B3813" s="1">
        <v>45975</v>
      </c>
      <c r="C3813">
        <v>2025</v>
      </c>
      <c r="D3813">
        <v>11</v>
      </c>
      <c r="E3813" t="s">
        <v>1117</v>
      </c>
      <c r="F3813" t="s">
        <v>1018</v>
      </c>
      <c r="G3813" t="s">
        <v>28</v>
      </c>
      <c r="H3813" t="s">
        <v>53</v>
      </c>
      <c r="I3813" t="s">
        <v>39</v>
      </c>
      <c r="J3813">
        <v>20</v>
      </c>
      <c r="K3813">
        <v>1494.17</v>
      </c>
      <c r="L3813">
        <v>29883.4</v>
      </c>
      <c r="M3813">
        <v>20282.740000000002</v>
      </c>
      <c r="N3813">
        <v>2277.63</v>
      </c>
      <c r="O3813">
        <v>753.98</v>
      </c>
      <c r="P3813">
        <v>500.61</v>
      </c>
      <c r="Q3813">
        <v>408.49</v>
      </c>
      <c r="R3813">
        <v>1121.05</v>
      </c>
      <c r="S3813">
        <v>333.64</v>
      </c>
      <c r="T3813">
        <v>25678.15</v>
      </c>
      <c r="U3813">
        <v>9600.66</v>
      </c>
      <c r="V3813">
        <v>4205.25</v>
      </c>
      <c r="W3813">
        <v>3816.43</v>
      </c>
      <c r="X3813">
        <v>28329.15</v>
      </c>
      <c r="Y3813">
        <v>24765.01</v>
      </c>
    </row>
    <row r="3814" spans="1:25" x14ac:dyDescent="0.25">
      <c r="A3814" t="s">
        <v>3870</v>
      </c>
      <c r="B3814" s="1">
        <v>45976</v>
      </c>
      <c r="C3814">
        <v>2025</v>
      </c>
      <c r="D3814">
        <v>11</v>
      </c>
      <c r="E3814" t="s">
        <v>1117</v>
      </c>
      <c r="F3814" t="s">
        <v>1018</v>
      </c>
      <c r="G3814" t="s">
        <v>35</v>
      </c>
      <c r="H3814" t="s">
        <v>53</v>
      </c>
      <c r="I3814" t="s">
        <v>50</v>
      </c>
      <c r="J3814">
        <v>39</v>
      </c>
      <c r="K3814">
        <v>1042.3</v>
      </c>
      <c r="L3814">
        <v>40649.51</v>
      </c>
      <c r="M3814">
        <v>19970.41</v>
      </c>
      <c r="N3814">
        <v>3849.89</v>
      </c>
      <c r="O3814">
        <v>2254.3200000000002</v>
      </c>
      <c r="P3814">
        <v>1687.94</v>
      </c>
      <c r="Q3814">
        <v>396.76</v>
      </c>
      <c r="R3814">
        <v>1997.19</v>
      </c>
      <c r="S3814">
        <v>960.26</v>
      </c>
      <c r="T3814">
        <v>31116.78</v>
      </c>
      <c r="U3814">
        <v>20679.099999999999</v>
      </c>
      <c r="V3814">
        <v>9532.73</v>
      </c>
      <c r="W3814">
        <v>8406.91</v>
      </c>
      <c r="X3814">
        <v>44193.09</v>
      </c>
      <c r="Y3814">
        <v>32724.98</v>
      </c>
    </row>
    <row r="3815" spans="1:25" x14ac:dyDescent="0.25">
      <c r="A3815" t="s">
        <v>3871</v>
      </c>
      <c r="B3815" s="1">
        <v>45976</v>
      </c>
      <c r="C3815">
        <v>2025</v>
      </c>
      <c r="D3815">
        <v>11</v>
      </c>
      <c r="E3815" t="s">
        <v>1117</v>
      </c>
      <c r="F3815" t="s">
        <v>1018</v>
      </c>
      <c r="G3815" t="s">
        <v>35</v>
      </c>
      <c r="H3815" t="s">
        <v>32</v>
      </c>
      <c r="I3815" t="s">
        <v>56</v>
      </c>
      <c r="J3815">
        <v>45</v>
      </c>
      <c r="K3815">
        <v>972.33</v>
      </c>
      <c r="L3815">
        <v>43755.01</v>
      </c>
      <c r="M3815">
        <v>28231.94</v>
      </c>
      <c r="N3815">
        <v>4955.3999999999996</v>
      </c>
      <c r="O3815">
        <v>2034.84</v>
      </c>
      <c r="P3815">
        <v>1040.93</v>
      </c>
      <c r="Q3815">
        <v>633.53</v>
      </c>
      <c r="R3815">
        <v>1252.21</v>
      </c>
      <c r="S3815">
        <v>409.9</v>
      </c>
      <c r="T3815">
        <v>38558.75</v>
      </c>
      <c r="U3815">
        <v>15523.06</v>
      </c>
      <c r="V3815">
        <v>5196.25</v>
      </c>
      <c r="W3815">
        <v>4837.79</v>
      </c>
      <c r="X3815">
        <v>47298.080000000002</v>
      </c>
      <c r="Y3815">
        <v>42065</v>
      </c>
    </row>
    <row r="3816" spans="1:25" x14ac:dyDescent="0.25">
      <c r="A3816" t="s">
        <v>3872</v>
      </c>
      <c r="B3816" s="1">
        <v>45976</v>
      </c>
      <c r="C3816">
        <v>2025</v>
      </c>
      <c r="D3816">
        <v>11</v>
      </c>
      <c r="E3816" t="s">
        <v>1117</v>
      </c>
      <c r="F3816" t="s">
        <v>1018</v>
      </c>
      <c r="G3816" t="s">
        <v>28</v>
      </c>
      <c r="H3816" t="s">
        <v>32</v>
      </c>
      <c r="I3816" t="s">
        <v>56</v>
      </c>
      <c r="J3816">
        <v>28</v>
      </c>
      <c r="K3816">
        <v>1391.9</v>
      </c>
      <c r="L3816">
        <v>38973.32</v>
      </c>
      <c r="M3816">
        <v>21255.37</v>
      </c>
      <c r="N3816">
        <v>4102.53</v>
      </c>
      <c r="O3816">
        <v>1166.3699999999999</v>
      </c>
      <c r="P3816">
        <v>830.47</v>
      </c>
      <c r="Q3816">
        <v>376.11</v>
      </c>
      <c r="R3816">
        <v>2132.83</v>
      </c>
      <c r="S3816">
        <v>849.13</v>
      </c>
      <c r="T3816">
        <v>30712.799999999999</v>
      </c>
      <c r="U3816">
        <v>17717.96</v>
      </c>
      <c r="V3816">
        <v>8260.52</v>
      </c>
      <c r="W3816">
        <v>7728.27</v>
      </c>
      <c r="X3816">
        <v>37587.14</v>
      </c>
      <c r="Y3816">
        <v>32526.880000000001</v>
      </c>
    </row>
    <row r="3817" spans="1:25" x14ac:dyDescent="0.25">
      <c r="A3817" t="s">
        <v>3873</v>
      </c>
      <c r="B3817" s="1">
        <v>45976</v>
      </c>
      <c r="C3817">
        <v>2025</v>
      </c>
      <c r="D3817">
        <v>11</v>
      </c>
      <c r="E3817" t="s">
        <v>1117</v>
      </c>
      <c r="F3817" t="s">
        <v>1018</v>
      </c>
      <c r="G3817" t="s">
        <v>35</v>
      </c>
      <c r="H3817" t="s">
        <v>29</v>
      </c>
      <c r="I3817" t="s">
        <v>50</v>
      </c>
      <c r="J3817">
        <v>30</v>
      </c>
      <c r="K3817">
        <v>1128.6099999999999</v>
      </c>
      <c r="L3817">
        <v>33858.25</v>
      </c>
      <c r="M3817">
        <v>18238.400000000001</v>
      </c>
      <c r="N3817">
        <v>4274.6899999999996</v>
      </c>
      <c r="O3817">
        <v>1421.65</v>
      </c>
      <c r="P3817">
        <v>797.4</v>
      </c>
      <c r="Q3817">
        <v>412.37</v>
      </c>
      <c r="R3817">
        <v>1760.45</v>
      </c>
      <c r="S3817">
        <v>826.3</v>
      </c>
      <c r="T3817">
        <v>27731.279999999999</v>
      </c>
      <c r="U3817">
        <v>15619.84</v>
      </c>
      <c r="V3817">
        <v>6126.97</v>
      </c>
      <c r="W3817">
        <v>6088.32</v>
      </c>
      <c r="X3817">
        <v>34870.089999999997</v>
      </c>
      <c r="Y3817">
        <v>29065.03</v>
      </c>
    </row>
    <row r="3818" spans="1:25" x14ac:dyDescent="0.25">
      <c r="A3818" t="s">
        <v>3874</v>
      </c>
      <c r="B3818" s="1">
        <v>45977</v>
      </c>
      <c r="C3818">
        <v>2025</v>
      </c>
      <c r="D3818">
        <v>11</v>
      </c>
      <c r="E3818" t="s">
        <v>1117</v>
      </c>
      <c r="F3818" t="s">
        <v>1018</v>
      </c>
      <c r="G3818" t="s">
        <v>55</v>
      </c>
      <c r="H3818" t="s">
        <v>53</v>
      </c>
      <c r="I3818" t="s">
        <v>33</v>
      </c>
      <c r="J3818">
        <v>65</v>
      </c>
      <c r="K3818">
        <v>1230.98</v>
      </c>
      <c r="L3818">
        <v>80014</v>
      </c>
      <c r="M3818">
        <v>53150.38</v>
      </c>
      <c r="N3818">
        <v>5887.82</v>
      </c>
      <c r="O3818">
        <v>2774.17</v>
      </c>
      <c r="P3818">
        <v>1934.13</v>
      </c>
      <c r="Q3818">
        <v>1252.3699999999999</v>
      </c>
      <c r="R3818">
        <v>4331.3</v>
      </c>
      <c r="S3818">
        <v>1597.24</v>
      </c>
      <c r="T3818">
        <v>70927.42</v>
      </c>
      <c r="U3818">
        <v>26863.61</v>
      </c>
      <c r="V3818">
        <v>9086.58</v>
      </c>
      <c r="W3818">
        <v>9088.86</v>
      </c>
      <c r="X3818">
        <v>79071.5</v>
      </c>
      <c r="Y3818">
        <v>66539.23</v>
      </c>
    </row>
    <row r="3819" spans="1:25" x14ac:dyDescent="0.25">
      <c r="A3819" t="s">
        <v>3875</v>
      </c>
      <c r="B3819" s="1">
        <v>45977</v>
      </c>
      <c r="C3819">
        <v>2025</v>
      </c>
      <c r="D3819">
        <v>11</v>
      </c>
      <c r="E3819" t="s">
        <v>1117</v>
      </c>
      <c r="F3819" t="s">
        <v>1018</v>
      </c>
      <c r="G3819" t="s">
        <v>35</v>
      </c>
      <c r="H3819" t="s">
        <v>58</v>
      </c>
      <c r="I3819" t="s">
        <v>37</v>
      </c>
      <c r="J3819">
        <v>52</v>
      </c>
      <c r="K3819">
        <v>1291.77</v>
      </c>
      <c r="L3819">
        <v>67171.86</v>
      </c>
      <c r="M3819">
        <v>36076.370000000003</v>
      </c>
      <c r="N3819">
        <v>8577.92</v>
      </c>
      <c r="O3819">
        <v>4637.87</v>
      </c>
      <c r="P3819">
        <v>1952.74</v>
      </c>
      <c r="Q3819">
        <v>1037.94</v>
      </c>
      <c r="R3819">
        <v>2216.9899999999998</v>
      </c>
      <c r="S3819">
        <v>1636.42</v>
      </c>
      <c r="T3819">
        <v>56136.26</v>
      </c>
      <c r="U3819">
        <v>31095.49</v>
      </c>
      <c r="V3819">
        <v>11035.6</v>
      </c>
      <c r="W3819">
        <v>10854.12</v>
      </c>
      <c r="X3819">
        <v>71197.88</v>
      </c>
      <c r="Y3819">
        <v>58503.71</v>
      </c>
    </row>
    <row r="3820" spans="1:25" x14ac:dyDescent="0.25">
      <c r="A3820" t="s">
        <v>3876</v>
      </c>
      <c r="B3820" s="1">
        <v>45978</v>
      </c>
      <c r="C3820">
        <v>2025</v>
      </c>
      <c r="D3820">
        <v>11</v>
      </c>
      <c r="E3820" t="s">
        <v>1117</v>
      </c>
      <c r="F3820" t="s">
        <v>1018</v>
      </c>
      <c r="G3820" t="s">
        <v>44</v>
      </c>
      <c r="H3820" t="s">
        <v>36</v>
      </c>
      <c r="I3820" t="s">
        <v>50</v>
      </c>
      <c r="J3820">
        <v>46</v>
      </c>
      <c r="K3820">
        <v>1011.4</v>
      </c>
      <c r="L3820">
        <v>46524.41</v>
      </c>
      <c r="M3820">
        <v>25148.44</v>
      </c>
      <c r="N3820">
        <v>4737.32</v>
      </c>
      <c r="O3820">
        <v>1950.76</v>
      </c>
      <c r="P3820">
        <v>1452.6</v>
      </c>
      <c r="Q3820">
        <v>725.57</v>
      </c>
      <c r="R3820">
        <v>2722.85</v>
      </c>
      <c r="S3820">
        <v>974.31</v>
      </c>
      <c r="T3820">
        <v>37711.85</v>
      </c>
      <c r="U3820">
        <v>21375.97</v>
      </c>
      <c r="V3820">
        <v>8812.56</v>
      </c>
      <c r="W3820">
        <v>8169.99</v>
      </c>
      <c r="X3820">
        <v>43216.78</v>
      </c>
      <c r="Y3820">
        <v>36346.769999999997</v>
      </c>
    </row>
    <row r="3821" spans="1:25" x14ac:dyDescent="0.25">
      <c r="A3821" t="s">
        <v>3877</v>
      </c>
      <c r="B3821" s="1">
        <v>45978</v>
      </c>
      <c r="C3821">
        <v>2025</v>
      </c>
      <c r="D3821">
        <v>11</v>
      </c>
      <c r="E3821" t="s">
        <v>1117</v>
      </c>
      <c r="F3821" t="s">
        <v>1018</v>
      </c>
      <c r="G3821" t="s">
        <v>35</v>
      </c>
      <c r="H3821" t="s">
        <v>36</v>
      </c>
      <c r="I3821" t="s">
        <v>45</v>
      </c>
      <c r="J3821">
        <v>41</v>
      </c>
      <c r="K3821">
        <v>853.4</v>
      </c>
      <c r="L3821">
        <v>34989.53</v>
      </c>
      <c r="M3821">
        <v>19583.97</v>
      </c>
      <c r="N3821">
        <v>3908.49</v>
      </c>
      <c r="O3821">
        <v>2416.2800000000002</v>
      </c>
      <c r="P3821">
        <v>783.02</v>
      </c>
      <c r="Q3821">
        <v>211.62</v>
      </c>
      <c r="R3821">
        <v>1369.59</v>
      </c>
      <c r="S3821">
        <v>583.97</v>
      </c>
      <c r="T3821">
        <v>28856.93</v>
      </c>
      <c r="U3821">
        <v>15405.56</v>
      </c>
      <c r="V3821">
        <v>6132.6</v>
      </c>
      <c r="W3821">
        <v>6056.87</v>
      </c>
      <c r="X3821">
        <v>35730.79</v>
      </c>
      <c r="Y3821">
        <v>29603.61</v>
      </c>
    </row>
    <row r="3822" spans="1:25" x14ac:dyDescent="0.25">
      <c r="A3822" t="s">
        <v>3878</v>
      </c>
      <c r="B3822" s="1">
        <v>45978</v>
      </c>
      <c r="C3822">
        <v>2025</v>
      </c>
      <c r="D3822">
        <v>11</v>
      </c>
      <c r="E3822" t="s">
        <v>1117</v>
      </c>
      <c r="F3822" t="s">
        <v>1018</v>
      </c>
      <c r="G3822" t="s">
        <v>28</v>
      </c>
      <c r="H3822" t="s">
        <v>53</v>
      </c>
      <c r="I3822" t="s">
        <v>56</v>
      </c>
      <c r="J3822">
        <v>34</v>
      </c>
      <c r="K3822">
        <v>1154.46</v>
      </c>
      <c r="L3822">
        <v>39251.75</v>
      </c>
      <c r="M3822">
        <v>24790.02</v>
      </c>
      <c r="N3822">
        <v>3454.45</v>
      </c>
      <c r="O3822">
        <v>2374.73</v>
      </c>
      <c r="P3822">
        <v>935.34</v>
      </c>
      <c r="Q3822">
        <v>512.21</v>
      </c>
      <c r="R3822">
        <v>1184.68</v>
      </c>
      <c r="S3822">
        <v>716.88</v>
      </c>
      <c r="T3822">
        <v>33968.31</v>
      </c>
      <c r="U3822">
        <v>14461.73</v>
      </c>
      <c r="V3822">
        <v>5283.44</v>
      </c>
      <c r="W3822">
        <v>4783.55</v>
      </c>
      <c r="X3822">
        <v>40532.199999999997</v>
      </c>
      <c r="Y3822">
        <v>36520.58</v>
      </c>
    </row>
    <row r="3823" spans="1:25" x14ac:dyDescent="0.25">
      <c r="A3823" t="s">
        <v>3879</v>
      </c>
      <c r="B3823" s="1">
        <v>45978</v>
      </c>
      <c r="C3823">
        <v>2025</v>
      </c>
      <c r="D3823">
        <v>11</v>
      </c>
      <c r="E3823" t="s">
        <v>1117</v>
      </c>
      <c r="F3823" t="s">
        <v>1018</v>
      </c>
      <c r="G3823" t="s">
        <v>28</v>
      </c>
      <c r="H3823" t="s">
        <v>58</v>
      </c>
      <c r="I3823" t="s">
        <v>45</v>
      </c>
      <c r="J3823">
        <v>43</v>
      </c>
      <c r="K3823">
        <v>1127.69</v>
      </c>
      <c r="L3823">
        <v>48490.52</v>
      </c>
      <c r="M3823">
        <v>23536</v>
      </c>
      <c r="N3823">
        <v>4079.45</v>
      </c>
      <c r="O3823">
        <v>1651.43</v>
      </c>
      <c r="P3823">
        <v>982.39</v>
      </c>
      <c r="Q3823">
        <v>712.74</v>
      </c>
      <c r="R3823">
        <v>2652.71</v>
      </c>
      <c r="S3823">
        <v>518.01</v>
      </c>
      <c r="T3823">
        <v>34132.74</v>
      </c>
      <c r="U3823">
        <v>24954.51</v>
      </c>
      <c r="V3823">
        <v>14357.77</v>
      </c>
      <c r="W3823">
        <v>12736.86</v>
      </c>
      <c r="X3823">
        <v>50766.58</v>
      </c>
      <c r="Y3823">
        <v>32820.57</v>
      </c>
    </row>
    <row r="3824" spans="1:25" x14ac:dyDescent="0.25">
      <c r="A3824" t="s">
        <v>3880</v>
      </c>
      <c r="B3824" s="1">
        <v>45979</v>
      </c>
      <c r="C3824">
        <v>2025</v>
      </c>
      <c r="D3824">
        <v>11</v>
      </c>
      <c r="E3824" t="s">
        <v>1117</v>
      </c>
      <c r="F3824" t="s">
        <v>1018</v>
      </c>
      <c r="G3824" t="s">
        <v>44</v>
      </c>
      <c r="H3824" t="s">
        <v>53</v>
      </c>
      <c r="I3824" t="s">
        <v>45</v>
      </c>
      <c r="J3824">
        <v>29</v>
      </c>
      <c r="K3824">
        <v>1563.54</v>
      </c>
      <c r="L3824">
        <v>45342.79</v>
      </c>
      <c r="M3824">
        <v>30340.62</v>
      </c>
      <c r="N3824">
        <v>5651.84</v>
      </c>
      <c r="O3824">
        <v>2381.5300000000002</v>
      </c>
      <c r="P3824">
        <v>1647.28</v>
      </c>
      <c r="Q3824">
        <v>654.48</v>
      </c>
      <c r="R3824">
        <v>1624.12</v>
      </c>
      <c r="S3824">
        <v>726.58</v>
      </c>
      <c r="T3824">
        <v>43026.45</v>
      </c>
      <c r="U3824">
        <v>15002.17</v>
      </c>
      <c r="V3824">
        <v>2316.34</v>
      </c>
      <c r="W3824">
        <v>2258.86</v>
      </c>
      <c r="X3824">
        <v>46677.919999999998</v>
      </c>
      <c r="Y3824">
        <v>44497.08</v>
      </c>
    </row>
    <row r="3825" spans="1:25" x14ac:dyDescent="0.25">
      <c r="A3825" t="s">
        <v>3881</v>
      </c>
      <c r="B3825" s="1">
        <v>45979</v>
      </c>
      <c r="C3825">
        <v>2025</v>
      </c>
      <c r="D3825">
        <v>11</v>
      </c>
      <c r="E3825" t="s">
        <v>1117</v>
      </c>
      <c r="F3825" t="s">
        <v>1018</v>
      </c>
      <c r="G3825" t="s">
        <v>28</v>
      </c>
      <c r="H3825" t="s">
        <v>53</v>
      </c>
      <c r="I3825" t="s">
        <v>45</v>
      </c>
      <c r="J3825">
        <v>40</v>
      </c>
      <c r="K3825">
        <v>975.68</v>
      </c>
      <c r="L3825">
        <v>39027.050000000003</v>
      </c>
      <c r="M3825">
        <v>21417.29</v>
      </c>
      <c r="N3825">
        <v>4500.0200000000004</v>
      </c>
      <c r="O3825">
        <v>2625.44</v>
      </c>
      <c r="P3825">
        <v>1637.89</v>
      </c>
      <c r="Q3825">
        <v>515.92999999999995</v>
      </c>
      <c r="R3825">
        <v>1656.47</v>
      </c>
      <c r="S3825">
        <v>360.68</v>
      </c>
      <c r="T3825">
        <v>32713.72</v>
      </c>
      <c r="U3825">
        <v>17609.759999999998</v>
      </c>
      <c r="V3825">
        <v>6313.34</v>
      </c>
      <c r="W3825">
        <v>6419.52</v>
      </c>
      <c r="X3825">
        <v>40181.72</v>
      </c>
      <c r="Y3825">
        <v>33961.75</v>
      </c>
    </row>
    <row r="3826" spans="1:25" x14ac:dyDescent="0.25">
      <c r="A3826" t="s">
        <v>3882</v>
      </c>
      <c r="B3826" s="1">
        <v>45979</v>
      </c>
      <c r="C3826">
        <v>2025</v>
      </c>
      <c r="D3826">
        <v>11</v>
      </c>
      <c r="E3826" t="s">
        <v>1117</v>
      </c>
      <c r="F3826" t="s">
        <v>1018</v>
      </c>
      <c r="G3826" t="s">
        <v>55</v>
      </c>
      <c r="H3826" t="s">
        <v>29</v>
      </c>
      <c r="I3826" t="s">
        <v>33</v>
      </c>
      <c r="J3826">
        <v>96</v>
      </c>
      <c r="K3826">
        <v>1100.06</v>
      </c>
      <c r="L3826">
        <v>105605.4</v>
      </c>
      <c r="M3826">
        <v>68863.520000000004</v>
      </c>
      <c r="N3826">
        <v>10426.73</v>
      </c>
      <c r="O3826">
        <v>5249.4</v>
      </c>
      <c r="P3826">
        <v>3282.43</v>
      </c>
      <c r="Q3826">
        <v>1240.29</v>
      </c>
      <c r="R3826">
        <v>3006.95</v>
      </c>
      <c r="S3826">
        <v>847.22</v>
      </c>
      <c r="T3826">
        <v>92916.53</v>
      </c>
      <c r="U3826">
        <v>36741.879999999997</v>
      </c>
      <c r="V3826">
        <v>12688.87</v>
      </c>
      <c r="W3826">
        <v>12457.09</v>
      </c>
      <c r="X3826">
        <v>105565.16</v>
      </c>
      <c r="Y3826">
        <v>91562.08</v>
      </c>
    </row>
    <row r="3827" spans="1:25" x14ac:dyDescent="0.25">
      <c r="A3827" t="s">
        <v>3883</v>
      </c>
      <c r="B3827" s="1">
        <v>45980</v>
      </c>
      <c r="C3827">
        <v>2025</v>
      </c>
      <c r="D3827">
        <v>11</v>
      </c>
      <c r="E3827" t="s">
        <v>1117</v>
      </c>
      <c r="F3827" t="s">
        <v>1018</v>
      </c>
      <c r="G3827" t="s">
        <v>28</v>
      </c>
      <c r="H3827" t="s">
        <v>32</v>
      </c>
      <c r="I3827" t="s">
        <v>33</v>
      </c>
      <c r="J3827">
        <v>66</v>
      </c>
      <c r="K3827">
        <v>1590.15</v>
      </c>
      <c r="L3827">
        <v>104950.02</v>
      </c>
      <c r="M3827">
        <v>59258.45</v>
      </c>
      <c r="N3827">
        <v>7389.3</v>
      </c>
      <c r="O3827">
        <v>6653.46</v>
      </c>
      <c r="P3827">
        <v>3757.26</v>
      </c>
      <c r="Q3827">
        <v>1464.18</v>
      </c>
      <c r="R3827">
        <v>4639.47</v>
      </c>
      <c r="S3827">
        <v>2483.89</v>
      </c>
      <c r="T3827">
        <v>85646</v>
      </c>
      <c r="U3827">
        <v>45691.57</v>
      </c>
      <c r="V3827">
        <v>19304.02</v>
      </c>
      <c r="W3827">
        <v>19217.12</v>
      </c>
      <c r="X3827">
        <v>98138.13</v>
      </c>
      <c r="Y3827">
        <v>89011.59</v>
      </c>
    </row>
    <row r="3828" spans="1:25" x14ac:dyDescent="0.25">
      <c r="A3828" t="s">
        <v>3884</v>
      </c>
      <c r="B3828" s="1">
        <v>45980</v>
      </c>
      <c r="C3828">
        <v>2025</v>
      </c>
      <c r="D3828">
        <v>11</v>
      </c>
      <c r="E3828" t="s">
        <v>1117</v>
      </c>
      <c r="F3828" t="s">
        <v>1018</v>
      </c>
      <c r="G3828" t="s">
        <v>28</v>
      </c>
      <c r="H3828" t="s">
        <v>32</v>
      </c>
      <c r="I3828" t="s">
        <v>65</v>
      </c>
      <c r="J3828">
        <v>71</v>
      </c>
      <c r="K3828">
        <v>1235.8499999999999</v>
      </c>
      <c r="L3828">
        <v>87745.49</v>
      </c>
      <c r="M3828">
        <v>54316.88</v>
      </c>
      <c r="N3828">
        <v>8738.7099999999991</v>
      </c>
      <c r="O3828">
        <v>3629.34</v>
      </c>
      <c r="P3828">
        <v>3784.71</v>
      </c>
      <c r="Q3828">
        <v>1544.85</v>
      </c>
      <c r="R3828">
        <v>4281.91</v>
      </c>
      <c r="S3828">
        <v>1244.98</v>
      </c>
      <c r="T3828">
        <v>77541.38</v>
      </c>
      <c r="U3828">
        <v>33428.61</v>
      </c>
      <c r="V3828">
        <v>10204.11</v>
      </c>
      <c r="W3828">
        <v>9266.08</v>
      </c>
      <c r="X3828">
        <v>86068.38</v>
      </c>
      <c r="Y3828">
        <v>73343.850000000006</v>
      </c>
    </row>
    <row r="3829" spans="1:25" x14ac:dyDescent="0.25">
      <c r="A3829" t="s">
        <v>3885</v>
      </c>
      <c r="B3829" s="1">
        <v>45980</v>
      </c>
      <c r="C3829">
        <v>2025</v>
      </c>
      <c r="D3829">
        <v>11</v>
      </c>
      <c r="E3829" t="s">
        <v>1117</v>
      </c>
      <c r="F3829" t="s">
        <v>1018</v>
      </c>
      <c r="G3829" t="s">
        <v>44</v>
      </c>
      <c r="H3829" t="s">
        <v>36</v>
      </c>
      <c r="I3829" t="s">
        <v>33</v>
      </c>
      <c r="J3829">
        <v>43</v>
      </c>
      <c r="K3829">
        <v>1254.8699999999999</v>
      </c>
      <c r="L3829">
        <v>53959.47</v>
      </c>
      <c r="M3829">
        <v>36438.51</v>
      </c>
      <c r="N3829">
        <v>6763.42</v>
      </c>
      <c r="O3829">
        <v>1385.32</v>
      </c>
      <c r="P3829">
        <v>848.14</v>
      </c>
      <c r="Q3829">
        <v>735.94</v>
      </c>
      <c r="R3829">
        <v>3185.49</v>
      </c>
      <c r="S3829">
        <v>724.05</v>
      </c>
      <c r="T3829">
        <v>50080.88</v>
      </c>
      <c r="U3829">
        <v>17520.96</v>
      </c>
      <c r="V3829">
        <v>3878.59</v>
      </c>
      <c r="W3829">
        <v>3564.85</v>
      </c>
      <c r="X3829">
        <v>59823.360000000001</v>
      </c>
      <c r="Y3829">
        <v>53053.64</v>
      </c>
    </row>
    <row r="3830" spans="1:25" x14ac:dyDescent="0.25">
      <c r="A3830" t="s">
        <v>3886</v>
      </c>
      <c r="B3830" s="1">
        <v>45981</v>
      </c>
      <c r="C3830">
        <v>2025</v>
      </c>
      <c r="D3830">
        <v>11</v>
      </c>
      <c r="E3830" t="s">
        <v>1117</v>
      </c>
      <c r="F3830" t="s">
        <v>1018</v>
      </c>
      <c r="G3830" t="s">
        <v>35</v>
      </c>
      <c r="H3830" t="s">
        <v>32</v>
      </c>
      <c r="I3830" t="s">
        <v>37</v>
      </c>
      <c r="J3830">
        <v>47</v>
      </c>
      <c r="K3830">
        <v>1453.26</v>
      </c>
      <c r="L3830">
        <v>68303.179999999993</v>
      </c>
      <c r="M3830">
        <v>41993.72</v>
      </c>
      <c r="N3830">
        <v>5938.95</v>
      </c>
      <c r="O3830">
        <v>1749.36</v>
      </c>
      <c r="P3830">
        <v>1846.13</v>
      </c>
      <c r="Q3830">
        <v>1203.71</v>
      </c>
      <c r="R3830">
        <v>4393.47</v>
      </c>
      <c r="S3830">
        <v>1353.03</v>
      </c>
      <c r="T3830">
        <v>58478.38</v>
      </c>
      <c r="U3830">
        <v>26309.46</v>
      </c>
      <c r="V3830">
        <v>9824.7999999999993</v>
      </c>
      <c r="W3830">
        <v>8912.4500000000007</v>
      </c>
      <c r="X3830">
        <v>69123.13</v>
      </c>
      <c r="Y3830">
        <v>59871.45</v>
      </c>
    </row>
    <row r="3831" spans="1:25" x14ac:dyDescent="0.25">
      <c r="A3831" t="s">
        <v>3887</v>
      </c>
      <c r="B3831" s="1">
        <v>45981</v>
      </c>
      <c r="C3831">
        <v>2025</v>
      </c>
      <c r="D3831">
        <v>11</v>
      </c>
      <c r="E3831" t="s">
        <v>1117</v>
      </c>
      <c r="F3831" t="s">
        <v>1018</v>
      </c>
      <c r="G3831" t="s">
        <v>28</v>
      </c>
      <c r="H3831" t="s">
        <v>36</v>
      </c>
      <c r="I3831" t="s">
        <v>56</v>
      </c>
      <c r="J3831">
        <v>20</v>
      </c>
      <c r="K3831">
        <v>1468.18</v>
      </c>
      <c r="L3831">
        <v>29363.55</v>
      </c>
      <c r="M3831">
        <v>18384.080000000002</v>
      </c>
      <c r="N3831">
        <v>2558.23</v>
      </c>
      <c r="O3831">
        <v>1036.8399999999999</v>
      </c>
      <c r="P3831">
        <v>803.22</v>
      </c>
      <c r="Q3831">
        <v>197.05</v>
      </c>
      <c r="R3831">
        <v>1853.94</v>
      </c>
      <c r="S3831">
        <v>454.78</v>
      </c>
      <c r="T3831">
        <v>25288.14</v>
      </c>
      <c r="U3831">
        <v>10979.46</v>
      </c>
      <c r="V3831">
        <v>4075.4</v>
      </c>
      <c r="W3831">
        <v>3723.26</v>
      </c>
      <c r="X3831">
        <v>28102.31</v>
      </c>
      <c r="Y3831">
        <v>24393.55</v>
      </c>
    </row>
    <row r="3832" spans="1:25" x14ac:dyDescent="0.25">
      <c r="A3832" t="s">
        <v>3888</v>
      </c>
      <c r="B3832" s="1">
        <v>45982</v>
      </c>
      <c r="C3832">
        <v>2025</v>
      </c>
      <c r="D3832">
        <v>11</v>
      </c>
      <c r="E3832" t="s">
        <v>1117</v>
      </c>
      <c r="F3832" t="s">
        <v>1018</v>
      </c>
      <c r="G3832" t="s">
        <v>44</v>
      </c>
      <c r="H3832" t="s">
        <v>36</v>
      </c>
      <c r="I3832" t="s">
        <v>65</v>
      </c>
      <c r="J3832">
        <v>84</v>
      </c>
      <c r="K3832">
        <v>819.28</v>
      </c>
      <c r="L3832">
        <v>68819.16</v>
      </c>
      <c r="M3832">
        <v>41583.730000000003</v>
      </c>
      <c r="N3832">
        <v>8151.67</v>
      </c>
      <c r="O3832">
        <v>3591.31</v>
      </c>
      <c r="P3832">
        <v>1902.97</v>
      </c>
      <c r="Q3832">
        <v>627.58000000000004</v>
      </c>
      <c r="R3832">
        <v>3735.92</v>
      </c>
      <c r="S3832">
        <v>1286.08</v>
      </c>
      <c r="T3832">
        <v>60879.25</v>
      </c>
      <c r="U3832">
        <v>27235.43</v>
      </c>
      <c r="V3832">
        <v>7939.9</v>
      </c>
      <c r="W3832">
        <v>7202.01</v>
      </c>
      <c r="X3832">
        <v>65269.54</v>
      </c>
      <c r="Y3832">
        <v>57928.59</v>
      </c>
    </row>
    <row r="3833" spans="1:25" x14ac:dyDescent="0.25">
      <c r="A3833" t="s">
        <v>3889</v>
      </c>
      <c r="B3833" s="1">
        <v>45983</v>
      </c>
      <c r="C3833">
        <v>2025</v>
      </c>
      <c r="D3833">
        <v>11</v>
      </c>
      <c r="E3833" t="s">
        <v>1117</v>
      </c>
      <c r="F3833" t="s">
        <v>1018</v>
      </c>
      <c r="G3833" t="s">
        <v>44</v>
      </c>
      <c r="H3833" t="s">
        <v>53</v>
      </c>
      <c r="I3833" t="s">
        <v>45</v>
      </c>
      <c r="J3833">
        <v>24</v>
      </c>
      <c r="K3833">
        <v>1680.86</v>
      </c>
      <c r="L3833">
        <v>40340.67</v>
      </c>
      <c r="M3833">
        <v>25706.68</v>
      </c>
      <c r="N3833">
        <v>3341.4</v>
      </c>
      <c r="O3833">
        <v>1488.55</v>
      </c>
      <c r="P3833">
        <v>1006.13</v>
      </c>
      <c r="Q3833">
        <v>630.22</v>
      </c>
      <c r="R3833">
        <v>2116.98</v>
      </c>
      <c r="S3833">
        <v>363.01</v>
      </c>
      <c r="T3833">
        <v>34652.97</v>
      </c>
      <c r="U3833">
        <v>14633.99</v>
      </c>
      <c r="V3833">
        <v>5687.71</v>
      </c>
      <c r="W3833">
        <v>5320.71</v>
      </c>
      <c r="X3833">
        <v>39602.050000000003</v>
      </c>
      <c r="Y3833">
        <v>34394.730000000003</v>
      </c>
    </row>
    <row r="3834" spans="1:25" x14ac:dyDescent="0.25">
      <c r="A3834" t="s">
        <v>3890</v>
      </c>
      <c r="B3834" s="1">
        <v>45983</v>
      </c>
      <c r="C3834">
        <v>2025</v>
      </c>
      <c r="D3834">
        <v>11</v>
      </c>
      <c r="E3834" t="s">
        <v>1117</v>
      </c>
      <c r="F3834" t="s">
        <v>1018</v>
      </c>
      <c r="G3834" t="s">
        <v>44</v>
      </c>
      <c r="H3834" t="s">
        <v>36</v>
      </c>
      <c r="I3834" t="s">
        <v>37</v>
      </c>
      <c r="J3834">
        <v>58</v>
      </c>
      <c r="K3834">
        <v>977.66</v>
      </c>
      <c r="L3834">
        <v>56704.480000000003</v>
      </c>
      <c r="M3834">
        <v>35758.79</v>
      </c>
      <c r="N3834">
        <v>4637.28</v>
      </c>
      <c r="O3834">
        <v>1591.76</v>
      </c>
      <c r="P3834">
        <v>1325.05</v>
      </c>
      <c r="Q3834">
        <v>321.01</v>
      </c>
      <c r="R3834">
        <v>2400</v>
      </c>
      <c r="S3834">
        <v>721.93</v>
      </c>
      <c r="T3834">
        <v>46755.83</v>
      </c>
      <c r="U3834">
        <v>20945.689999999999</v>
      </c>
      <c r="V3834">
        <v>9948.65</v>
      </c>
      <c r="W3834">
        <v>9048.06</v>
      </c>
      <c r="X3834">
        <v>62807.07</v>
      </c>
      <c r="Y3834">
        <v>45499.27</v>
      </c>
    </row>
    <row r="3835" spans="1:25" x14ac:dyDescent="0.25">
      <c r="A3835" t="s">
        <v>3891</v>
      </c>
      <c r="B3835" s="1">
        <v>45983</v>
      </c>
      <c r="C3835">
        <v>2025</v>
      </c>
      <c r="D3835">
        <v>11</v>
      </c>
      <c r="E3835" t="s">
        <v>1117</v>
      </c>
      <c r="F3835" t="s">
        <v>1018</v>
      </c>
      <c r="G3835" t="s">
        <v>35</v>
      </c>
      <c r="H3835" t="s">
        <v>36</v>
      </c>
      <c r="I3835" t="s">
        <v>37</v>
      </c>
      <c r="J3835">
        <v>33</v>
      </c>
      <c r="K3835">
        <v>1567.84</v>
      </c>
      <c r="L3835">
        <v>51738.65</v>
      </c>
      <c r="M3835">
        <v>27243.15</v>
      </c>
      <c r="N3835">
        <v>5691.65</v>
      </c>
      <c r="O3835">
        <v>2822.22</v>
      </c>
      <c r="P3835">
        <v>1349.77</v>
      </c>
      <c r="Q3835">
        <v>850.41</v>
      </c>
      <c r="R3835">
        <v>3042.53</v>
      </c>
      <c r="S3835">
        <v>1277.96</v>
      </c>
      <c r="T3835">
        <v>42277.7</v>
      </c>
      <c r="U3835">
        <v>24495.5</v>
      </c>
      <c r="V3835">
        <v>9460.9500000000007</v>
      </c>
      <c r="W3835">
        <v>9062.69</v>
      </c>
      <c r="X3835">
        <v>57103.21</v>
      </c>
      <c r="Y3835">
        <v>45064.82</v>
      </c>
    </row>
    <row r="3836" spans="1:25" x14ac:dyDescent="0.25">
      <c r="A3836" t="s">
        <v>3892</v>
      </c>
      <c r="B3836" s="1">
        <v>45983</v>
      </c>
      <c r="C3836">
        <v>2025</v>
      </c>
      <c r="D3836">
        <v>11</v>
      </c>
      <c r="E3836" t="s">
        <v>1117</v>
      </c>
      <c r="F3836" t="s">
        <v>1018</v>
      </c>
      <c r="G3836" t="s">
        <v>44</v>
      </c>
      <c r="H3836" t="s">
        <v>32</v>
      </c>
      <c r="I3836" t="s">
        <v>45</v>
      </c>
      <c r="J3836">
        <v>38</v>
      </c>
      <c r="K3836">
        <v>1563.54</v>
      </c>
      <c r="L3836">
        <v>59414.53</v>
      </c>
      <c r="M3836">
        <v>34319.089999999997</v>
      </c>
      <c r="N3836">
        <v>7308.55</v>
      </c>
      <c r="O3836">
        <v>3314.15</v>
      </c>
      <c r="P3836">
        <v>2234.79</v>
      </c>
      <c r="Q3836">
        <v>1022.36</v>
      </c>
      <c r="R3836">
        <v>2565.2600000000002</v>
      </c>
      <c r="S3836">
        <v>1140.69</v>
      </c>
      <c r="T3836">
        <v>51904.89</v>
      </c>
      <c r="U3836">
        <v>25095.439999999999</v>
      </c>
      <c r="V3836">
        <v>7509.64</v>
      </c>
      <c r="W3836">
        <v>7221.43</v>
      </c>
      <c r="X3836">
        <v>63282.48</v>
      </c>
      <c r="Y3836">
        <v>48471.45</v>
      </c>
    </row>
    <row r="3837" spans="1:25" x14ac:dyDescent="0.25">
      <c r="A3837" t="s">
        <v>3893</v>
      </c>
      <c r="B3837" s="1">
        <v>45985</v>
      </c>
      <c r="C3837">
        <v>2025</v>
      </c>
      <c r="D3837">
        <v>11</v>
      </c>
      <c r="E3837" t="s">
        <v>1117</v>
      </c>
      <c r="F3837" t="s">
        <v>1018</v>
      </c>
      <c r="G3837" t="s">
        <v>55</v>
      </c>
      <c r="H3837" t="s">
        <v>36</v>
      </c>
      <c r="I3837" t="s">
        <v>56</v>
      </c>
      <c r="J3837">
        <v>27</v>
      </c>
      <c r="K3837">
        <v>1728.6</v>
      </c>
      <c r="L3837">
        <v>46672.17</v>
      </c>
      <c r="M3837">
        <v>22811.77</v>
      </c>
      <c r="N3837">
        <v>3435.25</v>
      </c>
      <c r="O3837">
        <v>3050.23</v>
      </c>
      <c r="P3837">
        <v>722.99</v>
      </c>
      <c r="Q3837">
        <v>533.61</v>
      </c>
      <c r="R3837">
        <v>1488.95</v>
      </c>
      <c r="S3837">
        <v>1164.8399999999999</v>
      </c>
      <c r="T3837">
        <v>33207.64</v>
      </c>
      <c r="U3837">
        <v>23860.400000000001</v>
      </c>
      <c r="V3837">
        <v>13464.53</v>
      </c>
      <c r="W3837">
        <v>13088.11</v>
      </c>
      <c r="X3837">
        <v>50998.21</v>
      </c>
      <c r="Y3837">
        <v>33866.54</v>
      </c>
    </row>
    <row r="3838" spans="1:25" x14ac:dyDescent="0.25">
      <c r="A3838" t="s">
        <v>3894</v>
      </c>
      <c r="B3838" s="1">
        <v>45985</v>
      </c>
      <c r="C3838">
        <v>2025</v>
      </c>
      <c r="D3838">
        <v>11</v>
      </c>
      <c r="E3838" t="s">
        <v>1117</v>
      </c>
      <c r="F3838" t="s">
        <v>1018</v>
      </c>
      <c r="G3838" t="s">
        <v>44</v>
      </c>
      <c r="H3838" t="s">
        <v>53</v>
      </c>
      <c r="I3838" t="s">
        <v>37</v>
      </c>
      <c r="J3838">
        <v>27</v>
      </c>
      <c r="K3838">
        <v>1793.34</v>
      </c>
      <c r="L3838">
        <v>48420.11</v>
      </c>
      <c r="M3838">
        <v>27394.44</v>
      </c>
      <c r="N3838">
        <v>4788.97</v>
      </c>
      <c r="O3838">
        <v>2676.25</v>
      </c>
      <c r="P3838">
        <v>894.39</v>
      </c>
      <c r="Q3838">
        <v>698.94</v>
      </c>
      <c r="R3838">
        <v>1962.7</v>
      </c>
      <c r="S3838">
        <v>914.54</v>
      </c>
      <c r="T3838">
        <v>39330.230000000003</v>
      </c>
      <c r="U3838">
        <v>21025.68</v>
      </c>
      <c r="V3838">
        <v>9089.8799999999992</v>
      </c>
      <c r="W3838">
        <v>8292.8700000000008</v>
      </c>
      <c r="X3838">
        <v>47572.4</v>
      </c>
      <c r="Y3838">
        <v>42763.1</v>
      </c>
    </row>
    <row r="3839" spans="1:25" x14ac:dyDescent="0.25">
      <c r="A3839" t="s">
        <v>3895</v>
      </c>
      <c r="B3839" s="1">
        <v>45985</v>
      </c>
      <c r="C3839">
        <v>2025</v>
      </c>
      <c r="D3839">
        <v>11</v>
      </c>
      <c r="E3839" t="s">
        <v>1117</v>
      </c>
      <c r="F3839" t="s">
        <v>1018</v>
      </c>
      <c r="G3839" t="s">
        <v>28</v>
      </c>
      <c r="H3839" t="s">
        <v>53</v>
      </c>
      <c r="I3839" t="s">
        <v>39</v>
      </c>
      <c r="J3839">
        <v>30</v>
      </c>
      <c r="K3839">
        <v>1244.2</v>
      </c>
      <c r="L3839">
        <v>37326.07</v>
      </c>
      <c r="M3839">
        <v>18847.75</v>
      </c>
      <c r="N3839">
        <v>3405.7</v>
      </c>
      <c r="O3839">
        <v>1235.69</v>
      </c>
      <c r="P3839">
        <v>762.65</v>
      </c>
      <c r="Q3839">
        <v>578.79999999999995</v>
      </c>
      <c r="R3839">
        <v>2134.77</v>
      </c>
      <c r="S3839">
        <v>435.7</v>
      </c>
      <c r="T3839">
        <v>27401.05</v>
      </c>
      <c r="U3839">
        <v>18478.330000000002</v>
      </c>
      <c r="V3839">
        <v>9925.02</v>
      </c>
      <c r="W3839">
        <v>8849.74</v>
      </c>
      <c r="X3839">
        <v>38296.51</v>
      </c>
      <c r="Y3839">
        <v>27832.68</v>
      </c>
    </row>
    <row r="3840" spans="1:25" x14ac:dyDescent="0.25">
      <c r="A3840" t="s">
        <v>3896</v>
      </c>
      <c r="B3840" s="1">
        <v>45985</v>
      </c>
      <c r="C3840">
        <v>2025</v>
      </c>
      <c r="D3840">
        <v>11</v>
      </c>
      <c r="E3840" t="s">
        <v>1117</v>
      </c>
      <c r="F3840" t="s">
        <v>1018</v>
      </c>
      <c r="G3840" t="s">
        <v>44</v>
      </c>
      <c r="H3840" t="s">
        <v>32</v>
      </c>
      <c r="I3840" t="s">
        <v>56</v>
      </c>
      <c r="J3840">
        <v>39</v>
      </c>
      <c r="K3840">
        <v>1129.92</v>
      </c>
      <c r="L3840">
        <v>44067.07</v>
      </c>
      <c r="M3840">
        <v>28227.3</v>
      </c>
      <c r="N3840">
        <v>4381.4399999999996</v>
      </c>
      <c r="O3840">
        <v>1357.78</v>
      </c>
      <c r="P3840">
        <v>1334.73</v>
      </c>
      <c r="Q3840">
        <v>320.29000000000002</v>
      </c>
      <c r="R3840">
        <v>2389.13</v>
      </c>
      <c r="S3840">
        <v>899.95</v>
      </c>
      <c r="T3840">
        <v>38910.620000000003</v>
      </c>
      <c r="U3840">
        <v>15839.78</v>
      </c>
      <c r="V3840">
        <v>5156.45</v>
      </c>
      <c r="W3840">
        <v>4572.1400000000003</v>
      </c>
      <c r="X3840">
        <v>44703.26</v>
      </c>
      <c r="Y3840">
        <v>37786.83</v>
      </c>
    </row>
    <row r="3841" spans="1:25" x14ac:dyDescent="0.25">
      <c r="A3841" t="s">
        <v>3897</v>
      </c>
      <c r="B3841" s="1">
        <v>45986</v>
      </c>
      <c r="C3841">
        <v>2025</v>
      </c>
      <c r="D3841">
        <v>11</v>
      </c>
      <c r="E3841" t="s">
        <v>1117</v>
      </c>
      <c r="F3841" t="s">
        <v>1018</v>
      </c>
      <c r="G3841" t="s">
        <v>28</v>
      </c>
      <c r="H3841" t="s">
        <v>36</v>
      </c>
      <c r="I3841" t="s">
        <v>30</v>
      </c>
      <c r="J3841">
        <v>74</v>
      </c>
      <c r="K3841">
        <v>1335.27</v>
      </c>
      <c r="L3841">
        <v>98809.85</v>
      </c>
      <c r="M3841">
        <v>56775.89</v>
      </c>
      <c r="N3841">
        <v>9840.58</v>
      </c>
      <c r="O3841">
        <v>4742.47</v>
      </c>
      <c r="P3841">
        <v>4015.68</v>
      </c>
      <c r="Q3841">
        <v>1139.2</v>
      </c>
      <c r="R3841">
        <v>4625.33</v>
      </c>
      <c r="S3841">
        <v>1797.88</v>
      </c>
      <c r="T3841">
        <v>82937.039999999994</v>
      </c>
      <c r="U3841">
        <v>42033.96</v>
      </c>
      <c r="V3841">
        <v>15872.81</v>
      </c>
      <c r="W3841">
        <v>15672.65</v>
      </c>
      <c r="X3841">
        <v>93433.81</v>
      </c>
      <c r="Y3841">
        <v>83457.490000000005</v>
      </c>
    </row>
    <row r="3842" spans="1:25" x14ac:dyDescent="0.25">
      <c r="A3842" t="s">
        <v>3898</v>
      </c>
      <c r="B3842" s="1">
        <v>45987</v>
      </c>
      <c r="C3842">
        <v>2025</v>
      </c>
      <c r="D3842">
        <v>11</v>
      </c>
      <c r="E3842" t="s">
        <v>1117</v>
      </c>
      <c r="F3842" t="s">
        <v>1018</v>
      </c>
      <c r="G3842" t="s">
        <v>44</v>
      </c>
      <c r="H3842" t="s">
        <v>32</v>
      </c>
      <c r="I3842" t="s">
        <v>30</v>
      </c>
      <c r="J3842">
        <v>73</v>
      </c>
      <c r="K3842">
        <v>1398.3</v>
      </c>
      <c r="L3842">
        <v>102076.24</v>
      </c>
      <c r="M3842">
        <v>64981.03</v>
      </c>
      <c r="N3842">
        <v>8671.9599999999991</v>
      </c>
      <c r="O3842">
        <v>2630.24</v>
      </c>
      <c r="P3842">
        <v>3483.98</v>
      </c>
      <c r="Q3842">
        <v>1270.27</v>
      </c>
      <c r="R3842">
        <v>6041.21</v>
      </c>
      <c r="S3842">
        <v>2335.91</v>
      </c>
      <c r="T3842">
        <v>89414.59</v>
      </c>
      <c r="U3842">
        <v>37095.21</v>
      </c>
      <c r="V3842">
        <v>12661.64</v>
      </c>
      <c r="W3842">
        <v>11717.09</v>
      </c>
      <c r="X3842">
        <v>102892.63</v>
      </c>
      <c r="Y3842">
        <v>84399.29</v>
      </c>
    </row>
    <row r="3843" spans="1:25" x14ac:dyDescent="0.25">
      <c r="A3843" t="s">
        <v>3899</v>
      </c>
      <c r="B3843" s="1">
        <v>45987</v>
      </c>
      <c r="C3843">
        <v>2025</v>
      </c>
      <c r="D3843">
        <v>11</v>
      </c>
      <c r="E3843" t="s">
        <v>1117</v>
      </c>
      <c r="F3843" t="s">
        <v>1018</v>
      </c>
      <c r="G3843" t="s">
        <v>28</v>
      </c>
      <c r="H3843" t="s">
        <v>36</v>
      </c>
      <c r="I3843" t="s">
        <v>50</v>
      </c>
      <c r="J3843">
        <v>34</v>
      </c>
      <c r="K3843">
        <v>1490.66</v>
      </c>
      <c r="L3843">
        <v>50682.5</v>
      </c>
      <c r="M3843">
        <v>31278.83</v>
      </c>
      <c r="N3843">
        <v>6014.12</v>
      </c>
      <c r="O3843">
        <v>1845.82</v>
      </c>
      <c r="P3843">
        <v>1472.09</v>
      </c>
      <c r="Q3843">
        <v>825.86</v>
      </c>
      <c r="R3843">
        <v>3023.87</v>
      </c>
      <c r="S3843">
        <v>538.25</v>
      </c>
      <c r="T3843">
        <v>44998.84</v>
      </c>
      <c r="U3843">
        <v>19403.669999999998</v>
      </c>
      <c r="V3843">
        <v>5683.66</v>
      </c>
      <c r="W3843">
        <v>5619.9</v>
      </c>
      <c r="X3843">
        <v>54232.23</v>
      </c>
      <c r="Y3843">
        <v>49324.55</v>
      </c>
    </row>
    <row r="3844" spans="1:25" x14ac:dyDescent="0.25">
      <c r="A3844" t="s">
        <v>3900</v>
      </c>
      <c r="B3844" s="1">
        <v>45988</v>
      </c>
      <c r="C3844">
        <v>2025</v>
      </c>
      <c r="D3844">
        <v>11</v>
      </c>
      <c r="E3844" t="s">
        <v>1117</v>
      </c>
      <c r="F3844" t="s">
        <v>1018</v>
      </c>
      <c r="G3844" t="s">
        <v>28</v>
      </c>
      <c r="H3844" t="s">
        <v>53</v>
      </c>
      <c r="I3844" t="s">
        <v>56</v>
      </c>
      <c r="J3844">
        <v>21</v>
      </c>
      <c r="K3844">
        <v>1696.21</v>
      </c>
      <c r="L3844">
        <v>35620.480000000003</v>
      </c>
      <c r="M3844">
        <v>20535.97</v>
      </c>
      <c r="N3844">
        <v>4312.05</v>
      </c>
      <c r="O3844">
        <v>2498.6</v>
      </c>
      <c r="P3844">
        <v>872.66</v>
      </c>
      <c r="Q3844">
        <v>502.44</v>
      </c>
      <c r="R3844">
        <v>1379.18</v>
      </c>
      <c r="S3844">
        <v>789.99</v>
      </c>
      <c r="T3844">
        <v>30890.9</v>
      </c>
      <c r="U3844">
        <v>15084.51</v>
      </c>
      <c r="V3844">
        <v>4729.58</v>
      </c>
      <c r="W3844">
        <v>4476.1499999999996</v>
      </c>
      <c r="X3844">
        <v>38587.589999999997</v>
      </c>
      <c r="Y3844">
        <v>31537.23</v>
      </c>
    </row>
    <row r="3845" spans="1:25" x14ac:dyDescent="0.25">
      <c r="A3845" t="s">
        <v>3901</v>
      </c>
      <c r="B3845" s="1">
        <v>45988</v>
      </c>
      <c r="C3845">
        <v>2025</v>
      </c>
      <c r="D3845">
        <v>11</v>
      </c>
      <c r="E3845" t="s">
        <v>1117</v>
      </c>
      <c r="F3845" t="s">
        <v>1018</v>
      </c>
      <c r="G3845" t="s">
        <v>35</v>
      </c>
      <c r="H3845" t="s">
        <v>29</v>
      </c>
      <c r="I3845" t="s">
        <v>65</v>
      </c>
      <c r="J3845">
        <v>71</v>
      </c>
      <c r="K3845">
        <v>830.95</v>
      </c>
      <c r="L3845">
        <v>58997.72</v>
      </c>
      <c r="M3845">
        <v>31810.91</v>
      </c>
      <c r="N3845">
        <v>4679.46</v>
      </c>
      <c r="O3845">
        <v>2610.66</v>
      </c>
      <c r="P3845">
        <v>2431.27</v>
      </c>
      <c r="Q3845">
        <v>335.6</v>
      </c>
      <c r="R3845">
        <v>3000.73</v>
      </c>
      <c r="S3845">
        <v>660.86</v>
      </c>
      <c r="T3845">
        <v>45529.5</v>
      </c>
      <c r="U3845">
        <v>27186.81</v>
      </c>
      <c r="V3845">
        <v>13468.23</v>
      </c>
      <c r="W3845">
        <v>12343.6</v>
      </c>
      <c r="X3845">
        <v>56764.12</v>
      </c>
      <c r="Y3845">
        <v>45889.17</v>
      </c>
    </row>
    <row r="3846" spans="1:25" x14ac:dyDescent="0.25">
      <c r="A3846" t="s">
        <v>3902</v>
      </c>
      <c r="B3846" s="1">
        <v>45988</v>
      </c>
      <c r="C3846">
        <v>2025</v>
      </c>
      <c r="D3846">
        <v>11</v>
      </c>
      <c r="E3846" t="s">
        <v>1117</v>
      </c>
      <c r="F3846" t="s">
        <v>1018</v>
      </c>
      <c r="G3846" t="s">
        <v>55</v>
      </c>
      <c r="H3846" t="s">
        <v>36</v>
      </c>
      <c r="I3846" t="s">
        <v>39</v>
      </c>
      <c r="J3846">
        <v>37</v>
      </c>
      <c r="K3846">
        <v>1322.16</v>
      </c>
      <c r="L3846">
        <v>48920.02</v>
      </c>
      <c r="M3846">
        <v>24770.400000000001</v>
      </c>
      <c r="N3846">
        <v>6256.84</v>
      </c>
      <c r="O3846">
        <v>3094.28</v>
      </c>
      <c r="P3846">
        <v>1796.6</v>
      </c>
      <c r="Q3846">
        <v>515.66</v>
      </c>
      <c r="R3846">
        <v>2742.35</v>
      </c>
      <c r="S3846">
        <v>874.7</v>
      </c>
      <c r="T3846">
        <v>40050.83</v>
      </c>
      <c r="U3846">
        <v>24149.62</v>
      </c>
      <c r="V3846">
        <v>8869.19</v>
      </c>
      <c r="W3846">
        <v>8037.64</v>
      </c>
      <c r="X3846">
        <v>50366.080000000002</v>
      </c>
      <c r="Y3846">
        <v>40529.97</v>
      </c>
    </row>
    <row r="3847" spans="1:25" x14ac:dyDescent="0.25">
      <c r="A3847" t="s">
        <v>3903</v>
      </c>
      <c r="B3847" s="1">
        <v>45989</v>
      </c>
      <c r="C3847">
        <v>2025</v>
      </c>
      <c r="D3847">
        <v>11</v>
      </c>
      <c r="E3847" t="s">
        <v>1117</v>
      </c>
      <c r="F3847" t="s">
        <v>1018</v>
      </c>
      <c r="G3847" t="s">
        <v>35</v>
      </c>
      <c r="H3847" t="s">
        <v>32</v>
      </c>
      <c r="I3847" t="s">
        <v>30</v>
      </c>
      <c r="J3847">
        <v>67</v>
      </c>
      <c r="K3847">
        <v>1586.57</v>
      </c>
      <c r="L3847">
        <v>106300.45</v>
      </c>
      <c r="M3847">
        <v>68581.16</v>
      </c>
      <c r="N3847">
        <v>10935.77</v>
      </c>
      <c r="O3847">
        <v>3235.67</v>
      </c>
      <c r="P3847">
        <v>2028.99</v>
      </c>
      <c r="Q3847">
        <v>600.1</v>
      </c>
      <c r="R3847">
        <v>5862.95</v>
      </c>
      <c r="S3847">
        <v>2152.09</v>
      </c>
      <c r="T3847">
        <v>93396.74</v>
      </c>
      <c r="U3847">
        <v>37719.29</v>
      </c>
      <c r="V3847">
        <v>12903.71</v>
      </c>
      <c r="W3847">
        <v>12953.69</v>
      </c>
      <c r="X3847">
        <v>116184.01</v>
      </c>
      <c r="Y3847">
        <v>90813.2</v>
      </c>
    </row>
    <row r="3848" spans="1:25" x14ac:dyDescent="0.25">
      <c r="A3848" t="s">
        <v>3904</v>
      </c>
      <c r="B3848" s="1">
        <v>45989</v>
      </c>
      <c r="C3848">
        <v>2025</v>
      </c>
      <c r="D3848">
        <v>11</v>
      </c>
      <c r="E3848" t="s">
        <v>1117</v>
      </c>
      <c r="F3848" t="s">
        <v>1018</v>
      </c>
      <c r="G3848" t="s">
        <v>55</v>
      </c>
      <c r="H3848" t="s">
        <v>32</v>
      </c>
      <c r="I3848" t="s">
        <v>37</v>
      </c>
      <c r="J3848">
        <v>49</v>
      </c>
      <c r="K3848">
        <v>1611.54</v>
      </c>
      <c r="L3848">
        <v>78965.69</v>
      </c>
      <c r="M3848">
        <v>51025.2</v>
      </c>
      <c r="N3848">
        <v>7178.87</v>
      </c>
      <c r="O3848">
        <v>3251.12</v>
      </c>
      <c r="P3848">
        <v>1374.8</v>
      </c>
      <c r="Q3848">
        <v>465.98</v>
      </c>
      <c r="R3848">
        <v>2198.5500000000002</v>
      </c>
      <c r="S3848">
        <v>1190.3399999999999</v>
      </c>
      <c r="T3848">
        <v>66684.850000000006</v>
      </c>
      <c r="U3848">
        <v>27940.49</v>
      </c>
      <c r="V3848">
        <v>12280.83</v>
      </c>
      <c r="W3848">
        <v>10840.28</v>
      </c>
      <c r="X3848">
        <v>81001.91</v>
      </c>
      <c r="Y3848">
        <v>70519.88</v>
      </c>
    </row>
    <row r="3849" spans="1:25" x14ac:dyDescent="0.25">
      <c r="A3849" t="s">
        <v>3905</v>
      </c>
      <c r="B3849" s="1">
        <v>45989</v>
      </c>
      <c r="C3849">
        <v>2025</v>
      </c>
      <c r="D3849">
        <v>11</v>
      </c>
      <c r="E3849" t="s">
        <v>1117</v>
      </c>
      <c r="F3849" t="s">
        <v>1018</v>
      </c>
      <c r="G3849" t="s">
        <v>55</v>
      </c>
      <c r="H3849" t="s">
        <v>32</v>
      </c>
      <c r="I3849" t="s">
        <v>39</v>
      </c>
      <c r="J3849">
        <v>75</v>
      </c>
      <c r="K3849">
        <v>851.33</v>
      </c>
      <c r="L3849">
        <v>63850.09</v>
      </c>
      <c r="M3849">
        <v>42234.74</v>
      </c>
      <c r="N3849">
        <v>7602.66</v>
      </c>
      <c r="O3849">
        <v>4530.79</v>
      </c>
      <c r="P3849">
        <v>2410.86</v>
      </c>
      <c r="Q3849">
        <v>420.9</v>
      </c>
      <c r="R3849">
        <v>2048.9299999999998</v>
      </c>
      <c r="S3849">
        <v>1563.17</v>
      </c>
      <c r="T3849">
        <v>60812.05</v>
      </c>
      <c r="U3849">
        <v>21615.34</v>
      </c>
      <c r="V3849">
        <v>3038.03</v>
      </c>
      <c r="W3849">
        <v>2810.38</v>
      </c>
      <c r="X3849">
        <v>65163.38</v>
      </c>
      <c r="Y3849">
        <v>62915.99</v>
      </c>
    </row>
    <row r="3850" spans="1:25" x14ac:dyDescent="0.25">
      <c r="A3850" t="s">
        <v>3906</v>
      </c>
      <c r="B3850" s="1">
        <v>45989</v>
      </c>
      <c r="C3850">
        <v>2025</v>
      </c>
      <c r="D3850">
        <v>11</v>
      </c>
      <c r="E3850" t="s">
        <v>1117</v>
      </c>
      <c r="F3850" t="s">
        <v>1018</v>
      </c>
      <c r="G3850" t="s">
        <v>55</v>
      </c>
      <c r="H3850" t="s">
        <v>32</v>
      </c>
      <c r="I3850" t="s">
        <v>56</v>
      </c>
      <c r="J3850">
        <v>28</v>
      </c>
      <c r="K3850">
        <v>1287.2</v>
      </c>
      <c r="L3850">
        <v>36041.660000000003</v>
      </c>
      <c r="M3850">
        <v>19054.97</v>
      </c>
      <c r="N3850">
        <v>3308.71</v>
      </c>
      <c r="O3850">
        <v>2645.53</v>
      </c>
      <c r="P3850">
        <v>1101.69</v>
      </c>
      <c r="Q3850">
        <v>461.32</v>
      </c>
      <c r="R3850">
        <v>1625.21</v>
      </c>
      <c r="S3850">
        <v>889.5</v>
      </c>
      <c r="T3850">
        <v>29086.93</v>
      </c>
      <c r="U3850">
        <v>16986.68</v>
      </c>
      <c r="V3850">
        <v>6954.72</v>
      </c>
      <c r="W3850">
        <v>6455.4</v>
      </c>
      <c r="X3850">
        <v>36348.01</v>
      </c>
      <c r="Y3850">
        <v>29939.91</v>
      </c>
    </row>
    <row r="3851" spans="1:25" x14ac:dyDescent="0.25">
      <c r="A3851" t="s">
        <v>3907</v>
      </c>
      <c r="B3851" s="1">
        <v>45989</v>
      </c>
      <c r="C3851">
        <v>2025</v>
      </c>
      <c r="D3851">
        <v>11</v>
      </c>
      <c r="E3851" t="s">
        <v>1117</v>
      </c>
      <c r="F3851" t="s">
        <v>1018</v>
      </c>
      <c r="G3851" t="s">
        <v>44</v>
      </c>
      <c r="H3851" t="s">
        <v>32</v>
      </c>
      <c r="I3851" t="s">
        <v>65</v>
      </c>
      <c r="J3851">
        <v>45</v>
      </c>
      <c r="K3851">
        <v>1349.69</v>
      </c>
      <c r="L3851">
        <v>60736.07</v>
      </c>
      <c r="M3851">
        <v>32989.89</v>
      </c>
      <c r="N3851">
        <v>5463.9</v>
      </c>
      <c r="O3851">
        <v>1754.71</v>
      </c>
      <c r="P3851">
        <v>2309.29</v>
      </c>
      <c r="Q3851">
        <v>490.47</v>
      </c>
      <c r="R3851">
        <v>3658.67</v>
      </c>
      <c r="S3851">
        <v>1084.22</v>
      </c>
      <c r="T3851">
        <v>47751.15</v>
      </c>
      <c r="U3851">
        <v>27746.18</v>
      </c>
      <c r="V3851">
        <v>12984.92</v>
      </c>
      <c r="W3851">
        <v>12580.21</v>
      </c>
      <c r="X3851">
        <v>60515.31</v>
      </c>
      <c r="Y3851">
        <v>48657.49</v>
      </c>
    </row>
    <row r="3852" spans="1:25" x14ac:dyDescent="0.25">
      <c r="A3852" t="s">
        <v>3908</v>
      </c>
      <c r="B3852" s="1">
        <v>45989</v>
      </c>
      <c r="C3852">
        <v>2025</v>
      </c>
      <c r="D3852">
        <v>11</v>
      </c>
      <c r="E3852" t="s">
        <v>1117</v>
      </c>
      <c r="F3852" t="s">
        <v>1018</v>
      </c>
      <c r="G3852" t="s">
        <v>28</v>
      </c>
      <c r="H3852" t="s">
        <v>53</v>
      </c>
      <c r="I3852" t="s">
        <v>56</v>
      </c>
      <c r="J3852">
        <v>21</v>
      </c>
      <c r="K3852">
        <v>1238.03</v>
      </c>
      <c r="L3852">
        <v>25998.58</v>
      </c>
      <c r="M3852">
        <v>17156.14</v>
      </c>
      <c r="N3852">
        <v>2238.39</v>
      </c>
      <c r="O3852">
        <v>684.39</v>
      </c>
      <c r="P3852">
        <v>1076.67</v>
      </c>
      <c r="Q3852">
        <v>407.84</v>
      </c>
      <c r="R3852">
        <v>776.26</v>
      </c>
      <c r="S3852">
        <v>392.02</v>
      </c>
      <c r="T3852">
        <v>22731.7</v>
      </c>
      <c r="U3852">
        <v>8842.44</v>
      </c>
      <c r="V3852">
        <v>3266.87</v>
      </c>
      <c r="W3852">
        <v>2963.37</v>
      </c>
      <c r="X3852">
        <v>26917.43</v>
      </c>
      <c r="Y3852">
        <v>22261.17</v>
      </c>
    </row>
    <row r="3853" spans="1:25" x14ac:dyDescent="0.25">
      <c r="A3853" t="s">
        <v>3909</v>
      </c>
      <c r="B3853" s="1">
        <v>45989</v>
      </c>
      <c r="C3853">
        <v>2025</v>
      </c>
      <c r="D3853">
        <v>11</v>
      </c>
      <c r="E3853" t="s">
        <v>1117</v>
      </c>
      <c r="F3853" t="s">
        <v>1018</v>
      </c>
      <c r="G3853" t="s">
        <v>44</v>
      </c>
      <c r="H3853" t="s">
        <v>32</v>
      </c>
      <c r="I3853" t="s">
        <v>33</v>
      </c>
      <c r="J3853">
        <v>51</v>
      </c>
      <c r="K3853">
        <v>1460.95</v>
      </c>
      <c r="L3853">
        <v>74508.460000000006</v>
      </c>
      <c r="M3853">
        <v>40726.879999999997</v>
      </c>
      <c r="N3853">
        <v>8073.02</v>
      </c>
      <c r="O3853">
        <v>3492.1</v>
      </c>
      <c r="P3853">
        <v>2787.82</v>
      </c>
      <c r="Q3853">
        <v>1213.44</v>
      </c>
      <c r="R3853">
        <v>2927.21</v>
      </c>
      <c r="S3853">
        <v>1418.57</v>
      </c>
      <c r="T3853">
        <v>60639.02</v>
      </c>
      <c r="U3853">
        <v>33781.58</v>
      </c>
      <c r="V3853">
        <v>13869.44</v>
      </c>
      <c r="W3853">
        <v>13355.97</v>
      </c>
      <c r="X3853">
        <v>79489.14</v>
      </c>
      <c r="Y3853">
        <v>58762.65</v>
      </c>
    </row>
    <row r="3854" spans="1:25" x14ac:dyDescent="0.25">
      <c r="A3854" t="s">
        <v>3910</v>
      </c>
      <c r="B3854" s="1">
        <v>45989</v>
      </c>
      <c r="C3854">
        <v>2025</v>
      </c>
      <c r="D3854">
        <v>11</v>
      </c>
      <c r="E3854" t="s">
        <v>1117</v>
      </c>
      <c r="F3854" t="s">
        <v>1018</v>
      </c>
      <c r="G3854" t="s">
        <v>55</v>
      </c>
      <c r="H3854" t="s">
        <v>29</v>
      </c>
      <c r="I3854" t="s">
        <v>45</v>
      </c>
      <c r="J3854">
        <v>65</v>
      </c>
      <c r="K3854">
        <v>957.94</v>
      </c>
      <c r="L3854">
        <v>62265.83</v>
      </c>
      <c r="M3854">
        <v>40772.839999999997</v>
      </c>
      <c r="N3854">
        <v>6323.74</v>
      </c>
      <c r="O3854">
        <v>3401.58</v>
      </c>
      <c r="P3854">
        <v>1362.25</v>
      </c>
      <c r="Q3854">
        <v>760.63</v>
      </c>
      <c r="R3854">
        <v>3456.71</v>
      </c>
      <c r="S3854">
        <v>1155.54</v>
      </c>
      <c r="T3854">
        <v>57233.29</v>
      </c>
      <c r="U3854">
        <v>21492.99</v>
      </c>
      <c r="V3854">
        <v>5032.54</v>
      </c>
      <c r="W3854">
        <v>4722.09</v>
      </c>
      <c r="X3854">
        <v>62917.94</v>
      </c>
      <c r="Y3854">
        <v>56335.8</v>
      </c>
    </row>
    <row r="3855" spans="1:25" x14ac:dyDescent="0.25">
      <c r="A3855" t="s">
        <v>3911</v>
      </c>
      <c r="B3855" s="1">
        <v>45989</v>
      </c>
      <c r="C3855">
        <v>2025</v>
      </c>
      <c r="D3855">
        <v>11</v>
      </c>
      <c r="E3855" t="s">
        <v>1117</v>
      </c>
      <c r="F3855" t="s">
        <v>1018</v>
      </c>
      <c r="G3855" t="s">
        <v>35</v>
      </c>
      <c r="H3855" t="s">
        <v>36</v>
      </c>
      <c r="I3855" t="s">
        <v>33</v>
      </c>
      <c r="J3855">
        <v>59</v>
      </c>
      <c r="K3855">
        <v>1220.96</v>
      </c>
      <c r="L3855">
        <v>72036.44</v>
      </c>
      <c r="M3855">
        <v>36507.15</v>
      </c>
      <c r="N3855">
        <v>7431.43</v>
      </c>
      <c r="O3855">
        <v>5100.22</v>
      </c>
      <c r="P3855">
        <v>2666.51</v>
      </c>
      <c r="Q3855">
        <v>845.62</v>
      </c>
      <c r="R3855">
        <v>4400.57</v>
      </c>
      <c r="S3855">
        <v>786.48</v>
      </c>
      <c r="T3855">
        <v>57737.98</v>
      </c>
      <c r="U3855">
        <v>35529.279999999999</v>
      </c>
      <c r="V3855">
        <v>14298.45</v>
      </c>
      <c r="W3855">
        <v>13178.67</v>
      </c>
      <c r="X3855">
        <v>69464.149999999994</v>
      </c>
      <c r="Y3855">
        <v>58325.94</v>
      </c>
    </row>
    <row r="3856" spans="1:25" x14ac:dyDescent="0.25">
      <c r="A3856" t="s">
        <v>3912</v>
      </c>
      <c r="B3856" s="1">
        <v>45989</v>
      </c>
      <c r="C3856">
        <v>2025</v>
      </c>
      <c r="D3856">
        <v>11</v>
      </c>
      <c r="E3856" t="s">
        <v>1117</v>
      </c>
      <c r="F3856" t="s">
        <v>1018</v>
      </c>
      <c r="G3856" t="s">
        <v>44</v>
      </c>
      <c r="H3856" t="s">
        <v>36</v>
      </c>
      <c r="I3856" t="s">
        <v>39</v>
      </c>
      <c r="J3856">
        <v>28</v>
      </c>
      <c r="K3856">
        <v>1591.7</v>
      </c>
      <c r="L3856">
        <v>44567.72</v>
      </c>
      <c r="M3856">
        <v>24599.07</v>
      </c>
      <c r="N3856">
        <v>5017.1499999999996</v>
      </c>
      <c r="O3856">
        <v>2323.11</v>
      </c>
      <c r="P3856">
        <v>1642.68</v>
      </c>
      <c r="Q3856">
        <v>663.86</v>
      </c>
      <c r="R3856">
        <v>1679.72</v>
      </c>
      <c r="S3856">
        <v>926.62</v>
      </c>
      <c r="T3856">
        <v>36852.199999999997</v>
      </c>
      <c r="U3856">
        <v>19968.650000000001</v>
      </c>
      <c r="V3856">
        <v>7715.52</v>
      </c>
      <c r="W3856">
        <v>7406.18</v>
      </c>
      <c r="X3856">
        <v>44217.86</v>
      </c>
      <c r="Y3856">
        <v>36474.28</v>
      </c>
    </row>
    <row r="3857" spans="1:25" x14ac:dyDescent="0.25">
      <c r="A3857" t="s">
        <v>3913</v>
      </c>
      <c r="B3857" s="1">
        <v>45990</v>
      </c>
      <c r="C3857">
        <v>2025</v>
      </c>
      <c r="D3857">
        <v>11</v>
      </c>
      <c r="E3857" t="s">
        <v>1117</v>
      </c>
      <c r="F3857" t="s">
        <v>1018</v>
      </c>
      <c r="G3857" t="s">
        <v>28</v>
      </c>
      <c r="H3857" t="s">
        <v>36</v>
      </c>
      <c r="I3857" t="s">
        <v>37</v>
      </c>
      <c r="J3857">
        <v>82</v>
      </c>
      <c r="K3857">
        <v>903.61</v>
      </c>
      <c r="L3857">
        <v>74096.19</v>
      </c>
      <c r="M3857">
        <v>41865.4</v>
      </c>
      <c r="N3857">
        <v>8037.92</v>
      </c>
      <c r="O3857">
        <v>4460.8500000000004</v>
      </c>
      <c r="P3857">
        <v>1269.05</v>
      </c>
      <c r="Q3857">
        <v>1245.1500000000001</v>
      </c>
      <c r="R3857">
        <v>2453.02</v>
      </c>
      <c r="S3857">
        <v>803.41</v>
      </c>
      <c r="T3857">
        <v>60134.8</v>
      </c>
      <c r="U3857">
        <v>32230.799999999999</v>
      </c>
      <c r="V3857">
        <v>13961.4</v>
      </c>
      <c r="W3857">
        <v>13670.35</v>
      </c>
      <c r="X3857">
        <v>71903.92</v>
      </c>
      <c r="Y3857">
        <v>58507.69</v>
      </c>
    </row>
    <row r="3858" spans="1:25" x14ac:dyDescent="0.25">
      <c r="A3858" t="s">
        <v>3914</v>
      </c>
      <c r="B3858" s="1">
        <v>45990</v>
      </c>
      <c r="C3858">
        <v>2025</v>
      </c>
      <c r="D3858">
        <v>11</v>
      </c>
      <c r="E3858" t="s">
        <v>1117</v>
      </c>
      <c r="F3858" t="s">
        <v>1018</v>
      </c>
      <c r="G3858" t="s">
        <v>55</v>
      </c>
      <c r="H3858" t="s">
        <v>32</v>
      </c>
      <c r="I3858" t="s">
        <v>33</v>
      </c>
      <c r="J3858">
        <v>51</v>
      </c>
      <c r="K3858">
        <v>1709.8</v>
      </c>
      <c r="L3858">
        <v>87199.92</v>
      </c>
      <c r="M3858">
        <v>50519.49</v>
      </c>
      <c r="N3858">
        <v>10856.89</v>
      </c>
      <c r="O3858">
        <v>4710.28</v>
      </c>
      <c r="P3858">
        <v>3773.31</v>
      </c>
      <c r="Q3858">
        <v>489.63</v>
      </c>
      <c r="R3858">
        <v>3551.05</v>
      </c>
      <c r="S3858">
        <v>1473.42</v>
      </c>
      <c r="T3858">
        <v>75374.070000000007</v>
      </c>
      <c r="U3858">
        <v>36680.44</v>
      </c>
      <c r="V3858">
        <v>11825.85</v>
      </c>
      <c r="W3858">
        <v>10900.28</v>
      </c>
      <c r="X3858">
        <v>81495.41</v>
      </c>
      <c r="Y3858">
        <v>70751.320000000007</v>
      </c>
    </row>
    <row r="3859" spans="1:25" x14ac:dyDescent="0.25">
      <c r="A3859" t="s">
        <v>3915</v>
      </c>
      <c r="B3859" s="1">
        <v>45990</v>
      </c>
      <c r="C3859">
        <v>2025</v>
      </c>
      <c r="D3859">
        <v>11</v>
      </c>
      <c r="E3859" t="s">
        <v>1117</v>
      </c>
      <c r="F3859" t="s">
        <v>1018</v>
      </c>
      <c r="G3859" t="s">
        <v>44</v>
      </c>
      <c r="H3859" t="s">
        <v>32</v>
      </c>
      <c r="I3859" t="s">
        <v>50</v>
      </c>
      <c r="J3859">
        <v>38</v>
      </c>
      <c r="K3859">
        <v>1573.62</v>
      </c>
      <c r="L3859">
        <v>59797.62</v>
      </c>
      <c r="M3859">
        <v>36409.14</v>
      </c>
      <c r="N3859">
        <v>7707.73</v>
      </c>
      <c r="O3859">
        <v>2824.58</v>
      </c>
      <c r="P3859">
        <v>2575.54</v>
      </c>
      <c r="Q3859">
        <v>734.98</v>
      </c>
      <c r="R3859">
        <v>2159.4699999999998</v>
      </c>
      <c r="S3859">
        <v>1033.83</v>
      </c>
      <c r="T3859">
        <v>53445.279999999999</v>
      </c>
      <c r="U3859">
        <v>23388.48</v>
      </c>
      <c r="V3859">
        <v>6352.34</v>
      </c>
      <c r="W3859">
        <v>5610.51</v>
      </c>
      <c r="X3859">
        <v>59034.44</v>
      </c>
      <c r="Y3859">
        <v>50105.07</v>
      </c>
    </row>
    <row r="3860" spans="1:25" x14ac:dyDescent="0.25">
      <c r="A3860" t="s">
        <v>3916</v>
      </c>
      <c r="B3860" s="1">
        <v>45990</v>
      </c>
      <c r="C3860">
        <v>2025</v>
      </c>
      <c r="D3860">
        <v>11</v>
      </c>
      <c r="E3860" t="s">
        <v>1117</v>
      </c>
      <c r="F3860" t="s">
        <v>1018</v>
      </c>
      <c r="G3860" t="s">
        <v>28</v>
      </c>
      <c r="H3860" t="s">
        <v>36</v>
      </c>
      <c r="I3860" t="s">
        <v>30</v>
      </c>
      <c r="J3860">
        <v>81</v>
      </c>
      <c r="K3860">
        <v>1199</v>
      </c>
      <c r="L3860">
        <v>97118.7</v>
      </c>
      <c r="M3860">
        <v>54286.01</v>
      </c>
      <c r="N3860">
        <v>9466.92</v>
      </c>
      <c r="O3860">
        <v>3554.22</v>
      </c>
      <c r="P3860">
        <v>3573.02</v>
      </c>
      <c r="Q3860">
        <v>1701.59</v>
      </c>
      <c r="R3860">
        <v>3133.66</v>
      </c>
      <c r="S3860">
        <v>2386.92</v>
      </c>
      <c r="T3860">
        <v>78102.34</v>
      </c>
      <c r="U3860">
        <v>42832.69</v>
      </c>
      <c r="V3860">
        <v>19016.36</v>
      </c>
      <c r="W3860">
        <v>19058.53</v>
      </c>
      <c r="X3860">
        <v>93301.11</v>
      </c>
      <c r="Y3860">
        <v>74935.63</v>
      </c>
    </row>
    <row r="3861" spans="1:25" x14ac:dyDescent="0.25">
      <c r="A3861" t="s">
        <v>3917</v>
      </c>
      <c r="B3861" s="1">
        <v>45991</v>
      </c>
      <c r="C3861">
        <v>2025</v>
      </c>
      <c r="D3861">
        <v>11</v>
      </c>
      <c r="E3861" t="s">
        <v>1117</v>
      </c>
      <c r="F3861" t="s">
        <v>1018</v>
      </c>
      <c r="G3861" t="s">
        <v>55</v>
      </c>
      <c r="H3861" t="s">
        <v>36</v>
      </c>
      <c r="I3861" t="s">
        <v>33</v>
      </c>
      <c r="J3861">
        <v>78</v>
      </c>
      <c r="K3861">
        <v>1211.8499999999999</v>
      </c>
      <c r="L3861">
        <v>94524.27</v>
      </c>
      <c r="M3861">
        <v>61772.55</v>
      </c>
      <c r="N3861">
        <v>10142.43</v>
      </c>
      <c r="O3861">
        <v>3619.09</v>
      </c>
      <c r="P3861">
        <v>3770.02</v>
      </c>
      <c r="Q3861">
        <v>1579.46</v>
      </c>
      <c r="R3861">
        <v>3601.78</v>
      </c>
      <c r="S3861">
        <v>1877.42</v>
      </c>
      <c r="T3861">
        <v>86362.75</v>
      </c>
      <c r="U3861">
        <v>32751.72</v>
      </c>
      <c r="V3861">
        <v>8161.52</v>
      </c>
      <c r="W3861">
        <v>8155.02</v>
      </c>
      <c r="X3861">
        <v>90868.39</v>
      </c>
      <c r="Y3861">
        <v>87532.98</v>
      </c>
    </row>
    <row r="3862" spans="1:25" x14ac:dyDescent="0.25">
      <c r="A3862" t="s">
        <v>3918</v>
      </c>
      <c r="B3862" s="1">
        <v>45991</v>
      </c>
      <c r="C3862">
        <v>2025</v>
      </c>
      <c r="D3862">
        <v>11</v>
      </c>
      <c r="E3862" t="s">
        <v>1117</v>
      </c>
      <c r="F3862" t="s">
        <v>1018</v>
      </c>
      <c r="G3862" t="s">
        <v>44</v>
      </c>
      <c r="H3862" t="s">
        <v>32</v>
      </c>
      <c r="I3862" t="s">
        <v>65</v>
      </c>
      <c r="J3862">
        <v>56</v>
      </c>
      <c r="K3862">
        <v>1100.02</v>
      </c>
      <c r="L3862">
        <v>61601.36</v>
      </c>
      <c r="M3862">
        <v>32759.17</v>
      </c>
      <c r="N3862">
        <v>5016.54</v>
      </c>
      <c r="O3862">
        <v>1916.02</v>
      </c>
      <c r="P3862">
        <v>1358.75</v>
      </c>
      <c r="Q3862">
        <v>653.45000000000005</v>
      </c>
      <c r="R3862">
        <v>2182.48</v>
      </c>
      <c r="S3862">
        <v>757.3</v>
      </c>
      <c r="T3862">
        <v>44643.71</v>
      </c>
      <c r="U3862">
        <v>28842.19</v>
      </c>
      <c r="V3862">
        <v>16957.64</v>
      </c>
      <c r="W3862">
        <v>16028.69</v>
      </c>
      <c r="X3862">
        <v>67093.679999999993</v>
      </c>
      <c r="Y3862">
        <v>47235.9</v>
      </c>
    </row>
    <row r="3863" spans="1:25" x14ac:dyDescent="0.25">
      <c r="A3863" t="s">
        <v>3919</v>
      </c>
      <c r="B3863" s="1">
        <v>45991</v>
      </c>
      <c r="C3863">
        <v>2025</v>
      </c>
      <c r="D3863">
        <v>11</v>
      </c>
      <c r="E3863" t="s">
        <v>1117</v>
      </c>
      <c r="F3863" t="s">
        <v>1018</v>
      </c>
      <c r="G3863" t="s">
        <v>44</v>
      </c>
      <c r="H3863" t="s">
        <v>53</v>
      </c>
      <c r="I3863" t="s">
        <v>33</v>
      </c>
      <c r="J3863">
        <v>57</v>
      </c>
      <c r="K3863">
        <v>1379.63</v>
      </c>
      <c r="L3863">
        <v>78639.149999999994</v>
      </c>
      <c r="M3863">
        <v>47932.22</v>
      </c>
      <c r="N3863">
        <v>6607.13</v>
      </c>
      <c r="O3863">
        <v>5178.33</v>
      </c>
      <c r="P3863">
        <v>1825.08</v>
      </c>
      <c r="Q3863">
        <v>1404.65</v>
      </c>
      <c r="R3863">
        <v>4197.38</v>
      </c>
      <c r="S3863">
        <v>1815.83</v>
      </c>
      <c r="T3863">
        <v>68960.62</v>
      </c>
      <c r="U3863">
        <v>30706.93</v>
      </c>
      <c r="V3863">
        <v>9678.5300000000007</v>
      </c>
      <c r="W3863">
        <v>9299.8700000000008</v>
      </c>
      <c r="X3863">
        <v>77867.570000000007</v>
      </c>
      <c r="Y3863">
        <v>70645.08</v>
      </c>
    </row>
    <row r="3864" spans="1:25" x14ac:dyDescent="0.25">
      <c r="A3864" t="s">
        <v>3920</v>
      </c>
      <c r="B3864" s="1">
        <v>45991</v>
      </c>
      <c r="C3864">
        <v>2025</v>
      </c>
      <c r="D3864">
        <v>11</v>
      </c>
      <c r="E3864" t="s">
        <v>1117</v>
      </c>
      <c r="F3864" t="s">
        <v>1018</v>
      </c>
      <c r="G3864" t="s">
        <v>55</v>
      </c>
      <c r="H3864" t="s">
        <v>36</v>
      </c>
      <c r="I3864" t="s">
        <v>39</v>
      </c>
      <c r="J3864">
        <v>25</v>
      </c>
      <c r="K3864">
        <v>1367.34</v>
      </c>
      <c r="L3864">
        <v>34183.58</v>
      </c>
      <c r="M3864">
        <v>17182.16</v>
      </c>
      <c r="N3864">
        <v>3733.6</v>
      </c>
      <c r="O3864">
        <v>1738.17</v>
      </c>
      <c r="P3864">
        <v>1091.3800000000001</v>
      </c>
      <c r="Q3864">
        <v>586.89</v>
      </c>
      <c r="R3864">
        <v>1781.53</v>
      </c>
      <c r="S3864">
        <v>689.62</v>
      </c>
      <c r="T3864">
        <v>26803.360000000001</v>
      </c>
      <c r="U3864">
        <v>17001.419999999998</v>
      </c>
      <c r="V3864">
        <v>7380.22</v>
      </c>
      <c r="W3864">
        <v>6991.55</v>
      </c>
      <c r="X3864">
        <v>36163.51</v>
      </c>
      <c r="Y3864">
        <v>28682.55</v>
      </c>
    </row>
    <row r="3865" spans="1:25" x14ac:dyDescent="0.25">
      <c r="A3865" t="s">
        <v>3921</v>
      </c>
      <c r="B3865" s="1">
        <v>45991</v>
      </c>
      <c r="C3865">
        <v>2025</v>
      </c>
      <c r="D3865">
        <v>11</v>
      </c>
      <c r="E3865" t="s">
        <v>1117</v>
      </c>
      <c r="F3865" t="s">
        <v>1018</v>
      </c>
      <c r="G3865" t="s">
        <v>44</v>
      </c>
      <c r="H3865" t="s">
        <v>29</v>
      </c>
      <c r="I3865" t="s">
        <v>33</v>
      </c>
      <c r="J3865">
        <v>39</v>
      </c>
      <c r="K3865">
        <v>1483.23</v>
      </c>
      <c r="L3865">
        <v>57846.01</v>
      </c>
      <c r="M3865">
        <v>28812.560000000001</v>
      </c>
      <c r="N3865">
        <v>4312.99</v>
      </c>
      <c r="O3865">
        <v>3884.26</v>
      </c>
      <c r="P3865">
        <v>2515.58</v>
      </c>
      <c r="Q3865">
        <v>495.43</v>
      </c>
      <c r="R3865">
        <v>3295.06</v>
      </c>
      <c r="S3865">
        <v>620.75</v>
      </c>
      <c r="T3865">
        <v>43936.63</v>
      </c>
      <c r="U3865">
        <v>29033.45</v>
      </c>
      <c r="V3865">
        <v>13909.38</v>
      </c>
      <c r="W3865">
        <v>13025.49</v>
      </c>
      <c r="X3865">
        <v>55505.62</v>
      </c>
      <c r="Y3865">
        <v>45790.51</v>
      </c>
    </row>
    <row r="3866" spans="1:25" x14ac:dyDescent="0.25">
      <c r="A3866" t="s">
        <v>3922</v>
      </c>
      <c r="B3866" s="1">
        <v>45992</v>
      </c>
      <c r="C3866">
        <v>2025</v>
      </c>
      <c r="D3866">
        <v>12</v>
      </c>
      <c r="E3866" t="s">
        <v>1217</v>
      </c>
      <c r="F3866" t="s">
        <v>1018</v>
      </c>
      <c r="G3866" t="s">
        <v>44</v>
      </c>
      <c r="H3866" t="s">
        <v>36</v>
      </c>
      <c r="I3866" t="s">
        <v>39</v>
      </c>
      <c r="J3866">
        <v>24</v>
      </c>
      <c r="K3866">
        <v>1795.22</v>
      </c>
      <c r="L3866">
        <v>43085.31</v>
      </c>
      <c r="M3866">
        <v>26355.95</v>
      </c>
      <c r="N3866">
        <v>5080</v>
      </c>
      <c r="O3866">
        <v>2371.17</v>
      </c>
      <c r="P3866">
        <v>1347.91</v>
      </c>
      <c r="Q3866">
        <v>530.80999999999995</v>
      </c>
      <c r="R3866">
        <v>1163.31</v>
      </c>
      <c r="S3866">
        <v>457.75</v>
      </c>
      <c r="T3866">
        <v>37306.89</v>
      </c>
      <c r="U3866">
        <v>16729.37</v>
      </c>
      <c r="V3866">
        <v>5778.43</v>
      </c>
      <c r="W3866">
        <v>5249.55</v>
      </c>
      <c r="X3866">
        <v>46572.87</v>
      </c>
      <c r="Y3866">
        <v>37786.82</v>
      </c>
    </row>
    <row r="3867" spans="1:25" x14ac:dyDescent="0.25">
      <c r="A3867" t="s">
        <v>3923</v>
      </c>
      <c r="B3867" s="1">
        <v>45992</v>
      </c>
      <c r="C3867">
        <v>2025</v>
      </c>
      <c r="D3867">
        <v>12</v>
      </c>
      <c r="E3867" t="s">
        <v>1217</v>
      </c>
      <c r="F3867" t="s">
        <v>1018</v>
      </c>
      <c r="G3867" t="s">
        <v>28</v>
      </c>
      <c r="H3867" t="s">
        <v>29</v>
      </c>
      <c r="I3867" t="s">
        <v>39</v>
      </c>
      <c r="J3867">
        <v>23</v>
      </c>
      <c r="K3867">
        <v>1713.22</v>
      </c>
      <c r="L3867">
        <v>39404.06</v>
      </c>
      <c r="M3867">
        <v>26320.2</v>
      </c>
      <c r="N3867">
        <v>3014.63</v>
      </c>
      <c r="O3867">
        <v>1313.58</v>
      </c>
      <c r="P3867">
        <v>1671.86</v>
      </c>
      <c r="Q3867">
        <v>639.66</v>
      </c>
      <c r="R3867">
        <v>2087.9499999999998</v>
      </c>
      <c r="S3867">
        <v>788.27</v>
      </c>
      <c r="T3867">
        <v>35836.160000000003</v>
      </c>
      <c r="U3867">
        <v>13083.86</v>
      </c>
      <c r="V3867">
        <v>3567.9</v>
      </c>
      <c r="W3867">
        <v>3148.57</v>
      </c>
      <c r="X3867">
        <v>41460.080000000002</v>
      </c>
      <c r="Y3867">
        <v>35638.620000000003</v>
      </c>
    </row>
    <row r="3868" spans="1:25" x14ac:dyDescent="0.25">
      <c r="A3868" t="s">
        <v>3924</v>
      </c>
      <c r="B3868" s="1">
        <v>45992</v>
      </c>
      <c r="C3868">
        <v>2025</v>
      </c>
      <c r="D3868">
        <v>12</v>
      </c>
      <c r="E3868" t="s">
        <v>1217</v>
      </c>
      <c r="F3868" t="s">
        <v>1018</v>
      </c>
      <c r="G3868" t="s">
        <v>28</v>
      </c>
      <c r="H3868" t="s">
        <v>32</v>
      </c>
      <c r="I3868" t="s">
        <v>56</v>
      </c>
      <c r="J3868">
        <v>54</v>
      </c>
      <c r="K3868">
        <v>798.15</v>
      </c>
      <c r="L3868">
        <v>43100.02</v>
      </c>
      <c r="M3868">
        <v>22178.36</v>
      </c>
      <c r="N3868">
        <v>4223.2</v>
      </c>
      <c r="O3868">
        <v>1268.8599999999999</v>
      </c>
      <c r="P3868">
        <v>1794.48</v>
      </c>
      <c r="Q3868">
        <v>473.83</v>
      </c>
      <c r="R3868">
        <v>1787.94</v>
      </c>
      <c r="S3868">
        <v>826.74</v>
      </c>
      <c r="T3868">
        <v>32553.4</v>
      </c>
      <c r="U3868">
        <v>20921.66</v>
      </c>
      <c r="V3868">
        <v>10546.62</v>
      </c>
      <c r="W3868">
        <v>9523.99</v>
      </c>
      <c r="X3868">
        <v>44873.68</v>
      </c>
      <c r="Y3868">
        <v>31769.72</v>
      </c>
    </row>
    <row r="3869" spans="1:25" x14ac:dyDescent="0.25">
      <c r="A3869" t="s">
        <v>3925</v>
      </c>
      <c r="B3869" s="1">
        <v>45993</v>
      </c>
      <c r="C3869">
        <v>2025</v>
      </c>
      <c r="D3869">
        <v>12</v>
      </c>
      <c r="E3869" t="s">
        <v>1217</v>
      </c>
      <c r="F3869" t="s">
        <v>1018</v>
      </c>
      <c r="G3869" t="s">
        <v>28</v>
      </c>
      <c r="H3869" t="s">
        <v>32</v>
      </c>
      <c r="I3869" t="s">
        <v>33</v>
      </c>
      <c r="J3869">
        <v>75</v>
      </c>
      <c r="K3869">
        <v>1051.25</v>
      </c>
      <c r="L3869">
        <v>78844.12</v>
      </c>
      <c r="M3869">
        <v>38062.400000000001</v>
      </c>
      <c r="N3869">
        <v>8507.42</v>
      </c>
      <c r="O3869">
        <v>2962.92</v>
      </c>
      <c r="P3869">
        <v>1789.66</v>
      </c>
      <c r="Q3869">
        <v>598.71</v>
      </c>
      <c r="R3869">
        <v>3711.74</v>
      </c>
      <c r="S3869">
        <v>1857.84</v>
      </c>
      <c r="T3869">
        <v>57490.7</v>
      </c>
      <c r="U3869">
        <v>40781.71</v>
      </c>
      <c r="V3869">
        <v>21353.42</v>
      </c>
      <c r="W3869">
        <v>20760.55</v>
      </c>
      <c r="X3869">
        <v>83996.25</v>
      </c>
      <c r="Y3869">
        <v>55504.07</v>
      </c>
    </row>
    <row r="3870" spans="1:25" x14ac:dyDescent="0.25">
      <c r="A3870" t="s">
        <v>3926</v>
      </c>
      <c r="B3870" s="1">
        <v>45993</v>
      </c>
      <c r="C3870">
        <v>2025</v>
      </c>
      <c r="D3870">
        <v>12</v>
      </c>
      <c r="E3870" t="s">
        <v>1217</v>
      </c>
      <c r="F3870" t="s">
        <v>1018</v>
      </c>
      <c r="G3870" t="s">
        <v>28</v>
      </c>
      <c r="H3870" t="s">
        <v>53</v>
      </c>
      <c r="I3870" t="s">
        <v>33</v>
      </c>
      <c r="J3870">
        <v>48</v>
      </c>
      <c r="K3870">
        <v>1277.2</v>
      </c>
      <c r="L3870">
        <v>61305.599999999999</v>
      </c>
      <c r="M3870">
        <v>36082.230000000003</v>
      </c>
      <c r="N3870">
        <v>5662.72</v>
      </c>
      <c r="O3870">
        <v>3044.24</v>
      </c>
      <c r="P3870">
        <v>1137.03</v>
      </c>
      <c r="Q3870">
        <v>436.56</v>
      </c>
      <c r="R3870">
        <v>3540.05</v>
      </c>
      <c r="S3870">
        <v>993.92</v>
      </c>
      <c r="T3870">
        <v>50896.76</v>
      </c>
      <c r="U3870">
        <v>25223.360000000001</v>
      </c>
      <c r="V3870">
        <v>10408.83</v>
      </c>
      <c r="W3870">
        <v>9620.18</v>
      </c>
      <c r="X3870">
        <v>57621.78</v>
      </c>
      <c r="Y3870">
        <v>52403.38</v>
      </c>
    </row>
    <row r="3871" spans="1:25" x14ac:dyDescent="0.25">
      <c r="A3871" t="s">
        <v>3927</v>
      </c>
      <c r="B3871" s="1">
        <v>45994</v>
      </c>
      <c r="C3871">
        <v>2025</v>
      </c>
      <c r="D3871">
        <v>12</v>
      </c>
      <c r="E3871" t="s">
        <v>1217</v>
      </c>
      <c r="F3871" t="s">
        <v>1018</v>
      </c>
      <c r="G3871" t="s">
        <v>44</v>
      </c>
      <c r="H3871" t="s">
        <v>58</v>
      </c>
      <c r="I3871" t="s">
        <v>65</v>
      </c>
      <c r="J3871">
        <v>42</v>
      </c>
      <c r="K3871">
        <v>1022.78</v>
      </c>
      <c r="L3871">
        <v>42956.61</v>
      </c>
      <c r="M3871">
        <v>26085.19</v>
      </c>
      <c r="N3871">
        <v>3561.69</v>
      </c>
      <c r="O3871">
        <v>3190.68</v>
      </c>
      <c r="P3871">
        <v>1635.53</v>
      </c>
      <c r="Q3871">
        <v>535.13</v>
      </c>
      <c r="R3871">
        <v>2600.38</v>
      </c>
      <c r="S3871">
        <v>411.71</v>
      </c>
      <c r="T3871">
        <v>38020.33</v>
      </c>
      <c r="U3871">
        <v>16871.41</v>
      </c>
      <c r="V3871">
        <v>4936.28</v>
      </c>
      <c r="W3871">
        <v>4397.2</v>
      </c>
      <c r="X3871">
        <v>42206.55</v>
      </c>
      <c r="Y3871">
        <v>38025.660000000003</v>
      </c>
    </row>
    <row r="3872" spans="1:25" x14ac:dyDescent="0.25">
      <c r="A3872" t="s">
        <v>3928</v>
      </c>
      <c r="B3872" s="1">
        <v>45994</v>
      </c>
      <c r="C3872">
        <v>2025</v>
      </c>
      <c r="D3872">
        <v>12</v>
      </c>
      <c r="E3872" t="s">
        <v>1217</v>
      </c>
      <c r="F3872" t="s">
        <v>1018</v>
      </c>
      <c r="G3872" t="s">
        <v>35</v>
      </c>
      <c r="H3872" t="s">
        <v>32</v>
      </c>
      <c r="I3872" t="s">
        <v>45</v>
      </c>
      <c r="J3872">
        <v>38</v>
      </c>
      <c r="K3872">
        <v>1049</v>
      </c>
      <c r="L3872">
        <v>39861.89</v>
      </c>
      <c r="M3872">
        <v>25891.35</v>
      </c>
      <c r="N3872">
        <v>2968.28</v>
      </c>
      <c r="O3872">
        <v>2836.32</v>
      </c>
      <c r="P3872">
        <v>1742.66</v>
      </c>
      <c r="Q3872">
        <v>639.41999999999996</v>
      </c>
      <c r="R3872">
        <v>2531.42</v>
      </c>
      <c r="S3872">
        <v>968.79</v>
      </c>
      <c r="T3872">
        <v>37578.239999999998</v>
      </c>
      <c r="U3872">
        <v>13970.53</v>
      </c>
      <c r="V3872">
        <v>2283.65</v>
      </c>
      <c r="W3872">
        <v>2086.06</v>
      </c>
      <c r="X3872">
        <v>39971.53</v>
      </c>
      <c r="Y3872">
        <v>38566.65</v>
      </c>
    </row>
    <row r="3873" spans="1:25" x14ac:dyDescent="0.25">
      <c r="A3873" t="s">
        <v>3929</v>
      </c>
      <c r="B3873" s="1">
        <v>45994</v>
      </c>
      <c r="C3873">
        <v>2025</v>
      </c>
      <c r="D3873">
        <v>12</v>
      </c>
      <c r="E3873" t="s">
        <v>1217</v>
      </c>
      <c r="F3873" t="s">
        <v>1018</v>
      </c>
      <c r="G3873" t="s">
        <v>28</v>
      </c>
      <c r="H3873" t="s">
        <v>53</v>
      </c>
      <c r="I3873" t="s">
        <v>39</v>
      </c>
      <c r="J3873">
        <v>32</v>
      </c>
      <c r="K3873">
        <v>1350.07</v>
      </c>
      <c r="L3873">
        <v>43202.38</v>
      </c>
      <c r="M3873">
        <v>25622.52</v>
      </c>
      <c r="N3873">
        <v>3873.52</v>
      </c>
      <c r="O3873">
        <v>2994.71</v>
      </c>
      <c r="P3873">
        <v>1541.02</v>
      </c>
      <c r="Q3873">
        <v>609.49</v>
      </c>
      <c r="R3873">
        <v>2660.39</v>
      </c>
      <c r="S3873">
        <v>607.99</v>
      </c>
      <c r="T3873">
        <v>37909.629999999997</v>
      </c>
      <c r="U3873">
        <v>17579.86</v>
      </c>
      <c r="V3873">
        <v>5292.75</v>
      </c>
      <c r="W3873">
        <v>5218</v>
      </c>
      <c r="X3873">
        <v>44851.93</v>
      </c>
      <c r="Y3873">
        <v>37721.17</v>
      </c>
    </row>
    <row r="3874" spans="1:25" x14ac:dyDescent="0.25">
      <c r="A3874" t="s">
        <v>3930</v>
      </c>
      <c r="B3874" s="1">
        <v>45994</v>
      </c>
      <c r="C3874">
        <v>2025</v>
      </c>
      <c r="D3874">
        <v>12</v>
      </c>
      <c r="E3874" t="s">
        <v>1217</v>
      </c>
      <c r="F3874" t="s">
        <v>1018</v>
      </c>
      <c r="G3874" t="s">
        <v>28</v>
      </c>
      <c r="H3874" t="s">
        <v>29</v>
      </c>
      <c r="I3874" t="s">
        <v>56</v>
      </c>
      <c r="J3874">
        <v>31</v>
      </c>
      <c r="K3874">
        <v>1142.25</v>
      </c>
      <c r="L3874">
        <v>35409.660000000003</v>
      </c>
      <c r="M3874">
        <v>18091.439999999999</v>
      </c>
      <c r="N3874">
        <v>3327.25</v>
      </c>
      <c r="O3874">
        <v>911.34</v>
      </c>
      <c r="P3874">
        <v>740.67</v>
      </c>
      <c r="Q3874">
        <v>447.43</v>
      </c>
      <c r="R3874">
        <v>1427.88</v>
      </c>
      <c r="S3874">
        <v>664.56</v>
      </c>
      <c r="T3874">
        <v>25610.58</v>
      </c>
      <c r="U3874">
        <v>17318.22</v>
      </c>
      <c r="V3874">
        <v>9799.08</v>
      </c>
      <c r="W3874">
        <v>9976.3799999999992</v>
      </c>
      <c r="X3874">
        <v>34153.360000000001</v>
      </c>
      <c r="Y3874">
        <v>24131.95</v>
      </c>
    </row>
    <row r="3875" spans="1:25" x14ac:dyDescent="0.25">
      <c r="A3875" t="s">
        <v>3931</v>
      </c>
      <c r="B3875" s="1">
        <v>45994</v>
      </c>
      <c r="C3875">
        <v>2025</v>
      </c>
      <c r="D3875">
        <v>12</v>
      </c>
      <c r="E3875" t="s">
        <v>1217</v>
      </c>
      <c r="F3875" t="s">
        <v>1018</v>
      </c>
      <c r="G3875" t="s">
        <v>55</v>
      </c>
      <c r="H3875" t="s">
        <v>32</v>
      </c>
      <c r="I3875" t="s">
        <v>33</v>
      </c>
      <c r="J3875">
        <v>91</v>
      </c>
      <c r="K3875">
        <v>1151.3499999999999</v>
      </c>
      <c r="L3875">
        <v>104772.62</v>
      </c>
      <c r="M3875">
        <v>70194.22</v>
      </c>
      <c r="N3875">
        <v>13021.29</v>
      </c>
      <c r="O3875">
        <v>4034.51</v>
      </c>
      <c r="P3875">
        <v>4142.12</v>
      </c>
      <c r="Q3875">
        <v>695.36</v>
      </c>
      <c r="R3875">
        <v>6215.37</v>
      </c>
      <c r="S3875">
        <v>1148.6600000000001</v>
      </c>
      <c r="T3875">
        <v>99451.53</v>
      </c>
      <c r="U3875">
        <v>34578.400000000001</v>
      </c>
      <c r="V3875">
        <v>5321.09</v>
      </c>
      <c r="W3875">
        <v>4945.74</v>
      </c>
      <c r="X3875">
        <v>111987.41</v>
      </c>
      <c r="Y3875">
        <v>101065.59</v>
      </c>
    </row>
    <row r="3876" spans="1:25" x14ac:dyDescent="0.25">
      <c r="A3876" t="s">
        <v>3932</v>
      </c>
      <c r="B3876" s="1">
        <v>45994</v>
      </c>
      <c r="C3876">
        <v>2025</v>
      </c>
      <c r="D3876">
        <v>12</v>
      </c>
      <c r="E3876" t="s">
        <v>1217</v>
      </c>
      <c r="F3876" t="s">
        <v>1018</v>
      </c>
      <c r="G3876" t="s">
        <v>28</v>
      </c>
      <c r="H3876" t="s">
        <v>29</v>
      </c>
      <c r="I3876" t="s">
        <v>33</v>
      </c>
      <c r="J3876">
        <v>100</v>
      </c>
      <c r="K3876">
        <v>920.14</v>
      </c>
      <c r="L3876">
        <v>92014.11</v>
      </c>
      <c r="M3876">
        <v>57004.23</v>
      </c>
      <c r="N3876">
        <v>6677.76</v>
      </c>
      <c r="O3876">
        <v>6414.25</v>
      </c>
      <c r="P3876">
        <v>1611.3</v>
      </c>
      <c r="Q3876">
        <v>759.57</v>
      </c>
      <c r="R3876">
        <v>4466.07</v>
      </c>
      <c r="S3876">
        <v>983.05</v>
      </c>
      <c r="T3876">
        <v>77916.23</v>
      </c>
      <c r="U3876">
        <v>35009.879999999997</v>
      </c>
      <c r="V3876">
        <v>14097.88</v>
      </c>
      <c r="W3876">
        <v>12436.58</v>
      </c>
      <c r="X3876">
        <v>101334.1</v>
      </c>
      <c r="Y3876">
        <v>79371</v>
      </c>
    </row>
    <row r="3877" spans="1:25" x14ac:dyDescent="0.25">
      <c r="A3877" t="s">
        <v>3933</v>
      </c>
      <c r="B3877" s="1">
        <v>45995</v>
      </c>
      <c r="C3877">
        <v>2025</v>
      </c>
      <c r="D3877">
        <v>12</v>
      </c>
      <c r="E3877" t="s">
        <v>1217</v>
      </c>
      <c r="F3877" t="s">
        <v>1018</v>
      </c>
      <c r="G3877" t="s">
        <v>28</v>
      </c>
      <c r="H3877" t="s">
        <v>36</v>
      </c>
      <c r="I3877" t="s">
        <v>50</v>
      </c>
      <c r="J3877">
        <v>55</v>
      </c>
      <c r="K3877">
        <v>1196.6400000000001</v>
      </c>
      <c r="L3877">
        <v>65815.39</v>
      </c>
      <c r="M3877">
        <v>33478.58</v>
      </c>
      <c r="N3877">
        <v>6524.87</v>
      </c>
      <c r="O3877">
        <v>4385.72</v>
      </c>
      <c r="P3877">
        <v>1007.73</v>
      </c>
      <c r="Q3877">
        <v>610.16</v>
      </c>
      <c r="R3877">
        <v>3942.01</v>
      </c>
      <c r="S3877">
        <v>1645.04</v>
      </c>
      <c r="T3877">
        <v>51594.1</v>
      </c>
      <c r="U3877">
        <v>32336.81</v>
      </c>
      <c r="V3877">
        <v>14221.28</v>
      </c>
      <c r="W3877">
        <v>14168.73</v>
      </c>
      <c r="X3877">
        <v>64137.66</v>
      </c>
      <c r="Y3877">
        <v>55479.24</v>
      </c>
    </row>
    <row r="3878" spans="1:25" x14ac:dyDescent="0.25">
      <c r="A3878" t="s">
        <v>3934</v>
      </c>
      <c r="B3878" s="1">
        <v>45995</v>
      </c>
      <c r="C3878">
        <v>2025</v>
      </c>
      <c r="D3878">
        <v>12</v>
      </c>
      <c r="E3878" t="s">
        <v>1217</v>
      </c>
      <c r="F3878" t="s">
        <v>1018</v>
      </c>
      <c r="G3878" t="s">
        <v>55</v>
      </c>
      <c r="H3878" t="s">
        <v>36</v>
      </c>
      <c r="I3878" t="s">
        <v>45</v>
      </c>
      <c r="J3878">
        <v>38</v>
      </c>
      <c r="K3878">
        <v>1441.28</v>
      </c>
      <c r="L3878">
        <v>54768.7</v>
      </c>
      <c r="M3878">
        <v>30517.64</v>
      </c>
      <c r="N3878">
        <v>5512.46</v>
      </c>
      <c r="O3878">
        <v>3109.7</v>
      </c>
      <c r="P3878">
        <v>1930.21</v>
      </c>
      <c r="Q3878">
        <v>613.72</v>
      </c>
      <c r="R3878">
        <v>1478.28</v>
      </c>
      <c r="S3878">
        <v>522.47</v>
      </c>
      <c r="T3878">
        <v>43684.480000000003</v>
      </c>
      <c r="U3878">
        <v>24251.06</v>
      </c>
      <c r="V3878">
        <v>11084.22</v>
      </c>
      <c r="W3878">
        <v>10758.42</v>
      </c>
      <c r="X3878">
        <v>60739.22</v>
      </c>
      <c r="Y3878">
        <v>47552.95</v>
      </c>
    </row>
    <row r="3879" spans="1:25" x14ac:dyDescent="0.25">
      <c r="A3879" t="s">
        <v>3935</v>
      </c>
      <c r="B3879" s="1">
        <v>45995</v>
      </c>
      <c r="C3879">
        <v>2025</v>
      </c>
      <c r="D3879">
        <v>12</v>
      </c>
      <c r="E3879" t="s">
        <v>1217</v>
      </c>
      <c r="F3879" t="s">
        <v>1018</v>
      </c>
      <c r="G3879" t="s">
        <v>55</v>
      </c>
      <c r="H3879" t="s">
        <v>32</v>
      </c>
      <c r="I3879" t="s">
        <v>37</v>
      </c>
      <c r="J3879">
        <v>95</v>
      </c>
      <c r="K3879">
        <v>946.85</v>
      </c>
      <c r="L3879">
        <v>89950.75</v>
      </c>
      <c r="M3879">
        <v>58517.97</v>
      </c>
      <c r="N3879">
        <v>10339.879999999999</v>
      </c>
      <c r="O3879">
        <v>4206.6099999999997</v>
      </c>
      <c r="P3879">
        <v>2570</v>
      </c>
      <c r="Q3879">
        <v>1474.14</v>
      </c>
      <c r="R3879">
        <v>4647.3</v>
      </c>
      <c r="S3879">
        <v>1302.1600000000001</v>
      </c>
      <c r="T3879">
        <v>83058.06</v>
      </c>
      <c r="U3879">
        <v>31432.78</v>
      </c>
      <c r="V3879">
        <v>6892.69</v>
      </c>
      <c r="W3879">
        <v>6680.06</v>
      </c>
      <c r="X3879">
        <v>91453.77</v>
      </c>
      <c r="Y3879">
        <v>87008.46</v>
      </c>
    </row>
    <row r="3880" spans="1:25" x14ac:dyDescent="0.25">
      <c r="A3880" t="s">
        <v>3936</v>
      </c>
      <c r="B3880" s="1">
        <v>45996</v>
      </c>
      <c r="C3880">
        <v>2025</v>
      </c>
      <c r="D3880">
        <v>12</v>
      </c>
      <c r="E3880" t="s">
        <v>1217</v>
      </c>
      <c r="F3880" t="s">
        <v>1018</v>
      </c>
      <c r="G3880" t="s">
        <v>44</v>
      </c>
      <c r="H3880" t="s">
        <v>36</v>
      </c>
      <c r="I3880" t="s">
        <v>50</v>
      </c>
      <c r="J3880">
        <v>28</v>
      </c>
      <c r="K3880">
        <v>1401.73</v>
      </c>
      <c r="L3880">
        <v>39248.35</v>
      </c>
      <c r="M3880">
        <v>24915.69</v>
      </c>
      <c r="N3880">
        <v>4190.07</v>
      </c>
      <c r="O3880">
        <v>2184.73</v>
      </c>
      <c r="P3880">
        <v>1353.77</v>
      </c>
      <c r="Q3880">
        <v>545.30999999999995</v>
      </c>
      <c r="R3880">
        <v>2409.33</v>
      </c>
      <c r="S3880">
        <v>974.58</v>
      </c>
      <c r="T3880">
        <v>36573.49</v>
      </c>
      <c r="U3880">
        <v>14332.66</v>
      </c>
      <c r="V3880">
        <v>2674.86</v>
      </c>
      <c r="W3880">
        <v>2468.31</v>
      </c>
      <c r="X3880">
        <v>43827.42</v>
      </c>
      <c r="Y3880">
        <v>36495.599999999999</v>
      </c>
    </row>
    <row r="3881" spans="1:25" x14ac:dyDescent="0.25">
      <c r="A3881" t="s">
        <v>3937</v>
      </c>
      <c r="B3881" s="1">
        <v>45996</v>
      </c>
      <c r="C3881">
        <v>2025</v>
      </c>
      <c r="D3881">
        <v>12</v>
      </c>
      <c r="E3881" t="s">
        <v>1217</v>
      </c>
      <c r="F3881" t="s">
        <v>1018</v>
      </c>
      <c r="G3881" t="s">
        <v>28</v>
      </c>
      <c r="H3881" t="s">
        <v>36</v>
      </c>
      <c r="I3881" t="s">
        <v>65</v>
      </c>
      <c r="J3881">
        <v>69</v>
      </c>
      <c r="K3881">
        <v>919.25</v>
      </c>
      <c r="L3881">
        <v>63428.19</v>
      </c>
      <c r="M3881">
        <v>41516.51</v>
      </c>
      <c r="N3881">
        <v>7491.18</v>
      </c>
      <c r="O3881">
        <v>3266.08</v>
      </c>
      <c r="P3881">
        <v>2154.44</v>
      </c>
      <c r="Q3881">
        <v>407.75</v>
      </c>
      <c r="R3881">
        <v>1689.39</v>
      </c>
      <c r="S3881">
        <v>590.28</v>
      </c>
      <c r="T3881">
        <v>57115.63</v>
      </c>
      <c r="U3881">
        <v>21911.68</v>
      </c>
      <c r="V3881">
        <v>6312.56</v>
      </c>
      <c r="W3881">
        <v>5644.29</v>
      </c>
      <c r="X3881">
        <v>63016.38</v>
      </c>
      <c r="Y3881">
        <v>59558.55</v>
      </c>
    </row>
    <row r="3882" spans="1:25" x14ac:dyDescent="0.25">
      <c r="A3882" t="s">
        <v>3938</v>
      </c>
      <c r="B3882" s="1">
        <v>45996</v>
      </c>
      <c r="C3882">
        <v>2025</v>
      </c>
      <c r="D3882">
        <v>12</v>
      </c>
      <c r="E3882" t="s">
        <v>1217</v>
      </c>
      <c r="F3882" t="s">
        <v>1018</v>
      </c>
      <c r="G3882" t="s">
        <v>44</v>
      </c>
      <c r="H3882" t="s">
        <v>36</v>
      </c>
      <c r="I3882" t="s">
        <v>37</v>
      </c>
      <c r="J3882">
        <v>41</v>
      </c>
      <c r="K3882">
        <v>1738.12</v>
      </c>
      <c r="L3882">
        <v>71263.12</v>
      </c>
      <c r="M3882">
        <v>44511.46</v>
      </c>
      <c r="N3882">
        <v>6482.25</v>
      </c>
      <c r="O3882">
        <v>1839.18</v>
      </c>
      <c r="P3882">
        <v>2246.1999999999998</v>
      </c>
      <c r="Q3882">
        <v>410.97</v>
      </c>
      <c r="R3882">
        <v>3493.69</v>
      </c>
      <c r="S3882">
        <v>798.9</v>
      </c>
      <c r="T3882">
        <v>59782.65</v>
      </c>
      <c r="U3882">
        <v>26751.66</v>
      </c>
      <c r="V3882">
        <v>11480.47</v>
      </c>
      <c r="W3882">
        <v>10236.07</v>
      </c>
      <c r="X3882">
        <v>70264.05</v>
      </c>
      <c r="Y3882">
        <v>65156.85</v>
      </c>
    </row>
    <row r="3883" spans="1:25" x14ac:dyDescent="0.25">
      <c r="A3883" t="s">
        <v>3939</v>
      </c>
      <c r="B3883" s="1">
        <v>45996</v>
      </c>
      <c r="C3883">
        <v>2025</v>
      </c>
      <c r="D3883">
        <v>12</v>
      </c>
      <c r="E3883" t="s">
        <v>1217</v>
      </c>
      <c r="F3883" t="s">
        <v>1018</v>
      </c>
      <c r="G3883" t="s">
        <v>28</v>
      </c>
      <c r="H3883" t="s">
        <v>36</v>
      </c>
      <c r="I3883" t="s">
        <v>33</v>
      </c>
      <c r="J3883">
        <v>37</v>
      </c>
      <c r="K3883">
        <v>1786.95</v>
      </c>
      <c r="L3883">
        <v>66117.03</v>
      </c>
      <c r="M3883">
        <v>42676.25</v>
      </c>
      <c r="N3883">
        <v>6920.26</v>
      </c>
      <c r="O3883">
        <v>4494.67</v>
      </c>
      <c r="P3883">
        <v>1438.88</v>
      </c>
      <c r="Q3883">
        <v>508.31</v>
      </c>
      <c r="R3883">
        <v>2971.47</v>
      </c>
      <c r="S3883">
        <v>1529.03</v>
      </c>
      <c r="T3883">
        <v>60538.89</v>
      </c>
      <c r="U3883">
        <v>23440.77</v>
      </c>
      <c r="V3883">
        <v>5578.14</v>
      </c>
      <c r="W3883">
        <v>4934.22</v>
      </c>
      <c r="X3883">
        <v>71658.27</v>
      </c>
      <c r="Y3883">
        <v>63344.31</v>
      </c>
    </row>
    <row r="3884" spans="1:25" x14ac:dyDescent="0.25">
      <c r="A3884" t="s">
        <v>3940</v>
      </c>
      <c r="B3884" s="1">
        <v>45997</v>
      </c>
      <c r="C3884">
        <v>2025</v>
      </c>
      <c r="D3884">
        <v>12</v>
      </c>
      <c r="E3884" t="s">
        <v>1217</v>
      </c>
      <c r="F3884" t="s">
        <v>1018</v>
      </c>
      <c r="G3884" t="s">
        <v>55</v>
      </c>
      <c r="H3884" t="s">
        <v>53</v>
      </c>
      <c r="I3884" t="s">
        <v>65</v>
      </c>
      <c r="J3884">
        <v>38</v>
      </c>
      <c r="K3884">
        <v>1720.58</v>
      </c>
      <c r="L3884">
        <v>65382.14</v>
      </c>
      <c r="M3884">
        <v>38946.44</v>
      </c>
      <c r="N3884">
        <v>5624.54</v>
      </c>
      <c r="O3884">
        <v>2233.1999999999998</v>
      </c>
      <c r="P3884">
        <v>1392.51</v>
      </c>
      <c r="Q3884">
        <v>510.47</v>
      </c>
      <c r="R3884">
        <v>4031.71</v>
      </c>
      <c r="S3884">
        <v>1599.89</v>
      </c>
      <c r="T3884">
        <v>54338.76</v>
      </c>
      <c r="U3884">
        <v>26435.7</v>
      </c>
      <c r="V3884">
        <v>11043.38</v>
      </c>
      <c r="W3884">
        <v>10425.56</v>
      </c>
      <c r="X3884">
        <v>66208.350000000006</v>
      </c>
      <c r="Y3884">
        <v>59727.86</v>
      </c>
    </row>
    <row r="3885" spans="1:25" x14ac:dyDescent="0.25">
      <c r="A3885" t="s">
        <v>3941</v>
      </c>
      <c r="B3885" s="1">
        <v>45997</v>
      </c>
      <c r="C3885">
        <v>2025</v>
      </c>
      <c r="D3885">
        <v>12</v>
      </c>
      <c r="E3885" t="s">
        <v>1217</v>
      </c>
      <c r="F3885" t="s">
        <v>1018</v>
      </c>
      <c r="G3885" t="s">
        <v>28</v>
      </c>
      <c r="H3885" t="s">
        <v>32</v>
      </c>
      <c r="I3885" t="s">
        <v>65</v>
      </c>
      <c r="J3885">
        <v>84</v>
      </c>
      <c r="K3885">
        <v>957.61</v>
      </c>
      <c r="L3885">
        <v>80439.25</v>
      </c>
      <c r="M3885">
        <v>42928.27</v>
      </c>
      <c r="N3885">
        <v>8902.91</v>
      </c>
      <c r="O3885">
        <v>2523.29</v>
      </c>
      <c r="P3885">
        <v>2330.65</v>
      </c>
      <c r="Q3885">
        <v>794.52</v>
      </c>
      <c r="R3885">
        <v>3402.98</v>
      </c>
      <c r="S3885">
        <v>1104.72</v>
      </c>
      <c r="T3885">
        <v>61987.33</v>
      </c>
      <c r="U3885">
        <v>37510.980000000003</v>
      </c>
      <c r="V3885">
        <v>18451.919999999998</v>
      </c>
      <c r="W3885">
        <v>17922.16</v>
      </c>
      <c r="X3885">
        <v>83505.7</v>
      </c>
      <c r="Y3885">
        <v>58069.97</v>
      </c>
    </row>
    <row r="3886" spans="1:25" x14ac:dyDescent="0.25">
      <c r="A3886" t="s">
        <v>3942</v>
      </c>
      <c r="B3886" s="1">
        <v>45997</v>
      </c>
      <c r="C3886">
        <v>2025</v>
      </c>
      <c r="D3886">
        <v>12</v>
      </c>
      <c r="E3886" t="s">
        <v>1217</v>
      </c>
      <c r="F3886" t="s">
        <v>1018</v>
      </c>
      <c r="G3886" t="s">
        <v>55</v>
      </c>
      <c r="H3886" t="s">
        <v>36</v>
      </c>
      <c r="I3886" t="s">
        <v>45</v>
      </c>
      <c r="J3886">
        <v>56</v>
      </c>
      <c r="K3886">
        <v>867.22</v>
      </c>
      <c r="L3886">
        <v>48564.31</v>
      </c>
      <c r="M3886">
        <v>26254.880000000001</v>
      </c>
      <c r="N3886">
        <v>5654.02</v>
      </c>
      <c r="O3886">
        <v>3320.56</v>
      </c>
      <c r="P3886">
        <v>784.03</v>
      </c>
      <c r="Q3886">
        <v>447.63</v>
      </c>
      <c r="R3886">
        <v>1526.99</v>
      </c>
      <c r="S3886">
        <v>765.94</v>
      </c>
      <c r="T3886">
        <v>38754.04</v>
      </c>
      <c r="U3886">
        <v>22309.439999999999</v>
      </c>
      <c r="V3886">
        <v>9810.27</v>
      </c>
      <c r="W3886">
        <v>9404.76</v>
      </c>
      <c r="X3886">
        <v>46069.29</v>
      </c>
      <c r="Y3886">
        <v>41487.56</v>
      </c>
    </row>
    <row r="3887" spans="1:25" x14ac:dyDescent="0.25">
      <c r="A3887" t="s">
        <v>3943</v>
      </c>
      <c r="B3887" s="1">
        <v>45997</v>
      </c>
      <c r="C3887">
        <v>2025</v>
      </c>
      <c r="D3887">
        <v>12</v>
      </c>
      <c r="E3887" t="s">
        <v>1217</v>
      </c>
      <c r="F3887" t="s">
        <v>1018</v>
      </c>
      <c r="G3887" t="s">
        <v>44</v>
      </c>
      <c r="H3887" t="s">
        <v>32</v>
      </c>
      <c r="I3887" t="s">
        <v>50</v>
      </c>
      <c r="J3887">
        <v>32</v>
      </c>
      <c r="K3887">
        <v>1453.48</v>
      </c>
      <c r="L3887">
        <v>46511.46</v>
      </c>
      <c r="M3887">
        <v>24289.74</v>
      </c>
      <c r="N3887">
        <v>3720.45</v>
      </c>
      <c r="O3887">
        <v>2290.6</v>
      </c>
      <c r="P3887">
        <v>1460.58</v>
      </c>
      <c r="Q3887">
        <v>632.14</v>
      </c>
      <c r="R3887">
        <v>1853.55</v>
      </c>
      <c r="S3887">
        <v>461.45</v>
      </c>
      <c r="T3887">
        <v>34708.51</v>
      </c>
      <c r="U3887">
        <v>22221.72</v>
      </c>
      <c r="V3887">
        <v>11802.95</v>
      </c>
      <c r="W3887">
        <v>11963.03</v>
      </c>
      <c r="X3887">
        <v>52047.69</v>
      </c>
      <c r="Y3887">
        <v>37609.65</v>
      </c>
    </row>
    <row r="3888" spans="1:25" x14ac:dyDescent="0.25">
      <c r="A3888" t="s">
        <v>3944</v>
      </c>
      <c r="B3888" s="1">
        <v>45997</v>
      </c>
      <c r="C3888">
        <v>2025</v>
      </c>
      <c r="D3888">
        <v>12</v>
      </c>
      <c r="E3888" t="s">
        <v>1217</v>
      </c>
      <c r="F3888" t="s">
        <v>1018</v>
      </c>
      <c r="G3888" t="s">
        <v>35</v>
      </c>
      <c r="H3888" t="s">
        <v>53</v>
      </c>
      <c r="I3888" t="s">
        <v>37</v>
      </c>
      <c r="J3888">
        <v>41</v>
      </c>
      <c r="K3888">
        <v>1616.77</v>
      </c>
      <c r="L3888">
        <v>66287.460000000006</v>
      </c>
      <c r="M3888">
        <v>36188.57</v>
      </c>
      <c r="N3888">
        <v>6793.07</v>
      </c>
      <c r="O3888">
        <v>1935.76</v>
      </c>
      <c r="P3888">
        <v>1305.31</v>
      </c>
      <c r="Q3888">
        <v>379.86</v>
      </c>
      <c r="R3888">
        <v>3284.39</v>
      </c>
      <c r="S3888">
        <v>896.7</v>
      </c>
      <c r="T3888">
        <v>50783.66</v>
      </c>
      <c r="U3888">
        <v>30098.9</v>
      </c>
      <c r="V3888">
        <v>15503.8</v>
      </c>
      <c r="W3888">
        <v>14169.23</v>
      </c>
      <c r="X3888">
        <v>65834.16</v>
      </c>
      <c r="Y3888">
        <v>53107.74</v>
      </c>
    </row>
    <row r="3889" spans="1:25" x14ac:dyDescent="0.25">
      <c r="A3889" t="s">
        <v>3945</v>
      </c>
      <c r="B3889" s="1">
        <v>45997</v>
      </c>
      <c r="C3889">
        <v>2025</v>
      </c>
      <c r="D3889">
        <v>12</v>
      </c>
      <c r="E3889" t="s">
        <v>1217</v>
      </c>
      <c r="F3889" t="s">
        <v>1018</v>
      </c>
      <c r="G3889" t="s">
        <v>44</v>
      </c>
      <c r="H3889" t="s">
        <v>58</v>
      </c>
      <c r="I3889" t="s">
        <v>37</v>
      </c>
      <c r="J3889">
        <v>74</v>
      </c>
      <c r="K3889">
        <v>833.81</v>
      </c>
      <c r="L3889">
        <v>61701.86</v>
      </c>
      <c r="M3889">
        <v>31089.25</v>
      </c>
      <c r="N3889">
        <v>7481.2</v>
      </c>
      <c r="O3889">
        <v>4032.93</v>
      </c>
      <c r="P3889">
        <v>1184.18</v>
      </c>
      <c r="Q3889">
        <v>795.07</v>
      </c>
      <c r="R3889">
        <v>3554.45</v>
      </c>
      <c r="S3889">
        <v>682.58</v>
      </c>
      <c r="T3889">
        <v>48819.65</v>
      </c>
      <c r="U3889">
        <v>30612.62</v>
      </c>
      <c r="V3889">
        <v>12882.21</v>
      </c>
      <c r="W3889">
        <v>12551.81</v>
      </c>
      <c r="X3889">
        <v>60900.31</v>
      </c>
      <c r="Y3889">
        <v>51621.16</v>
      </c>
    </row>
    <row r="3890" spans="1:25" x14ac:dyDescent="0.25">
      <c r="A3890" t="s">
        <v>3946</v>
      </c>
      <c r="B3890" s="1">
        <v>45998</v>
      </c>
      <c r="C3890">
        <v>2025</v>
      </c>
      <c r="D3890">
        <v>12</v>
      </c>
      <c r="E3890" t="s">
        <v>1217</v>
      </c>
      <c r="F3890" t="s">
        <v>1018</v>
      </c>
      <c r="G3890" t="s">
        <v>44</v>
      </c>
      <c r="H3890" t="s">
        <v>32</v>
      </c>
      <c r="I3890" t="s">
        <v>37</v>
      </c>
      <c r="J3890">
        <v>57</v>
      </c>
      <c r="K3890">
        <v>1504.64</v>
      </c>
      <c r="L3890">
        <v>85764.25</v>
      </c>
      <c r="M3890">
        <v>56170.12</v>
      </c>
      <c r="N3890">
        <v>6604.38</v>
      </c>
      <c r="O3890">
        <v>5874.29</v>
      </c>
      <c r="P3890">
        <v>1530.22</v>
      </c>
      <c r="Q3890">
        <v>1369.16</v>
      </c>
      <c r="R3890">
        <v>3375.43</v>
      </c>
      <c r="S3890">
        <v>2031.82</v>
      </c>
      <c r="T3890">
        <v>76955.429999999993</v>
      </c>
      <c r="U3890">
        <v>29594.13</v>
      </c>
      <c r="V3890">
        <v>8808.83</v>
      </c>
      <c r="W3890">
        <v>8741.2199999999993</v>
      </c>
      <c r="X3890">
        <v>83752.12</v>
      </c>
      <c r="Y3890">
        <v>82567.990000000005</v>
      </c>
    </row>
    <row r="3891" spans="1:25" x14ac:dyDescent="0.25">
      <c r="A3891" t="s">
        <v>3947</v>
      </c>
      <c r="B3891" s="1">
        <v>45998</v>
      </c>
      <c r="C3891">
        <v>2025</v>
      </c>
      <c r="D3891">
        <v>12</v>
      </c>
      <c r="E3891" t="s">
        <v>1217</v>
      </c>
      <c r="F3891" t="s">
        <v>1018</v>
      </c>
      <c r="G3891" t="s">
        <v>55</v>
      </c>
      <c r="H3891" t="s">
        <v>36</v>
      </c>
      <c r="I3891" t="s">
        <v>65</v>
      </c>
      <c r="J3891">
        <v>62</v>
      </c>
      <c r="K3891">
        <v>943.15</v>
      </c>
      <c r="L3891">
        <v>58475.31</v>
      </c>
      <c r="M3891">
        <v>36547.96</v>
      </c>
      <c r="N3891">
        <v>7201.74</v>
      </c>
      <c r="O3891">
        <v>3758.83</v>
      </c>
      <c r="P3891">
        <v>2528.06</v>
      </c>
      <c r="Q3891">
        <v>757.98</v>
      </c>
      <c r="R3891">
        <v>1703.22</v>
      </c>
      <c r="S3891">
        <v>612.98</v>
      </c>
      <c r="T3891">
        <v>53110.78</v>
      </c>
      <c r="U3891">
        <v>21927.35</v>
      </c>
      <c r="V3891">
        <v>5364.53</v>
      </c>
      <c r="W3891">
        <v>4924.26</v>
      </c>
      <c r="X3891">
        <v>59957.55</v>
      </c>
      <c r="Y3891">
        <v>58048.98</v>
      </c>
    </row>
    <row r="3892" spans="1:25" x14ac:dyDescent="0.25">
      <c r="A3892" t="s">
        <v>3948</v>
      </c>
      <c r="B3892" s="1">
        <v>45998</v>
      </c>
      <c r="C3892">
        <v>2025</v>
      </c>
      <c r="D3892">
        <v>12</v>
      </c>
      <c r="E3892" t="s">
        <v>1217</v>
      </c>
      <c r="F3892" t="s">
        <v>1018</v>
      </c>
      <c r="G3892" t="s">
        <v>35</v>
      </c>
      <c r="H3892" t="s">
        <v>29</v>
      </c>
      <c r="I3892" t="s">
        <v>56</v>
      </c>
      <c r="J3892">
        <v>21</v>
      </c>
      <c r="K3892">
        <v>1481.39</v>
      </c>
      <c r="L3892">
        <v>31109.19</v>
      </c>
      <c r="M3892">
        <v>16890.25</v>
      </c>
      <c r="N3892">
        <v>2389.75</v>
      </c>
      <c r="O3892">
        <v>943.67</v>
      </c>
      <c r="P3892">
        <v>721.44</v>
      </c>
      <c r="Q3892">
        <v>384.85</v>
      </c>
      <c r="R3892">
        <v>1928.82</v>
      </c>
      <c r="S3892">
        <v>319.02999999999997</v>
      </c>
      <c r="T3892">
        <v>23577.8</v>
      </c>
      <c r="U3892">
        <v>14218.94</v>
      </c>
      <c r="V3892">
        <v>7531.38</v>
      </c>
      <c r="W3892">
        <v>6828.08</v>
      </c>
      <c r="X3892">
        <v>30426.65</v>
      </c>
      <c r="Y3892">
        <v>24196.73</v>
      </c>
    </row>
    <row r="3893" spans="1:25" x14ac:dyDescent="0.25">
      <c r="A3893" t="s">
        <v>3949</v>
      </c>
      <c r="B3893" s="1">
        <v>45998</v>
      </c>
      <c r="C3893">
        <v>2025</v>
      </c>
      <c r="D3893">
        <v>12</v>
      </c>
      <c r="E3893" t="s">
        <v>1217</v>
      </c>
      <c r="F3893" t="s">
        <v>1018</v>
      </c>
      <c r="G3893" t="s">
        <v>35</v>
      </c>
      <c r="H3893" t="s">
        <v>32</v>
      </c>
      <c r="I3893" t="s">
        <v>50</v>
      </c>
      <c r="J3893">
        <v>41</v>
      </c>
      <c r="K3893">
        <v>1265.99</v>
      </c>
      <c r="L3893">
        <v>51905.59</v>
      </c>
      <c r="M3893">
        <v>26745.03</v>
      </c>
      <c r="N3893">
        <v>4826.5</v>
      </c>
      <c r="O3893">
        <v>2657.14</v>
      </c>
      <c r="P3893">
        <v>2027.34</v>
      </c>
      <c r="Q3893">
        <v>293.75</v>
      </c>
      <c r="R3893">
        <v>3214.21</v>
      </c>
      <c r="S3893">
        <v>1041.3900000000001</v>
      </c>
      <c r="T3893">
        <v>40805.35</v>
      </c>
      <c r="U3893">
        <v>25160.560000000001</v>
      </c>
      <c r="V3893">
        <v>11100.24</v>
      </c>
      <c r="W3893">
        <v>10729.92</v>
      </c>
      <c r="X3893">
        <v>48168.06</v>
      </c>
      <c r="Y3893">
        <v>41055.230000000003</v>
      </c>
    </row>
    <row r="3894" spans="1:25" x14ac:dyDescent="0.25">
      <c r="A3894" t="s">
        <v>3950</v>
      </c>
      <c r="B3894" s="1">
        <v>45999</v>
      </c>
      <c r="C3894">
        <v>2025</v>
      </c>
      <c r="D3894">
        <v>12</v>
      </c>
      <c r="E3894" t="s">
        <v>1217</v>
      </c>
      <c r="F3894" t="s">
        <v>1018</v>
      </c>
      <c r="G3894" t="s">
        <v>44</v>
      </c>
      <c r="H3894" t="s">
        <v>32</v>
      </c>
      <c r="I3894" t="s">
        <v>56</v>
      </c>
      <c r="J3894">
        <v>36</v>
      </c>
      <c r="K3894">
        <v>1108.42</v>
      </c>
      <c r="L3894">
        <v>39903.29</v>
      </c>
      <c r="M3894">
        <v>25013.56</v>
      </c>
      <c r="N3894">
        <v>2919.73</v>
      </c>
      <c r="O3894">
        <v>1886.76</v>
      </c>
      <c r="P3894">
        <v>1628.32</v>
      </c>
      <c r="Q3894">
        <v>398.7</v>
      </c>
      <c r="R3894">
        <v>1988.99</v>
      </c>
      <c r="S3894">
        <v>560.32000000000005</v>
      </c>
      <c r="T3894">
        <v>34396.39</v>
      </c>
      <c r="U3894">
        <v>14889.73</v>
      </c>
      <c r="V3894">
        <v>5506.9</v>
      </c>
      <c r="W3894">
        <v>5222.28</v>
      </c>
      <c r="X3894">
        <v>38607.199999999997</v>
      </c>
      <c r="Y3894">
        <v>34909.53</v>
      </c>
    </row>
    <row r="3895" spans="1:25" x14ac:dyDescent="0.25">
      <c r="A3895" t="s">
        <v>3951</v>
      </c>
      <c r="B3895" s="1">
        <v>45999</v>
      </c>
      <c r="C3895">
        <v>2025</v>
      </c>
      <c r="D3895">
        <v>12</v>
      </c>
      <c r="E3895" t="s">
        <v>1217</v>
      </c>
      <c r="F3895" t="s">
        <v>1018</v>
      </c>
      <c r="G3895" t="s">
        <v>35</v>
      </c>
      <c r="H3895" t="s">
        <v>29</v>
      </c>
      <c r="I3895" t="s">
        <v>37</v>
      </c>
      <c r="J3895">
        <v>38</v>
      </c>
      <c r="K3895">
        <v>1326.92</v>
      </c>
      <c r="L3895">
        <v>50422.879999999997</v>
      </c>
      <c r="M3895">
        <v>29756.59</v>
      </c>
      <c r="N3895">
        <v>4301.87</v>
      </c>
      <c r="O3895">
        <v>1541.03</v>
      </c>
      <c r="P3895">
        <v>925.16</v>
      </c>
      <c r="Q3895">
        <v>755.23</v>
      </c>
      <c r="R3895">
        <v>2882.95</v>
      </c>
      <c r="S3895">
        <v>1124.1600000000001</v>
      </c>
      <c r="T3895">
        <v>41286.99</v>
      </c>
      <c r="U3895">
        <v>20666.3</v>
      </c>
      <c r="V3895">
        <v>9135.89</v>
      </c>
      <c r="W3895">
        <v>8843.94</v>
      </c>
      <c r="X3895">
        <v>53975.03</v>
      </c>
      <c r="Y3895">
        <v>44600.83</v>
      </c>
    </row>
    <row r="3896" spans="1:25" x14ac:dyDescent="0.25">
      <c r="A3896" t="s">
        <v>3952</v>
      </c>
      <c r="B3896" s="1">
        <v>45999</v>
      </c>
      <c r="C3896">
        <v>2025</v>
      </c>
      <c r="D3896">
        <v>12</v>
      </c>
      <c r="E3896" t="s">
        <v>1217</v>
      </c>
      <c r="F3896" t="s">
        <v>1018</v>
      </c>
      <c r="G3896" t="s">
        <v>35</v>
      </c>
      <c r="H3896" t="s">
        <v>36</v>
      </c>
      <c r="I3896" t="s">
        <v>30</v>
      </c>
      <c r="J3896">
        <v>72</v>
      </c>
      <c r="K3896">
        <v>878.25</v>
      </c>
      <c r="L3896">
        <v>63233.99</v>
      </c>
      <c r="M3896">
        <v>40173.75</v>
      </c>
      <c r="N3896">
        <v>6930.14</v>
      </c>
      <c r="O3896">
        <v>2204.65</v>
      </c>
      <c r="P3896">
        <v>1440.74</v>
      </c>
      <c r="Q3896">
        <v>947.38</v>
      </c>
      <c r="R3896">
        <v>4074.41</v>
      </c>
      <c r="S3896">
        <v>812.49</v>
      </c>
      <c r="T3896">
        <v>56583.56</v>
      </c>
      <c r="U3896">
        <v>23060.240000000002</v>
      </c>
      <c r="V3896">
        <v>6650.43</v>
      </c>
      <c r="W3896">
        <v>6040.22</v>
      </c>
      <c r="X3896">
        <v>59217.66</v>
      </c>
      <c r="Y3896">
        <v>55054.879999999997</v>
      </c>
    </row>
    <row r="3897" spans="1:25" x14ac:dyDescent="0.25">
      <c r="A3897" t="s">
        <v>3953</v>
      </c>
      <c r="B3897" s="1">
        <v>45999</v>
      </c>
      <c r="C3897">
        <v>2025</v>
      </c>
      <c r="D3897">
        <v>12</v>
      </c>
      <c r="E3897" t="s">
        <v>1217</v>
      </c>
      <c r="F3897" t="s">
        <v>1018</v>
      </c>
      <c r="G3897" t="s">
        <v>55</v>
      </c>
      <c r="H3897" t="s">
        <v>36</v>
      </c>
      <c r="I3897" t="s">
        <v>65</v>
      </c>
      <c r="J3897">
        <v>57</v>
      </c>
      <c r="K3897">
        <v>976.13</v>
      </c>
      <c r="L3897">
        <v>55639.69</v>
      </c>
      <c r="M3897">
        <v>32377.06</v>
      </c>
      <c r="N3897">
        <v>6200.37</v>
      </c>
      <c r="O3897">
        <v>2629.79</v>
      </c>
      <c r="P3897">
        <v>951.82</v>
      </c>
      <c r="Q3897">
        <v>300.55</v>
      </c>
      <c r="R3897">
        <v>1743.6</v>
      </c>
      <c r="S3897">
        <v>663.56</v>
      </c>
      <c r="T3897">
        <v>44866.74</v>
      </c>
      <c r="U3897">
        <v>23262.63</v>
      </c>
      <c r="V3897">
        <v>10772.95</v>
      </c>
      <c r="W3897">
        <v>10384.41</v>
      </c>
      <c r="X3897">
        <v>57248.83</v>
      </c>
      <c r="Y3897">
        <v>46168.62</v>
      </c>
    </row>
    <row r="3898" spans="1:25" x14ac:dyDescent="0.25">
      <c r="A3898" t="s">
        <v>3954</v>
      </c>
      <c r="B3898" s="1">
        <v>45999</v>
      </c>
      <c r="C3898">
        <v>2025</v>
      </c>
      <c r="D3898">
        <v>12</v>
      </c>
      <c r="E3898" t="s">
        <v>1217</v>
      </c>
      <c r="F3898" t="s">
        <v>1018</v>
      </c>
      <c r="G3898" t="s">
        <v>44</v>
      </c>
      <c r="H3898" t="s">
        <v>58</v>
      </c>
      <c r="I3898" t="s">
        <v>65</v>
      </c>
      <c r="J3898">
        <v>26</v>
      </c>
      <c r="K3898">
        <v>1648.82</v>
      </c>
      <c r="L3898">
        <v>42869.4</v>
      </c>
      <c r="M3898">
        <v>21933.27</v>
      </c>
      <c r="N3898">
        <v>4528.75</v>
      </c>
      <c r="O3898">
        <v>1225.5899999999999</v>
      </c>
      <c r="P3898">
        <v>1422.1</v>
      </c>
      <c r="Q3898">
        <v>313.31</v>
      </c>
      <c r="R3898">
        <v>1408.59</v>
      </c>
      <c r="S3898">
        <v>696.88</v>
      </c>
      <c r="T3898">
        <v>31528.49</v>
      </c>
      <c r="U3898">
        <v>20936.13</v>
      </c>
      <c r="V3898">
        <v>11340.91</v>
      </c>
      <c r="W3898">
        <v>11325.93</v>
      </c>
      <c r="X3898">
        <v>43281.64</v>
      </c>
      <c r="Y3898">
        <v>33345.99</v>
      </c>
    </row>
    <row r="3899" spans="1:25" x14ac:dyDescent="0.25">
      <c r="A3899" t="s">
        <v>3955</v>
      </c>
      <c r="B3899" s="1">
        <v>45999</v>
      </c>
      <c r="C3899">
        <v>2025</v>
      </c>
      <c r="D3899">
        <v>12</v>
      </c>
      <c r="E3899" t="s">
        <v>1217</v>
      </c>
      <c r="F3899" t="s">
        <v>1018</v>
      </c>
      <c r="G3899" t="s">
        <v>55</v>
      </c>
      <c r="H3899" t="s">
        <v>53</v>
      </c>
      <c r="I3899" t="s">
        <v>37</v>
      </c>
      <c r="J3899">
        <v>48</v>
      </c>
      <c r="K3899">
        <v>1645.51</v>
      </c>
      <c r="L3899">
        <v>78984.3</v>
      </c>
      <c r="M3899">
        <v>51730.79</v>
      </c>
      <c r="N3899">
        <v>7301.96</v>
      </c>
      <c r="O3899">
        <v>3184.84</v>
      </c>
      <c r="P3899">
        <v>2994.34</v>
      </c>
      <c r="Q3899">
        <v>1296.27</v>
      </c>
      <c r="R3899">
        <v>2655.67</v>
      </c>
      <c r="S3899">
        <v>1107.54</v>
      </c>
      <c r="T3899">
        <v>70271.41</v>
      </c>
      <c r="U3899">
        <v>27253.5</v>
      </c>
      <c r="V3899">
        <v>8712.89</v>
      </c>
      <c r="W3899">
        <v>7678.33</v>
      </c>
      <c r="X3899">
        <v>78524.08</v>
      </c>
      <c r="Y3899">
        <v>67100.320000000007</v>
      </c>
    </row>
    <row r="3900" spans="1:25" x14ac:dyDescent="0.25">
      <c r="A3900" t="s">
        <v>3956</v>
      </c>
      <c r="B3900" s="1">
        <v>46001</v>
      </c>
      <c r="C3900">
        <v>2025</v>
      </c>
      <c r="D3900">
        <v>12</v>
      </c>
      <c r="E3900" t="s">
        <v>1217</v>
      </c>
      <c r="F3900" t="s">
        <v>1018</v>
      </c>
      <c r="G3900" t="s">
        <v>55</v>
      </c>
      <c r="H3900" t="s">
        <v>29</v>
      </c>
      <c r="I3900" t="s">
        <v>56</v>
      </c>
      <c r="J3900">
        <v>37</v>
      </c>
      <c r="K3900">
        <v>1214</v>
      </c>
      <c r="L3900">
        <v>44918.06</v>
      </c>
      <c r="M3900">
        <v>25716.92</v>
      </c>
      <c r="N3900">
        <v>5473.97</v>
      </c>
      <c r="O3900">
        <v>3342.63</v>
      </c>
      <c r="P3900">
        <v>913.32</v>
      </c>
      <c r="Q3900">
        <v>495.21</v>
      </c>
      <c r="R3900">
        <v>2438.29</v>
      </c>
      <c r="S3900">
        <v>684.07</v>
      </c>
      <c r="T3900">
        <v>39064.400000000001</v>
      </c>
      <c r="U3900">
        <v>19201.14</v>
      </c>
      <c r="V3900">
        <v>5853.65</v>
      </c>
      <c r="W3900">
        <v>5692.29</v>
      </c>
      <c r="X3900">
        <v>45945.24</v>
      </c>
      <c r="Y3900">
        <v>42890.26</v>
      </c>
    </row>
    <row r="3901" spans="1:25" x14ac:dyDescent="0.25">
      <c r="A3901" t="s">
        <v>3957</v>
      </c>
      <c r="B3901" s="1">
        <v>46001</v>
      </c>
      <c r="C3901">
        <v>2025</v>
      </c>
      <c r="D3901">
        <v>12</v>
      </c>
      <c r="E3901" t="s">
        <v>1217</v>
      </c>
      <c r="F3901" t="s">
        <v>1018</v>
      </c>
      <c r="G3901" t="s">
        <v>28</v>
      </c>
      <c r="H3901" t="s">
        <v>32</v>
      </c>
      <c r="I3901" t="s">
        <v>33</v>
      </c>
      <c r="J3901">
        <v>84</v>
      </c>
      <c r="K3901">
        <v>1254.81</v>
      </c>
      <c r="L3901">
        <v>105403.82</v>
      </c>
      <c r="M3901">
        <v>61542.66</v>
      </c>
      <c r="N3901">
        <v>7606.33</v>
      </c>
      <c r="O3901">
        <v>3673.77</v>
      </c>
      <c r="P3901">
        <v>3103.61</v>
      </c>
      <c r="Q3901">
        <v>1380.66</v>
      </c>
      <c r="R3901">
        <v>3619.33</v>
      </c>
      <c r="S3901">
        <v>2290.63</v>
      </c>
      <c r="T3901">
        <v>83217</v>
      </c>
      <c r="U3901">
        <v>43861.16</v>
      </c>
      <c r="V3901">
        <v>22186.82</v>
      </c>
      <c r="W3901">
        <v>21369.49</v>
      </c>
      <c r="X3901">
        <v>106519.48</v>
      </c>
      <c r="Y3901">
        <v>83775.8</v>
      </c>
    </row>
    <row r="3902" spans="1:25" x14ac:dyDescent="0.25">
      <c r="A3902" t="s">
        <v>3958</v>
      </c>
      <c r="B3902" s="1">
        <v>46003</v>
      </c>
      <c r="C3902">
        <v>2025</v>
      </c>
      <c r="D3902">
        <v>12</v>
      </c>
      <c r="E3902" t="s">
        <v>1217</v>
      </c>
      <c r="F3902" t="s">
        <v>1018</v>
      </c>
      <c r="G3902" t="s">
        <v>44</v>
      </c>
      <c r="H3902" t="s">
        <v>36</v>
      </c>
      <c r="I3902" t="s">
        <v>50</v>
      </c>
      <c r="J3902">
        <v>52</v>
      </c>
      <c r="K3902">
        <v>817.86</v>
      </c>
      <c r="L3902">
        <v>42528.54</v>
      </c>
      <c r="M3902">
        <v>22416.28</v>
      </c>
      <c r="N3902">
        <v>4177.72</v>
      </c>
      <c r="O3902">
        <v>1864.98</v>
      </c>
      <c r="P3902">
        <v>824.52</v>
      </c>
      <c r="Q3902">
        <v>700.65</v>
      </c>
      <c r="R3902">
        <v>2756.98</v>
      </c>
      <c r="S3902">
        <v>470.2</v>
      </c>
      <c r="T3902">
        <v>33211.339999999997</v>
      </c>
      <c r="U3902">
        <v>20112.259999999998</v>
      </c>
      <c r="V3902">
        <v>9317.2000000000007</v>
      </c>
      <c r="W3902">
        <v>8579.14</v>
      </c>
      <c r="X3902">
        <v>40012.89</v>
      </c>
      <c r="Y3902">
        <v>31286.95</v>
      </c>
    </row>
    <row r="3903" spans="1:25" x14ac:dyDescent="0.25">
      <c r="A3903" t="s">
        <v>3959</v>
      </c>
      <c r="B3903" s="1">
        <v>46003</v>
      </c>
      <c r="C3903">
        <v>2025</v>
      </c>
      <c r="D3903">
        <v>12</v>
      </c>
      <c r="E3903" t="s">
        <v>1217</v>
      </c>
      <c r="F3903" t="s">
        <v>1018</v>
      </c>
      <c r="G3903" t="s">
        <v>35</v>
      </c>
      <c r="H3903" t="s">
        <v>53</v>
      </c>
      <c r="I3903" t="s">
        <v>39</v>
      </c>
      <c r="J3903">
        <v>27</v>
      </c>
      <c r="K3903">
        <v>1460.5</v>
      </c>
      <c r="L3903">
        <v>39433.4</v>
      </c>
      <c r="M3903">
        <v>25185.48</v>
      </c>
      <c r="N3903">
        <v>2826.95</v>
      </c>
      <c r="O3903">
        <v>2315.84</v>
      </c>
      <c r="P3903">
        <v>1551.28</v>
      </c>
      <c r="Q3903">
        <v>260.99</v>
      </c>
      <c r="R3903">
        <v>1107.8599999999999</v>
      </c>
      <c r="S3903">
        <v>913.88</v>
      </c>
      <c r="T3903">
        <v>34162.28</v>
      </c>
      <c r="U3903">
        <v>14247.92</v>
      </c>
      <c r="V3903">
        <v>5271.12</v>
      </c>
      <c r="W3903">
        <v>4660.82</v>
      </c>
      <c r="X3903">
        <v>40091.730000000003</v>
      </c>
      <c r="Y3903">
        <v>36588.76</v>
      </c>
    </row>
    <row r="3904" spans="1:25" x14ac:dyDescent="0.25">
      <c r="A3904" t="s">
        <v>3960</v>
      </c>
      <c r="B3904" s="1">
        <v>46003</v>
      </c>
      <c r="C3904">
        <v>2025</v>
      </c>
      <c r="D3904">
        <v>12</v>
      </c>
      <c r="E3904" t="s">
        <v>1217</v>
      </c>
      <c r="F3904" t="s">
        <v>1018</v>
      </c>
      <c r="G3904" t="s">
        <v>28</v>
      </c>
      <c r="H3904" t="s">
        <v>32</v>
      </c>
      <c r="I3904" t="s">
        <v>39</v>
      </c>
      <c r="J3904">
        <v>43</v>
      </c>
      <c r="K3904">
        <v>1546.06</v>
      </c>
      <c r="L3904">
        <v>66480.740000000005</v>
      </c>
      <c r="M3904">
        <v>38931.81</v>
      </c>
      <c r="N3904">
        <v>6373.38</v>
      </c>
      <c r="O3904">
        <v>4881.76</v>
      </c>
      <c r="P3904">
        <v>2786.39</v>
      </c>
      <c r="Q3904">
        <v>569.14</v>
      </c>
      <c r="R3904">
        <v>4007.29</v>
      </c>
      <c r="S3904">
        <v>1620.1</v>
      </c>
      <c r="T3904">
        <v>59169.87</v>
      </c>
      <c r="U3904">
        <v>27548.92</v>
      </c>
      <c r="V3904">
        <v>7310.86</v>
      </c>
      <c r="W3904">
        <v>7347.26</v>
      </c>
      <c r="X3904">
        <v>70380.22</v>
      </c>
      <c r="Y3904">
        <v>63200.67</v>
      </c>
    </row>
    <row r="3905" spans="1:25" x14ac:dyDescent="0.25">
      <c r="A3905" t="s">
        <v>3961</v>
      </c>
      <c r="B3905" s="1">
        <v>46003</v>
      </c>
      <c r="C3905">
        <v>2025</v>
      </c>
      <c r="D3905">
        <v>12</v>
      </c>
      <c r="E3905" t="s">
        <v>1217</v>
      </c>
      <c r="F3905" t="s">
        <v>1018</v>
      </c>
      <c r="G3905" t="s">
        <v>35</v>
      </c>
      <c r="H3905" t="s">
        <v>36</v>
      </c>
      <c r="I3905" t="s">
        <v>37</v>
      </c>
      <c r="J3905">
        <v>33</v>
      </c>
      <c r="K3905">
        <v>1659.06</v>
      </c>
      <c r="L3905">
        <v>54748.84</v>
      </c>
      <c r="M3905">
        <v>30210.38</v>
      </c>
      <c r="N3905">
        <v>6152.13</v>
      </c>
      <c r="O3905">
        <v>3710.31</v>
      </c>
      <c r="P3905">
        <v>1975.87</v>
      </c>
      <c r="Q3905">
        <v>855.51</v>
      </c>
      <c r="R3905">
        <v>2583.04</v>
      </c>
      <c r="S3905">
        <v>912.64</v>
      </c>
      <c r="T3905">
        <v>46399.89</v>
      </c>
      <c r="U3905">
        <v>24538.45</v>
      </c>
      <c r="V3905">
        <v>8348.9500000000007</v>
      </c>
      <c r="W3905">
        <v>7528.92</v>
      </c>
      <c r="X3905">
        <v>57268.79</v>
      </c>
      <c r="Y3905">
        <v>47072.07</v>
      </c>
    </row>
    <row r="3906" spans="1:25" x14ac:dyDescent="0.25">
      <c r="A3906" t="s">
        <v>3962</v>
      </c>
      <c r="B3906" s="1">
        <v>46003</v>
      </c>
      <c r="C3906">
        <v>2025</v>
      </c>
      <c r="D3906">
        <v>12</v>
      </c>
      <c r="E3906" t="s">
        <v>1217</v>
      </c>
      <c r="F3906" t="s">
        <v>1018</v>
      </c>
      <c r="G3906" t="s">
        <v>28</v>
      </c>
      <c r="H3906" t="s">
        <v>32</v>
      </c>
      <c r="I3906" t="s">
        <v>30</v>
      </c>
      <c r="J3906">
        <v>110</v>
      </c>
      <c r="K3906">
        <v>1137.3399999999999</v>
      </c>
      <c r="L3906">
        <v>125107.94</v>
      </c>
      <c r="M3906">
        <v>61603.15</v>
      </c>
      <c r="N3906">
        <v>14837.6</v>
      </c>
      <c r="O3906">
        <v>6844.95</v>
      </c>
      <c r="P3906">
        <v>2917.26</v>
      </c>
      <c r="Q3906">
        <v>879.57</v>
      </c>
      <c r="R3906">
        <v>4849.5</v>
      </c>
      <c r="S3906">
        <v>1144.95</v>
      </c>
      <c r="T3906">
        <v>93076.99</v>
      </c>
      <c r="U3906">
        <v>63504.79</v>
      </c>
      <c r="V3906">
        <v>32030.959999999999</v>
      </c>
      <c r="W3906">
        <v>28925.89</v>
      </c>
      <c r="X3906">
        <v>130381.91</v>
      </c>
      <c r="Y3906">
        <v>94507.62</v>
      </c>
    </row>
    <row r="3907" spans="1:25" x14ac:dyDescent="0.25">
      <c r="A3907" t="s">
        <v>3963</v>
      </c>
      <c r="B3907" s="1">
        <v>46003</v>
      </c>
      <c r="C3907">
        <v>2025</v>
      </c>
      <c r="D3907">
        <v>12</v>
      </c>
      <c r="E3907" t="s">
        <v>1217</v>
      </c>
      <c r="F3907" t="s">
        <v>1018</v>
      </c>
      <c r="G3907" t="s">
        <v>35</v>
      </c>
      <c r="H3907" t="s">
        <v>58</v>
      </c>
      <c r="I3907" t="s">
        <v>39</v>
      </c>
      <c r="J3907">
        <v>24</v>
      </c>
      <c r="K3907">
        <v>1707.63</v>
      </c>
      <c r="L3907">
        <v>40983.129999999997</v>
      </c>
      <c r="M3907">
        <v>24902.19</v>
      </c>
      <c r="N3907">
        <v>4097.05</v>
      </c>
      <c r="O3907">
        <v>2199.11</v>
      </c>
      <c r="P3907">
        <v>1582.29</v>
      </c>
      <c r="Q3907">
        <v>336.23</v>
      </c>
      <c r="R3907">
        <v>1812.94</v>
      </c>
      <c r="S3907">
        <v>336.09</v>
      </c>
      <c r="T3907">
        <v>35265.9</v>
      </c>
      <c r="U3907">
        <v>16080.93</v>
      </c>
      <c r="V3907">
        <v>5717.23</v>
      </c>
      <c r="W3907">
        <v>5386.29</v>
      </c>
      <c r="X3907">
        <v>37994.9</v>
      </c>
      <c r="Y3907">
        <v>37253.5</v>
      </c>
    </row>
    <row r="3908" spans="1:25" x14ac:dyDescent="0.25">
      <c r="A3908" t="s">
        <v>3964</v>
      </c>
      <c r="B3908" s="1">
        <v>46004</v>
      </c>
      <c r="C3908">
        <v>2025</v>
      </c>
      <c r="D3908">
        <v>12</v>
      </c>
      <c r="E3908" t="s">
        <v>1217</v>
      </c>
      <c r="F3908" t="s">
        <v>1018</v>
      </c>
      <c r="G3908" t="s">
        <v>35</v>
      </c>
      <c r="H3908" t="s">
        <v>36</v>
      </c>
      <c r="I3908" t="s">
        <v>50</v>
      </c>
      <c r="J3908">
        <v>28</v>
      </c>
      <c r="K3908">
        <v>1555.87</v>
      </c>
      <c r="L3908">
        <v>43564.34</v>
      </c>
      <c r="M3908">
        <v>26402.65</v>
      </c>
      <c r="N3908">
        <v>3248.4</v>
      </c>
      <c r="O3908">
        <v>2993.17</v>
      </c>
      <c r="P3908">
        <v>893.18</v>
      </c>
      <c r="Q3908">
        <v>376.77</v>
      </c>
      <c r="R3908">
        <v>1368.34</v>
      </c>
      <c r="S3908">
        <v>407.31</v>
      </c>
      <c r="T3908">
        <v>35689.82</v>
      </c>
      <c r="U3908">
        <v>17161.7</v>
      </c>
      <c r="V3908">
        <v>7874.52</v>
      </c>
      <c r="W3908">
        <v>7847.06</v>
      </c>
      <c r="X3908">
        <v>43063.74</v>
      </c>
      <c r="Y3908">
        <v>38516.92</v>
      </c>
    </row>
    <row r="3909" spans="1:25" x14ac:dyDescent="0.25">
      <c r="A3909" t="s">
        <v>3965</v>
      </c>
      <c r="B3909" s="1">
        <v>46004</v>
      </c>
      <c r="C3909">
        <v>2025</v>
      </c>
      <c r="D3909">
        <v>12</v>
      </c>
      <c r="E3909" t="s">
        <v>1217</v>
      </c>
      <c r="F3909" t="s">
        <v>1018</v>
      </c>
      <c r="G3909" t="s">
        <v>35</v>
      </c>
      <c r="H3909" t="s">
        <v>32</v>
      </c>
      <c r="I3909" t="s">
        <v>39</v>
      </c>
      <c r="J3909">
        <v>37</v>
      </c>
      <c r="K3909">
        <v>1185.69</v>
      </c>
      <c r="L3909">
        <v>43870.45</v>
      </c>
      <c r="M3909">
        <v>21325.64</v>
      </c>
      <c r="N3909">
        <v>4624.53</v>
      </c>
      <c r="O3909">
        <v>1749.77</v>
      </c>
      <c r="P3909">
        <v>1469.26</v>
      </c>
      <c r="Q3909">
        <v>402.59</v>
      </c>
      <c r="R3909">
        <v>2192.58</v>
      </c>
      <c r="S3909">
        <v>816.5</v>
      </c>
      <c r="T3909">
        <v>32580.87</v>
      </c>
      <c r="U3909">
        <v>22544.81</v>
      </c>
      <c r="V3909">
        <v>11289.58</v>
      </c>
      <c r="W3909">
        <v>10629.37</v>
      </c>
      <c r="X3909">
        <v>43854.92</v>
      </c>
      <c r="Y3909">
        <v>31797.54</v>
      </c>
    </row>
    <row r="3910" spans="1:25" x14ac:dyDescent="0.25">
      <c r="A3910" t="s">
        <v>3966</v>
      </c>
      <c r="B3910" s="1">
        <v>46004</v>
      </c>
      <c r="C3910">
        <v>2025</v>
      </c>
      <c r="D3910">
        <v>12</v>
      </c>
      <c r="E3910" t="s">
        <v>1217</v>
      </c>
      <c r="F3910" t="s">
        <v>1018</v>
      </c>
      <c r="G3910" t="s">
        <v>55</v>
      </c>
      <c r="H3910" t="s">
        <v>36</v>
      </c>
      <c r="I3910" t="s">
        <v>37</v>
      </c>
      <c r="J3910">
        <v>46</v>
      </c>
      <c r="K3910">
        <v>1531.02</v>
      </c>
      <c r="L3910">
        <v>70427.05</v>
      </c>
      <c r="M3910">
        <v>45731.26</v>
      </c>
      <c r="N3910">
        <v>7473.49</v>
      </c>
      <c r="O3910">
        <v>3354.41</v>
      </c>
      <c r="P3910">
        <v>1953.97</v>
      </c>
      <c r="Q3910">
        <v>1162.6600000000001</v>
      </c>
      <c r="R3910">
        <v>2338.62</v>
      </c>
      <c r="S3910">
        <v>1184.24</v>
      </c>
      <c r="T3910">
        <v>63198.64</v>
      </c>
      <c r="U3910">
        <v>24695.79</v>
      </c>
      <c r="V3910">
        <v>7228.4</v>
      </c>
      <c r="W3910">
        <v>6964.18</v>
      </c>
      <c r="X3910">
        <v>65211.29</v>
      </c>
      <c r="Y3910">
        <v>66685</v>
      </c>
    </row>
    <row r="3911" spans="1:25" x14ac:dyDescent="0.25">
      <c r="A3911" t="s">
        <v>3967</v>
      </c>
      <c r="B3911" s="1">
        <v>46005</v>
      </c>
      <c r="C3911">
        <v>2025</v>
      </c>
      <c r="D3911">
        <v>12</v>
      </c>
      <c r="E3911" t="s">
        <v>1217</v>
      </c>
      <c r="F3911" t="s">
        <v>1018</v>
      </c>
      <c r="G3911" t="s">
        <v>55</v>
      </c>
      <c r="H3911" t="s">
        <v>58</v>
      </c>
      <c r="I3911" t="s">
        <v>56</v>
      </c>
      <c r="J3911">
        <v>33</v>
      </c>
      <c r="K3911">
        <v>987.08</v>
      </c>
      <c r="L3911">
        <v>32573.54</v>
      </c>
      <c r="M3911">
        <v>18227.21</v>
      </c>
      <c r="N3911">
        <v>2901.04</v>
      </c>
      <c r="O3911">
        <v>1014.41</v>
      </c>
      <c r="P3911">
        <v>941.15</v>
      </c>
      <c r="Q3911">
        <v>483.88</v>
      </c>
      <c r="R3911">
        <v>2034.46</v>
      </c>
      <c r="S3911">
        <v>338.49</v>
      </c>
      <c r="T3911">
        <v>25940.63</v>
      </c>
      <c r="U3911">
        <v>14346.33</v>
      </c>
      <c r="V3911">
        <v>6632.91</v>
      </c>
      <c r="W3911">
        <v>6597.85</v>
      </c>
      <c r="X3911">
        <v>35566.33</v>
      </c>
      <c r="Y3911">
        <v>25171.27</v>
      </c>
    </row>
    <row r="3912" spans="1:25" x14ac:dyDescent="0.25">
      <c r="A3912" t="s">
        <v>3968</v>
      </c>
      <c r="B3912" s="1">
        <v>46006</v>
      </c>
      <c r="C3912">
        <v>2025</v>
      </c>
      <c r="D3912">
        <v>12</v>
      </c>
      <c r="E3912" t="s">
        <v>1217</v>
      </c>
      <c r="F3912" t="s">
        <v>1018</v>
      </c>
      <c r="G3912" t="s">
        <v>55</v>
      </c>
      <c r="H3912" t="s">
        <v>32</v>
      </c>
      <c r="I3912" t="s">
        <v>56</v>
      </c>
      <c r="J3912">
        <v>32</v>
      </c>
      <c r="K3912">
        <v>1629.37</v>
      </c>
      <c r="L3912">
        <v>52139.95</v>
      </c>
      <c r="M3912">
        <v>29583.91</v>
      </c>
      <c r="N3912">
        <v>3874.7</v>
      </c>
      <c r="O3912">
        <v>3279.93</v>
      </c>
      <c r="P3912">
        <v>2056</v>
      </c>
      <c r="Q3912">
        <v>910.99</v>
      </c>
      <c r="R3912">
        <v>2736.56</v>
      </c>
      <c r="S3912">
        <v>724.76</v>
      </c>
      <c r="T3912">
        <v>43166.84</v>
      </c>
      <c r="U3912">
        <v>22556.04</v>
      </c>
      <c r="V3912">
        <v>8973.1</v>
      </c>
      <c r="W3912">
        <v>8558.0400000000009</v>
      </c>
      <c r="X3912">
        <v>48196.44</v>
      </c>
      <c r="Y3912">
        <v>45281.66</v>
      </c>
    </row>
    <row r="3913" spans="1:25" x14ac:dyDescent="0.25">
      <c r="A3913" t="s">
        <v>3969</v>
      </c>
      <c r="B3913" s="1">
        <v>46006</v>
      </c>
      <c r="C3913">
        <v>2025</v>
      </c>
      <c r="D3913">
        <v>12</v>
      </c>
      <c r="E3913" t="s">
        <v>1217</v>
      </c>
      <c r="F3913" t="s">
        <v>1018</v>
      </c>
      <c r="G3913" t="s">
        <v>28</v>
      </c>
      <c r="H3913" t="s">
        <v>53</v>
      </c>
      <c r="I3913" t="s">
        <v>65</v>
      </c>
      <c r="J3913">
        <v>37</v>
      </c>
      <c r="K3913">
        <v>1386.43</v>
      </c>
      <c r="L3913">
        <v>51297.78</v>
      </c>
      <c r="M3913">
        <v>32152.29</v>
      </c>
      <c r="N3913">
        <v>3622.83</v>
      </c>
      <c r="O3913">
        <v>1424.65</v>
      </c>
      <c r="P3913">
        <v>1541.61</v>
      </c>
      <c r="Q3913">
        <v>379.28</v>
      </c>
      <c r="R3913">
        <v>2039.74</v>
      </c>
      <c r="S3913">
        <v>619.26</v>
      </c>
      <c r="T3913">
        <v>41779.660000000003</v>
      </c>
      <c r="U3913">
        <v>19145.48</v>
      </c>
      <c r="V3913">
        <v>9518.1200000000008</v>
      </c>
      <c r="W3913">
        <v>9190.9599999999991</v>
      </c>
      <c r="X3913">
        <v>53642</v>
      </c>
      <c r="Y3913">
        <v>38902.6</v>
      </c>
    </row>
    <row r="3914" spans="1:25" x14ac:dyDescent="0.25">
      <c r="A3914" t="s">
        <v>3970</v>
      </c>
      <c r="B3914" s="1">
        <v>46007</v>
      </c>
      <c r="C3914">
        <v>2025</v>
      </c>
      <c r="D3914">
        <v>12</v>
      </c>
      <c r="E3914" t="s">
        <v>1217</v>
      </c>
      <c r="F3914" t="s">
        <v>1018</v>
      </c>
      <c r="G3914" t="s">
        <v>55</v>
      </c>
      <c r="H3914" t="s">
        <v>36</v>
      </c>
      <c r="I3914" t="s">
        <v>50</v>
      </c>
      <c r="J3914">
        <v>41</v>
      </c>
      <c r="K3914">
        <v>979.75</v>
      </c>
      <c r="L3914">
        <v>40169.839999999997</v>
      </c>
      <c r="M3914">
        <v>23925.07</v>
      </c>
      <c r="N3914">
        <v>4886.8100000000004</v>
      </c>
      <c r="O3914">
        <v>2232.8200000000002</v>
      </c>
      <c r="P3914">
        <v>621.94000000000005</v>
      </c>
      <c r="Q3914">
        <v>606.09</v>
      </c>
      <c r="R3914">
        <v>2466.9499999999998</v>
      </c>
      <c r="S3914">
        <v>935.39</v>
      </c>
      <c r="T3914">
        <v>35675.07</v>
      </c>
      <c r="U3914">
        <v>16244.78</v>
      </c>
      <c r="V3914">
        <v>4494.78</v>
      </c>
      <c r="W3914">
        <v>4439.9799999999996</v>
      </c>
      <c r="X3914">
        <v>39723.919999999998</v>
      </c>
      <c r="Y3914">
        <v>35116.15</v>
      </c>
    </row>
    <row r="3915" spans="1:25" x14ac:dyDescent="0.25">
      <c r="A3915" t="s">
        <v>3971</v>
      </c>
      <c r="B3915" s="1">
        <v>46007</v>
      </c>
      <c r="C3915">
        <v>2025</v>
      </c>
      <c r="D3915">
        <v>12</v>
      </c>
      <c r="E3915" t="s">
        <v>1217</v>
      </c>
      <c r="F3915" t="s">
        <v>1018</v>
      </c>
      <c r="G3915" t="s">
        <v>55</v>
      </c>
      <c r="H3915" t="s">
        <v>32</v>
      </c>
      <c r="I3915" t="s">
        <v>33</v>
      </c>
      <c r="J3915">
        <v>66</v>
      </c>
      <c r="K3915">
        <v>1604.95</v>
      </c>
      <c r="L3915">
        <v>105926.89</v>
      </c>
      <c r="M3915">
        <v>59145.35</v>
      </c>
      <c r="N3915">
        <v>8090.85</v>
      </c>
      <c r="O3915">
        <v>2904.21</v>
      </c>
      <c r="P3915">
        <v>1994.19</v>
      </c>
      <c r="Q3915">
        <v>966.25</v>
      </c>
      <c r="R3915">
        <v>3366.77</v>
      </c>
      <c r="S3915">
        <v>2460.77</v>
      </c>
      <c r="T3915">
        <v>78928.399999999994</v>
      </c>
      <c r="U3915">
        <v>46781.53</v>
      </c>
      <c r="V3915">
        <v>26998.49</v>
      </c>
      <c r="W3915">
        <v>25552.45</v>
      </c>
      <c r="X3915">
        <v>99572.87</v>
      </c>
      <c r="Y3915">
        <v>79985.08</v>
      </c>
    </row>
    <row r="3916" spans="1:25" x14ac:dyDescent="0.25">
      <c r="A3916" t="s">
        <v>3972</v>
      </c>
      <c r="B3916" s="1">
        <v>46008</v>
      </c>
      <c r="C3916">
        <v>2025</v>
      </c>
      <c r="D3916">
        <v>12</v>
      </c>
      <c r="E3916" t="s">
        <v>1217</v>
      </c>
      <c r="F3916" t="s">
        <v>1018</v>
      </c>
      <c r="G3916" t="s">
        <v>35</v>
      </c>
      <c r="H3916" t="s">
        <v>32</v>
      </c>
      <c r="I3916" t="s">
        <v>37</v>
      </c>
      <c r="J3916">
        <v>85</v>
      </c>
      <c r="K3916">
        <v>924.47</v>
      </c>
      <c r="L3916">
        <v>78579.77</v>
      </c>
      <c r="M3916">
        <v>44342.51</v>
      </c>
      <c r="N3916">
        <v>10036.200000000001</v>
      </c>
      <c r="O3916">
        <v>3676.62</v>
      </c>
      <c r="P3916">
        <v>2229.67</v>
      </c>
      <c r="Q3916">
        <v>1072.94</v>
      </c>
      <c r="R3916">
        <v>4121.03</v>
      </c>
      <c r="S3916">
        <v>1961.02</v>
      </c>
      <c r="T3916">
        <v>67440</v>
      </c>
      <c r="U3916">
        <v>34237.26</v>
      </c>
      <c r="V3916">
        <v>11139.77</v>
      </c>
      <c r="W3916">
        <v>11093.01</v>
      </c>
      <c r="X3916">
        <v>77528.83</v>
      </c>
      <c r="Y3916">
        <v>67966.81</v>
      </c>
    </row>
    <row r="3917" spans="1:25" x14ac:dyDescent="0.25">
      <c r="A3917" t="s">
        <v>3973</v>
      </c>
      <c r="B3917" s="1">
        <v>46008</v>
      </c>
      <c r="C3917">
        <v>2025</v>
      </c>
      <c r="D3917">
        <v>12</v>
      </c>
      <c r="E3917" t="s">
        <v>1217</v>
      </c>
      <c r="F3917" t="s">
        <v>1018</v>
      </c>
      <c r="G3917" t="s">
        <v>35</v>
      </c>
      <c r="H3917" t="s">
        <v>36</v>
      </c>
      <c r="I3917" t="s">
        <v>56</v>
      </c>
      <c r="J3917">
        <v>15</v>
      </c>
      <c r="K3917">
        <v>1523.43</v>
      </c>
      <c r="L3917">
        <v>22851.5</v>
      </c>
      <c r="M3917">
        <v>11987.16</v>
      </c>
      <c r="N3917">
        <v>2070.1999999999998</v>
      </c>
      <c r="O3917">
        <v>612.63</v>
      </c>
      <c r="P3917">
        <v>894.13</v>
      </c>
      <c r="Q3917">
        <v>353.52</v>
      </c>
      <c r="R3917">
        <v>1002.96</v>
      </c>
      <c r="S3917">
        <v>417.41</v>
      </c>
      <c r="T3917">
        <v>17338.02</v>
      </c>
      <c r="U3917">
        <v>10864.34</v>
      </c>
      <c r="V3917">
        <v>5513.48</v>
      </c>
      <c r="W3917">
        <v>5203.67</v>
      </c>
      <c r="X3917">
        <v>24192.92</v>
      </c>
      <c r="Y3917">
        <v>18431.990000000002</v>
      </c>
    </row>
    <row r="3918" spans="1:25" x14ac:dyDescent="0.25">
      <c r="A3918" t="s">
        <v>3974</v>
      </c>
      <c r="B3918" s="1">
        <v>46008</v>
      </c>
      <c r="C3918">
        <v>2025</v>
      </c>
      <c r="D3918">
        <v>12</v>
      </c>
      <c r="E3918" t="s">
        <v>1217</v>
      </c>
      <c r="F3918" t="s">
        <v>1018</v>
      </c>
      <c r="G3918" t="s">
        <v>35</v>
      </c>
      <c r="H3918" t="s">
        <v>32</v>
      </c>
      <c r="I3918" t="s">
        <v>33</v>
      </c>
      <c r="J3918">
        <v>35</v>
      </c>
      <c r="K3918">
        <v>1690.4</v>
      </c>
      <c r="L3918">
        <v>59163.95</v>
      </c>
      <c r="M3918">
        <v>37549.1</v>
      </c>
      <c r="N3918">
        <v>5200.37</v>
      </c>
      <c r="O3918">
        <v>2225.52</v>
      </c>
      <c r="P3918">
        <v>2017.75</v>
      </c>
      <c r="Q3918">
        <v>772.57</v>
      </c>
      <c r="R3918">
        <v>3550.97</v>
      </c>
      <c r="S3918">
        <v>754.55</v>
      </c>
      <c r="T3918">
        <v>52070.83</v>
      </c>
      <c r="U3918">
        <v>21614.86</v>
      </c>
      <c r="V3918">
        <v>7093.12</v>
      </c>
      <c r="W3918">
        <v>7042.06</v>
      </c>
      <c r="X3918">
        <v>57725.24</v>
      </c>
      <c r="Y3918">
        <v>56516.27</v>
      </c>
    </row>
    <row r="3919" spans="1:25" x14ac:dyDescent="0.25">
      <c r="A3919" t="s">
        <v>3975</v>
      </c>
      <c r="B3919" s="1">
        <v>46008</v>
      </c>
      <c r="C3919">
        <v>2025</v>
      </c>
      <c r="D3919">
        <v>12</v>
      </c>
      <c r="E3919" t="s">
        <v>1217</v>
      </c>
      <c r="F3919" t="s">
        <v>1018</v>
      </c>
      <c r="G3919" t="s">
        <v>35</v>
      </c>
      <c r="H3919" t="s">
        <v>53</v>
      </c>
      <c r="I3919" t="s">
        <v>39</v>
      </c>
      <c r="J3919">
        <v>29</v>
      </c>
      <c r="K3919">
        <v>1334.9</v>
      </c>
      <c r="L3919">
        <v>38712.01</v>
      </c>
      <c r="M3919">
        <v>21107.919999999998</v>
      </c>
      <c r="N3919">
        <v>3180.86</v>
      </c>
      <c r="O3919">
        <v>1717.37</v>
      </c>
      <c r="P3919">
        <v>1025.32</v>
      </c>
      <c r="Q3919">
        <v>558.04</v>
      </c>
      <c r="R3919">
        <v>1282.55</v>
      </c>
      <c r="S3919">
        <v>745.74</v>
      </c>
      <c r="T3919">
        <v>29617.8</v>
      </c>
      <c r="U3919">
        <v>17604.09</v>
      </c>
      <c r="V3919">
        <v>9094.2099999999991</v>
      </c>
      <c r="W3919">
        <v>8113.55</v>
      </c>
      <c r="X3919">
        <v>38802.65</v>
      </c>
      <c r="Y3919">
        <v>30965.27</v>
      </c>
    </row>
    <row r="3920" spans="1:25" x14ac:dyDescent="0.25">
      <c r="A3920" t="s">
        <v>3976</v>
      </c>
      <c r="B3920" s="1">
        <v>46008</v>
      </c>
      <c r="C3920">
        <v>2025</v>
      </c>
      <c r="D3920">
        <v>12</v>
      </c>
      <c r="E3920" t="s">
        <v>1217</v>
      </c>
      <c r="F3920" t="s">
        <v>1018</v>
      </c>
      <c r="G3920" t="s">
        <v>28</v>
      </c>
      <c r="H3920" t="s">
        <v>58</v>
      </c>
      <c r="I3920" t="s">
        <v>37</v>
      </c>
      <c r="J3920">
        <v>34</v>
      </c>
      <c r="K3920">
        <v>1626.63</v>
      </c>
      <c r="L3920">
        <v>55305.58</v>
      </c>
      <c r="M3920">
        <v>31801.119999999999</v>
      </c>
      <c r="N3920">
        <v>5164.37</v>
      </c>
      <c r="O3920">
        <v>2502.81</v>
      </c>
      <c r="P3920">
        <v>1914.93</v>
      </c>
      <c r="Q3920">
        <v>487.09</v>
      </c>
      <c r="R3920">
        <v>3317.28</v>
      </c>
      <c r="S3920">
        <v>497.39</v>
      </c>
      <c r="T3920">
        <v>45685</v>
      </c>
      <c r="U3920">
        <v>23504.45</v>
      </c>
      <c r="V3920">
        <v>9620.58</v>
      </c>
      <c r="W3920">
        <v>9653.42</v>
      </c>
      <c r="X3920">
        <v>59856.1</v>
      </c>
      <c r="Y3920">
        <v>45039.99</v>
      </c>
    </row>
    <row r="3921" spans="1:25" x14ac:dyDescent="0.25">
      <c r="A3921" t="s">
        <v>3977</v>
      </c>
      <c r="B3921" s="1">
        <v>46009</v>
      </c>
      <c r="C3921">
        <v>2025</v>
      </c>
      <c r="D3921">
        <v>12</v>
      </c>
      <c r="E3921" t="s">
        <v>1217</v>
      </c>
      <c r="F3921" t="s">
        <v>1018</v>
      </c>
      <c r="G3921" t="s">
        <v>35</v>
      </c>
      <c r="H3921" t="s">
        <v>32</v>
      </c>
      <c r="I3921" t="s">
        <v>30</v>
      </c>
      <c r="J3921">
        <v>86</v>
      </c>
      <c r="K3921">
        <v>1396.65</v>
      </c>
      <c r="L3921">
        <v>120112.19</v>
      </c>
      <c r="M3921">
        <v>59245.63</v>
      </c>
      <c r="N3921">
        <v>13953.8</v>
      </c>
      <c r="O3921">
        <v>4626.4799999999996</v>
      </c>
      <c r="P3921">
        <v>2249.25</v>
      </c>
      <c r="Q3921">
        <v>685.62</v>
      </c>
      <c r="R3921">
        <v>4173.7700000000004</v>
      </c>
      <c r="S3921">
        <v>1696.26</v>
      </c>
      <c r="T3921">
        <v>86630.83</v>
      </c>
      <c r="U3921">
        <v>60866.55</v>
      </c>
      <c r="V3921">
        <v>33481.35</v>
      </c>
      <c r="W3921">
        <v>32377.16</v>
      </c>
      <c r="X3921">
        <v>117512.05</v>
      </c>
      <c r="Y3921">
        <v>94245.46</v>
      </c>
    </row>
    <row r="3922" spans="1:25" x14ac:dyDescent="0.25">
      <c r="A3922" t="s">
        <v>3978</v>
      </c>
      <c r="B3922" s="1">
        <v>46009</v>
      </c>
      <c r="C3922">
        <v>2025</v>
      </c>
      <c r="D3922">
        <v>12</v>
      </c>
      <c r="E3922" t="s">
        <v>1217</v>
      </c>
      <c r="F3922" t="s">
        <v>1018</v>
      </c>
      <c r="G3922" t="s">
        <v>35</v>
      </c>
      <c r="H3922" t="s">
        <v>36</v>
      </c>
      <c r="I3922" t="s">
        <v>56</v>
      </c>
      <c r="J3922">
        <v>28</v>
      </c>
      <c r="K3922">
        <v>1029.02</v>
      </c>
      <c r="L3922">
        <v>28812.65</v>
      </c>
      <c r="M3922">
        <v>17513.84</v>
      </c>
      <c r="N3922">
        <v>2979.84</v>
      </c>
      <c r="O3922">
        <v>1774.41</v>
      </c>
      <c r="P3922">
        <v>910.73</v>
      </c>
      <c r="Q3922">
        <v>201.32</v>
      </c>
      <c r="R3922">
        <v>1534</v>
      </c>
      <c r="S3922">
        <v>398.73</v>
      </c>
      <c r="T3922">
        <v>25312.85</v>
      </c>
      <c r="U3922">
        <v>11298.81</v>
      </c>
      <c r="V3922">
        <v>3499.8</v>
      </c>
      <c r="W3922">
        <v>3141.5</v>
      </c>
      <c r="X3922">
        <v>26730.79</v>
      </c>
      <c r="Y3922">
        <v>25817.62</v>
      </c>
    </row>
    <row r="3923" spans="1:25" x14ac:dyDescent="0.25">
      <c r="A3923" t="s">
        <v>3979</v>
      </c>
      <c r="B3923" s="1">
        <v>46009</v>
      </c>
      <c r="C3923">
        <v>2025</v>
      </c>
      <c r="D3923">
        <v>12</v>
      </c>
      <c r="E3923" t="s">
        <v>1217</v>
      </c>
      <c r="F3923" t="s">
        <v>1018</v>
      </c>
      <c r="G3923" t="s">
        <v>55</v>
      </c>
      <c r="H3923" t="s">
        <v>36</v>
      </c>
      <c r="I3923" t="s">
        <v>39</v>
      </c>
      <c r="J3923">
        <v>35</v>
      </c>
      <c r="K3923">
        <v>1084.57</v>
      </c>
      <c r="L3923">
        <v>37960.04</v>
      </c>
      <c r="M3923">
        <v>20350.73</v>
      </c>
      <c r="N3923">
        <v>4262.55</v>
      </c>
      <c r="O3923">
        <v>2218.19</v>
      </c>
      <c r="P3923">
        <v>1627.44</v>
      </c>
      <c r="Q3923">
        <v>423.23</v>
      </c>
      <c r="R3923">
        <v>2199.2199999999998</v>
      </c>
      <c r="S3923">
        <v>706.59</v>
      </c>
      <c r="T3923">
        <v>31787.96</v>
      </c>
      <c r="U3923">
        <v>17609.3</v>
      </c>
      <c r="V3923">
        <v>6172.08</v>
      </c>
      <c r="W3923">
        <v>5758.79</v>
      </c>
      <c r="X3923">
        <v>39436.33</v>
      </c>
      <c r="Y3923">
        <v>32571.26</v>
      </c>
    </row>
    <row r="3924" spans="1:25" x14ac:dyDescent="0.25">
      <c r="A3924" t="s">
        <v>3980</v>
      </c>
      <c r="B3924" s="1">
        <v>46009</v>
      </c>
      <c r="C3924">
        <v>2025</v>
      </c>
      <c r="D3924">
        <v>12</v>
      </c>
      <c r="E3924" t="s">
        <v>1217</v>
      </c>
      <c r="F3924" t="s">
        <v>1018</v>
      </c>
      <c r="G3924" t="s">
        <v>55</v>
      </c>
      <c r="H3924" t="s">
        <v>36</v>
      </c>
      <c r="I3924" t="s">
        <v>39</v>
      </c>
      <c r="J3924">
        <v>39</v>
      </c>
      <c r="K3924">
        <v>1378.18</v>
      </c>
      <c r="L3924">
        <v>53749.18</v>
      </c>
      <c r="M3924">
        <v>28454.7</v>
      </c>
      <c r="N3924">
        <v>4780.74</v>
      </c>
      <c r="O3924">
        <v>2463.7600000000002</v>
      </c>
      <c r="P3924">
        <v>1706.66</v>
      </c>
      <c r="Q3924">
        <v>361.55</v>
      </c>
      <c r="R3924">
        <v>2724.68</v>
      </c>
      <c r="S3924">
        <v>1275.6099999999999</v>
      </c>
      <c r="T3924">
        <v>41767.71</v>
      </c>
      <c r="U3924">
        <v>25294.48</v>
      </c>
      <c r="V3924">
        <v>11981.48</v>
      </c>
      <c r="W3924">
        <v>11329.84</v>
      </c>
      <c r="X3924">
        <v>60015.12</v>
      </c>
      <c r="Y3924">
        <v>42685.85</v>
      </c>
    </row>
    <row r="3925" spans="1:25" x14ac:dyDescent="0.25">
      <c r="A3925" t="s">
        <v>3981</v>
      </c>
      <c r="B3925" s="1">
        <v>46009</v>
      </c>
      <c r="C3925">
        <v>2025</v>
      </c>
      <c r="D3925">
        <v>12</v>
      </c>
      <c r="E3925" t="s">
        <v>1217</v>
      </c>
      <c r="F3925" t="s">
        <v>1018</v>
      </c>
      <c r="G3925" t="s">
        <v>28</v>
      </c>
      <c r="H3925" t="s">
        <v>32</v>
      </c>
      <c r="I3925" t="s">
        <v>50</v>
      </c>
      <c r="J3925">
        <v>59</v>
      </c>
      <c r="K3925">
        <v>1329.84</v>
      </c>
      <c r="L3925">
        <v>78460.820000000007</v>
      </c>
      <c r="M3925">
        <v>39646.6</v>
      </c>
      <c r="N3925">
        <v>9891.8799999999992</v>
      </c>
      <c r="O3925">
        <v>2941.85</v>
      </c>
      <c r="P3925">
        <v>3464.87</v>
      </c>
      <c r="Q3925">
        <v>712.99</v>
      </c>
      <c r="R3925">
        <v>2273.6799999999998</v>
      </c>
      <c r="S3925">
        <v>666.15</v>
      </c>
      <c r="T3925">
        <v>59598.03</v>
      </c>
      <c r="U3925">
        <v>38814.22</v>
      </c>
      <c r="V3925">
        <v>18862.79</v>
      </c>
      <c r="W3925">
        <v>18120.560000000001</v>
      </c>
      <c r="X3925">
        <v>86784.81</v>
      </c>
      <c r="Y3925">
        <v>64393.35</v>
      </c>
    </row>
    <row r="3926" spans="1:25" x14ac:dyDescent="0.25">
      <c r="A3926" t="s">
        <v>3982</v>
      </c>
      <c r="B3926" s="1">
        <v>46009</v>
      </c>
      <c r="C3926">
        <v>2025</v>
      </c>
      <c r="D3926">
        <v>12</v>
      </c>
      <c r="E3926" t="s">
        <v>1217</v>
      </c>
      <c r="F3926" t="s">
        <v>1018</v>
      </c>
      <c r="G3926" t="s">
        <v>55</v>
      </c>
      <c r="H3926" t="s">
        <v>32</v>
      </c>
      <c r="I3926" t="s">
        <v>45</v>
      </c>
      <c r="J3926">
        <v>51</v>
      </c>
      <c r="K3926">
        <v>1463.56</v>
      </c>
      <c r="L3926">
        <v>74641.81</v>
      </c>
      <c r="M3926">
        <v>43028.29</v>
      </c>
      <c r="N3926">
        <v>5503.87</v>
      </c>
      <c r="O3926">
        <v>5113.1000000000004</v>
      </c>
      <c r="P3926">
        <v>1603.33</v>
      </c>
      <c r="Q3926">
        <v>1021.19</v>
      </c>
      <c r="R3926">
        <v>3386.55</v>
      </c>
      <c r="S3926">
        <v>986.27</v>
      </c>
      <c r="T3926">
        <v>60642.61</v>
      </c>
      <c r="U3926">
        <v>31613.51</v>
      </c>
      <c r="V3926">
        <v>13999.2</v>
      </c>
      <c r="W3926">
        <v>12501.33</v>
      </c>
      <c r="X3926">
        <v>69956.800000000003</v>
      </c>
      <c r="Y3926">
        <v>59955.79</v>
      </c>
    </row>
    <row r="3927" spans="1:25" x14ac:dyDescent="0.25">
      <c r="A3927" t="s">
        <v>3983</v>
      </c>
      <c r="B3927" s="1">
        <v>46009</v>
      </c>
      <c r="C3927">
        <v>2025</v>
      </c>
      <c r="D3927">
        <v>12</v>
      </c>
      <c r="E3927" t="s">
        <v>1217</v>
      </c>
      <c r="F3927" t="s">
        <v>1018</v>
      </c>
      <c r="G3927" t="s">
        <v>35</v>
      </c>
      <c r="H3927" t="s">
        <v>36</v>
      </c>
      <c r="I3927" t="s">
        <v>56</v>
      </c>
      <c r="J3927">
        <v>21</v>
      </c>
      <c r="K3927">
        <v>1603.41</v>
      </c>
      <c r="L3927">
        <v>33671.629999999997</v>
      </c>
      <c r="M3927">
        <v>21778.01</v>
      </c>
      <c r="N3927">
        <v>3496.27</v>
      </c>
      <c r="O3927">
        <v>1827.53</v>
      </c>
      <c r="P3927">
        <v>1225.71</v>
      </c>
      <c r="Q3927">
        <v>170.76</v>
      </c>
      <c r="R3927">
        <v>1519.36</v>
      </c>
      <c r="S3927">
        <v>434.39</v>
      </c>
      <c r="T3927">
        <v>30452.04</v>
      </c>
      <c r="U3927">
        <v>11893.62</v>
      </c>
      <c r="V3927">
        <v>3219.6</v>
      </c>
      <c r="W3927">
        <v>2987.43</v>
      </c>
      <c r="X3927">
        <v>33658.65</v>
      </c>
      <c r="Y3927">
        <v>30011.79</v>
      </c>
    </row>
    <row r="3928" spans="1:25" x14ac:dyDescent="0.25">
      <c r="A3928" t="s">
        <v>3984</v>
      </c>
      <c r="B3928" s="1">
        <v>46009</v>
      </c>
      <c r="C3928">
        <v>2025</v>
      </c>
      <c r="D3928">
        <v>12</v>
      </c>
      <c r="E3928" t="s">
        <v>1217</v>
      </c>
      <c r="F3928" t="s">
        <v>1018</v>
      </c>
      <c r="G3928" t="s">
        <v>28</v>
      </c>
      <c r="H3928" t="s">
        <v>36</v>
      </c>
      <c r="I3928" t="s">
        <v>65</v>
      </c>
      <c r="J3928">
        <v>85</v>
      </c>
      <c r="K3928">
        <v>925.31</v>
      </c>
      <c r="L3928">
        <v>78651.17</v>
      </c>
      <c r="M3928">
        <v>38795.22</v>
      </c>
      <c r="N3928">
        <v>9180.56</v>
      </c>
      <c r="O3928">
        <v>2823.22</v>
      </c>
      <c r="P3928">
        <v>2297.19</v>
      </c>
      <c r="Q3928">
        <v>581.5</v>
      </c>
      <c r="R3928">
        <v>2251.94</v>
      </c>
      <c r="S3928">
        <v>1206.81</v>
      </c>
      <c r="T3928">
        <v>57136.44</v>
      </c>
      <c r="U3928">
        <v>39855.949999999997</v>
      </c>
      <c r="V3928">
        <v>21514.73</v>
      </c>
      <c r="W3928">
        <v>20194.310000000001</v>
      </c>
      <c r="X3928">
        <v>80441.179999999993</v>
      </c>
      <c r="Y3928">
        <v>58206.67</v>
      </c>
    </row>
    <row r="3929" spans="1:25" x14ac:dyDescent="0.25">
      <c r="A3929" t="s">
        <v>3985</v>
      </c>
      <c r="B3929" s="1">
        <v>46009</v>
      </c>
      <c r="C3929">
        <v>2025</v>
      </c>
      <c r="D3929">
        <v>12</v>
      </c>
      <c r="E3929" t="s">
        <v>1217</v>
      </c>
      <c r="F3929" t="s">
        <v>1018</v>
      </c>
      <c r="G3929" t="s">
        <v>55</v>
      </c>
      <c r="H3929" t="s">
        <v>53</v>
      </c>
      <c r="I3929" t="s">
        <v>45</v>
      </c>
      <c r="J3929">
        <v>46</v>
      </c>
      <c r="K3929">
        <v>1056.6600000000001</v>
      </c>
      <c r="L3929">
        <v>48606.31</v>
      </c>
      <c r="M3929">
        <v>26311.97</v>
      </c>
      <c r="N3929">
        <v>3449.8</v>
      </c>
      <c r="O3929">
        <v>2283.5700000000002</v>
      </c>
      <c r="P3929">
        <v>1789.28</v>
      </c>
      <c r="Q3929">
        <v>337.94</v>
      </c>
      <c r="R3929">
        <v>2042.23</v>
      </c>
      <c r="S3929">
        <v>966.83</v>
      </c>
      <c r="T3929">
        <v>37181.620000000003</v>
      </c>
      <c r="U3929">
        <v>22294.34</v>
      </c>
      <c r="V3929">
        <v>11424.7</v>
      </c>
      <c r="W3929">
        <v>10198.48</v>
      </c>
      <c r="X3929">
        <v>52741.07</v>
      </c>
      <c r="Y3929">
        <v>34877.1</v>
      </c>
    </row>
    <row r="3930" spans="1:25" x14ac:dyDescent="0.25">
      <c r="A3930" t="s">
        <v>3986</v>
      </c>
      <c r="B3930" s="1">
        <v>46010</v>
      </c>
      <c r="C3930">
        <v>2025</v>
      </c>
      <c r="D3930">
        <v>12</v>
      </c>
      <c r="E3930" t="s">
        <v>1217</v>
      </c>
      <c r="F3930" t="s">
        <v>1018</v>
      </c>
      <c r="G3930" t="s">
        <v>28</v>
      </c>
      <c r="H3930" t="s">
        <v>58</v>
      </c>
      <c r="I3930" t="s">
        <v>33</v>
      </c>
      <c r="J3930">
        <v>48</v>
      </c>
      <c r="K3930">
        <v>1790.78</v>
      </c>
      <c r="L3930">
        <v>85957.26</v>
      </c>
      <c r="M3930">
        <v>41823.99</v>
      </c>
      <c r="N3930">
        <v>9250.98</v>
      </c>
      <c r="O3930">
        <v>3657.33</v>
      </c>
      <c r="P3930">
        <v>1971.6</v>
      </c>
      <c r="Q3930">
        <v>1037.2</v>
      </c>
      <c r="R3930">
        <v>4889.6000000000004</v>
      </c>
      <c r="S3930">
        <v>2040.99</v>
      </c>
      <c r="T3930">
        <v>64671.68</v>
      </c>
      <c r="U3930">
        <v>44133.26</v>
      </c>
      <c r="V3930">
        <v>21285.58</v>
      </c>
      <c r="W3930">
        <v>21636.12</v>
      </c>
      <c r="X3930">
        <v>95676.23</v>
      </c>
      <c r="Y3930">
        <v>64254.76</v>
      </c>
    </row>
    <row r="3931" spans="1:25" x14ac:dyDescent="0.25">
      <c r="A3931" t="s">
        <v>3987</v>
      </c>
      <c r="B3931" s="1">
        <v>46010</v>
      </c>
      <c r="C3931">
        <v>2025</v>
      </c>
      <c r="D3931">
        <v>12</v>
      </c>
      <c r="E3931" t="s">
        <v>1217</v>
      </c>
      <c r="F3931" t="s">
        <v>1018</v>
      </c>
      <c r="G3931" t="s">
        <v>28</v>
      </c>
      <c r="H3931" t="s">
        <v>32</v>
      </c>
      <c r="I3931" t="s">
        <v>30</v>
      </c>
      <c r="J3931">
        <v>113</v>
      </c>
      <c r="K3931">
        <v>1100.32</v>
      </c>
      <c r="L3931">
        <v>124335.99</v>
      </c>
      <c r="M3931">
        <v>69858.48</v>
      </c>
      <c r="N3931">
        <v>10549.35</v>
      </c>
      <c r="O3931">
        <v>3994.05</v>
      </c>
      <c r="P3931">
        <v>2607.4899999999998</v>
      </c>
      <c r="Q3931">
        <v>1128.95</v>
      </c>
      <c r="R3931">
        <v>6973.34</v>
      </c>
      <c r="S3931">
        <v>3002.04</v>
      </c>
      <c r="T3931">
        <v>98113.7</v>
      </c>
      <c r="U3931">
        <v>54477.51</v>
      </c>
      <c r="V3931">
        <v>26222.3</v>
      </c>
      <c r="W3931">
        <v>24575.84</v>
      </c>
      <c r="X3931">
        <v>123206.81</v>
      </c>
      <c r="Y3931">
        <v>102741.31</v>
      </c>
    </row>
    <row r="3932" spans="1:25" x14ac:dyDescent="0.25">
      <c r="A3932" t="s">
        <v>3988</v>
      </c>
      <c r="B3932" s="1">
        <v>46010</v>
      </c>
      <c r="C3932">
        <v>2025</v>
      </c>
      <c r="D3932">
        <v>12</v>
      </c>
      <c r="E3932" t="s">
        <v>1217</v>
      </c>
      <c r="F3932" t="s">
        <v>1018</v>
      </c>
      <c r="G3932" t="s">
        <v>28</v>
      </c>
      <c r="H3932" t="s">
        <v>32</v>
      </c>
      <c r="I3932" t="s">
        <v>30</v>
      </c>
      <c r="J3932">
        <v>108</v>
      </c>
      <c r="K3932">
        <v>1314.04</v>
      </c>
      <c r="L3932">
        <v>141916.06</v>
      </c>
      <c r="M3932">
        <v>86550.82</v>
      </c>
      <c r="N3932">
        <v>14694.16</v>
      </c>
      <c r="O3932">
        <v>7526.39</v>
      </c>
      <c r="P3932">
        <v>4920.03</v>
      </c>
      <c r="Q3932">
        <v>1436.12</v>
      </c>
      <c r="R3932">
        <v>5561.03</v>
      </c>
      <c r="S3932">
        <v>3240.01</v>
      </c>
      <c r="T3932">
        <v>123928.58</v>
      </c>
      <c r="U3932">
        <v>55365.24</v>
      </c>
      <c r="V3932">
        <v>17987.48</v>
      </c>
      <c r="W3932">
        <v>16875.54</v>
      </c>
      <c r="X3932">
        <v>157355.78</v>
      </c>
      <c r="Y3932">
        <v>118466.79</v>
      </c>
    </row>
    <row r="3933" spans="1:25" x14ac:dyDescent="0.25">
      <c r="A3933" t="s">
        <v>3989</v>
      </c>
      <c r="B3933" s="1">
        <v>46010</v>
      </c>
      <c r="C3933">
        <v>2025</v>
      </c>
      <c r="D3933">
        <v>12</v>
      </c>
      <c r="E3933" t="s">
        <v>1217</v>
      </c>
      <c r="F3933" t="s">
        <v>1018</v>
      </c>
      <c r="G3933" t="s">
        <v>28</v>
      </c>
      <c r="H3933" t="s">
        <v>53</v>
      </c>
      <c r="I3933" t="s">
        <v>37</v>
      </c>
      <c r="J3933">
        <v>38</v>
      </c>
      <c r="K3933">
        <v>1384.69</v>
      </c>
      <c r="L3933">
        <v>52618.39</v>
      </c>
      <c r="M3933">
        <v>31559.29</v>
      </c>
      <c r="N3933">
        <v>3772.92</v>
      </c>
      <c r="O3933">
        <v>2462.35</v>
      </c>
      <c r="P3933">
        <v>1212.8</v>
      </c>
      <c r="Q3933">
        <v>535.34</v>
      </c>
      <c r="R3933">
        <v>1864.9</v>
      </c>
      <c r="S3933">
        <v>1087.5</v>
      </c>
      <c r="T3933">
        <v>42495.1</v>
      </c>
      <c r="U3933">
        <v>21059.1</v>
      </c>
      <c r="V3933">
        <v>10123.290000000001</v>
      </c>
      <c r="W3933">
        <v>9649.7999999999993</v>
      </c>
      <c r="X3933">
        <v>53549.63</v>
      </c>
      <c r="Y3933">
        <v>42527.42</v>
      </c>
    </row>
    <row r="3934" spans="1:25" x14ac:dyDescent="0.25">
      <c r="A3934" t="s">
        <v>3990</v>
      </c>
      <c r="B3934" s="1">
        <v>46012</v>
      </c>
      <c r="C3934">
        <v>2025</v>
      </c>
      <c r="D3934">
        <v>12</v>
      </c>
      <c r="E3934" t="s">
        <v>1217</v>
      </c>
      <c r="F3934" t="s">
        <v>1018</v>
      </c>
      <c r="G3934" t="s">
        <v>55</v>
      </c>
      <c r="H3934" t="s">
        <v>36</v>
      </c>
      <c r="I3934" t="s">
        <v>39</v>
      </c>
      <c r="J3934">
        <v>27</v>
      </c>
      <c r="K3934">
        <v>1729.58</v>
      </c>
      <c r="L3934">
        <v>46698.62</v>
      </c>
      <c r="M3934">
        <v>25674.78</v>
      </c>
      <c r="N3934">
        <v>4003.63</v>
      </c>
      <c r="O3934">
        <v>1187.26</v>
      </c>
      <c r="P3934">
        <v>947.87</v>
      </c>
      <c r="Q3934">
        <v>292.76</v>
      </c>
      <c r="R3934">
        <v>2007.43</v>
      </c>
      <c r="S3934">
        <v>1030.93</v>
      </c>
      <c r="T3934">
        <v>35144.68</v>
      </c>
      <c r="U3934">
        <v>21023.83</v>
      </c>
      <c r="V3934">
        <v>11553.94</v>
      </c>
      <c r="W3934">
        <v>11101.16</v>
      </c>
      <c r="X3934">
        <v>43142.44</v>
      </c>
      <c r="Y3934">
        <v>36377.68</v>
      </c>
    </row>
    <row r="3935" spans="1:25" x14ac:dyDescent="0.25">
      <c r="A3935" t="s">
        <v>3991</v>
      </c>
      <c r="B3935" s="1">
        <v>46012</v>
      </c>
      <c r="C3935">
        <v>2025</v>
      </c>
      <c r="D3935">
        <v>12</v>
      </c>
      <c r="E3935" t="s">
        <v>1217</v>
      </c>
      <c r="F3935" t="s">
        <v>1018</v>
      </c>
      <c r="G3935" t="s">
        <v>28</v>
      </c>
      <c r="H3935" t="s">
        <v>29</v>
      </c>
      <c r="I3935" t="s">
        <v>56</v>
      </c>
      <c r="J3935">
        <v>27</v>
      </c>
      <c r="K3935">
        <v>1360.37</v>
      </c>
      <c r="L3935">
        <v>36729.94</v>
      </c>
      <c r="M3935">
        <v>24012.07</v>
      </c>
      <c r="N3935">
        <v>3112.3</v>
      </c>
      <c r="O3935">
        <v>2731.7</v>
      </c>
      <c r="P3935">
        <v>1382.06</v>
      </c>
      <c r="Q3935">
        <v>607.91</v>
      </c>
      <c r="R3935">
        <v>1428.3</v>
      </c>
      <c r="S3935">
        <v>682.08</v>
      </c>
      <c r="T3935">
        <v>33956.42</v>
      </c>
      <c r="U3935">
        <v>12717.87</v>
      </c>
      <c r="V3935">
        <v>2773.52</v>
      </c>
      <c r="W3935">
        <v>2676.91</v>
      </c>
      <c r="X3935">
        <v>38816.370000000003</v>
      </c>
      <c r="Y3935">
        <v>34612.58</v>
      </c>
    </row>
    <row r="3936" spans="1:25" x14ac:dyDescent="0.25">
      <c r="A3936" t="s">
        <v>3992</v>
      </c>
      <c r="B3936" s="1">
        <v>46012</v>
      </c>
      <c r="C3936">
        <v>2025</v>
      </c>
      <c r="D3936">
        <v>12</v>
      </c>
      <c r="E3936" t="s">
        <v>1217</v>
      </c>
      <c r="F3936" t="s">
        <v>1018</v>
      </c>
      <c r="G3936" t="s">
        <v>28</v>
      </c>
      <c r="H3936" t="s">
        <v>53</v>
      </c>
      <c r="I3936" t="s">
        <v>30</v>
      </c>
      <c r="J3936">
        <v>82</v>
      </c>
      <c r="K3936">
        <v>893.5</v>
      </c>
      <c r="L3936">
        <v>73266.89</v>
      </c>
      <c r="M3936">
        <v>45396.84</v>
      </c>
      <c r="N3936">
        <v>5142.8</v>
      </c>
      <c r="O3936">
        <v>4276.26</v>
      </c>
      <c r="P3936">
        <v>2308.9299999999998</v>
      </c>
      <c r="Q3936">
        <v>1093.77</v>
      </c>
      <c r="R3936">
        <v>4665.18</v>
      </c>
      <c r="S3936">
        <v>806.81</v>
      </c>
      <c r="T3936">
        <v>63690.57</v>
      </c>
      <c r="U3936">
        <v>27870.05</v>
      </c>
      <c r="V3936">
        <v>9576.32</v>
      </c>
      <c r="W3936">
        <v>8743.48</v>
      </c>
      <c r="X3936">
        <v>71358.31</v>
      </c>
      <c r="Y3936">
        <v>69885.88</v>
      </c>
    </row>
    <row r="3937" spans="1:25" x14ac:dyDescent="0.25">
      <c r="A3937" t="s">
        <v>3993</v>
      </c>
      <c r="B3937" s="1">
        <v>46013</v>
      </c>
      <c r="C3937">
        <v>2025</v>
      </c>
      <c r="D3937">
        <v>12</v>
      </c>
      <c r="E3937" t="s">
        <v>1217</v>
      </c>
      <c r="F3937" t="s">
        <v>1018</v>
      </c>
      <c r="G3937" t="s">
        <v>28</v>
      </c>
      <c r="H3937" t="s">
        <v>29</v>
      </c>
      <c r="I3937" t="s">
        <v>65</v>
      </c>
      <c r="J3937">
        <v>94</v>
      </c>
      <c r="K3937">
        <v>802.76</v>
      </c>
      <c r="L3937">
        <v>75459.08</v>
      </c>
      <c r="M3937">
        <v>42720.34</v>
      </c>
      <c r="N3937">
        <v>8377.89</v>
      </c>
      <c r="O3937">
        <v>3978.63</v>
      </c>
      <c r="P3937">
        <v>2041.67</v>
      </c>
      <c r="Q3937">
        <v>786.35</v>
      </c>
      <c r="R3937">
        <v>3219.73</v>
      </c>
      <c r="S3937">
        <v>1274.92</v>
      </c>
      <c r="T3937">
        <v>62399.54</v>
      </c>
      <c r="U3937">
        <v>32738.74</v>
      </c>
      <c r="V3937">
        <v>13059.54</v>
      </c>
      <c r="W3937">
        <v>12168.24</v>
      </c>
      <c r="X3937">
        <v>72344.37</v>
      </c>
      <c r="Y3937">
        <v>59156.06</v>
      </c>
    </row>
    <row r="3938" spans="1:25" x14ac:dyDescent="0.25">
      <c r="A3938" t="s">
        <v>3994</v>
      </c>
      <c r="B3938" s="1">
        <v>46013</v>
      </c>
      <c r="C3938">
        <v>2025</v>
      </c>
      <c r="D3938">
        <v>12</v>
      </c>
      <c r="E3938" t="s">
        <v>1217</v>
      </c>
      <c r="F3938" t="s">
        <v>1018</v>
      </c>
      <c r="G3938" t="s">
        <v>28</v>
      </c>
      <c r="H3938" t="s">
        <v>36</v>
      </c>
      <c r="I3938" t="s">
        <v>65</v>
      </c>
      <c r="J3938">
        <v>45</v>
      </c>
      <c r="K3938">
        <v>1571.92</v>
      </c>
      <c r="L3938">
        <v>70736.19</v>
      </c>
      <c r="M3938">
        <v>36519.22</v>
      </c>
      <c r="N3938">
        <v>7520.76</v>
      </c>
      <c r="O3938">
        <v>5295.66</v>
      </c>
      <c r="P3938">
        <v>3160.46</v>
      </c>
      <c r="Q3938">
        <v>1192.74</v>
      </c>
      <c r="R3938">
        <v>1915.06</v>
      </c>
      <c r="S3938">
        <v>1184.9000000000001</v>
      </c>
      <c r="T3938">
        <v>56788.800000000003</v>
      </c>
      <c r="U3938">
        <v>34216.959999999999</v>
      </c>
      <c r="V3938">
        <v>13947.39</v>
      </c>
      <c r="W3938">
        <v>13972.63</v>
      </c>
      <c r="X3938">
        <v>65915.91</v>
      </c>
      <c r="Y3938">
        <v>53261.43</v>
      </c>
    </row>
    <row r="3939" spans="1:25" x14ac:dyDescent="0.25">
      <c r="A3939" t="s">
        <v>3995</v>
      </c>
      <c r="B3939" s="1">
        <v>46013</v>
      </c>
      <c r="C3939">
        <v>2025</v>
      </c>
      <c r="D3939">
        <v>12</v>
      </c>
      <c r="E3939" t="s">
        <v>1217</v>
      </c>
      <c r="F3939" t="s">
        <v>1018</v>
      </c>
      <c r="G3939" t="s">
        <v>35</v>
      </c>
      <c r="H3939" t="s">
        <v>32</v>
      </c>
      <c r="I3939" t="s">
        <v>39</v>
      </c>
      <c r="J3939">
        <v>19</v>
      </c>
      <c r="K3939">
        <v>1727.88</v>
      </c>
      <c r="L3939">
        <v>32829.78</v>
      </c>
      <c r="M3939">
        <v>18322.61</v>
      </c>
      <c r="N3939">
        <v>3725.04</v>
      </c>
      <c r="O3939">
        <v>1840.67</v>
      </c>
      <c r="P3939">
        <v>699.5</v>
      </c>
      <c r="Q3939">
        <v>373.44</v>
      </c>
      <c r="R3939">
        <v>1958.26</v>
      </c>
      <c r="S3939">
        <v>415.96</v>
      </c>
      <c r="T3939">
        <v>27335.48</v>
      </c>
      <c r="U3939">
        <v>14507.17</v>
      </c>
      <c r="V3939">
        <v>5494.3</v>
      </c>
      <c r="W3939">
        <v>5494.47</v>
      </c>
      <c r="X3939">
        <v>35943.839999999997</v>
      </c>
      <c r="Y3939">
        <v>28087.93</v>
      </c>
    </row>
    <row r="3940" spans="1:25" x14ac:dyDescent="0.25">
      <c r="A3940" t="s">
        <v>3996</v>
      </c>
      <c r="B3940" s="1">
        <v>46013</v>
      </c>
      <c r="C3940">
        <v>2025</v>
      </c>
      <c r="D3940">
        <v>12</v>
      </c>
      <c r="E3940" t="s">
        <v>1217</v>
      </c>
      <c r="F3940" t="s">
        <v>1018</v>
      </c>
      <c r="G3940" t="s">
        <v>44</v>
      </c>
      <c r="H3940" t="s">
        <v>29</v>
      </c>
      <c r="I3940" t="s">
        <v>56</v>
      </c>
      <c r="J3940">
        <v>23</v>
      </c>
      <c r="K3940">
        <v>1477.55</v>
      </c>
      <c r="L3940">
        <v>33983.75</v>
      </c>
      <c r="M3940">
        <v>21403.23</v>
      </c>
      <c r="N3940">
        <v>3271.34</v>
      </c>
      <c r="O3940">
        <v>2005.91</v>
      </c>
      <c r="P3940">
        <v>1457.19</v>
      </c>
      <c r="Q3940">
        <v>461.96</v>
      </c>
      <c r="R3940">
        <v>1845.8</v>
      </c>
      <c r="S3940">
        <v>847.24</v>
      </c>
      <c r="T3940">
        <v>31292.66</v>
      </c>
      <c r="U3940">
        <v>12580.52</v>
      </c>
      <c r="V3940">
        <v>2691.08</v>
      </c>
      <c r="W3940">
        <v>2675.99</v>
      </c>
      <c r="X3940">
        <v>32600.720000000001</v>
      </c>
      <c r="Y3940">
        <v>29444.14</v>
      </c>
    </row>
    <row r="3941" spans="1:25" x14ac:dyDescent="0.25">
      <c r="A3941" t="s">
        <v>3997</v>
      </c>
      <c r="B3941" s="1">
        <v>46013</v>
      </c>
      <c r="C3941">
        <v>2025</v>
      </c>
      <c r="D3941">
        <v>12</v>
      </c>
      <c r="E3941" t="s">
        <v>1217</v>
      </c>
      <c r="F3941" t="s">
        <v>1018</v>
      </c>
      <c r="G3941" t="s">
        <v>44</v>
      </c>
      <c r="H3941" t="s">
        <v>29</v>
      </c>
      <c r="I3941" t="s">
        <v>50</v>
      </c>
      <c r="J3941">
        <v>46</v>
      </c>
      <c r="K3941">
        <v>807.75</v>
      </c>
      <c r="L3941">
        <v>37156.699999999997</v>
      </c>
      <c r="M3941">
        <v>18412.72</v>
      </c>
      <c r="N3941">
        <v>3935.49</v>
      </c>
      <c r="O3941">
        <v>2406.9899999999998</v>
      </c>
      <c r="P3941">
        <v>810.88</v>
      </c>
      <c r="Q3941">
        <v>269.58999999999997</v>
      </c>
      <c r="R3941">
        <v>1407.89</v>
      </c>
      <c r="S3941">
        <v>424.01</v>
      </c>
      <c r="T3941">
        <v>27667.58</v>
      </c>
      <c r="U3941">
        <v>18743.97</v>
      </c>
      <c r="V3941">
        <v>9489.1200000000008</v>
      </c>
      <c r="W3941">
        <v>9392.82</v>
      </c>
      <c r="X3941">
        <v>36683.089999999997</v>
      </c>
      <c r="Y3941">
        <v>26490.47</v>
      </c>
    </row>
    <row r="3942" spans="1:25" x14ac:dyDescent="0.25">
      <c r="A3942" t="s">
        <v>3998</v>
      </c>
      <c r="B3942" s="1">
        <v>46013</v>
      </c>
      <c r="C3942">
        <v>2025</v>
      </c>
      <c r="D3942">
        <v>12</v>
      </c>
      <c r="E3942" t="s">
        <v>1217</v>
      </c>
      <c r="F3942" t="s">
        <v>1018</v>
      </c>
      <c r="G3942" t="s">
        <v>28</v>
      </c>
      <c r="H3942" t="s">
        <v>32</v>
      </c>
      <c r="I3942" t="s">
        <v>39</v>
      </c>
      <c r="J3942">
        <v>70</v>
      </c>
      <c r="K3942">
        <v>849.94</v>
      </c>
      <c r="L3942">
        <v>59496.03</v>
      </c>
      <c r="M3942">
        <v>35482.42</v>
      </c>
      <c r="N3942">
        <v>5863.87</v>
      </c>
      <c r="O3942">
        <v>3190.51</v>
      </c>
      <c r="P3942">
        <v>1264.49</v>
      </c>
      <c r="Q3942">
        <v>942.28</v>
      </c>
      <c r="R3942">
        <v>1751.72</v>
      </c>
      <c r="S3942">
        <v>776.67</v>
      </c>
      <c r="T3942">
        <v>49271.97</v>
      </c>
      <c r="U3942">
        <v>24013.61</v>
      </c>
      <c r="V3942">
        <v>10224.06</v>
      </c>
      <c r="W3942">
        <v>9228.07</v>
      </c>
      <c r="X3942">
        <v>64563.75</v>
      </c>
      <c r="Y3942">
        <v>49170.85</v>
      </c>
    </row>
    <row r="3943" spans="1:25" x14ac:dyDescent="0.25">
      <c r="A3943" t="s">
        <v>3999</v>
      </c>
      <c r="B3943" s="1">
        <v>46014</v>
      </c>
      <c r="C3943">
        <v>2025</v>
      </c>
      <c r="D3943">
        <v>12</v>
      </c>
      <c r="E3943" t="s">
        <v>1217</v>
      </c>
      <c r="F3943" t="s">
        <v>1018</v>
      </c>
      <c r="G3943" t="s">
        <v>35</v>
      </c>
      <c r="H3943" t="s">
        <v>36</v>
      </c>
      <c r="I3943" t="s">
        <v>45</v>
      </c>
      <c r="J3943">
        <v>31</v>
      </c>
      <c r="K3943">
        <v>1083.96</v>
      </c>
      <c r="L3943">
        <v>33602.769999999997</v>
      </c>
      <c r="M3943">
        <v>18844.13</v>
      </c>
      <c r="N3943">
        <v>3002.19</v>
      </c>
      <c r="O3943">
        <v>1937.87</v>
      </c>
      <c r="P3943">
        <v>1142.46</v>
      </c>
      <c r="Q3943">
        <v>434.44</v>
      </c>
      <c r="R3943">
        <v>1030.02</v>
      </c>
      <c r="S3943">
        <v>691.39</v>
      </c>
      <c r="T3943">
        <v>27082.5</v>
      </c>
      <c r="U3943">
        <v>14758.64</v>
      </c>
      <c r="V3943">
        <v>6520.27</v>
      </c>
      <c r="W3943">
        <v>5799.01</v>
      </c>
      <c r="X3943">
        <v>35564.74</v>
      </c>
      <c r="Y3943">
        <v>29470.04</v>
      </c>
    </row>
    <row r="3944" spans="1:25" x14ac:dyDescent="0.25">
      <c r="A3944" t="s">
        <v>4000</v>
      </c>
      <c r="B3944" s="1">
        <v>46014</v>
      </c>
      <c r="C3944">
        <v>2025</v>
      </c>
      <c r="D3944">
        <v>12</v>
      </c>
      <c r="E3944" t="s">
        <v>1217</v>
      </c>
      <c r="F3944" t="s">
        <v>1018</v>
      </c>
      <c r="G3944" t="s">
        <v>28</v>
      </c>
      <c r="H3944" t="s">
        <v>32</v>
      </c>
      <c r="I3944" t="s">
        <v>37</v>
      </c>
      <c r="J3944">
        <v>77</v>
      </c>
      <c r="K3944">
        <v>1017.62</v>
      </c>
      <c r="L3944">
        <v>78357.070000000007</v>
      </c>
      <c r="M3944">
        <v>46707.24</v>
      </c>
      <c r="N3944">
        <v>9022.3799999999992</v>
      </c>
      <c r="O3944">
        <v>2133.96</v>
      </c>
      <c r="P3944">
        <v>1888.74</v>
      </c>
      <c r="Q3944">
        <v>1102.92</v>
      </c>
      <c r="R3944">
        <v>4784.46</v>
      </c>
      <c r="S3944">
        <v>1353.95</v>
      </c>
      <c r="T3944">
        <v>66993.66</v>
      </c>
      <c r="U3944">
        <v>31649.83</v>
      </c>
      <c r="V3944">
        <v>11363.42</v>
      </c>
      <c r="W3944">
        <v>10922.8</v>
      </c>
      <c r="X3944">
        <v>82599.19</v>
      </c>
      <c r="Y3944">
        <v>70163.56</v>
      </c>
    </row>
    <row r="3945" spans="1:25" x14ac:dyDescent="0.25">
      <c r="A3945" t="s">
        <v>4001</v>
      </c>
      <c r="B3945" s="1">
        <v>46014</v>
      </c>
      <c r="C3945">
        <v>2025</v>
      </c>
      <c r="D3945">
        <v>12</v>
      </c>
      <c r="E3945" t="s">
        <v>1217</v>
      </c>
      <c r="F3945" t="s">
        <v>1018</v>
      </c>
      <c r="G3945" t="s">
        <v>28</v>
      </c>
      <c r="H3945" t="s">
        <v>32</v>
      </c>
      <c r="I3945" t="s">
        <v>39</v>
      </c>
      <c r="J3945">
        <v>30</v>
      </c>
      <c r="K3945">
        <v>1350.48</v>
      </c>
      <c r="L3945">
        <v>40514.400000000001</v>
      </c>
      <c r="M3945">
        <v>25169.1</v>
      </c>
      <c r="N3945">
        <v>4867.83</v>
      </c>
      <c r="O3945">
        <v>2894.03</v>
      </c>
      <c r="P3945">
        <v>1554.03</v>
      </c>
      <c r="Q3945">
        <v>657.4</v>
      </c>
      <c r="R3945">
        <v>1525.64</v>
      </c>
      <c r="S3945">
        <v>969.06</v>
      </c>
      <c r="T3945">
        <v>37637.089999999997</v>
      </c>
      <c r="U3945">
        <v>15345.3</v>
      </c>
      <c r="V3945">
        <v>2877.31</v>
      </c>
      <c r="W3945">
        <v>2668.71</v>
      </c>
      <c r="X3945">
        <v>44059.05</v>
      </c>
      <c r="Y3945">
        <v>37031.83</v>
      </c>
    </row>
    <row r="3946" spans="1:25" x14ac:dyDescent="0.25">
      <c r="A3946" t="s">
        <v>4002</v>
      </c>
      <c r="B3946" s="1">
        <v>46015</v>
      </c>
      <c r="C3946">
        <v>2025</v>
      </c>
      <c r="D3946">
        <v>12</v>
      </c>
      <c r="E3946" t="s">
        <v>1217</v>
      </c>
      <c r="F3946" t="s">
        <v>1018</v>
      </c>
      <c r="G3946" t="s">
        <v>44</v>
      </c>
      <c r="H3946" t="s">
        <v>29</v>
      </c>
      <c r="I3946" t="s">
        <v>30</v>
      </c>
      <c r="J3946">
        <v>71</v>
      </c>
      <c r="K3946">
        <v>1173.31</v>
      </c>
      <c r="L3946">
        <v>83304.759999999995</v>
      </c>
      <c r="M3946">
        <v>50260.68</v>
      </c>
      <c r="N3946">
        <v>8745.3799999999992</v>
      </c>
      <c r="O3946">
        <v>5783.29</v>
      </c>
      <c r="P3946">
        <v>2731.59</v>
      </c>
      <c r="Q3946">
        <v>860.39</v>
      </c>
      <c r="R3946">
        <v>4851.1899999999996</v>
      </c>
      <c r="S3946">
        <v>1545.29</v>
      </c>
      <c r="T3946">
        <v>74777.81</v>
      </c>
      <c r="U3946">
        <v>33044.07</v>
      </c>
      <c r="V3946">
        <v>8526.9500000000007</v>
      </c>
      <c r="W3946">
        <v>8080.24</v>
      </c>
      <c r="X3946">
        <v>80613.149999999994</v>
      </c>
      <c r="Y3946">
        <v>81503.759999999995</v>
      </c>
    </row>
    <row r="3947" spans="1:25" x14ac:dyDescent="0.25">
      <c r="A3947" t="s">
        <v>4003</v>
      </c>
      <c r="B3947" s="1">
        <v>46015</v>
      </c>
      <c r="C3947">
        <v>2025</v>
      </c>
      <c r="D3947">
        <v>12</v>
      </c>
      <c r="E3947" t="s">
        <v>1217</v>
      </c>
      <c r="F3947" t="s">
        <v>1018</v>
      </c>
      <c r="G3947" t="s">
        <v>28</v>
      </c>
      <c r="H3947" t="s">
        <v>32</v>
      </c>
      <c r="I3947" t="s">
        <v>45</v>
      </c>
      <c r="J3947">
        <v>34</v>
      </c>
      <c r="K3947">
        <v>1563.01</v>
      </c>
      <c r="L3947">
        <v>53142.44</v>
      </c>
      <c r="M3947">
        <v>26937.93</v>
      </c>
      <c r="N3947">
        <v>4611.5600000000004</v>
      </c>
      <c r="O3947">
        <v>1624.32</v>
      </c>
      <c r="P3947">
        <v>1901.87</v>
      </c>
      <c r="Q3947">
        <v>740.66</v>
      </c>
      <c r="R3947">
        <v>1380.65</v>
      </c>
      <c r="S3947">
        <v>1017.58</v>
      </c>
      <c r="T3947">
        <v>38214.57</v>
      </c>
      <c r="U3947">
        <v>26204.51</v>
      </c>
      <c r="V3947">
        <v>14927.87</v>
      </c>
      <c r="W3947">
        <v>14915.91</v>
      </c>
      <c r="X3947">
        <v>55103.11</v>
      </c>
      <c r="Y3947">
        <v>37481.11</v>
      </c>
    </row>
    <row r="3948" spans="1:25" x14ac:dyDescent="0.25">
      <c r="A3948" t="s">
        <v>4004</v>
      </c>
      <c r="B3948" s="1">
        <v>46015</v>
      </c>
      <c r="C3948">
        <v>2025</v>
      </c>
      <c r="D3948">
        <v>12</v>
      </c>
      <c r="E3948" t="s">
        <v>1217</v>
      </c>
      <c r="F3948" t="s">
        <v>1018</v>
      </c>
      <c r="G3948" t="s">
        <v>28</v>
      </c>
      <c r="H3948" t="s">
        <v>32</v>
      </c>
      <c r="I3948" t="s">
        <v>33</v>
      </c>
      <c r="J3948">
        <v>78</v>
      </c>
      <c r="K3948">
        <v>1462.05</v>
      </c>
      <c r="L3948">
        <v>114039.9</v>
      </c>
      <c r="M3948">
        <v>69978.31</v>
      </c>
      <c r="N3948">
        <v>14218.14</v>
      </c>
      <c r="O3948">
        <v>7732.01</v>
      </c>
      <c r="P3948">
        <v>3427.46</v>
      </c>
      <c r="Q3948">
        <v>1453.72</v>
      </c>
      <c r="R3948">
        <v>7387.36</v>
      </c>
      <c r="S3948">
        <v>1581.47</v>
      </c>
      <c r="T3948">
        <v>105778.47</v>
      </c>
      <c r="U3948">
        <v>44061.59</v>
      </c>
      <c r="V3948">
        <v>8261.43</v>
      </c>
      <c r="W3948">
        <v>7691.11</v>
      </c>
      <c r="X3948">
        <v>107510.22</v>
      </c>
      <c r="Y3948">
        <v>107449.39</v>
      </c>
    </row>
    <row r="3949" spans="1:25" x14ac:dyDescent="0.25">
      <c r="A3949" t="s">
        <v>4005</v>
      </c>
      <c r="B3949" s="1">
        <v>46015</v>
      </c>
      <c r="C3949">
        <v>2025</v>
      </c>
      <c r="D3949">
        <v>12</v>
      </c>
      <c r="E3949" t="s">
        <v>1217</v>
      </c>
      <c r="F3949" t="s">
        <v>1018</v>
      </c>
      <c r="G3949" t="s">
        <v>55</v>
      </c>
      <c r="H3949" t="s">
        <v>29</v>
      </c>
      <c r="I3949" t="s">
        <v>37</v>
      </c>
      <c r="J3949">
        <v>67</v>
      </c>
      <c r="K3949">
        <v>894.57</v>
      </c>
      <c r="L3949">
        <v>59936.07</v>
      </c>
      <c r="M3949">
        <v>40627.69</v>
      </c>
      <c r="N3949">
        <v>5118.7299999999996</v>
      </c>
      <c r="O3949">
        <v>4242.78</v>
      </c>
      <c r="P3949">
        <v>2655.91</v>
      </c>
      <c r="Q3949">
        <v>819.77</v>
      </c>
      <c r="R3949">
        <v>2218.29</v>
      </c>
      <c r="S3949">
        <v>1005.74</v>
      </c>
      <c r="T3949">
        <v>56688.9</v>
      </c>
      <c r="U3949">
        <v>19308.39</v>
      </c>
      <c r="V3949">
        <v>3247.17</v>
      </c>
      <c r="W3949">
        <v>3104.9</v>
      </c>
      <c r="X3949">
        <v>64373.09</v>
      </c>
      <c r="Y3949">
        <v>56832.58</v>
      </c>
    </row>
    <row r="3950" spans="1:25" x14ac:dyDescent="0.25">
      <c r="A3950" t="s">
        <v>4006</v>
      </c>
      <c r="B3950" s="1">
        <v>46015</v>
      </c>
      <c r="C3950">
        <v>2025</v>
      </c>
      <c r="D3950">
        <v>12</v>
      </c>
      <c r="E3950" t="s">
        <v>1217</v>
      </c>
      <c r="F3950" t="s">
        <v>1018</v>
      </c>
      <c r="G3950" t="s">
        <v>28</v>
      </c>
      <c r="H3950" t="s">
        <v>36</v>
      </c>
      <c r="I3950" t="s">
        <v>37</v>
      </c>
      <c r="J3950">
        <v>70</v>
      </c>
      <c r="K3950">
        <v>1022.03</v>
      </c>
      <c r="L3950">
        <v>71542.11</v>
      </c>
      <c r="M3950">
        <v>47745</v>
      </c>
      <c r="N3950">
        <v>6613.3</v>
      </c>
      <c r="O3950">
        <v>1817.1</v>
      </c>
      <c r="P3950">
        <v>1855.83</v>
      </c>
      <c r="Q3950">
        <v>1144.94</v>
      </c>
      <c r="R3950">
        <v>2514.5500000000002</v>
      </c>
      <c r="S3950">
        <v>585.21</v>
      </c>
      <c r="T3950">
        <v>62275.93</v>
      </c>
      <c r="U3950">
        <v>23797.119999999999</v>
      </c>
      <c r="V3950">
        <v>9266.18</v>
      </c>
      <c r="W3950">
        <v>8847.7999999999993</v>
      </c>
      <c r="X3950">
        <v>79091.09</v>
      </c>
      <c r="Y3950">
        <v>65355.98</v>
      </c>
    </row>
    <row r="3951" spans="1:25" x14ac:dyDescent="0.25">
      <c r="A3951" t="s">
        <v>4007</v>
      </c>
      <c r="B3951" s="1">
        <v>46015</v>
      </c>
      <c r="C3951">
        <v>2025</v>
      </c>
      <c r="D3951">
        <v>12</v>
      </c>
      <c r="E3951" t="s">
        <v>1217</v>
      </c>
      <c r="F3951" t="s">
        <v>1018</v>
      </c>
      <c r="G3951" t="s">
        <v>28</v>
      </c>
      <c r="H3951" t="s">
        <v>53</v>
      </c>
      <c r="I3951" t="s">
        <v>30</v>
      </c>
      <c r="J3951">
        <v>88</v>
      </c>
      <c r="K3951">
        <v>853.77</v>
      </c>
      <c r="L3951">
        <v>75131.97</v>
      </c>
      <c r="M3951">
        <v>41829.230000000003</v>
      </c>
      <c r="N3951">
        <v>5750.12</v>
      </c>
      <c r="O3951">
        <v>2843.3</v>
      </c>
      <c r="P3951">
        <v>1148.42</v>
      </c>
      <c r="Q3951">
        <v>909.35</v>
      </c>
      <c r="R3951">
        <v>2143.81</v>
      </c>
      <c r="S3951">
        <v>1642.51</v>
      </c>
      <c r="T3951">
        <v>56266.76</v>
      </c>
      <c r="U3951">
        <v>33302.74</v>
      </c>
      <c r="V3951">
        <v>18865.21</v>
      </c>
      <c r="W3951">
        <v>18765.009999999998</v>
      </c>
      <c r="X3951">
        <v>70841.350000000006</v>
      </c>
      <c r="Y3951">
        <v>54913.23</v>
      </c>
    </row>
    <row r="3952" spans="1:25" x14ac:dyDescent="0.25">
      <c r="A3952" t="s">
        <v>4008</v>
      </c>
      <c r="B3952" s="1">
        <v>46015</v>
      </c>
      <c r="C3952">
        <v>2025</v>
      </c>
      <c r="D3952">
        <v>12</v>
      </c>
      <c r="E3952" t="s">
        <v>1217</v>
      </c>
      <c r="F3952" t="s">
        <v>1018</v>
      </c>
      <c r="G3952" t="s">
        <v>55</v>
      </c>
      <c r="H3952" t="s">
        <v>53</v>
      </c>
      <c r="I3952" t="s">
        <v>37</v>
      </c>
      <c r="J3952">
        <v>33</v>
      </c>
      <c r="K3952">
        <v>1555.98</v>
      </c>
      <c r="L3952">
        <v>51347.38</v>
      </c>
      <c r="M3952">
        <v>25908.47</v>
      </c>
      <c r="N3952">
        <v>5088.55</v>
      </c>
      <c r="O3952">
        <v>3373.99</v>
      </c>
      <c r="P3952">
        <v>1800.92</v>
      </c>
      <c r="Q3952">
        <v>526.46</v>
      </c>
      <c r="R3952">
        <v>2009.67</v>
      </c>
      <c r="S3952">
        <v>1229.8599999999999</v>
      </c>
      <c r="T3952">
        <v>39937.919999999998</v>
      </c>
      <c r="U3952">
        <v>25438.91</v>
      </c>
      <c r="V3952">
        <v>11409.46</v>
      </c>
      <c r="W3952">
        <v>10615.64</v>
      </c>
      <c r="X3952">
        <v>48800.45</v>
      </c>
      <c r="Y3952">
        <v>40503.769999999997</v>
      </c>
    </row>
    <row r="3953" spans="1:25" x14ac:dyDescent="0.25">
      <c r="A3953" t="s">
        <v>4009</v>
      </c>
      <c r="B3953" s="1">
        <v>46016</v>
      </c>
      <c r="C3953">
        <v>2025</v>
      </c>
      <c r="D3953">
        <v>12</v>
      </c>
      <c r="E3953" t="s">
        <v>1217</v>
      </c>
      <c r="F3953" t="s">
        <v>1018</v>
      </c>
      <c r="G3953" t="s">
        <v>28</v>
      </c>
      <c r="H3953" t="s">
        <v>36</v>
      </c>
      <c r="I3953" t="s">
        <v>30</v>
      </c>
      <c r="J3953">
        <v>71</v>
      </c>
      <c r="K3953">
        <v>1358.03</v>
      </c>
      <c r="L3953">
        <v>96419.89</v>
      </c>
      <c r="M3953">
        <v>55991.66</v>
      </c>
      <c r="N3953">
        <v>9962.8799999999992</v>
      </c>
      <c r="O3953">
        <v>4778.22</v>
      </c>
      <c r="P3953">
        <v>1546.31</v>
      </c>
      <c r="Q3953">
        <v>1503.11</v>
      </c>
      <c r="R3953">
        <v>3077.46</v>
      </c>
      <c r="S3953">
        <v>1189.1400000000001</v>
      </c>
      <c r="T3953">
        <v>78048.77</v>
      </c>
      <c r="U3953">
        <v>40428.230000000003</v>
      </c>
      <c r="V3953">
        <v>18371.12</v>
      </c>
      <c r="W3953">
        <v>16303.15</v>
      </c>
      <c r="X3953">
        <v>99131.7</v>
      </c>
      <c r="Y3953">
        <v>78982.02</v>
      </c>
    </row>
    <row r="3954" spans="1:25" x14ac:dyDescent="0.25">
      <c r="A3954" t="s">
        <v>4010</v>
      </c>
      <c r="B3954" s="1">
        <v>46016</v>
      </c>
      <c r="C3954">
        <v>2025</v>
      </c>
      <c r="D3954">
        <v>12</v>
      </c>
      <c r="E3954" t="s">
        <v>1217</v>
      </c>
      <c r="F3954" t="s">
        <v>1018</v>
      </c>
      <c r="G3954" t="s">
        <v>35</v>
      </c>
      <c r="H3954" t="s">
        <v>36</v>
      </c>
      <c r="I3954" t="s">
        <v>33</v>
      </c>
      <c r="J3954">
        <v>44</v>
      </c>
      <c r="K3954">
        <v>1295.23</v>
      </c>
      <c r="L3954">
        <v>56989.91</v>
      </c>
      <c r="M3954">
        <v>27619.43</v>
      </c>
      <c r="N3954">
        <v>5837.95</v>
      </c>
      <c r="O3954">
        <v>3282.31</v>
      </c>
      <c r="P3954">
        <v>1440.82</v>
      </c>
      <c r="Q3954">
        <v>1019.2</v>
      </c>
      <c r="R3954">
        <v>1503.89</v>
      </c>
      <c r="S3954">
        <v>1092.5899999999999</v>
      </c>
      <c r="T3954">
        <v>41796.19</v>
      </c>
      <c r="U3954">
        <v>29370.48</v>
      </c>
      <c r="V3954">
        <v>15193.72</v>
      </c>
      <c r="W3954">
        <v>13924.5</v>
      </c>
      <c r="X3954">
        <v>53053.87</v>
      </c>
      <c r="Y3954">
        <v>44109.18</v>
      </c>
    </row>
    <row r="3955" spans="1:25" x14ac:dyDescent="0.25">
      <c r="A3955" t="s">
        <v>4011</v>
      </c>
      <c r="B3955" s="1">
        <v>46016</v>
      </c>
      <c r="C3955">
        <v>2025</v>
      </c>
      <c r="D3955">
        <v>12</v>
      </c>
      <c r="E3955" t="s">
        <v>1217</v>
      </c>
      <c r="F3955" t="s">
        <v>1018</v>
      </c>
      <c r="G3955" t="s">
        <v>55</v>
      </c>
      <c r="H3955" t="s">
        <v>32</v>
      </c>
      <c r="I3955" t="s">
        <v>30</v>
      </c>
      <c r="J3955">
        <v>65</v>
      </c>
      <c r="K3955">
        <v>1563.21</v>
      </c>
      <c r="L3955">
        <v>101608.51</v>
      </c>
      <c r="M3955">
        <v>59616.73</v>
      </c>
      <c r="N3955">
        <v>12254.86</v>
      </c>
      <c r="O3955">
        <v>7266.15</v>
      </c>
      <c r="P3955">
        <v>3706.95</v>
      </c>
      <c r="Q3955">
        <v>1684.93</v>
      </c>
      <c r="R3955">
        <v>3010.24</v>
      </c>
      <c r="S3955">
        <v>1264.83</v>
      </c>
      <c r="T3955">
        <v>88804.69</v>
      </c>
      <c r="U3955">
        <v>41991.78</v>
      </c>
      <c r="V3955">
        <v>12803.82</v>
      </c>
      <c r="W3955">
        <v>11280.14</v>
      </c>
      <c r="X3955">
        <v>93642.74</v>
      </c>
      <c r="Y3955">
        <v>89633.25</v>
      </c>
    </row>
    <row r="3956" spans="1:25" x14ac:dyDescent="0.25">
      <c r="A3956" t="s">
        <v>4012</v>
      </c>
      <c r="B3956" s="1">
        <v>46016</v>
      </c>
      <c r="C3956">
        <v>2025</v>
      </c>
      <c r="D3956">
        <v>12</v>
      </c>
      <c r="E3956" t="s">
        <v>1217</v>
      </c>
      <c r="F3956" t="s">
        <v>1018</v>
      </c>
      <c r="G3956" t="s">
        <v>44</v>
      </c>
      <c r="H3956" t="s">
        <v>32</v>
      </c>
      <c r="I3956" t="s">
        <v>33</v>
      </c>
      <c r="J3956">
        <v>69</v>
      </c>
      <c r="K3956">
        <v>1407.97</v>
      </c>
      <c r="L3956">
        <v>97149.87</v>
      </c>
      <c r="M3956">
        <v>59606.92</v>
      </c>
      <c r="N3956">
        <v>9486.06</v>
      </c>
      <c r="O3956">
        <v>3394.65</v>
      </c>
      <c r="P3956">
        <v>2910.36</v>
      </c>
      <c r="Q3956">
        <v>792.05</v>
      </c>
      <c r="R3956">
        <v>2611.38</v>
      </c>
      <c r="S3956">
        <v>2365.91</v>
      </c>
      <c r="T3956">
        <v>81167.33</v>
      </c>
      <c r="U3956">
        <v>37542.949999999997</v>
      </c>
      <c r="V3956">
        <v>15982.54</v>
      </c>
      <c r="W3956">
        <v>15324.2</v>
      </c>
      <c r="X3956">
        <v>90052.74</v>
      </c>
      <c r="Y3956">
        <v>79441.45</v>
      </c>
    </row>
    <row r="3957" spans="1:25" x14ac:dyDescent="0.25">
      <c r="A3957" t="s">
        <v>4013</v>
      </c>
      <c r="B3957" s="1">
        <v>46017</v>
      </c>
      <c r="C3957">
        <v>2025</v>
      </c>
      <c r="D3957">
        <v>12</v>
      </c>
      <c r="E3957" t="s">
        <v>1217</v>
      </c>
      <c r="F3957" t="s">
        <v>1018</v>
      </c>
      <c r="G3957" t="s">
        <v>28</v>
      </c>
      <c r="H3957" t="s">
        <v>32</v>
      </c>
      <c r="I3957" t="s">
        <v>39</v>
      </c>
      <c r="J3957">
        <v>64</v>
      </c>
      <c r="K3957">
        <v>1017.68</v>
      </c>
      <c r="L3957">
        <v>65131.55</v>
      </c>
      <c r="M3957">
        <v>36096.01</v>
      </c>
      <c r="N3957">
        <v>6940.65</v>
      </c>
      <c r="O3957">
        <v>4535.26</v>
      </c>
      <c r="P3957">
        <v>2780.56</v>
      </c>
      <c r="Q3957">
        <v>761.37</v>
      </c>
      <c r="R3957">
        <v>3214.61</v>
      </c>
      <c r="S3957">
        <v>1326.63</v>
      </c>
      <c r="T3957">
        <v>55655.08</v>
      </c>
      <c r="U3957">
        <v>29035.53</v>
      </c>
      <c r="V3957">
        <v>9476.4599999999991</v>
      </c>
      <c r="W3957">
        <v>9446.59</v>
      </c>
      <c r="X3957">
        <v>69853.67</v>
      </c>
      <c r="Y3957">
        <v>60631.97</v>
      </c>
    </row>
    <row r="3958" spans="1:25" x14ac:dyDescent="0.25">
      <c r="A3958" t="s">
        <v>4014</v>
      </c>
      <c r="B3958" s="1">
        <v>46018</v>
      </c>
      <c r="C3958">
        <v>2025</v>
      </c>
      <c r="D3958">
        <v>12</v>
      </c>
      <c r="E3958" t="s">
        <v>1217</v>
      </c>
      <c r="F3958" t="s">
        <v>1018</v>
      </c>
      <c r="G3958" t="s">
        <v>28</v>
      </c>
      <c r="H3958" t="s">
        <v>36</v>
      </c>
      <c r="I3958" t="s">
        <v>30</v>
      </c>
      <c r="J3958">
        <v>52</v>
      </c>
      <c r="K3958">
        <v>1607.01</v>
      </c>
      <c r="L3958">
        <v>83564.37</v>
      </c>
      <c r="M3958">
        <v>54991.33</v>
      </c>
      <c r="N3958">
        <v>10830.64</v>
      </c>
      <c r="O3958">
        <v>3860.88</v>
      </c>
      <c r="P3958">
        <v>1761.61</v>
      </c>
      <c r="Q3958">
        <v>1050.29</v>
      </c>
      <c r="R3958">
        <v>4075.7</v>
      </c>
      <c r="S3958">
        <v>2055.85</v>
      </c>
      <c r="T3958">
        <v>78626.31</v>
      </c>
      <c r="U3958">
        <v>28573.040000000001</v>
      </c>
      <c r="V3958">
        <v>4938.0600000000004</v>
      </c>
      <c r="W3958">
        <v>4782.5600000000004</v>
      </c>
      <c r="X3958">
        <v>90173.47</v>
      </c>
      <c r="Y3958">
        <v>76250.78</v>
      </c>
    </row>
    <row r="3959" spans="1:25" x14ac:dyDescent="0.25">
      <c r="A3959" t="s">
        <v>4015</v>
      </c>
      <c r="B3959" s="1">
        <v>46018</v>
      </c>
      <c r="C3959">
        <v>2025</v>
      </c>
      <c r="D3959">
        <v>12</v>
      </c>
      <c r="E3959" t="s">
        <v>1217</v>
      </c>
      <c r="F3959" t="s">
        <v>1018</v>
      </c>
      <c r="G3959" t="s">
        <v>28</v>
      </c>
      <c r="H3959" t="s">
        <v>36</v>
      </c>
      <c r="I3959" t="s">
        <v>50</v>
      </c>
      <c r="J3959">
        <v>50</v>
      </c>
      <c r="K3959">
        <v>1291.68</v>
      </c>
      <c r="L3959">
        <v>64583.89</v>
      </c>
      <c r="M3959">
        <v>36298.800000000003</v>
      </c>
      <c r="N3959">
        <v>6005.68</v>
      </c>
      <c r="O3959">
        <v>4058.24</v>
      </c>
      <c r="P3959">
        <v>2591</v>
      </c>
      <c r="Q3959">
        <v>849.84</v>
      </c>
      <c r="R3959">
        <v>2927.25</v>
      </c>
      <c r="S3959">
        <v>519.46</v>
      </c>
      <c r="T3959">
        <v>53250.26</v>
      </c>
      <c r="U3959">
        <v>28285.09</v>
      </c>
      <c r="V3959">
        <v>11333.63</v>
      </c>
      <c r="W3959">
        <v>11087.41</v>
      </c>
      <c r="X3959">
        <v>60512.5</v>
      </c>
      <c r="Y3959">
        <v>50055.34</v>
      </c>
    </row>
    <row r="3960" spans="1:25" x14ac:dyDescent="0.25">
      <c r="A3960" t="s">
        <v>4016</v>
      </c>
      <c r="B3960" s="1">
        <v>46018</v>
      </c>
      <c r="C3960">
        <v>2025</v>
      </c>
      <c r="D3960">
        <v>12</v>
      </c>
      <c r="E3960" t="s">
        <v>1217</v>
      </c>
      <c r="F3960" t="s">
        <v>1018</v>
      </c>
      <c r="G3960" t="s">
        <v>35</v>
      </c>
      <c r="H3960" t="s">
        <v>36</v>
      </c>
      <c r="I3960" t="s">
        <v>37</v>
      </c>
      <c r="J3960">
        <v>79</v>
      </c>
      <c r="K3960">
        <v>923.3</v>
      </c>
      <c r="L3960">
        <v>72940.92</v>
      </c>
      <c r="M3960">
        <v>43756.58</v>
      </c>
      <c r="N3960">
        <v>8195.08</v>
      </c>
      <c r="O3960">
        <v>3219.29</v>
      </c>
      <c r="P3960">
        <v>3238.54</v>
      </c>
      <c r="Q3960">
        <v>713.75</v>
      </c>
      <c r="R3960">
        <v>2501.4299999999998</v>
      </c>
      <c r="S3960">
        <v>1803.23</v>
      </c>
      <c r="T3960">
        <v>63427.89</v>
      </c>
      <c r="U3960">
        <v>29184.34</v>
      </c>
      <c r="V3960">
        <v>9513.0300000000007</v>
      </c>
      <c r="W3960">
        <v>8794.51</v>
      </c>
      <c r="X3960">
        <v>77192.53</v>
      </c>
      <c r="Y3960">
        <v>68703.39</v>
      </c>
    </row>
    <row r="3961" spans="1:25" x14ac:dyDescent="0.25">
      <c r="A3961" t="s">
        <v>4017</v>
      </c>
      <c r="B3961" s="1">
        <v>46019</v>
      </c>
      <c r="C3961">
        <v>2025</v>
      </c>
      <c r="D3961">
        <v>12</v>
      </c>
      <c r="E3961" t="s">
        <v>1217</v>
      </c>
      <c r="F3961" t="s">
        <v>1018</v>
      </c>
      <c r="G3961" t="s">
        <v>44</v>
      </c>
      <c r="H3961" t="s">
        <v>32</v>
      </c>
      <c r="I3961" t="s">
        <v>45</v>
      </c>
      <c r="J3961">
        <v>43</v>
      </c>
      <c r="K3961">
        <v>1188.0899999999999</v>
      </c>
      <c r="L3961">
        <v>51087.77</v>
      </c>
      <c r="M3961">
        <v>33665.25</v>
      </c>
      <c r="N3961">
        <v>4053.98</v>
      </c>
      <c r="O3961">
        <v>2115.4299999999998</v>
      </c>
      <c r="P3961">
        <v>1215.79</v>
      </c>
      <c r="Q3961">
        <v>816.88</v>
      </c>
      <c r="R3961">
        <v>2797.73</v>
      </c>
      <c r="S3961">
        <v>935.71</v>
      </c>
      <c r="T3961">
        <v>45600.76</v>
      </c>
      <c r="U3961">
        <v>17422.52</v>
      </c>
      <c r="V3961">
        <v>5487.01</v>
      </c>
      <c r="W3961">
        <v>4875.58</v>
      </c>
      <c r="X3961">
        <v>48898.29</v>
      </c>
      <c r="Y3961">
        <v>46359.67</v>
      </c>
    </row>
    <row r="3962" spans="1:25" x14ac:dyDescent="0.25">
      <c r="A3962" t="s">
        <v>4018</v>
      </c>
      <c r="B3962" s="1">
        <v>46019</v>
      </c>
      <c r="C3962">
        <v>2025</v>
      </c>
      <c r="D3962">
        <v>12</v>
      </c>
      <c r="E3962" t="s">
        <v>1217</v>
      </c>
      <c r="F3962" t="s">
        <v>1018</v>
      </c>
      <c r="G3962" t="s">
        <v>35</v>
      </c>
      <c r="H3962" t="s">
        <v>58</v>
      </c>
      <c r="I3962" t="s">
        <v>30</v>
      </c>
      <c r="J3962">
        <v>68</v>
      </c>
      <c r="K3962">
        <v>1093.8</v>
      </c>
      <c r="L3962">
        <v>74378.23</v>
      </c>
      <c r="M3962">
        <v>47670.67</v>
      </c>
      <c r="N3962">
        <v>8965.2000000000007</v>
      </c>
      <c r="O3962">
        <v>4593.3900000000003</v>
      </c>
      <c r="P3962">
        <v>2422.62</v>
      </c>
      <c r="Q3962">
        <v>1166.8900000000001</v>
      </c>
      <c r="R3962">
        <v>4618.76</v>
      </c>
      <c r="S3962">
        <v>1417.67</v>
      </c>
      <c r="T3962">
        <v>70855.199999999997</v>
      </c>
      <c r="U3962">
        <v>26707.56</v>
      </c>
      <c r="V3962">
        <v>3523.03</v>
      </c>
      <c r="W3962">
        <v>3177.25</v>
      </c>
      <c r="X3962">
        <v>73515.11</v>
      </c>
      <c r="Y3962">
        <v>77461.64</v>
      </c>
    </row>
    <row r="3963" spans="1:25" x14ac:dyDescent="0.25">
      <c r="A3963" t="s">
        <v>4019</v>
      </c>
      <c r="B3963" s="1">
        <v>46019</v>
      </c>
      <c r="C3963">
        <v>2025</v>
      </c>
      <c r="D3963">
        <v>12</v>
      </c>
      <c r="E3963" t="s">
        <v>1217</v>
      </c>
      <c r="F3963" t="s">
        <v>1018</v>
      </c>
      <c r="G3963" t="s">
        <v>44</v>
      </c>
      <c r="H3963" t="s">
        <v>53</v>
      </c>
      <c r="I3963" t="s">
        <v>30</v>
      </c>
      <c r="J3963">
        <v>87</v>
      </c>
      <c r="K3963">
        <v>1018.24</v>
      </c>
      <c r="L3963">
        <v>88586.63</v>
      </c>
      <c r="M3963">
        <v>47881.5</v>
      </c>
      <c r="N3963">
        <v>6254.55</v>
      </c>
      <c r="O3963">
        <v>5344.8</v>
      </c>
      <c r="P3963">
        <v>2227</v>
      </c>
      <c r="Q3963">
        <v>781.53</v>
      </c>
      <c r="R3963">
        <v>3798.36</v>
      </c>
      <c r="S3963">
        <v>1600.59</v>
      </c>
      <c r="T3963">
        <v>67888.320000000007</v>
      </c>
      <c r="U3963">
        <v>40705.14</v>
      </c>
      <c r="V3963">
        <v>20698.310000000001</v>
      </c>
      <c r="W3963">
        <v>19129.419999999998</v>
      </c>
      <c r="X3963">
        <v>89620.92</v>
      </c>
      <c r="Y3963">
        <v>69665.88</v>
      </c>
    </row>
    <row r="3964" spans="1:25" x14ac:dyDescent="0.25">
      <c r="A3964" t="s">
        <v>4020</v>
      </c>
      <c r="B3964" s="1">
        <v>46019</v>
      </c>
      <c r="C3964">
        <v>2025</v>
      </c>
      <c r="D3964">
        <v>12</v>
      </c>
      <c r="E3964" t="s">
        <v>1217</v>
      </c>
      <c r="F3964" t="s">
        <v>1018</v>
      </c>
      <c r="G3964" t="s">
        <v>28</v>
      </c>
      <c r="H3964" t="s">
        <v>53</v>
      </c>
      <c r="I3964" t="s">
        <v>65</v>
      </c>
      <c r="J3964">
        <v>34</v>
      </c>
      <c r="K3964">
        <v>1346.12</v>
      </c>
      <c r="L3964">
        <v>45768</v>
      </c>
      <c r="M3964">
        <v>24277.83</v>
      </c>
      <c r="N3964">
        <v>5560.99</v>
      </c>
      <c r="O3964">
        <v>3160.84</v>
      </c>
      <c r="P3964">
        <v>1715.35</v>
      </c>
      <c r="Q3964">
        <v>335.48</v>
      </c>
      <c r="R3964">
        <v>1267.31</v>
      </c>
      <c r="S3964">
        <v>484.6</v>
      </c>
      <c r="T3964">
        <v>36802.39</v>
      </c>
      <c r="U3964">
        <v>21490.17</v>
      </c>
      <c r="V3964">
        <v>8965.6</v>
      </c>
      <c r="W3964">
        <v>8530.82</v>
      </c>
      <c r="X3964">
        <v>46143.89</v>
      </c>
      <c r="Y3964">
        <v>34953.06</v>
      </c>
    </row>
    <row r="3965" spans="1:25" x14ac:dyDescent="0.25">
      <c r="A3965" t="s">
        <v>4021</v>
      </c>
      <c r="B3965" s="1">
        <v>46019</v>
      </c>
      <c r="C3965">
        <v>2025</v>
      </c>
      <c r="D3965">
        <v>12</v>
      </c>
      <c r="E3965" t="s">
        <v>1217</v>
      </c>
      <c r="F3965" t="s">
        <v>1018</v>
      </c>
      <c r="G3965" t="s">
        <v>28</v>
      </c>
      <c r="H3965" t="s">
        <v>36</v>
      </c>
      <c r="I3965" t="s">
        <v>33</v>
      </c>
      <c r="J3965">
        <v>41</v>
      </c>
      <c r="K3965">
        <v>1776.76</v>
      </c>
      <c r="L3965">
        <v>72847.009999999995</v>
      </c>
      <c r="M3965">
        <v>42033.02</v>
      </c>
      <c r="N3965">
        <v>9135.7800000000007</v>
      </c>
      <c r="O3965">
        <v>3548.9</v>
      </c>
      <c r="P3965">
        <v>3166.63</v>
      </c>
      <c r="Q3965">
        <v>687.2</v>
      </c>
      <c r="R3965">
        <v>3519.38</v>
      </c>
      <c r="S3965">
        <v>752.34</v>
      </c>
      <c r="T3965">
        <v>62843.26</v>
      </c>
      <c r="U3965">
        <v>30813.98</v>
      </c>
      <c r="V3965">
        <v>10003.75</v>
      </c>
      <c r="W3965">
        <v>9258.19</v>
      </c>
      <c r="X3965">
        <v>69694.289999999994</v>
      </c>
      <c r="Y3965">
        <v>64591.24</v>
      </c>
    </row>
    <row r="3966" spans="1:25" x14ac:dyDescent="0.25">
      <c r="A3966" t="s">
        <v>4022</v>
      </c>
      <c r="B3966" s="1">
        <v>46020</v>
      </c>
      <c r="C3966">
        <v>2025</v>
      </c>
      <c r="D3966">
        <v>12</v>
      </c>
      <c r="E3966" t="s">
        <v>1217</v>
      </c>
      <c r="F3966" t="s">
        <v>1018</v>
      </c>
      <c r="G3966" t="s">
        <v>55</v>
      </c>
      <c r="H3966" t="s">
        <v>32</v>
      </c>
      <c r="I3966" t="s">
        <v>65</v>
      </c>
      <c r="J3966">
        <v>55</v>
      </c>
      <c r="K3966">
        <v>1468.33</v>
      </c>
      <c r="L3966">
        <v>80757.960000000006</v>
      </c>
      <c r="M3966">
        <v>43808.71</v>
      </c>
      <c r="N3966">
        <v>7586.86</v>
      </c>
      <c r="O3966">
        <v>2047.2</v>
      </c>
      <c r="P3966">
        <v>2825.01</v>
      </c>
      <c r="Q3966">
        <v>589.11</v>
      </c>
      <c r="R3966">
        <v>5193.99</v>
      </c>
      <c r="S3966">
        <v>1074.03</v>
      </c>
      <c r="T3966">
        <v>63124.92</v>
      </c>
      <c r="U3966">
        <v>36949.25</v>
      </c>
      <c r="V3966">
        <v>17633.04</v>
      </c>
      <c r="W3966">
        <v>17703.419999999998</v>
      </c>
      <c r="X3966">
        <v>75437.259999999995</v>
      </c>
      <c r="Y3966">
        <v>63100.33</v>
      </c>
    </row>
    <row r="3967" spans="1:25" x14ac:dyDescent="0.25">
      <c r="A3967" t="s">
        <v>4023</v>
      </c>
      <c r="B3967" s="1">
        <v>46020</v>
      </c>
      <c r="C3967">
        <v>2025</v>
      </c>
      <c r="D3967">
        <v>12</v>
      </c>
      <c r="E3967" t="s">
        <v>1217</v>
      </c>
      <c r="F3967" t="s">
        <v>1018</v>
      </c>
      <c r="G3967" t="s">
        <v>55</v>
      </c>
      <c r="H3967" t="s">
        <v>36</v>
      </c>
      <c r="I3967" t="s">
        <v>33</v>
      </c>
      <c r="J3967">
        <v>82</v>
      </c>
      <c r="K3967">
        <v>981.87</v>
      </c>
      <c r="L3967">
        <v>80513.39</v>
      </c>
      <c r="M3967">
        <v>40411.18</v>
      </c>
      <c r="N3967">
        <v>7070.61</v>
      </c>
      <c r="O3967">
        <v>3993.09</v>
      </c>
      <c r="P3967">
        <v>2911.32</v>
      </c>
      <c r="Q3967">
        <v>1249.6099999999999</v>
      </c>
      <c r="R3967">
        <v>2326.75</v>
      </c>
      <c r="S3967">
        <v>977.58</v>
      </c>
      <c r="T3967">
        <v>58940.13</v>
      </c>
      <c r="U3967">
        <v>40102.21</v>
      </c>
      <c r="V3967">
        <v>21573.25</v>
      </c>
      <c r="W3967">
        <v>19174.43</v>
      </c>
      <c r="X3967">
        <v>80025.89</v>
      </c>
      <c r="Y3967">
        <v>61500.2</v>
      </c>
    </row>
    <row r="3968" spans="1:25" x14ac:dyDescent="0.25">
      <c r="A3968" t="s">
        <v>4024</v>
      </c>
      <c r="B3968" s="1">
        <v>46020</v>
      </c>
      <c r="C3968">
        <v>2025</v>
      </c>
      <c r="D3968">
        <v>12</v>
      </c>
      <c r="E3968" t="s">
        <v>1217</v>
      </c>
      <c r="F3968" t="s">
        <v>1018</v>
      </c>
      <c r="G3968" t="s">
        <v>55</v>
      </c>
      <c r="H3968" t="s">
        <v>32</v>
      </c>
      <c r="I3968" t="s">
        <v>30</v>
      </c>
      <c r="J3968">
        <v>61</v>
      </c>
      <c r="K3968">
        <v>1652.34</v>
      </c>
      <c r="L3968">
        <v>100792.83</v>
      </c>
      <c r="M3968">
        <v>54370.44</v>
      </c>
      <c r="N3968">
        <v>10102.77</v>
      </c>
      <c r="O3968">
        <v>5808.35</v>
      </c>
      <c r="P3968">
        <v>3245.1</v>
      </c>
      <c r="Q3968">
        <v>529.24</v>
      </c>
      <c r="R3968">
        <v>4898.21</v>
      </c>
      <c r="S3968">
        <v>1826.55</v>
      </c>
      <c r="T3968">
        <v>80780.67</v>
      </c>
      <c r="U3968">
        <v>46422.38</v>
      </c>
      <c r="V3968">
        <v>20012.16</v>
      </c>
      <c r="W3968">
        <v>19289.29</v>
      </c>
      <c r="X3968">
        <v>106934.51</v>
      </c>
      <c r="Y3968">
        <v>76495.850000000006</v>
      </c>
    </row>
    <row r="3969" spans="1:25" x14ac:dyDescent="0.25">
      <c r="A3969" t="s">
        <v>4025</v>
      </c>
      <c r="B3969" s="1">
        <v>46020</v>
      </c>
      <c r="C3969">
        <v>2025</v>
      </c>
      <c r="D3969">
        <v>12</v>
      </c>
      <c r="E3969" t="s">
        <v>1217</v>
      </c>
      <c r="F3969" t="s">
        <v>1018</v>
      </c>
      <c r="G3969" t="s">
        <v>35</v>
      </c>
      <c r="H3969" t="s">
        <v>32</v>
      </c>
      <c r="I3969" t="s">
        <v>30</v>
      </c>
      <c r="J3969">
        <v>65</v>
      </c>
      <c r="K3969">
        <v>1574.07</v>
      </c>
      <c r="L3969">
        <v>102314.81</v>
      </c>
      <c r="M3969">
        <v>64146.03</v>
      </c>
      <c r="N3969">
        <v>10321.5</v>
      </c>
      <c r="O3969">
        <v>2698.19</v>
      </c>
      <c r="P3969">
        <v>4427.9799999999996</v>
      </c>
      <c r="Q3969">
        <v>547.6</v>
      </c>
      <c r="R3969">
        <v>4877.45</v>
      </c>
      <c r="S3969">
        <v>972.07</v>
      </c>
      <c r="T3969">
        <v>87990.82</v>
      </c>
      <c r="U3969">
        <v>38168.769999999997</v>
      </c>
      <c r="V3969">
        <v>14323.99</v>
      </c>
      <c r="W3969">
        <v>13412.62</v>
      </c>
      <c r="X3969">
        <v>106810.27</v>
      </c>
      <c r="Y3969">
        <v>89111.62</v>
      </c>
    </row>
    <row r="3970" spans="1:25" x14ac:dyDescent="0.25">
      <c r="A3970" t="s">
        <v>4026</v>
      </c>
      <c r="B3970" s="1">
        <v>46020</v>
      </c>
      <c r="C3970">
        <v>2025</v>
      </c>
      <c r="D3970">
        <v>12</v>
      </c>
      <c r="E3970" t="s">
        <v>1217</v>
      </c>
      <c r="F3970" t="s">
        <v>1018</v>
      </c>
      <c r="G3970" t="s">
        <v>44</v>
      </c>
      <c r="H3970" t="s">
        <v>32</v>
      </c>
      <c r="I3970" t="s">
        <v>56</v>
      </c>
      <c r="J3970">
        <v>24</v>
      </c>
      <c r="K3970">
        <v>1758.05</v>
      </c>
      <c r="L3970">
        <v>42193.24</v>
      </c>
      <c r="M3970">
        <v>22114.67</v>
      </c>
      <c r="N3970">
        <v>3269.75</v>
      </c>
      <c r="O3970">
        <v>2499.4899999999998</v>
      </c>
      <c r="P3970">
        <v>882.95</v>
      </c>
      <c r="Q3970">
        <v>735</v>
      </c>
      <c r="R3970">
        <v>1374.92</v>
      </c>
      <c r="S3970">
        <v>834</v>
      </c>
      <c r="T3970">
        <v>31710.77</v>
      </c>
      <c r="U3970">
        <v>20078.57</v>
      </c>
      <c r="V3970">
        <v>10482.469999999999</v>
      </c>
      <c r="W3970">
        <v>9997.81</v>
      </c>
      <c r="X3970">
        <v>44655.199999999997</v>
      </c>
      <c r="Y3970">
        <v>32859.54</v>
      </c>
    </row>
    <row r="3971" spans="1:25" x14ac:dyDescent="0.25">
      <c r="A3971" t="s">
        <v>4027</v>
      </c>
      <c r="B3971" s="1">
        <v>46021</v>
      </c>
      <c r="C3971">
        <v>2025</v>
      </c>
      <c r="D3971">
        <v>12</v>
      </c>
      <c r="E3971" t="s">
        <v>1217</v>
      </c>
      <c r="F3971" t="s">
        <v>1018</v>
      </c>
      <c r="G3971" t="s">
        <v>55</v>
      </c>
      <c r="H3971" t="s">
        <v>36</v>
      </c>
      <c r="I3971" t="s">
        <v>65</v>
      </c>
      <c r="J3971">
        <v>52</v>
      </c>
      <c r="K3971">
        <v>1405.1</v>
      </c>
      <c r="L3971">
        <v>73065.240000000005</v>
      </c>
      <c r="M3971">
        <v>35543.19</v>
      </c>
      <c r="N3971">
        <v>7535.52</v>
      </c>
      <c r="O3971">
        <v>3681.12</v>
      </c>
      <c r="P3971">
        <v>1208.06</v>
      </c>
      <c r="Q3971">
        <v>467.93</v>
      </c>
      <c r="R3971">
        <v>3361.9</v>
      </c>
      <c r="S3971">
        <v>1764.88</v>
      </c>
      <c r="T3971">
        <v>53562.58</v>
      </c>
      <c r="U3971">
        <v>37522.050000000003</v>
      </c>
      <c r="V3971">
        <v>19502.66</v>
      </c>
      <c r="W3971">
        <v>18699.830000000002</v>
      </c>
      <c r="X3971">
        <v>67938.720000000001</v>
      </c>
      <c r="Y3971">
        <v>57940.26</v>
      </c>
    </row>
    <row r="3972" spans="1:25" x14ac:dyDescent="0.25">
      <c r="A3972" t="s">
        <v>4028</v>
      </c>
      <c r="B3972" s="1">
        <v>46022</v>
      </c>
      <c r="C3972">
        <v>2025</v>
      </c>
      <c r="D3972">
        <v>12</v>
      </c>
      <c r="E3972" t="s">
        <v>1217</v>
      </c>
      <c r="F3972" t="s">
        <v>1018</v>
      </c>
      <c r="G3972" t="s">
        <v>28</v>
      </c>
      <c r="H3972" t="s">
        <v>32</v>
      </c>
      <c r="I3972" t="s">
        <v>30</v>
      </c>
      <c r="J3972">
        <v>65</v>
      </c>
      <c r="K3972">
        <v>1308.92</v>
      </c>
      <c r="L3972">
        <v>85079.91</v>
      </c>
      <c r="M3972">
        <v>50393.33</v>
      </c>
      <c r="N3972">
        <v>7794.1</v>
      </c>
      <c r="O3972">
        <v>4718.6400000000003</v>
      </c>
      <c r="P3972">
        <v>2980.32</v>
      </c>
      <c r="Q3972">
        <v>861.78</v>
      </c>
      <c r="R3972">
        <v>4609.68</v>
      </c>
      <c r="S3972">
        <v>767.99</v>
      </c>
      <c r="T3972">
        <v>72125.83</v>
      </c>
      <c r="U3972">
        <v>34686.589999999997</v>
      </c>
      <c r="V3972">
        <v>12954.08</v>
      </c>
      <c r="W3972">
        <v>11438.63</v>
      </c>
      <c r="X3972">
        <v>91559.37</v>
      </c>
      <c r="Y3972">
        <v>71996.28</v>
      </c>
    </row>
    <row r="3973" spans="1:25" x14ac:dyDescent="0.25">
      <c r="A3973" t="s">
        <v>4029</v>
      </c>
      <c r="B3973" s="1">
        <v>46022</v>
      </c>
      <c r="C3973">
        <v>2025</v>
      </c>
      <c r="D3973">
        <v>12</v>
      </c>
      <c r="E3973" t="s">
        <v>1217</v>
      </c>
      <c r="F3973" t="s">
        <v>1018</v>
      </c>
      <c r="G3973" t="s">
        <v>55</v>
      </c>
      <c r="H3973" t="s">
        <v>32</v>
      </c>
      <c r="I3973" t="s">
        <v>30</v>
      </c>
      <c r="J3973">
        <v>86</v>
      </c>
      <c r="K3973">
        <v>1189.8699999999999</v>
      </c>
      <c r="L3973">
        <v>102328.83</v>
      </c>
      <c r="M3973">
        <v>62085.74</v>
      </c>
      <c r="N3973">
        <v>12865.35</v>
      </c>
      <c r="O3973">
        <v>4762.53</v>
      </c>
      <c r="P3973">
        <v>1997.61</v>
      </c>
      <c r="Q3973">
        <v>563.16</v>
      </c>
      <c r="R3973">
        <v>4219.8100000000004</v>
      </c>
      <c r="S3973">
        <v>1313.91</v>
      </c>
      <c r="T3973">
        <v>87808.11</v>
      </c>
      <c r="U3973">
        <v>40243.089999999997</v>
      </c>
      <c r="V3973">
        <v>14520.71</v>
      </c>
      <c r="W3973">
        <v>13678.2</v>
      </c>
      <c r="X3973">
        <v>99796.97</v>
      </c>
      <c r="Y3973">
        <v>93326.82</v>
      </c>
    </row>
    <row r="3974" spans="1:25" x14ac:dyDescent="0.25">
      <c r="A3974" t="s">
        <v>4030</v>
      </c>
      <c r="B3974" s="1">
        <v>46022</v>
      </c>
      <c r="C3974">
        <v>2025</v>
      </c>
      <c r="D3974">
        <v>12</v>
      </c>
      <c r="E3974" t="s">
        <v>1217</v>
      </c>
      <c r="F3974" t="s">
        <v>1018</v>
      </c>
      <c r="G3974" t="s">
        <v>55</v>
      </c>
      <c r="H3974" t="s">
        <v>29</v>
      </c>
      <c r="I3974" t="s">
        <v>50</v>
      </c>
      <c r="J3974">
        <v>73</v>
      </c>
      <c r="K3974">
        <v>970.76</v>
      </c>
      <c r="L3974">
        <v>70865.440000000002</v>
      </c>
      <c r="M3974">
        <v>35684.46</v>
      </c>
      <c r="N3974">
        <v>6677.06</v>
      </c>
      <c r="O3974">
        <v>3340.97</v>
      </c>
      <c r="P3974">
        <v>1896.72</v>
      </c>
      <c r="Q3974">
        <v>468.35</v>
      </c>
      <c r="R3974">
        <v>3369.27</v>
      </c>
      <c r="S3974">
        <v>968.86</v>
      </c>
      <c r="T3974">
        <v>52405.69</v>
      </c>
      <c r="U3974">
        <v>35180.97</v>
      </c>
      <c r="V3974">
        <v>18459.740000000002</v>
      </c>
      <c r="W3974">
        <v>17001.830000000002</v>
      </c>
      <c r="X3974">
        <v>75905.820000000007</v>
      </c>
      <c r="Y3974">
        <v>50090.559999999998</v>
      </c>
    </row>
    <row r="3975" spans="1:25" x14ac:dyDescent="0.25">
      <c r="A3975" t="s">
        <v>4031</v>
      </c>
      <c r="B3975" s="1">
        <v>46022</v>
      </c>
      <c r="C3975">
        <v>2025</v>
      </c>
      <c r="D3975">
        <v>12</v>
      </c>
      <c r="E3975" t="s">
        <v>1217</v>
      </c>
      <c r="F3975" t="s">
        <v>1018</v>
      </c>
      <c r="G3975" t="s">
        <v>35</v>
      </c>
      <c r="H3975" t="s">
        <v>29</v>
      </c>
      <c r="I3975" t="s">
        <v>50</v>
      </c>
      <c r="J3975">
        <v>41</v>
      </c>
      <c r="K3975">
        <v>1399.14</v>
      </c>
      <c r="L3975">
        <v>57364.92</v>
      </c>
      <c r="M3975">
        <v>28093.39</v>
      </c>
      <c r="N3975">
        <v>7436.08</v>
      </c>
      <c r="O3975">
        <v>1675.97</v>
      </c>
      <c r="P3975">
        <v>1236.1400000000001</v>
      </c>
      <c r="Q3975">
        <v>523.20000000000005</v>
      </c>
      <c r="R3975">
        <v>2369.5500000000002</v>
      </c>
      <c r="S3975">
        <v>613.70000000000005</v>
      </c>
      <c r="T3975">
        <v>41948.02</v>
      </c>
      <c r="U3975">
        <v>29271.53</v>
      </c>
      <c r="V3975">
        <v>15416.89</v>
      </c>
      <c r="W3975">
        <v>13793.6</v>
      </c>
      <c r="X3975">
        <v>63161.2</v>
      </c>
      <c r="Y3975">
        <v>41469.1</v>
      </c>
    </row>
    <row r="3976" spans="1:25" x14ac:dyDescent="0.25">
      <c r="A3976" t="s">
        <v>4032</v>
      </c>
      <c r="B3976" s="1">
        <v>46023</v>
      </c>
      <c r="C3976">
        <v>2026</v>
      </c>
      <c r="D3976">
        <v>1</v>
      </c>
      <c r="E3976" t="s">
        <v>26</v>
      </c>
      <c r="F3976" t="s">
        <v>27</v>
      </c>
      <c r="G3976" t="s">
        <v>28</v>
      </c>
      <c r="H3976" t="s">
        <v>32</v>
      </c>
      <c r="I3976" t="s">
        <v>45</v>
      </c>
      <c r="J3976">
        <v>72</v>
      </c>
      <c r="K3976">
        <v>858.64</v>
      </c>
      <c r="L3976">
        <v>61821.91</v>
      </c>
      <c r="M3976">
        <v>34966.25</v>
      </c>
      <c r="N3976">
        <v>4490.87</v>
      </c>
      <c r="O3976">
        <v>3518.19</v>
      </c>
      <c r="P3976">
        <v>1568.58</v>
      </c>
      <c r="Q3976">
        <v>503.34</v>
      </c>
      <c r="R3976">
        <v>2721.46</v>
      </c>
      <c r="S3976">
        <v>982.69</v>
      </c>
      <c r="T3976">
        <v>48751.38</v>
      </c>
      <c r="U3976">
        <v>26855.66</v>
      </c>
      <c r="V3976">
        <v>13070.53</v>
      </c>
      <c r="W3976">
        <v>11708.31</v>
      </c>
      <c r="X3976">
        <v>59989.22</v>
      </c>
      <c r="Y3976">
        <v>45634.75</v>
      </c>
    </row>
    <row r="3977" spans="1:25" x14ac:dyDescent="0.25">
      <c r="A3977" t="s">
        <v>4033</v>
      </c>
      <c r="B3977" s="1">
        <v>46023</v>
      </c>
      <c r="C3977">
        <v>2026</v>
      </c>
      <c r="D3977">
        <v>1</v>
      </c>
      <c r="E3977" t="s">
        <v>26</v>
      </c>
      <c r="F3977" t="s">
        <v>27</v>
      </c>
      <c r="G3977" t="s">
        <v>55</v>
      </c>
      <c r="H3977" t="s">
        <v>32</v>
      </c>
      <c r="I3977" t="s">
        <v>65</v>
      </c>
      <c r="J3977">
        <v>60</v>
      </c>
      <c r="K3977">
        <v>1089.93</v>
      </c>
      <c r="L3977">
        <v>65395.93</v>
      </c>
      <c r="M3977">
        <v>32862.35</v>
      </c>
      <c r="N3977">
        <v>5429.23</v>
      </c>
      <c r="O3977">
        <v>2010.45</v>
      </c>
      <c r="P3977">
        <v>2332.7399999999998</v>
      </c>
      <c r="Q3977">
        <v>983.82</v>
      </c>
      <c r="R3977">
        <v>2935.87</v>
      </c>
      <c r="S3977">
        <v>1614.08</v>
      </c>
      <c r="T3977">
        <v>48168.55</v>
      </c>
      <c r="U3977">
        <v>32533.57</v>
      </c>
      <c r="V3977">
        <v>17227.38</v>
      </c>
      <c r="W3977">
        <v>16505.98</v>
      </c>
      <c r="X3977">
        <v>71819.03</v>
      </c>
      <c r="Y3977">
        <v>51804.1</v>
      </c>
    </row>
    <row r="3978" spans="1:25" x14ac:dyDescent="0.25">
      <c r="A3978" t="s">
        <v>4034</v>
      </c>
      <c r="B3978" s="1">
        <v>46023</v>
      </c>
      <c r="C3978">
        <v>2026</v>
      </c>
      <c r="D3978">
        <v>1</v>
      </c>
      <c r="E3978" t="s">
        <v>26</v>
      </c>
      <c r="F3978" t="s">
        <v>27</v>
      </c>
      <c r="G3978" t="s">
        <v>35</v>
      </c>
      <c r="H3978" t="s">
        <v>32</v>
      </c>
      <c r="I3978" t="s">
        <v>56</v>
      </c>
      <c r="J3978">
        <v>23</v>
      </c>
      <c r="K3978">
        <v>1661.47</v>
      </c>
      <c r="L3978">
        <v>38213.760000000002</v>
      </c>
      <c r="M3978">
        <v>21731.46</v>
      </c>
      <c r="N3978">
        <v>3215.95</v>
      </c>
      <c r="O3978">
        <v>2333.02</v>
      </c>
      <c r="P3978">
        <v>975.48</v>
      </c>
      <c r="Q3978">
        <v>519.88</v>
      </c>
      <c r="R3978">
        <v>2437.73</v>
      </c>
      <c r="S3978">
        <v>488.01</v>
      </c>
      <c r="T3978">
        <v>31701.53</v>
      </c>
      <c r="U3978">
        <v>16482.3</v>
      </c>
      <c r="V3978">
        <v>6512.23</v>
      </c>
      <c r="W3978">
        <v>6410.55</v>
      </c>
      <c r="X3978">
        <v>36758.480000000003</v>
      </c>
      <c r="Y3978">
        <v>32449.99</v>
      </c>
    </row>
    <row r="3979" spans="1:25" x14ac:dyDescent="0.25">
      <c r="A3979" t="s">
        <v>4035</v>
      </c>
      <c r="B3979" s="1">
        <v>46023</v>
      </c>
      <c r="C3979">
        <v>2026</v>
      </c>
      <c r="D3979">
        <v>1</v>
      </c>
      <c r="E3979" t="s">
        <v>26</v>
      </c>
      <c r="F3979" t="s">
        <v>27</v>
      </c>
      <c r="G3979" t="s">
        <v>28</v>
      </c>
      <c r="H3979" t="s">
        <v>58</v>
      </c>
      <c r="I3979" t="s">
        <v>56</v>
      </c>
      <c r="J3979">
        <v>27</v>
      </c>
      <c r="K3979">
        <v>1022.69</v>
      </c>
      <c r="L3979">
        <v>27612.69</v>
      </c>
      <c r="M3979">
        <v>18190.900000000001</v>
      </c>
      <c r="N3979">
        <v>3350.97</v>
      </c>
      <c r="O3979">
        <v>1837.56</v>
      </c>
      <c r="P3979">
        <v>1158.4100000000001</v>
      </c>
      <c r="Q3979">
        <v>265.52999999999997</v>
      </c>
      <c r="R3979">
        <v>728.65</v>
      </c>
      <c r="S3979">
        <v>383.39</v>
      </c>
      <c r="T3979">
        <v>25915.41</v>
      </c>
      <c r="U3979">
        <v>9421.7900000000009</v>
      </c>
      <c r="V3979">
        <v>1697.28</v>
      </c>
      <c r="W3979">
        <v>1640.03</v>
      </c>
      <c r="X3979">
        <v>28152.19</v>
      </c>
      <c r="Y3979">
        <v>27146.61</v>
      </c>
    </row>
    <row r="3980" spans="1:25" x14ac:dyDescent="0.25">
      <c r="A3980" t="s">
        <v>4036</v>
      </c>
      <c r="B3980" s="1">
        <v>46023</v>
      </c>
      <c r="C3980">
        <v>2026</v>
      </c>
      <c r="D3980">
        <v>1</v>
      </c>
      <c r="E3980" t="s">
        <v>26</v>
      </c>
      <c r="F3980" t="s">
        <v>27</v>
      </c>
      <c r="G3980" t="s">
        <v>28</v>
      </c>
      <c r="H3980" t="s">
        <v>36</v>
      </c>
      <c r="I3980" t="s">
        <v>37</v>
      </c>
      <c r="J3980">
        <v>60</v>
      </c>
      <c r="K3980">
        <v>1090.8699999999999</v>
      </c>
      <c r="L3980">
        <v>65452.31</v>
      </c>
      <c r="M3980">
        <v>36702.61</v>
      </c>
      <c r="N3980">
        <v>5833.34</v>
      </c>
      <c r="O3980">
        <v>3193.4</v>
      </c>
      <c r="P3980">
        <v>1648.7</v>
      </c>
      <c r="Q3980">
        <v>582.01</v>
      </c>
      <c r="R3980">
        <v>1913.53</v>
      </c>
      <c r="S3980">
        <v>1462.94</v>
      </c>
      <c r="T3980">
        <v>51336.53</v>
      </c>
      <c r="U3980">
        <v>28749.7</v>
      </c>
      <c r="V3980">
        <v>14115.78</v>
      </c>
      <c r="W3980">
        <v>13116.43</v>
      </c>
      <c r="X3980">
        <v>66209.289999999994</v>
      </c>
      <c r="Y3980">
        <v>51082.720000000001</v>
      </c>
    </row>
    <row r="3981" spans="1:25" x14ac:dyDescent="0.25">
      <c r="A3981" t="s">
        <v>4037</v>
      </c>
      <c r="B3981" s="1">
        <v>46023</v>
      </c>
      <c r="C3981">
        <v>2026</v>
      </c>
      <c r="D3981">
        <v>1</v>
      </c>
      <c r="E3981" t="s">
        <v>26</v>
      </c>
      <c r="F3981" t="s">
        <v>27</v>
      </c>
      <c r="G3981" t="s">
        <v>28</v>
      </c>
      <c r="H3981" t="s">
        <v>32</v>
      </c>
      <c r="I3981" t="s">
        <v>37</v>
      </c>
      <c r="J3981">
        <v>100</v>
      </c>
      <c r="K3981">
        <v>1082.01</v>
      </c>
      <c r="L3981">
        <v>108201.1</v>
      </c>
      <c r="M3981">
        <v>58701.120000000003</v>
      </c>
      <c r="N3981">
        <v>10898.97</v>
      </c>
      <c r="O3981">
        <v>3697.11</v>
      </c>
      <c r="P3981">
        <v>3741.41</v>
      </c>
      <c r="Q3981">
        <v>1516.28</v>
      </c>
      <c r="R3981">
        <v>3394.42</v>
      </c>
      <c r="S3981">
        <v>1155.78</v>
      </c>
      <c r="T3981">
        <v>83105.09</v>
      </c>
      <c r="U3981">
        <v>49499.98</v>
      </c>
      <c r="V3981">
        <v>25096.01</v>
      </c>
      <c r="W3981">
        <v>23450.69</v>
      </c>
      <c r="X3981">
        <v>114759.74</v>
      </c>
      <c r="Y3981">
        <v>82086.44</v>
      </c>
    </row>
    <row r="3982" spans="1:25" x14ac:dyDescent="0.25">
      <c r="A3982" t="s">
        <v>4038</v>
      </c>
      <c r="B3982" s="1">
        <v>46023</v>
      </c>
      <c r="C3982">
        <v>2026</v>
      </c>
      <c r="D3982">
        <v>1</v>
      </c>
      <c r="E3982" t="s">
        <v>26</v>
      </c>
      <c r="F3982" t="s">
        <v>27</v>
      </c>
      <c r="G3982" t="s">
        <v>44</v>
      </c>
      <c r="H3982" t="s">
        <v>32</v>
      </c>
      <c r="I3982" t="s">
        <v>39</v>
      </c>
      <c r="J3982">
        <v>40</v>
      </c>
      <c r="K3982">
        <v>1176.6500000000001</v>
      </c>
      <c r="L3982">
        <v>47066.01</v>
      </c>
      <c r="M3982">
        <v>31397.33</v>
      </c>
      <c r="N3982">
        <v>4992.6499999999996</v>
      </c>
      <c r="O3982">
        <v>3294.95</v>
      </c>
      <c r="P3982">
        <v>1860.26</v>
      </c>
      <c r="Q3982">
        <v>239.99</v>
      </c>
      <c r="R3982">
        <v>1814.59</v>
      </c>
      <c r="S3982">
        <v>1101.1300000000001</v>
      </c>
      <c r="T3982">
        <v>44700.9</v>
      </c>
      <c r="U3982">
        <v>15668.69</v>
      </c>
      <c r="V3982">
        <v>2365.12</v>
      </c>
      <c r="W3982">
        <v>2312.83</v>
      </c>
      <c r="X3982">
        <v>45477.54</v>
      </c>
      <c r="Y3982">
        <v>43405.279999999999</v>
      </c>
    </row>
    <row r="3983" spans="1:25" x14ac:dyDescent="0.25">
      <c r="A3983" t="s">
        <v>4039</v>
      </c>
      <c r="B3983" s="1">
        <v>46023</v>
      </c>
      <c r="C3983">
        <v>2026</v>
      </c>
      <c r="D3983">
        <v>1</v>
      </c>
      <c r="E3983" t="s">
        <v>26</v>
      </c>
      <c r="F3983" t="s">
        <v>27</v>
      </c>
      <c r="G3983" t="s">
        <v>28</v>
      </c>
      <c r="H3983" t="s">
        <v>53</v>
      </c>
      <c r="I3983" t="s">
        <v>45</v>
      </c>
      <c r="J3983">
        <v>33</v>
      </c>
      <c r="K3983">
        <v>1016.51</v>
      </c>
      <c r="L3983">
        <v>33544.699999999997</v>
      </c>
      <c r="M3983">
        <v>19604.39</v>
      </c>
      <c r="N3983">
        <v>3297.98</v>
      </c>
      <c r="O3983">
        <v>2133.66</v>
      </c>
      <c r="P3983">
        <v>1099.18</v>
      </c>
      <c r="Q3983">
        <v>186.32</v>
      </c>
      <c r="R3983">
        <v>1806.03</v>
      </c>
      <c r="S3983">
        <v>449.07</v>
      </c>
      <c r="T3983">
        <v>28576.639999999999</v>
      </c>
      <c r="U3983">
        <v>13940.31</v>
      </c>
      <c r="V3983">
        <v>4968.0600000000004</v>
      </c>
      <c r="W3983">
        <v>4443.88</v>
      </c>
      <c r="X3983">
        <v>32289.23</v>
      </c>
      <c r="Y3983">
        <v>27659.58</v>
      </c>
    </row>
    <row r="3984" spans="1:25" x14ac:dyDescent="0.25">
      <c r="A3984" t="s">
        <v>4040</v>
      </c>
      <c r="B3984" s="1">
        <v>46024</v>
      </c>
      <c r="C3984">
        <v>2026</v>
      </c>
      <c r="D3984">
        <v>1</v>
      </c>
      <c r="E3984" t="s">
        <v>26</v>
      </c>
      <c r="F3984" t="s">
        <v>27</v>
      </c>
      <c r="G3984" t="s">
        <v>44</v>
      </c>
      <c r="H3984" t="s">
        <v>36</v>
      </c>
      <c r="I3984" t="s">
        <v>65</v>
      </c>
      <c r="J3984">
        <v>45</v>
      </c>
      <c r="K3984">
        <v>1136.6199999999999</v>
      </c>
      <c r="L3984">
        <v>51147.71</v>
      </c>
      <c r="M3984">
        <v>32442.52</v>
      </c>
      <c r="N3984">
        <v>5688.93</v>
      </c>
      <c r="O3984">
        <v>3315.1</v>
      </c>
      <c r="P3984">
        <v>1636.33</v>
      </c>
      <c r="Q3984">
        <v>341.33</v>
      </c>
      <c r="R3984">
        <v>1444.46</v>
      </c>
      <c r="S3984">
        <v>956.99</v>
      </c>
      <c r="T3984">
        <v>45825.66</v>
      </c>
      <c r="U3984">
        <v>18705.189999999999</v>
      </c>
      <c r="V3984">
        <v>5322.05</v>
      </c>
      <c r="W3984">
        <v>5281.27</v>
      </c>
      <c r="X3984">
        <v>48555.87</v>
      </c>
      <c r="Y3984">
        <v>50047.47</v>
      </c>
    </row>
    <row r="3985" spans="1:25" x14ac:dyDescent="0.25">
      <c r="A3985" t="s">
        <v>4041</v>
      </c>
      <c r="B3985" s="1">
        <v>46024</v>
      </c>
      <c r="C3985">
        <v>2026</v>
      </c>
      <c r="D3985">
        <v>1</v>
      </c>
      <c r="E3985" t="s">
        <v>26</v>
      </c>
      <c r="F3985" t="s">
        <v>27</v>
      </c>
      <c r="G3985" t="s">
        <v>55</v>
      </c>
      <c r="H3985" t="s">
        <v>53</v>
      </c>
      <c r="I3985" t="s">
        <v>30</v>
      </c>
      <c r="J3985">
        <v>56</v>
      </c>
      <c r="K3985">
        <v>1591.34</v>
      </c>
      <c r="L3985">
        <v>89115.13</v>
      </c>
      <c r="M3985">
        <v>51885.93</v>
      </c>
      <c r="N3985">
        <v>10641.01</v>
      </c>
      <c r="O3985">
        <v>3165.33</v>
      </c>
      <c r="P3985">
        <v>2011.24</v>
      </c>
      <c r="Q3985">
        <v>1014.17</v>
      </c>
      <c r="R3985">
        <v>5322.7</v>
      </c>
      <c r="S3985">
        <v>1199.6300000000001</v>
      </c>
      <c r="T3985">
        <v>75240.009999999995</v>
      </c>
      <c r="U3985">
        <v>37229.199999999997</v>
      </c>
      <c r="V3985">
        <v>13875.12</v>
      </c>
      <c r="W3985">
        <v>13735.73</v>
      </c>
      <c r="X3985">
        <v>89942.75</v>
      </c>
      <c r="Y3985">
        <v>73464.28</v>
      </c>
    </row>
    <row r="3986" spans="1:25" x14ac:dyDescent="0.25">
      <c r="A3986" t="s">
        <v>4042</v>
      </c>
      <c r="B3986" s="1">
        <v>46024</v>
      </c>
      <c r="C3986">
        <v>2026</v>
      </c>
      <c r="D3986">
        <v>1</v>
      </c>
      <c r="E3986" t="s">
        <v>26</v>
      </c>
      <c r="F3986" t="s">
        <v>27</v>
      </c>
      <c r="G3986" t="s">
        <v>28</v>
      </c>
      <c r="H3986" t="s">
        <v>36</v>
      </c>
      <c r="I3986" t="s">
        <v>65</v>
      </c>
      <c r="J3986">
        <v>47</v>
      </c>
      <c r="K3986">
        <v>1584.28</v>
      </c>
      <c r="L3986">
        <v>74461.36</v>
      </c>
      <c r="M3986">
        <v>43344.24</v>
      </c>
      <c r="N3986">
        <v>6807.7</v>
      </c>
      <c r="O3986">
        <v>3758.26</v>
      </c>
      <c r="P3986">
        <v>2731.09</v>
      </c>
      <c r="Q3986">
        <v>491.66</v>
      </c>
      <c r="R3986">
        <v>2899.64</v>
      </c>
      <c r="S3986">
        <v>919.76</v>
      </c>
      <c r="T3986">
        <v>60952.34</v>
      </c>
      <c r="U3986">
        <v>31117.119999999999</v>
      </c>
      <c r="V3986">
        <v>13509.02</v>
      </c>
      <c r="W3986">
        <v>13396.14</v>
      </c>
      <c r="X3986">
        <v>71741.89</v>
      </c>
      <c r="Y3986">
        <v>61585.37</v>
      </c>
    </row>
    <row r="3987" spans="1:25" x14ac:dyDescent="0.25">
      <c r="A3987" t="s">
        <v>4043</v>
      </c>
      <c r="B3987" s="1">
        <v>46025</v>
      </c>
      <c r="C3987">
        <v>2026</v>
      </c>
      <c r="D3987">
        <v>1</v>
      </c>
      <c r="E3987" t="s">
        <v>26</v>
      </c>
      <c r="F3987" t="s">
        <v>27</v>
      </c>
      <c r="G3987" t="s">
        <v>55</v>
      </c>
      <c r="H3987" t="s">
        <v>32</v>
      </c>
      <c r="I3987" t="s">
        <v>65</v>
      </c>
      <c r="J3987">
        <v>100</v>
      </c>
      <c r="K3987">
        <v>826.59</v>
      </c>
      <c r="L3987">
        <v>82659.44</v>
      </c>
      <c r="M3987">
        <v>46953.39</v>
      </c>
      <c r="N3987">
        <v>8725.82</v>
      </c>
      <c r="O3987">
        <v>4578.96</v>
      </c>
      <c r="P3987">
        <v>1669.41</v>
      </c>
      <c r="Q3987">
        <v>473.63</v>
      </c>
      <c r="R3987">
        <v>4870.1499999999996</v>
      </c>
      <c r="S3987">
        <v>1131.08</v>
      </c>
      <c r="T3987">
        <v>68402.429999999993</v>
      </c>
      <c r="U3987">
        <v>35706.050000000003</v>
      </c>
      <c r="V3987">
        <v>14257.01</v>
      </c>
      <c r="W3987">
        <v>14222.78</v>
      </c>
      <c r="X3987">
        <v>77349.63</v>
      </c>
      <c r="Y3987">
        <v>66596.009999999995</v>
      </c>
    </row>
    <row r="3988" spans="1:25" x14ac:dyDescent="0.25">
      <c r="A3988" t="s">
        <v>4044</v>
      </c>
      <c r="B3988" s="1">
        <v>46025</v>
      </c>
      <c r="C3988">
        <v>2026</v>
      </c>
      <c r="D3988">
        <v>1</v>
      </c>
      <c r="E3988" t="s">
        <v>26</v>
      </c>
      <c r="F3988" t="s">
        <v>27</v>
      </c>
      <c r="G3988" t="s">
        <v>28</v>
      </c>
      <c r="H3988" t="s">
        <v>29</v>
      </c>
      <c r="I3988" t="s">
        <v>45</v>
      </c>
      <c r="J3988">
        <v>36</v>
      </c>
      <c r="K3988">
        <v>1256.56</v>
      </c>
      <c r="L3988">
        <v>45236.08</v>
      </c>
      <c r="M3988">
        <v>28378.67</v>
      </c>
      <c r="N3988">
        <v>5166.8900000000003</v>
      </c>
      <c r="O3988">
        <v>3279.04</v>
      </c>
      <c r="P3988">
        <v>928.41</v>
      </c>
      <c r="Q3988">
        <v>394.64</v>
      </c>
      <c r="R3988">
        <v>2397.58</v>
      </c>
      <c r="S3988">
        <v>919.68</v>
      </c>
      <c r="T3988">
        <v>41464.9</v>
      </c>
      <c r="U3988">
        <v>16857.41</v>
      </c>
      <c r="V3988">
        <v>3771.18</v>
      </c>
      <c r="W3988">
        <v>3405.62</v>
      </c>
      <c r="X3988">
        <v>47935.360000000001</v>
      </c>
      <c r="Y3988">
        <v>40898.22</v>
      </c>
    </row>
    <row r="3989" spans="1:25" x14ac:dyDescent="0.25">
      <c r="A3989" t="s">
        <v>4045</v>
      </c>
      <c r="B3989" s="1">
        <v>46025</v>
      </c>
      <c r="C3989">
        <v>2026</v>
      </c>
      <c r="D3989">
        <v>1</v>
      </c>
      <c r="E3989" t="s">
        <v>26</v>
      </c>
      <c r="F3989" t="s">
        <v>27</v>
      </c>
      <c r="G3989" t="s">
        <v>55</v>
      </c>
      <c r="H3989" t="s">
        <v>32</v>
      </c>
      <c r="I3989" t="s">
        <v>37</v>
      </c>
      <c r="J3989">
        <v>47</v>
      </c>
      <c r="K3989">
        <v>1512.61</v>
      </c>
      <c r="L3989">
        <v>71092.740000000005</v>
      </c>
      <c r="M3989">
        <v>34966.589999999997</v>
      </c>
      <c r="N3989">
        <v>8360.19</v>
      </c>
      <c r="O3989">
        <v>3410.34</v>
      </c>
      <c r="P3989">
        <v>2546.5100000000002</v>
      </c>
      <c r="Q3989">
        <v>996.11</v>
      </c>
      <c r="R3989">
        <v>3613.17</v>
      </c>
      <c r="S3989">
        <v>923.56</v>
      </c>
      <c r="T3989">
        <v>54816.45</v>
      </c>
      <c r="U3989">
        <v>36126.15</v>
      </c>
      <c r="V3989">
        <v>16276.29</v>
      </c>
      <c r="W3989">
        <v>16188.18</v>
      </c>
      <c r="X3989">
        <v>69317.62</v>
      </c>
      <c r="Y3989">
        <v>57973.81</v>
      </c>
    </row>
    <row r="3990" spans="1:25" x14ac:dyDescent="0.25">
      <c r="A3990" t="s">
        <v>4046</v>
      </c>
      <c r="B3990" s="1">
        <v>46025</v>
      </c>
      <c r="C3990">
        <v>2026</v>
      </c>
      <c r="D3990">
        <v>1</v>
      </c>
      <c r="E3990" t="s">
        <v>26</v>
      </c>
      <c r="F3990" t="s">
        <v>27</v>
      </c>
      <c r="G3990" t="s">
        <v>55</v>
      </c>
      <c r="H3990" t="s">
        <v>36</v>
      </c>
      <c r="I3990" t="s">
        <v>39</v>
      </c>
      <c r="J3990">
        <v>30</v>
      </c>
      <c r="K3990">
        <v>1432.74</v>
      </c>
      <c r="L3990">
        <v>42982.14</v>
      </c>
      <c r="M3990">
        <v>28224.68</v>
      </c>
      <c r="N3990">
        <v>3832.81</v>
      </c>
      <c r="O3990">
        <v>1556.63</v>
      </c>
      <c r="P3990">
        <v>1125.29</v>
      </c>
      <c r="Q3990">
        <v>412.12</v>
      </c>
      <c r="R3990">
        <v>1991.16</v>
      </c>
      <c r="S3990">
        <v>806.64</v>
      </c>
      <c r="T3990">
        <v>37949.33</v>
      </c>
      <c r="U3990">
        <v>14757.47</v>
      </c>
      <c r="V3990">
        <v>5032.82</v>
      </c>
      <c r="W3990">
        <v>5041.34</v>
      </c>
      <c r="X3990">
        <v>45791.42</v>
      </c>
      <c r="Y3990">
        <v>41267.730000000003</v>
      </c>
    </row>
    <row r="3991" spans="1:25" x14ac:dyDescent="0.25">
      <c r="A3991" t="s">
        <v>4047</v>
      </c>
      <c r="B3991" s="1">
        <v>46025</v>
      </c>
      <c r="C3991">
        <v>2026</v>
      </c>
      <c r="D3991">
        <v>1</v>
      </c>
      <c r="E3991" t="s">
        <v>26</v>
      </c>
      <c r="F3991" t="s">
        <v>27</v>
      </c>
      <c r="G3991" t="s">
        <v>28</v>
      </c>
      <c r="H3991" t="s">
        <v>32</v>
      </c>
      <c r="I3991" t="s">
        <v>37</v>
      </c>
      <c r="J3991">
        <v>86</v>
      </c>
      <c r="K3991">
        <v>992.21</v>
      </c>
      <c r="L3991">
        <v>85329.68</v>
      </c>
      <c r="M3991">
        <v>45093</v>
      </c>
      <c r="N3991">
        <v>10141.25</v>
      </c>
      <c r="O3991">
        <v>5888.31</v>
      </c>
      <c r="P3991">
        <v>2107.8000000000002</v>
      </c>
      <c r="Q3991">
        <v>1469.93</v>
      </c>
      <c r="R3991">
        <v>4655.58</v>
      </c>
      <c r="S3991">
        <v>778.22</v>
      </c>
      <c r="T3991">
        <v>70134.09</v>
      </c>
      <c r="U3991">
        <v>40236.68</v>
      </c>
      <c r="V3991">
        <v>15195.59</v>
      </c>
      <c r="W3991">
        <v>14560.27</v>
      </c>
      <c r="X3991">
        <v>91124.71</v>
      </c>
      <c r="Y3991">
        <v>68781.78</v>
      </c>
    </row>
    <row r="3992" spans="1:25" x14ac:dyDescent="0.25">
      <c r="A3992" t="s">
        <v>4048</v>
      </c>
      <c r="B3992" s="1">
        <v>46025</v>
      </c>
      <c r="C3992">
        <v>2026</v>
      </c>
      <c r="D3992">
        <v>1</v>
      </c>
      <c r="E3992" t="s">
        <v>26</v>
      </c>
      <c r="F3992" t="s">
        <v>27</v>
      </c>
      <c r="G3992" t="s">
        <v>28</v>
      </c>
      <c r="H3992" t="s">
        <v>29</v>
      </c>
      <c r="I3992" t="s">
        <v>33</v>
      </c>
      <c r="J3992">
        <v>64</v>
      </c>
      <c r="K3992">
        <v>1134.48</v>
      </c>
      <c r="L3992">
        <v>72606.98</v>
      </c>
      <c r="M3992">
        <v>42063.64</v>
      </c>
      <c r="N3992">
        <v>7220.77</v>
      </c>
      <c r="O3992">
        <v>4420.63</v>
      </c>
      <c r="P3992">
        <v>3129.21</v>
      </c>
      <c r="Q3992">
        <v>1210.98</v>
      </c>
      <c r="R3992">
        <v>4089.54</v>
      </c>
      <c r="S3992">
        <v>1165.1099999999999</v>
      </c>
      <c r="T3992">
        <v>63299.87</v>
      </c>
      <c r="U3992">
        <v>30543.34</v>
      </c>
      <c r="V3992">
        <v>9307.11</v>
      </c>
      <c r="W3992">
        <v>8345.66</v>
      </c>
      <c r="X3992">
        <v>76867.44</v>
      </c>
      <c r="Y3992">
        <v>59461.56</v>
      </c>
    </row>
    <row r="3993" spans="1:25" x14ac:dyDescent="0.25">
      <c r="A3993" t="s">
        <v>4049</v>
      </c>
      <c r="B3993" s="1">
        <v>46025</v>
      </c>
      <c r="C3993">
        <v>2026</v>
      </c>
      <c r="D3993">
        <v>1</v>
      </c>
      <c r="E3993" t="s">
        <v>26</v>
      </c>
      <c r="F3993" t="s">
        <v>27</v>
      </c>
      <c r="G3993" t="s">
        <v>28</v>
      </c>
      <c r="H3993" t="s">
        <v>36</v>
      </c>
      <c r="I3993" t="s">
        <v>56</v>
      </c>
      <c r="J3993">
        <v>28</v>
      </c>
      <c r="K3993">
        <v>1498.28</v>
      </c>
      <c r="L3993">
        <v>41951.89</v>
      </c>
      <c r="M3993">
        <v>22414.799999999999</v>
      </c>
      <c r="N3993">
        <v>4809.17</v>
      </c>
      <c r="O3993">
        <v>2200.14</v>
      </c>
      <c r="P3993">
        <v>1657.65</v>
      </c>
      <c r="Q3993">
        <v>413.97</v>
      </c>
      <c r="R3993">
        <v>1243.24</v>
      </c>
      <c r="S3993">
        <v>913.06</v>
      </c>
      <c r="T3993">
        <v>33652.019999999997</v>
      </c>
      <c r="U3993">
        <v>19537.099999999999</v>
      </c>
      <c r="V3993">
        <v>8299.8799999999992</v>
      </c>
      <c r="W3993">
        <v>7689.68</v>
      </c>
      <c r="X3993">
        <v>43022.65</v>
      </c>
      <c r="Y3993">
        <v>31602.81</v>
      </c>
    </row>
    <row r="3994" spans="1:25" x14ac:dyDescent="0.25">
      <c r="A3994" t="s">
        <v>4050</v>
      </c>
      <c r="B3994" s="1">
        <v>46026</v>
      </c>
      <c r="C3994">
        <v>2026</v>
      </c>
      <c r="D3994">
        <v>1</v>
      </c>
      <c r="E3994" t="s">
        <v>26</v>
      </c>
      <c r="F3994" t="s">
        <v>27</v>
      </c>
      <c r="G3994" t="s">
        <v>44</v>
      </c>
      <c r="H3994" t="s">
        <v>36</v>
      </c>
      <c r="I3994" t="s">
        <v>33</v>
      </c>
      <c r="J3994">
        <v>44</v>
      </c>
      <c r="K3994">
        <v>1721.77</v>
      </c>
      <c r="L3994">
        <v>75757.98</v>
      </c>
      <c r="M3994">
        <v>43223.41</v>
      </c>
      <c r="N3994">
        <v>6468.83</v>
      </c>
      <c r="O3994">
        <v>4209.21</v>
      </c>
      <c r="P3994">
        <v>1889.81</v>
      </c>
      <c r="Q3994">
        <v>434.28</v>
      </c>
      <c r="R3994">
        <v>1968.31</v>
      </c>
      <c r="S3994">
        <v>846.53</v>
      </c>
      <c r="T3994">
        <v>59040.38</v>
      </c>
      <c r="U3994">
        <v>32534.57</v>
      </c>
      <c r="V3994">
        <v>16717.59</v>
      </c>
      <c r="W3994">
        <v>14718.06</v>
      </c>
      <c r="X3994">
        <v>74730.94</v>
      </c>
      <c r="Y3994">
        <v>57451.03</v>
      </c>
    </row>
    <row r="3995" spans="1:25" x14ac:dyDescent="0.25">
      <c r="A3995" t="s">
        <v>4051</v>
      </c>
      <c r="B3995" s="1">
        <v>46026</v>
      </c>
      <c r="C3995">
        <v>2026</v>
      </c>
      <c r="D3995">
        <v>1</v>
      </c>
      <c r="E3995" t="s">
        <v>26</v>
      </c>
      <c r="F3995" t="s">
        <v>27</v>
      </c>
      <c r="G3995" t="s">
        <v>35</v>
      </c>
      <c r="H3995" t="s">
        <v>32</v>
      </c>
      <c r="I3995" t="s">
        <v>56</v>
      </c>
      <c r="J3995">
        <v>20</v>
      </c>
      <c r="K3995">
        <v>1442.07</v>
      </c>
      <c r="L3995">
        <v>28841.46</v>
      </c>
      <c r="M3995">
        <v>15459.72</v>
      </c>
      <c r="N3995">
        <v>3367.54</v>
      </c>
      <c r="O3995">
        <v>1694.89</v>
      </c>
      <c r="P3995">
        <v>609.79999999999995</v>
      </c>
      <c r="Q3995">
        <v>421.49</v>
      </c>
      <c r="R3995">
        <v>1507.04</v>
      </c>
      <c r="S3995">
        <v>443.99</v>
      </c>
      <c r="T3995">
        <v>23504.46</v>
      </c>
      <c r="U3995">
        <v>13381.75</v>
      </c>
      <c r="V3995">
        <v>5337</v>
      </c>
      <c r="W3995">
        <v>5262.3</v>
      </c>
      <c r="X3995">
        <v>27163.49</v>
      </c>
      <c r="Y3995">
        <v>23601.63</v>
      </c>
    </row>
    <row r="3996" spans="1:25" x14ac:dyDescent="0.25">
      <c r="A3996" t="s">
        <v>4052</v>
      </c>
      <c r="B3996" s="1">
        <v>46026</v>
      </c>
      <c r="C3996">
        <v>2026</v>
      </c>
      <c r="D3996">
        <v>1</v>
      </c>
      <c r="E3996" t="s">
        <v>26</v>
      </c>
      <c r="F3996" t="s">
        <v>27</v>
      </c>
      <c r="G3996" t="s">
        <v>55</v>
      </c>
      <c r="H3996" t="s">
        <v>58</v>
      </c>
      <c r="I3996" t="s">
        <v>33</v>
      </c>
      <c r="J3996">
        <v>36</v>
      </c>
      <c r="K3996">
        <v>1601.73</v>
      </c>
      <c r="L3996">
        <v>57662.42</v>
      </c>
      <c r="M3996">
        <v>34810.21</v>
      </c>
      <c r="N3996">
        <v>6240.15</v>
      </c>
      <c r="O3996">
        <v>2703.73</v>
      </c>
      <c r="P3996">
        <v>2484.21</v>
      </c>
      <c r="Q3996">
        <v>574.79999999999995</v>
      </c>
      <c r="R3996">
        <v>2758.7</v>
      </c>
      <c r="S3996">
        <v>1314.96</v>
      </c>
      <c r="T3996">
        <v>50886.76</v>
      </c>
      <c r="U3996">
        <v>22852.21</v>
      </c>
      <c r="V3996">
        <v>6775.66</v>
      </c>
      <c r="W3996">
        <v>5971.22</v>
      </c>
      <c r="X3996">
        <v>62257.93</v>
      </c>
      <c r="Y3996">
        <v>53582.91</v>
      </c>
    </row>
    <row r="3997" spans="1:25" x14ac:dyDescent="0.25">
      <c r="A3997" t="s">
        <v>4053</v>
      </c>
      <c r="B3997" s="1">
        <v>46026</v>
      </c>
      <c r="C3997">
        <v>2026</v>
      </c>
      <c r="D3997">
        <v>1</v>
      </c>
      <c r="E3997" t="s">
        <v>26</v>
      </c>
      <c r="F3997" t="s">
        <v>27</v>
      </c>
      <c r="G3997" t="s">
        <v>28</v>
      </c>
      <c r="H3997" t="s">
        <v>36</v>
      </c>
      <c r="I3997" t="s">
        <v>37</v>
      </c>
      <c r="J3997">
        <v>45</v>
      </c>
      <c r="K3997">
        <v>1673.16</v>
      </c>
      <c r="L3997">
        <v>75292.38</v>
      </c>
      <c r="M3997">
        <v>50367.08</v>
      </c>
      <c r="N3997">
        <v>7632.62</v>
      </c>
      <c r="O3997">
        <v>2989.73</v>
      </c>
      <c r="P3997">
        <v>1591.13</v>
      </c>
      <c r="Q3997">
        <v>615.61</v>
      </c>
      <c r="R3997">
        <v>4166.59</v>
      </c>
      <c r="S3997">
        <v>678.72</v>
      </c>
      <c r="T3997">
        <v>68041.490000000005</v>
      </c>
      <c r="U3997">
        <v>24925.3</v>
      </c>
      <c r="V3997">
        <v>7250.9</v>
      </c>
      <c r="W3997">
        <v>7057.18</v>
      </c>
      <c r="X3997">
        <v>83904.24</v>
      </c>
      <c r="Y3997">
        <v>71532.19</v>
      </c>
    </row>
    <row r="3998" spans="1:25" x14ac:dyDescent="0.25">
      <c r="A3998" t="s">
        <v>4054</v>
      </c>
      <c r="B3998" s="1">
        <v>46026</v>
      </c>
      <c r="C3998">
        <v>2026</v>
      </c>
      <c r="D3998">
        <v>1</v>
      </c>
      <c r="E3998" t="s">
        <v>26</v>
      </c>
      <c r="F3998" t="s">
        <v>27</v>
      </c>
      <c r="G3998" t="s">
        <v>44</v>
      </c>
      <c r="H3998" t="s">
        <v>53</v>
      </c>
      <c r="I3998" t="s">
        <v>65</v>
      </c>
      <c r="J3998">
        <v>39</v>
      </c>
      <c r="K3998">
        <v>1538.7</v>
      </c>
      <c r="L3998">
        <v>60009.4</v>
      </c>
      <c r="M3998">
        <v>37474.660000000003</v>
      </c>
      <c r="N3998">
        <v>5186.72</v>
      </c>
      <c r="O3998">
        <v>1727.9</v>
      </c>
      <c r="P3998">
        <v>1339.73</v>
      </c>
      <c r="Q3998">
        <v>863.4</v>
      </c>
      <c r="R3998">
        <v>2448.66</v>
      </c>
      <c r="S3998">
        <v>1327.05</v>
      </c>
      <c r="T3998">
        <v>50368.12</v>
      </c>
      <c r="U3998">
        <v>22534.74</v>
      </c>
      <c r="V3998">
        <v>9641.27</v>
      </c>
      <c r="W3998">
        <v>8969.02</v>
      </c>
      <c r="X3998">
        <v>66429.02</v>
      </c>
      <c r="Y3998">
        <v>52676.44</v>
      </c>
    </row>
    <row r="3999" spans="1:25" x14ac:dyDescent="0.25">
      <c r="A3999" t="s">
        <v>4055</v>
      </c>
      <c r="B3999" s="1">
        <v>46027</v>
      </c>
      <c r="C3999">
        <v>2026</v>
      </c>
      <c r="D3999">
        <v>1</v>
      </c>
      <c r="E3999" t="s">
        <v>26</v>
      </c>
      <c r="F3999" t="s">
        <v>27</v>
      </c>
      <c r="G3999" t="s">
        <v>28</v>
      </c>
      <c r="H3999" t="s">
        <v>32</v>
      </c>
      <c r="I3999" t="s">
        <v>33</v>
      </c>
      <c r="J3999">
        <v>103</v>
      </c>
      <c r="K3999">
        <v>1042.48</v>
      </c>
      <c r="L3999">
        <v>107375.84</v>
      </c>
      <c r="M3999">
        <v>56427.29</v>
      </c>
      <c r="N3999">
        <v>11666.21</v>
      </c>
      <c r="O3999">
        <v>2754.56</v>
      </c>
      <c r="P3999">
        <v>2987.22</v>
      </c>
      <c r="Q3999">
        <v>1922.82</v>
      </c>
      <c r="R3999">
        <v>6160.34</v>
      </c>
      <c r="S3999">
        <v>2463.56</v>
      </c>
      <c r="T3999">
        <v>84382.01</v>
      </c>
      <c r="U3999">
        <v>50948.54</v>
      </c>
      <c r="V3999">
        <v>22993.83</v>
      </c>
      <c r="W3999">
        <v>21374.13</v>
      </c>
      <c r="X3999">
        <v>114529.05</v>
      </c>
      <c r="Y3999">
        <v>90691.1</v>
      </c>
    </row>
    <row r="4000" spans="1:25" x14ac:dyDescent="0.25">
      <c r="A4000" t="s">
        <v>4056</v>
      </c>
      <c r="B4000" s="1">
        <v>46028</v>
      </c>
      <c r="C4000">
        <v>2026</v>
      </c>
      <c r="D4000">
        <v>1</v>
      </c>
      <c r="E4000" t="s">
        <v>26</v>
      </c>
      <c r="F4000" t="s">
        <v>27</v>
      </c>
      <c r="G4000" t="s">
        <v>55</v>
      </c>
      <c r="H4000" t="s">
        <v>29</v>
      </c>
      <c r="I4000" t="s">
        <v>37</v>
      </c>
      <c r="J4000">
        <v>64</v>
      </c>
      <c r="K4000">
        <v>1417.37</v>
      </c>
      <c r="L4000">
        <v>90711.93</v>
      </c>
      <c r="M4000">
        <v>47324.52</v>
      </c>
      <c r="N4000">
        <v>6902.04</v>
      </c>
      <c r="O4000">
        <v>6269.13</v>
      </c>
      <c r="P4000">
        <v>1716.19</v>
      </c>
      <c r="Q4000">
        <v>1038.67</v>
      </c>
      <c r="R4000">
        <v>3024.55</v>
      </c>
      <c r="S4000">
        <v>760.56</v>
      </c>
      <c r="T4000">
        <v>67035.67</v>
      </c>
      <c r="U4000">
        <v>43387.4</v>
      </c>
      <c r="V4000">
        <v>23676.26</v>
      </c>
      <c r="W4000">
        <v>21093.97</v>
      </c>
      <c r="X4000">
        <v>93346.49</v>
      </c>
      <c r="Y4000">
        <v>66552.36</v>
      </c>
    </row>
    <row r="4001" spans="1:25" x14ac:dyDescent="0.25">
      <c r="A4001" t="s">
        <v>4057</v>
      </c>
      <c r="B4001" s="1">
        <v>46028</v>
      </c>
      <c r="C4001">
        <v>2026</v>
      </c>
      <c r="D4001">
        <v>1</v>
      </c>
      <c r="E4001" t="s">
        <v>26</v>
      </c>
      <c r="F4001" t="s">
        <v>27</v>
      </c>
      <c r="G4001" t="s">
        <v>28</v>
      </c>
      <c r="H4001" t="s">
        <v>36</v>
      </c>
      <c r="I4001" t="s">
        <v>65</v>
      </c>
      <c r="J4001">
        <v>53</v>
      </c>
      <c r="K4001">
        <v>1097.28</v>
      </c>
      <c r="L4001">
        <v>58155.58</v>
      </c>
      <c r="M4001">
        <v>37261.14</v>
      </c>
      <c r="N4001">
        <v>4527.09</v>
      </c>
      <c r="O4001">
        <v>2221.1999999999998</v>
      </c>
      <c r="P4001">
        <v>974.04</v>
      </c>
      <c r="Q4001">
        <v>298.23</v>
      </c>
      <c r="R4001">
        <v>2861.3</v>
      </c>
      <c r="S4001">
        <v>476.54</v>
      </c>
      <c r="T4001">
        <v>48619.54</v>
      </c>
      <c r="U4001">
        <v>20894.439999999999</v>
      </c>
      <c r="V4001">
        <v>9536.0400000000009</v>
      </c>
      <c r="W4001">
        <v>8785.99</v>
      </c>
      <c r="X4001">
        <v>62500.41</v>
      </c>
      <c r="Y4001">
        <v>49190.94</v>
      </c>
    </row>
    <row r="4002" spans="1:25" x14ac:dyDescent="0.25">
      <c r="A4002" t="s">
        <v>4058</v>
      </c>
      <c r="B4002" s="1">
        <v>46028</v>
      </c>
      <c r="C4002">
        <v>2026</v>
      </c>
      <c r="D4002">
        <v>1</v>
      </c>
      <c r="E4002" t="s">
        <v>26</v>
      </c>
      <c r="F4002" t="s">
        <v>27</v>
      </c>
      <c r="G4002" t="s">
        <v>35</v>
      </c>
      <c r="H4002" t="s">
        <v>32</v>
      </c>
      <c r="I4002" t="s">
        <v>39</v>
      </c>
      <c r="J4002">
        <v>37</v>
      </c>
      <c r="K4002">
        <v>971.38</v>
      </c>
      <c r="L4002">
        <v>35941.040000000001</v>
      </c>
      <c r="M4002">
        <v>23738.43</v>
      </c>
      <c r="N4002">
        <v>3089.05</v>
      </c>
      <c r="O4002">
        <v>2333.1799999999998</v>
      </c>
      <c r="P4002">
        <v>632.42999999999995</v>
      </c>
      <c r="Q4002">
        <v>274.60000000000002</v>
      </c>
      <c r="R4002">
        <v>2073.66</v>
      </c>
      <c r="S4002">
        <v>676</v>
      </c>
      <c r="T4002">
        <v>32817.360000000001</v>
      </c>
      <c r="U4002">
        <v>12202.61</v>
      </c>
      <c r="V4002">
        <v>3123.69</v>
      </c>
      <c r="W4002">
        <v>2904.74</v>
      </c>
      <c r="X4002">
        <v>36677.949999999997</v>
      </c>
      <c r="Y4002">
        <v>32288.400000000001</v>
      </c>
    </row>
    <row r="4003" spans="1:25" x14ac:dyDescent="0.25">
      <c r="A4003" t="s">
        <v>4059</v>
      </c>
      <c r="B4003" s="1">
        <v>46029</v>
      </c>
      <c r="C4003">
        <v>2026</v>
      </c>
      <c r="D4003">
        <v>1</v>
      </c>
      <c r="E4003" t="s">
        <v>26</v>
      </c>
      <c r="F4003" t="s">
        <v>27</v>
      </c>
      <c r="G4003" t="s">
        <v>44</v>
      </c>
      <c r="H4003" t="s">
        <v>32</v>
      </c>
      <c r="I4003" t="s">
        <v>33</v>
      </c>
      <c r="J4003">
        <v>60</v>
      </c>
      <c r="K4003">
        <v>1372.26</v>
      </c>
      <c r="L4003">
        <v>82335.789999999994</v>
      </c>
      <c r="M4003">
        <v>53638.09</v>
      </c>
      <c r="N4003">
        <v>8734.9699999999993</v>
      </c>
      <c r="O4003">
        <v>5197.0200000000004</v>
      </c>
      <c r="P4003">
        <v>1486.46</v>
      </c>
      <c r="Q4003">
        <v>1440.81</v>
      </c>
      <c r="R4003">
        <v>4477.32</v>
      </c>
      <c r="S4003">
        <v>1235.06</v>
      </c>
      <c r="T4003">
        <v>76209.75</v>
      </c>
      <c r="U4003">
        <v>28697.7</v>
      </c>
      <c r="V4003">
        <v>6126.04</v>
      </c>
      <c r="W4003">
        <v>5541.19</v>
      </c>
      <c r="X4003">
        <v>76429.289999999994</v>
      </c>
      <c r="Y4003">
        <v>79286.28</v>
      </c>
    </row>
    <row r="4004" spans="1:25" x14ac:dyDescent="0.25">
      <c r="A4004" t="s">
        <v>4060</v>
      </c>
      <c r="B4004" s="1">
        <v>46029</v>
      </c>
      <c r="C4004">
        <v>2026</v>
      </c>
      <c r="D4004">
        <v>1</v>
      </c>
      <c r="E4004" t="s">
        <v>26</v>
      </c>
      <c r="F4004" t="s">
        <v>27</v>
      </c>
      <c r="G4004" t="s">
        <v>35</v>
      </c>
      <c r="H4004" t="s">
        <v>36</v>
      </c>
      <c r="I4004" t="s">
        <v>39</v>
      </c>
      <c r="J4004">
        <v>18</v>
      </c>
      <c r="K4004">
        <v>1586.64</v>
      </c>
      <c r="L4004">
        <v>28559.58</v>
      </c>
      <c r="M4004">
        <v>14460.32</v>
      </c>
      <c r="N4004">
        <v>2292.4699999999998</v>
      </c>
      <c r="O4004">
        <v>908.19</v>
      </c>
      <c r="P4004">
        <v>507.21</v>
      </c>
      <c r="Q4004">
        <v>348.38</v>
      </c>
      <c r="R4004">
        <v>1798.38</v>
      </c>
      <c r="S4004">
        <v>360.34</v>
      </c>
      <c r="T4004">
        <v>20675.29</v>
      </c>
      <c r="U4004">
        <v>14099.26</v>
      </c>
      <c r="V4004">
        <v>7884.29</v>
      </c>
      <c r="W4004">
        <v>7868.14</v>
      </c>
      <c r="X4004">
        <v>29869.15</v>
      </c>
      <c r="Y4004">
        <v>22065.05</v>
      </c>
    </row>
    <row r="4005" spans="1:25" x14ac:dyDescent="0.25">
      <c r="A4005" t="s">
        <v>4061</v>
      </c>
      <c r="B4005" s="1">
        <v>46029</v>
      </c>
      <c r="C4005">
        <v>2026</v>
      </c>
      <c r="D4005">
        <v>1</v>
      </c>
      <c r="E4005" t="s">
        <v>26</v>
      </c>
      <c r="F4005" t="s">
        <v>27</v>
      </c>
      <c r="G4005" t="s">
        <v>55</v>
      </c>
      <c r="H4005" t="s">
        <v>58</v>
      </c>
      <c r="I4005" t="s">
        <v>37</v>
      </c>
      <c r="J4005">
        <v>66</v>
      </c>
      <c r="K4005">
        <v>848.83</v>
      </c>
      <c r="L4005">
        <v>56022.79</v>
      </c>
      <c r="M4005">
        <v>34100.46</v>
      </c>
      <c r="N4005">
        <v>4576.7299999999996</v>
      </c>
      <c r="O4005">
        <v>3670.3</v>
      </c>
      <c r="P4005">
        <v>1150.44</v>
      </c>
      <c r="Q4005">
        <v>394.58</v>
      </c>
      <c r="R4005">
        <v>3303.27</v>
      </c>
      <c r="S4005">
        <v>1058.2</v>
      </c>
      <c r="T4005">
        <v>48253.98</v>
      </c>
      <c r="U4005">
        <v>21922.33</v>
      </c>
      <c r="V4005">
        <v>7768.81</v>
      </c>
      <c r="W4005">
        <v>7723.72</v>
      </c>
      <c r="X4005">
        <v>54881.64</v>
      </c>
      <c r="Y4005">
        <v>48476.32</v>
      </c>
    </row>
    <row r="4006" spans="1:25" x14ac:dyDescent="0.25">
      <c r="A4006" t="s">
        <v>4062</v>
      </c>
      <c r="B4006" s="1">
        <v>46030</v>
      </c>
      <c r="C4006">
        <v>2026</v>
      </c>
      <c r="D4006">
        <v>1</v>
      </c>
      <c r="E4006" t="s">
        <v>26</v>
      </c>
      <c r="F4006" t="s">
        <v>27</v>
      </c>
      <c r="G4006" t="s">
        <v>28</v>
      </c>
      <c r="H4006" t="s">
        <v>36</v>
      </c>
      <c r="I4006" t="s">
        <v>50</v>
      </c>
      <c r="J4006">
        <v>27</v>
      </c>
      <c r="K4006">
        <v>1543.86</v>
      </c>
      <c r="L4006">
        <v>41684.26</v>
      </c>
      <c r="M4006">
        <v>27420.5</v>
      </c>
      <c r="N4006">
        <v>4763.6899999999996</v>
      </c>
      <c r="O4006">
        <v>2665.29</v>
      </c>
      <c r="P4006">
        <v>1058.51</v>
      </c>
      <c r="Q4006">
        <v>277.52</v>
      </c>
      <c r="R4006">
        <v>1510</v>
      </c>
      <c r="S4006">
        <v>751.74</v>
      </c>
      <c r="T4006">
        <v>38447.230000000003</v>
      </c>
      <c r="U4006">
        <v>14263.76</v>
      </c>
      <c r="V4006">
        <v>3237.03</v>
      </c>
      <c r="W4006">
        <v>2849.84</v>
      </c>
      <c r="X4006">
        <v>42356.77</v>
      </c>
      <c r="Y4006">
        <v>37134.32</v>
      </c>
    </row>
    <row r="4007" spans="1:25" x14ac:dyDescent="0.25">
      <c r="A4007" t="s">
        <v>4063</v>
      </c>
      <c r="B4007" s="1">
        <v>46031</v>
      </c>
      <c r="C4007">
        <v>2026</v>
      </c>
      <c r="D4007">
        <v>1</v>
      </c>
      <c r="E4007" t="s">
        <v>26</v>
      </c>
      <c r="F4007" t="s">
        <v>27</v>
      </c>
      <c r="G4007" t="s">
        <v>28</v>
      </c>
      <c r="H4007" t="s">
        <v>32</v>
      </c>
      <c r="I4007" t="s">
        <v>37</v>
      </c>
      <c r="J4007">
        <v>55</v>
      </c>
      <c r="K4007">
        <v>1579.9</v>
      </c>
      <c r="L4007">
        <v>86894.77</v>
      </c>
      <c r="M4007">
        <v>53873.35</v>
      </c>
      <c r="N4007">
        <v>6978.8</v>
      </c>
      <c r="O4007">
        <v>6471.94</v>
      </c>
      <c r="P4007">
        <v>2097.7199999999998</v>
      </c>
      <c r="Q4007">
        <v>536.92999999999995</v>
      </c>
      <c r="R4007">
        <v>4165.08</v>
      </c>
      <c r="S4007">
        <v>1893.39</v>
      </c>
      <c r="T4007">
        <v>76017.22</v>
      </c>
      <c r="U4007">
        <v>33021.42</v>
      </c>
      <c r="V4007">
        <v>10877.55</v>
      </c>
      <c r="W4007">
        <v>10784.67</v>
      </c>
      <c r="X4007">
        <v>87757.11</v>
      </c>
      <c r="Y4007">
        <v>80115.850000000006</v>
      </c>
    </row>
    <row r="4008" spans="1:25" x14ac:dyDescent="0.25">
      <c r="A4008" t="s">
        <v>4064</v>
      </c>
      <c r="B4008" s="1">
        <v>46031</v>
      </c>
      <c r="C4008">
        <v>2026</v>
      </c>
      <c r="D4008">
        <v>1</v>
      </c>
      <c r="E4008" t="s">
        <v>26</v>
      </c>
      <c r="F4008" t="s">
        <v>27</v>
      </c>
      <c r="G4008" t="s">
        <v>44</v>
      </c>
      <c r="H4008" t="s">
        <v>32</v>
      </c>
      <c r="I4008" t="s">
        <v>65</v>
      </c>
      <c r="J4008">
        <v>39</v>
      </c>
      <c r="K4008">
        <v>1312.24</v>
      </c>
      <c r="L4008">
        <v>51177.41</v>
      </c>
      <c r="M4008">
        <v>27212.31</v>
      </c>
      <c r="N4008">
        <v>6151.23</v>
      </c>
      <c r="O4008">
        <v>1343.68</v>
      </c>
      <c r="P4008">
        <v>1407.95</v>
      </c>
      <c r="Q4008">
        <v>438.27</v>
      </c>
      <c r="R4008">
        <v>2401.37</v>
      </c>
      <c r="S4008">
        <v>848.97</v>
      </c>
      <c r="T4008">
        <v>39803.79</v>
      </c>
      <c r="U4008">
        <v>23965.1</v>
      </c>
      <c r="V4008">
        <v>11373.62</v>
      </c>
      <c r="W4008">
        <v>11288.46</v>
      </c>
      <c r="X4008">
        <v>50587.85</v>
      </c>
      <c r="Y4008">
        <v>37038.769999999997</v>
      </c>
    </row>
    <row r="4009" spans="1:25" x14ac:dyDescent="0.25">
      <c r="A4009" t="s">
        <v>4065</v>
      </c>
      <c r="B4009" s="1">
        <v>46031</v>
      </c>
      <c r="C4009">
        <v>2026</v>
      </c>
      <c r="D4009">
        <v>1</v>
      </c>
      <c r="E4009" t="s">
        <v>26</v>
      </c>
      <c r="F4009" t="s">
        <v>27</v>
      </c>
      <c r="G4009" t="s">
        <v>55</v>
      </c>
      <c r="H4009" t="s">
        <v>29</v>
      </c>
      <c r="I4009" t="s">
        <v>39</v>
      </c>
      <c r="J4009">
        <v>33</v>
      </c>
      <c r="K4009">
        <v>1111.01</v>
      </c>
      <c r="L4009">
        <v>36663.269999999997</v>
      </c>
      <c r="M4009">
        <v>20159.169999999998</v>
      </c>
      <c r="N4009">
        <v>3824.14</v>
      </c>
      <c r="O4009">
        <v>2511.8000000000002</v>
      </c>
      <c r="P4009">
        <v>683.65</v>
      </c>
      <c r="Q4009">
        <v>402.8</v>
      </c>
      <c r="R4009">
        <v>1482.58</v>
      </c>
      <c r="S4009">
        <v>733.89</v>
      </c>
      <c r="T4009">
        <v>29798.03</v>
      </c>
      <c r="U4009">
        <v>16504.099999999999</v>
      </c>
      <c r="V4009">
        <v>6865.24</v>
      </c>
      <c r="W4009">
        <v>6320.99</v>
      </c>
      <c r="X4009">
        <v>37961.64</v>
      </c>
      <c r="Y4009">
        <v>29978.19</v>
      </c>
    </row>
    <row r="4010" spans="1:25" x14ac:dyDescent="0.25">
      <c r="A4010" t="s">
        <v>4066</v>
      </c>
      <c r="B4010" s="1">
        <v>46031</v>
      </c>
      <c r="C4010">
        <v>2026</v>
      </c>
      <c r="D4010">
        <v>1</v>
      </c>
      <c r="E4010" t="s">
        <v>26</v>
      </c>
      <c r="F4010" t="s">
        <v>27</v>
      </c>
      <c r="G4010" t="s">
        <v>28</v>
      </c>
      <c r="H4010" t="s">
        <v>32</v>
      </c>
      <c r="I4010" t="s">
        <v>37</v>
      </c>
      <c r="J4010">
        <v>71</v>
      </c>
      <c r="K4010">
        <v>1347.22</v>
      </c>
      <c r="L4010">
        <v>95652.49</v>
      </c>
      <c r="M4010">
        <v>61504.9</v>
      </c>
      <c r="N4010">
        <v>6749.35</v>
      </c>
      <c r="O4010">
        <v>5202.4399999999996</v>
      </c>
      <c r="P4010">
        <v>2101.98</v>
      </c>
      <c r="Q4010">
        <v>826.09</v>
      </c>
      <c r="R4010">
        <v>6139.66</v>
      </c>
      <c r="S4010">
        <v>1816.38</v>
      </c>
      <c r="T4010">
        <v>84340.800000000003</v>
      </c>
      <c r="U4010">
        <v>34147.58</v>
      </c>
      <c r="V4010">
        <v>11311.68</v>
      </c>
      <c r="W4010">
        <v>10241.09</v>
      </c>
      <c r="X4010">
        <v>89800.08</v>
      </c>
      <c r="Y4010">
        <v>91494.93</v>
      </c>
    </row>
    <row r="4011" spans="1:25" x14ac:dyDescent="0.25">
      <c r="A4011" t="s">
        <v>4067</v>
      </c>
      <c r="B4011" s="1">
        <v>46031</v>
      </c>
      <c r="C4011">
        <v>2026</v>
      </c>
      <c r="D4011">
        <v>1</v>
      </c>
      <c r="E4011" t="s">
        <v>26</v>
      </c>
      <c r="F4011" t="s">
        <v>27</v>
      </c>
      <c r="G4011" t="s">
        <v>28</v>
      </c>
      <c r="H4011" t="s">
        <v>36</v>
      </c>
      <c r="I4011" t="s">
        <v>45</v>
      </c>
      <c r="J4011">
        <v>44</v>
      </c>
      <c r="K4011">
        <v>1034.98</v>
      </c>
      <c r="L4011">
        <v>45539.11</v>
      </c>
      <c r="M4011">
        <v>27219.22</v>
      </c>
      <c r="N4011">
        <v>4936.79</v>
      </c>
      <c r="O4011">
        <v>1923.05</v>
      </c>
      <c r="P4011">
        <v>2006.83</v>
      </c>
      <c r="Q4011">
        <v>703.26</v>
      </c>
      <c r="R4011">
        <v>2438.1999999999998</v>
      </c>
      <c r="S4011">
        <v>875.9</v>
      </c>
      <c r="T4011">
        <v>40103.25</v>
      </c>
      <c r="U4011">
        <v>18319.89</v>
      </c>
      <c r="V4011">
        <v>5435.86</v>
      </c>
      <c r="W4011">
        <v>5219.3500000000004</v>
      </c>
      <c r="X4011">
        <v>44262.09</v>
      </c>
      <c r="Y4011">
        <v>38900.1</v>
      </c>
    </row>
    <row r="4012" spans="1:25" x14ac:dyDescent="0.25">
      <c r="A4012" t="s">
        <v>4068</v>
      </c>
      <c r="B4012" s="1">
        <v>46032</v>
      </c>
      <c r="C4012">
        <v>2026</v>
      </c>
      <c r="D4012">
        <v>1</v>
      </c>
      <c r="E4012" t="s">
        <v>26</v>
      </c>
      <c r="F4012" t="s">
        <v>27</v>
      </c>
      <c r="G4012" t="s">
        <v>35</v>
      </c>
      <c r="H4012" t="s">
        <v>29</v>
      </c>
      <c r="I4012" t="s">
        <v>50</v>
      </c>
      <c r="J4012">
        <v>57</v>
      </c>
      <c r="K4012">
        <v>950.57</v>
      </c>
      <c r="L4012">
        <v>54182.42</v>
      </c>
      <c r="M4012">
        <v>26279.53</v>
      </c>
      <c r="N4012">
        <v>4986.38</v>
      </c>
      <c r="O4012">
        <v>2652.76</v>
      </c>
      <c r="P4012">
        <v>899</v>
      </c>
      <c r="Q4012">
        <v>308.45</v>
      </c>
      <c r="R4012">
        <v>2586.0500000000002</v>
      </c>
      <c r="S4012">
        <v>1154.08</v>
      </c>
      <c r="T4012">
        <v>38866.26</v>
      </c>
      <c r="U4012">
        <v>27902.89</v>
      </c>
      <c r="V4012">
        <v>15316.17</v>
      </c>
      <c r="W4012">
        <v>14425.2</v>
      </c>
      <c r="X4012">
        <v>55950.99</v>
      </c>
      <c r="Y4012">
        <v>41121.760000000002</v>
      </c>
    </row>
    <row r="4013" spans="1:25" x14ac:dyDescent="0.25">
      <c r="A4013" t="s">
        <v>4069</v>
      </c>
      <c r="B4013" s="1">
        <v>46032</v>
      </c>
      <c r="C4013">
        <v>2026</v>
      </c>
      <c r="D4013">
        <v>1</v>
      </c>
      <c r="E4013" t="s">
        <v>26</v>
      </c>
      <c r="F4013" t="s">
        <v>27</v>
      </c>
      <c r="G4013" t="s">
        <v>44</v>
      </c>
      <c r="H4013" t="s">
        <v>53</v>
      </c>
      <c r="I4013" t="s">
        <v>50</v>
      </c>
      <c r="J4013">
        <v>45</v>
      </c>
      <c r="K4013">
        <v>1119.47</v>
      </c>
      <c r="L4013">
        <v>50376.09</v>
      </c>
      <c r="M4013">
        <v>30287.81</v>
      </c>
      <c r="N4013">
        <v>5288.72</v>
      </c>
      <c r="O4013">
        <v>2297.67</v>
      </c>
      <c r="P4013">
        <v>1547.1</v>
      </c>
      <c r="Q4013">
        <v>377.64</v>
      </c>
      <c r="R4013">
        <v>2432.71</v>
      </c>
      <c r="S4013">
        <v>1072.53</v>
      </c>
      <c r="T4013">
        <v>43304.17</v>
      </c>
      <c r="U4013">
        <v>20088.29</v>
      </c>
      <c r="V4013">
        <v>7071.93</v>
      </c>
      <c r="W4013">
        <v>6363.07</v>
      </c>
      <c r="X4013">
        <v>47504.87</v>
      </c>
      <c r="Y4013">
        <v>46121.25</v>
      </c>
    </row>
    <row r="4014" spans="1:25" x14ac:dyDescent="0.25">
      <c r="A4014" t="s">
        <v>4070</v>
      </c>
      <c r="B4014" s="1">
        <v>46032</v>
      </c>
      <c r="C4014">
        <v>2026</v>
      </c>
      <c r="D4014">
        <v>1</v>
      </c>
      <c r="E4014" t="s">
        <v>26</v>
      </c>
      <c r="F4014" t="s">
        <v>27</v>
      </c>
      <c r="G4014" t="s">
        <v>35</v>
      </c>
      <c r="H4014" t="s">
        <v>36</v>
      </c>
      <c r="I4014" t="s">
        <v>50</v>
      </c>
      <c r="J4014">
        <v>23</v>
      </c>
      <c r="K4014">
        <v>1519.96</v>
      </c>
      <c r="L4014">
        <v>34959.050000000003</v>
      </c>
      <c r="M4014">
        <v>18245.330000000002</v>
      </c>
      <c r="N4014">
        <v>3083.91</v>
      </c>
      <c r="O4014">
        <v>955.49</v>
      </c>
      <c r="P4014">
        <v>962.2</v>
      </c>
      <c r="Q4014">
        <v>224.4</v>
      </c>
      <c r="R4014">
        <v>2028.85</v>
      </c>
      <c r="S4014">
        <v>336.46</v>
      </c>
      <c r="T4014">
        <v>25836.66</v>
      </c>
      <c r="U4014">
        <v>16713.72</v>
      </c>
      <c r="V4014">
        <v>9122.39</v>
      </c>
      <c r="W4014">
        <v>8342.17</v>
      </c>
      <c r="X4014">
        <v>36366.9</v>
      </c>
      <c r="Y4014">
        <v>25803.06</v>
      </c>
    </row>
    <row r="4015" spans="1:25" x14ac:dyDescent="0.25">
      <c r="A4015" t="s">
        <v>4071</v>
      </c>
      <c r="B4015" s="1">
        <v>46032</v>
      </c>
      <c r="C4015">
        <v>2026</v>
      </c>
      <c r="D4015">
        <v>1</v>
      </c>
      <c r="E4015" t="s">
        <v>26</v>
      </c>
      <c r="F4015" t="s">
        <v>27</v>
      </c>
      <c r="G4015" t="s">
        <v>55</v>
      </c>
      <c r="H4015" t="s">
        <v>36</v>
      </c>
      <c r="I4015" t="s">
        <v>45</v>
      </c>
      <c r="J4015">
        <v>43</v>
      </c>
      <c r="K4015">
        <v>1247.25</v>
      </c>
      <c r="L4015">
        <v>53631.839999999997</v>
      </c>
      <c r="M4015">
        <v>33016.61</v>
      </c>
      <c r="N4015">
        <v>5286.01</v>
      </c>
      <c r="O4015">
        <v>2896.15</v>
      </c>
      <c r="P4015">
        <v>1172.05</v>
      </c>
      <c r="Q4015">
        <v>734.14</v>
      </c>
      <c r="R4015">
        <v>2570.7399999999998</v>
      </c>
      <c r="S4015">
        <v>664.49</v>
      </c>
      <c r="T4015">
        <v>46340.19</v>
      </c>
      <c r="U4015">
        <v>20615.23</v>
      </c>
      <c r="V4015">
        <v>7291.65</v>
      </c>
      <c r="W4015">
        <v>7286.01</v>
      </c>
      <c r="X4015">
        <v>50753.75</v>
      </c>
      <c r="Y4015">
        <v>50370.44</v>
      </c>
    </row>
    <row r="4016" spans="1:25" x14ac:dyDescent="0.25">
      <c r="A4016" t="s">
        <v>4072</v>
      </c>
      <c r="B4016" s="1">
        <v>46033</v>
      </c>
      <c r="C4016">
        <v>2026</v>
      </c>
      <c r="D4016">
        <v>1</v>
      </c>
      <c r="E4016" t="s">
        <v>26</v>
      </c>
      <c r="F4016" t="s">
        <v>27</v>
      </c>
      <c r="G4016" t="s">
        <v>35</v>
      </c>
      <c r="H4016" t="s">
        <v>58</v>
      </c>
      <c r="I4016" t="s">
        <v>37</v>
      </c>
      <c r="J4016">
        <v>44</v>
      </c>
      <c r="K4016">
        <v>1302.75</v>
      </c>
      <c r="L4016">
        <v>57320.84</v>
      </c>
      <c r="M4016">
        <v>28675.58</v>
      </c>
      <c r="N4016">
        <v>4035.83</v>
      </c>
      <c r="O4016">
        <v>1645.19</v>
      </c>
      <c r="P4016">
        <v>1693.9</v>
      </c>
      <c r="Q4016">
        <v>305.89</v>
      </c>
      <c r="R4016">
        <v>1594.27</v>
      </c>
      <c r="S4016">
        <v>1132.51</v>
      </c>
      <c r="T4016">
        <v>39083.160000000003</v>
      </c>
      <c r="U4016">
        <v>28645.26</v>
      </c>
      <c r="V4016">
        <v>18237.669999999998</v>
      </c>
      <c r="W4016">
        <v>17470.580000000002</v>
      </c>
      <c r="X4016">
        <v>61385.32</v>
      </c>
      <c r="Y4016">
        <v>41965.35</v>
      </c>
    </row>
    <row r="4017" spans="1:25" x14ac:dyDescent="0.25">
      <c r="A4017" t="s">
        <v>4073</v>
      </c>
      <c r="B4017" s="1">
        <v>46034</v>
      </c>
      <c r="C4017">
        <v>2026</v>
      </c>
      <c r="D4017">
        <v>1</v>
      </c>
      <c r="E4017" t="s">
        <v>26</v>
      </c>
      <c r="F4017" t="s">
        <v>27</v>
      </c>
      <c r="G4017" t="s">
        <v>55</v>
      </c>
      <c r="H4017" t="s">
        <v>32</v>
      </c>
      <c r="I4017" t="s">
        <v>50</v>
      </c>
      <c r="J4017">
        <v>71</v>
      </c>
      <c r="K4017">
        <v>1091.08</v>
      </c>
      <c r="L4017">
        <v>77466.73</v>
      </c>
      <c r="M4017">
        <v>47988.51</v>
      </c>
      <c r="N4017">
        <v>7526.19</v>
      </c>
      <c r="O4017">
        <v>4309.8599999999997</v>
      </c>
      <c r="P4017">
        <v>2519.5300000000002</v>
      </c>
      <c r="Q4017">
        <v>852.57</v>
      </c>
      <c r="R4017">
        <v>2860.79</v>
      </c>
      <c r="S4017">
        <v>1041.18</v>
      </c>
      <c r="T4017">
        <v>67098.63</v>
      </c>
      <c r="U4017">
        <v>29478.22</v>
      </c>
      <c r="V4017">
        <v>10368.1</v>
      </c>
      <c r="W4017">
        <v>9739.75</v>
      </c>
      <c r="X4017">
        <v>84307.58</v>
      </c>
      <c r="Y4017">
        <v>69687.09</v>
      </c>
    </row>
    <row r="4018" spans="1:25" x14ac:dyDescent="0.25">
      <c r="A4018" t="s">
        <v>4074</v>
      </c>
      <c r="B4018" s="1">
        <v>46034</v>
      </c>
      <c r="C4018">
        <v>2026</v>
      </c>
      <c r="D4018">
        <v>1</v>
      </c>
      <c r="E4018" t="s">
        <v>26</v>
      </c>
      <c r="F4018" t="s">
        <v>27</v>
      </c>
      <c r="G4018" t="s">
        <v>35</v>
      </c>
      <c r="H4018" t="s">
        <v>32</v>
      </c>
      <c r="I4018" t="s">
        <v>33</v>
      </c>
      <c r="J4018">
        <v>71</v>
      </c>
      <c r="K4018">
        <v>1324.73</v>
      </c>
      <c r="L4018">
        <v>94055.63</v>
      </c>
      <c r="M4018">
        <v>47751.03</v>
      </c>
      <c r="N4018">
        <v>11963.36</v>
      </c>
      <c r="O4018">
        <v>5242.7299999999996</v>
      </c>
      <c r="P4018">
        <v>2894.61</v>
      </c>
      <c r="Q4018">
        <v>1033.67</v>
      </c>
      <c r="R4018">
        <v>4865.7299999999996</v>
      </c>
      <c r="S4018">
        <v>1246.74</v>
      </c>
      <c r="T4018">
        <v>74997.86</v>
      </c>
      <c r="U4018">
        <v>46304.6</v>
      </c>
      <c r="V4018">
        <v>19057.77</v>
      </c>
      <c r="W4018">
        <v>18836.61</v>
      </c>
      <c r="X4018">
        <v>92638.46</v>
      </c>
      <c r="Y4018">
        <v>81694.320000000007</v>
      </c>
    </row>
    <row r="4019" spans="1:25" x14ac:dyDescent="0.25">
      <c r="A4019" t="s">
        <v>4075</v>
      </c>
      <c r="B4019" s="1">
        <v>46034</v>
      </c>
      <c r="C4019">
        <v>2026</v>
      </c>
      <c r="D4019">
        <v>1</v>
      </c>
      <c r="E4019" t="s">
        <v>26</v>
      </c>
      <c r="F4019" t="s">
        <v>27</v>
      </c>
      <c r="G4019" t="s">
        <v>28</v>
      </c>
      <c r="H4019" t="s">
        <v>29</v>
      </c>
      <c r="I4019" t="s">
        <v>39</v>
      </c>
      <c r="J4019">
        <v>33</v>
      </c>
      <c r="K4019">
        <v>1618.76</v>
      </c>
      <c r="L4019">
        <v>53418.94</v>
      </c>
      <c r="M4019">
        <v>31321.45</v>
      </c>
      <c r="N4019">
        <v>4714.34</v>
      </c>
      <c r="O4019">
        <v>2615.6</v>
      </c>
      <c r="P4019">
        <v>1873.63</v>
      </c>
      <c r="Q4019">
        <v>604.44000000000005</v>
      </c>
      <c r="R4019">
        <v>3175</v>
      </c>
      <c r="S4019">
        <v>1060.99</v>
      </c>
      <c r="T4019">
        <v>45365.440000000002</v>
      </c>
      <c r="U4019">
        <v>22097.5</v>
      </c>
      <c r="V4019">
        <v>8053.5</v>
      </c>
      <c r="W4019">
        <v>7566.76</v>
      </c>
      <c r="X4019">
        <v>59087.72</v>
      </c>
      <c r="Y4019">
        <v>43952.89</v>
      </c>
    </row>
    <row r="4020" spans="1:25" x14ac:dyDescent="0.25">
      <c r="A4020" t="s">
        <v>4076</v>
      </c>
      <c r="B4020" s="1">
        <v>46034</v>
      </c>
      <c r="C4020">
        <v>2026</v>
      </c>
      <c r="D4020">
        <v>1</v>
      </c>
      <c r="E4020" t="s">
        <v>26</v>
      </c>
      <c r="F4020" t="s">
        <v>27</v>
      </c>
      <c r="G4020" t="s">
        <v>55</v>
      </c>
      <c r="H4020" t="s">
        <v>32</v>
      </c>
      <c r="I4020" t="s">
        <v>50</v>
      </c>
      <c r="J4020">
        <v>38</v>
      </c>
      <c r="K4020">
        <v>1677.7</v>
      </c>
      <c r="L4020">
        <v>63752.58</v>
      </c>
      <c r="M4020">
        <v>39506.11</v>
      </c>
      <c r="N4020">
        <v>8216.07</v>
      </c>
      <c r="O4020">
        <v>2390.25</v>
      </c>
      <c r="P4020">
        <v>1394.86</v>
      </c>
      <c r="Q4020">
        <v>591.55999999999995</v>
      </c>
      <c r="R4020">
        <v>2666.42</v>
      </c>
      <c r="S4020">
        <v>541.76</v>
      </c>
      <c r="T4020">
        <v>55307.03</v>
      </c>
      <c r="U4020">
        <v>24246.47</v>
      </c>
      <c r="V4020">
        <v>8445.5499999999993</v>
      </c>
      <c r="W4020">
        <v>8223.81</v>
      </c>
      <c r="X4020">
        <v>70914.44</v>
      </c>
      <c r="Y4020">
        <v>53812.03</v>
      </c>
    </row>
    <row r="4021" spans="1:25" x14ac:dyDescent="0.25">
      <c r="A4021" t="s">
        <v>4077</v>
      </c>
      <c r="B4021" s="1">
        <v>46034</v>
      </c>
      <c r="C4021">
        <v>2026</v>
      </c>
      <c r="D4021">
        <v>1</v>
      </c>
      <c r="E4021" t="s">
        <v>26</v>
      </c>
      <c r="F4021" t="s">
        <v>27</v>
      </c>
      <c r="G4021" t="s">
        <v>35</v>
      </c>
      <c r="H4021" t="s">
        <v>36</v>
      </c>
      <c r="I4021" t="s">
        <v>45</v>
      </c>
      <c r="J4021">
        <v>31</v>
      </c>
      <c r="K4021">
        <v>1302.2</v>
      </c>
      <c r="L4021">
        <v>40368.230000000003</v>
      </c>
      <c r="M4021">
        <v>22625.33</v>
      </c>
      <c r="N4021">
        <v>2979.91</v>
      </c>
      <c r="O4021">
        <v>1996.54</v>
      </c>
      <c r="P4021">
        <v>1509.87</v>
      </c>
      <c r="Q4021">
        <v>447.07</v>
      </c>
      <c r="R4021">
        <v>2290.4899999999998</v>
      </c>
      <c r="S4021">
        <v>478.34</v>
      </c>
      <c r="T4021">
        <v>32327.54</v>
      </c>
      <c r="U4021">
        <v>17742.900000000001</v>
      </c>
      <c r="V4021">
        <v>8040.69</v>
      </c>
      <c r="W4021">
        <v>7800.15</v>
      </c>
      <c r="X4021">
        <v>40227.160000000003</v>
      </c>
      <c r="Y4021">
        <v>31899.74</v>
      </c>
    </row>
    <row r="4022" spans="1:25" x14ac:dyDescent="0.25">
      <c r="A4022" t="s">
        <v>4078</v>
      </c>
      <c r="B4022" s="1">
        <v>46034</v>
      </c>
      <c r="C4022">
        <v>2026</v>
      </c>
      <c r="D4022">
        <v>1</v>
      </c>
      <c r="E4022" t="s">
        <v>26</v>
      </c>
      <c r="F4022" t="s">
        <v>27</v>
      </c>
      <c r="G4022" t="s">
        <v>55</v>
      </c>
      <c r="H4022" t="s">
        <v>29</v>
      </c>
      <c r="I4022" t="s">
        <v>50</v>
      </c>
      <c r="J4022">
        <v>66</v>
      </c>
      <c r="K4022">
        <v>996.59</v>
      </c>
      <c r="L4022">
        <v>65774.710000000006</v>
      </c>
      <c r="M4022">
        <v>32284.87</v>
      </c>
      <c r="N4022">
        <v>6487.02</v>
      </c>
      <c r="O4022">
        <v>3564.28</v>
      </c>
      <c r="P4022">
        <v>1969.78</v>
      </c>
      <c r="Q4022">
        <v>452.57</v>
      </c>
      <c r="R4022">
        <v>3963.6</v>
      </c>
      <c r="S4022">
        <v>1327.92</v>
      </c>
      <c r="T4022">
        <v>50050.05</v>
      </c>
      <c r="U4022">
        <v>33489.839999999997</v>
      </c>
      <c r="V4022">
        <v>15724.67</v>
      </c>
      <c r="W4022">
        <v>15158.64</v>
      </c>
      <c r="X4022">
        <v>61979.44</v>
      </c>
      <c r="Y4022">
        <v>52109.3</v>
      </c>
    </row>
    <row r="4023" spans="1:25" x14ac:dyDescent="0.25">
      <c r="A4023" t="s">
        <v>4079</v>
      </c>
      <c r="B4023" s="1">
        <v>46034</v>
      </c>
      <c r="C4023">
        <v>2026</v>
      </c>
      <c r="D4023">
        <v>1</v>
      </c>
      <c r="E4023" t="s">
        <v>26</v>
      </c>
      <c r="F4023" t="s">
        <v>27</v>
      </c>
      <c r="G4023" t="s">
        <v>28</v>
      </c>
      <c r="H4023" t="s">
        <v>32</v>
      </c>
      <c r="I4023" t="s">
        <v>56</v>
      </c>
      <c r="J4023">
        <v>19</v>
      </c>
      <c r="K4023">
        <v>1742.32</v>
      </c>
      <c r="L4023">
        <v>33104.17</v>
      </c>
      <c r="M4023">
        <v>21815.43</v>
      </c>
      <c r="N4023">
        <v>2740.56</v>
      </c>
      <c r="O4023">
        <v>1241.6600000000001</v>
      </c>
      <c r="P4023">
        <v>1100.5</v>
      </c>
      <c r="Q4023">
        <v>190.17</v>
      </c>
      <c r="R4023">
        <v>1713.17</v>
      </c>
      <c r="S4023">
        <v>635.39</v>
      </c>
      <c r="T4023">
        <v>29436.89</v>
      </c>
      <c r="U4023">
        <v>11288.75</v>
      </c>
      <c r="V4023">
        <v>3667.29</v>
      </c>
      <c r="W4023">
        <v>3727.2</v>
      </c>
      <c r="X4023">
        <v>30467.72</v>
      </c>
      <c r="Y4023">
        <v>30528</v>
      </c>
    </row>
    <row r="4024" spans="1:25" x14ac:dyDescent="0.25">
      <c r="A4024" t="s">
        <v>4080</v>
      </c>
      <c r="B4024" s="1">
        <v>46034</v>
      </c>
      <c r="C4024">
        <v>2026</v>
      </c>
      <c r="D4024">
        <v>1</v>
      </c>
      <c r="E4024" t="s">
        <v>26</v>
      </c>
      <c r="F4024" t="s">
        <v>27</v>
      </c>
      <c r="G4024" t="s">
        <v>35</v>
      </c>
      <c r="H4024" t="s">
        <v>29</v>
      </c>
      <c r="I4024" t="s">
        <v>39</v>
      </c>
      <c r="J4024">
        <v>20</v>
      </c>
      <c r="K4024">
        <v>1482</v>
      </c>
      <c r="L4024">
        <v>29640.04</v>
      </c>
      <c r="M4024">
        <v>16225.94</v>
      </c>
      <c r="N4024">
        <v>2861.42</v>
      </c>
      <c r="O4024">
        <v>1685.4</v>
      </c>
      <c r="P4024">
        <v>454.45</v>
      </c>
      <c r="Q4024">
        <v>217.47</v>
      </c>
      <c r="R4024">
        <v>1211.49</v>
      </c>
      <c r="S4024">
        <v>714.24</v>
      </c>
      <c r="T4024">
        <v>23370.400000000001</v>
      </c>
      <c r="U4024">
        <v>13414.1</v>
      </c>
      <c r="V4024">
        <v>6269.64</v>
      </c>
      <c r="W4024">
        <v>6357.06</v>
      </c>
      <c r="X4024">
        <v>27284.880000000001</v>
      </c>
      <c r="Y4024">
        <v>22729.51</v>
      </c>
    </row>
    <row r="4025" spans="1:25" x14ac:dyDescent="0.25">
      <c r="A4025" t="s">
        <v>4081</v>
      </c>
      <c r="B4025" s="1">
        <v>46034</v>
      </c>
      <c r="C4025">
        <v>2026</v>
      </c>
      <c r="D4025">
        <v>1</v>
      </c>
      <c r="E4025" t="s">
        <v>26</v>
      </c>
      <c r="F4025" t="s">
        <v>27</v>
      </c>
      <c r="G4025" t="s">
        <v>35</v>
      </c>
      <c r="H4025" t="s">
        <v>53</v>
      </c>
      <c r="I4025" t="s">
        <v>39</v>
      </c>
      <c r="J4025">
        <v>17</v>
      </c>
      <c r="K4025">
        <v>1700.01</v>
      </c>
      <c r="L4025">
        <v>28900.240000000002</v>
      </c>
      <c r="M4025">
        <v>18391.830000000002</v>
      </c>
      <c r="N4025">
        <v>2322.0700000000002</v>
      </c>
      <c r="O4025">
        <v>1739.03</v>
      </c>
      <c r="P4025">
        <v>763.46</v>
      </c>
      <c r="Q4025">
        <v>161.11000000000001</v>
      </c>
      <c r="R4025">
        <v>848.01</v>
      </c>
      <c r="S4025">
        <v>238.08</v>
      </c>
      <c r="T4025">
        <v>24463.58</v>
      </c>
      <c r="U4025">
        <v>10508.41</v>
      </c>
      <c r="V4025">
        <v>4436.66</v>
      </c>
      <c r="W4025">
        <v>4510.29</v>
      </c>
      <c r="X4025">
        <v>29882.53</v>
      </c>
      <c r="Y4025">
        <v>24892.23</v>
      </c>
    </row>
    <row r="4026" spans="1:25" x14ac:dyDescent="0.25">
      <c r="A4026" t="s">
        <v>4082</v>
      </c>
      <c r="B4026" s="1">
        <v>46034</v>
      </c>
      <c r="C4026">
        <v>2026</v>
      </c>
      <c r="D4026">
        <v>1</v>
      </c>
      <c r="E4026" t="s">
        <v>26</v>
      </c>
      <c r="F4026" t="s">
        <v>27</v>
      </c>
      <c r="G4026" t="s">
        <v>44</v>
      </c>
      <c r="H4026" t="s">
        <v>36</v>
      </c>
      <c r="I4026" t="s">
        <v>33</v>
      </c>
      <c r="J4026">
        <v>37</v>
      </c>
      <c r="K4026">
        <v>1790.36</v>
      </c>
      <c r="L4026">
        <v>66243.38</v>
      </c>
      <c r="M4026">
        <v>38927.379999999997</v>
      </c>
      <c r="N4026">
        <v>5808.63</v>
      </c>
      <c r="O4026">
        <v>4062.86</v>
      </c>
      <c r="P4026">
        <v>2465.19</v>
      </c>
      <c r="Q4026">
        <v>1139.23</v>
      </c>
      <c r="R4026">
        <v>3231.85</v>
      </c>
      <c r="S4026">
        <v>1535.77</v>
      </c>
      <c r="T4026">
        <v>57170.92</v>
      </c>
      <c r="U4026">
        <v>27316</v>
      </c>
      <c r="V4026">
        <v>9072.4599999999991</v>
      </c>
      <c r="W4026">
        <v>9029.7800000000007</v>
      </c>
      <c r="X4026">
        <v>72276.100000000006</v>
      </c>
      <c r="Y4026">
        <v>55289.3</v>
      </c>
    </row>
    <row r="4027" spans="1:25" x14ac:dyDescent="0.25">
      <c r="A4027" t="s">
        <v>4083</v>
      </c>
      <c r="B4027" s="1">
        <v>46034</v>
      </c>
      <c r="C4027">
        <v>2026</v>
      </c>
      <c r="D4027">
        <v>1</v>
      </c>
      <c r="E4027" t="s">
        <v>26</v>
      </c>
      <c r="F4027" t="s">
        <v>27</v>
      </c>
      <c r="G4027" t="s">
        <v>55</v>
      </c>
      <c r="H4027" t="s">
        <v>32</v>
      </c>
      <c r="I4027" t="s">
        <v>37</v>
      </c>
      <c r="J4027">
        <v>41</v>
      </c>
      <c r="K4027">
        <v>1656.8</v>
      </c>
      <c r="L4027">
        <v>67928.850000000006</v>
      </c>
      <c r="M4027">
        <v>41859</v>
      </c>
      <c r="N4027">
        <v>6596.06</v>
      </c>
      <c r="O4027">
        <v>2595.23</v>
      </c>
      <c r="P4027">
        <v>2147.9</v>
      </c>
      <c r="Q4027">
        <v>1040.96</v>
      </c>
      <c r="R4027">
        <v>2677.84</v>
      </c>
      <c r="S4027">
        <v>1260.25</v>
      </c>
      <c r="T4027">
        <v>58177.23</v>
      </c>
      <c r="U4027">
        <v>26069.86</v>
      </c>
      <c r="V4027">
        <v>9751.6200000000008</v>
      </c>
      <c r="W4027">
        <v>8889.59</v>
      </c>
      <c r="X4027">
        <v>73780</v>
      </c>
      <c r="Y4027">
        <v>62257.7</v>
      </c>
    </row>
    <row r="4028" spans="1:25" x14ac:dyDescent="0.25">
      <c r="A4028" t="s">
        <v>4084</v>
      </c>
      <c r="B4028" s="1">
        <v>46035</v>
      </c>
      <c r="C4028">
        <v>2026</v>
      </c>
      <c r="D4028">
        <v>1</v>
      </c>
      <c r="E4028" t="s">
        <v>26</v>
      </c>
      <c r="F4028" t="s">
        <v>27</v>
      </c>
      <c r="G4028" t="s">
        <v>55</v>
      </c>
      <c r="H4028" t="s">
        <v>36</v>
      </c>
      <c r="I4028" t="s">
        <v>33</v>
      </c>
      <c r="J4028">
        <v>70</v>
      </c>
      <c r="K4028">
        <v>1039.83</v>
      </c>
      <c r="L4028">
        <v>72788.41</v>
      </c>
      <c r="M4028">
        <v>46035.98</v>
      </c>
      <c r="N4028">
        <v>8848.2000000000007</v>
      </c>
      <c r="O4028">
        <v>2645.49</v>
      </c>
      <c r="P4028">
        <v>1478.32</v>
      </c>
      <c r="Q4028">
        <v>1066.98</v>
      </c>
      <c r="R4028">
        <v>3393.21</v>
      </c>
      <c r="S4028">
        <v>1004.6</v>
      </c>
      <c r="T4028">
        <v>64472.78</v>
      </c>
      <c r="U4028">
        <v>26752.43</v>
      </c>
      <c r="V4028">
        <v>8315.6299999999992</v>
      </c>
      <c r="W4028">
        <v>8330.23</v>
      </c>
      <c r="X4028">
        <v>75214.14</v>
      </c>
      <c r="Y4028">
        <v>68425.2</v>
      </c>
    </row>
    <row r="4029" spans="1:25" x14ac:dyDescent="0.25">
      <c r="A4029" t="s">
        <v>4085</v>
      </c>
      <c r="B4029" s="1">
        <v>46035</v>
      </c>
      <c r="C4029">
        <v>2026</v>
      </c>
      <c r="D4029">
        <v>1</v>
      </c>
      <c r="E4029" t="s">
        <v>26</v>
      </c>
      <c r="F4029" t="s">
        <v>27</v>
      </c>
      <c r="G4029" t="s">
        <v>55</v>
      </c>
      <c r="H4029" t="s">
        <v>36</v>
      </c>
      <c r="I4029" t="s">
        <v>56</v>
      </c>
      <c r="J4029">
        <v>26</v>
      </c>
      <c r="K4029">
        <v>1127.3499999999999</v>
      </c>
      <c r="L4029">
        <v>29310.98</v>
      </c>
      <c r="M4029">
        <v>18262.810000000001</v>
      </c>
      <c r="N4029">
        <v>2826.41</v>
      </c>
      <c r="O4029">
        <v>1206.75</v>
      </c>
      <c r="P4029">
        <v>827.96</v>
      </c>
      <c r="Q4029">
        <v>468.64</v>
      </c>
      <c r="R4029">
        <v>758.31</v>
      </c>
      <c r="S4029">
        <v>461.86</v>
      </c>
      <c r="T4029">
        <v>24812.74</v>
      </c>
      <c r="U4029">
        <v>11048.17</v>
      </c>
      <c r="V4029">
        <v>4498.2299999999996</v>
      </c>
      <c r="W4029">
        <v>4196.1499999999996</v>
      </c>
      <c r="X4029">
        <v>31457.47</v>
      </c>
      <c r="Y4029">
        <v>27174.7</v>
      </c>
    </row>
    <row r="4030" spans="1:25" x14ac:dyDescent="0.25">
      <c r="A4030" t="s">
        <v>4086</v>
      </c>
      <c r="B4030" s="1">
        <v>46035</v>
      </c>
      <c r="C4030">
        <v>2026</v>
      </c>
      <c r="D4030">
        <v>1</v>
      </c>
      <c r="E4030" t="s">
        <v>26</v>
      </c>
      <c r="F4030" t="s">
        <v>27</v>
      </c>
      <c r="G4030" t="s">
        <v>35</v>
      </c>
      <c r="H4030" t="s">
        <v>36</v>
      </c>
      <c r="I4030" t="s">
        <v>65</v>
      </c>
      <c r="J4030">
        <v>34</v>
      </c>
      <c r="K4030">
        <v>1387.54</v>
      </c>
      <c r="L4030">
        <v>47176.2</v>
      </c>
      <c r="M4030">
        <v>23740.99</v>
      </c>
      <c r="N4030">
        <v>4391.24</v>
      </c>
      <c r="O4030">
        <v>2724.6</v>
      </c>
      <c r="P4030">
        <v>805.09</v>
      </c>
      <c r="Q4030">
        <v>809.72</v>
      </c>
      <c r="R4030">
        <v>2754.98</v>
      </c>
      <c r="S4030">
        <v>1029.54</v>
      </c>
      <c r="T4030">
        <v>36256.17</v>
      </c>
      <c r="U4030">
        <v>23435.21</v>
      </c>
      <c r="V4030">
        <v>10920.03</v>
      </c>
      <c r="W4030">
        <v>9862.09</v>
      </c>
      <c r="X4030">
        <v>49898.63</v>
      </c>
      <c r="Y4030">
        <v>34637.040000000001</v>
      </c>
    </row>
    <row r="4031" spans="1:25" x14ac:dyDescent="0.25">
      <c r="A4031" t="s">
        <v>4087</v>
      </c>
      <c r="B4031" s="1">
        <v>46036</v>
      </c>
      <c r="C4031">
        <v>2026</v>
      </c>
      <c r="D4031">
        <v>1</v>
      </c>
      <c r="E4031" t="s">
        <v>26</v>
      </c>
      <c r="F4031" t="s">
        <v>27</v>
      </c>
      <c r="G4031" t="s">
        <v>28</v>
      </c>
      <c r="H4031" t="s">
        <v>36</v>
      </c>
      <c r="I4031" t="s">
        <v>56</v>
      </c>
      <c r="J4031">
        <v>19</v>
      </c>
      <c r="K4031">
        <v>1767.6</v>
      </c>
      <c r="L4031">
        <v>33584.33</v>
      </c>
      <c r="M4031">
        <v>21578.35</v>
      </c>
      <c r="N4031">
        <v>2415.02</v>
      </c>
      <c r="O4031">
        <v>1336.85</v>
      </c>
      <c r="P4031">
        <v>1140.5</v>
      </c>
      <c r="Q4031">
        <v>370.66</v>
      </c>
      <c r="R4031">
        <v>1534.13</v>
      </c>
      <c r="S4031">
        <v>577.82000000000005</v>
      </c>
      <c r="T4031">
        <v>28953.32</v>
      </c>
      <c r="U4031">
        <v>12005.98</v>
      </c>
      <c r="V4031">
        <v>4631</v>
      </c>
      <c r="W4031">
        <v>4629.32</v>
      </c>
      <c r="X4031">
        <v>34807.33</v>
      </c>
      <c r="Y4031">
        <v>30259.19</v>
      </c>
    </row>
    <row r="4032" spans="1:25" x14ac:dyDescent="0.25">
      <c r="A4032" t="s">
        <v>4088</v>
      </c>
      <c r="B4032" s="1">
        <v>46036</v>
      </c>
      <c r="C4032">
        <v>2026</v>
      </c>
      <c r="D4032">
        <v>1</v>
      </c>
      <c r="E4032" t="s">
        <v>26</v>
      </c>
      <c r="F4032" t="s">
        <v>27</v>
      </c>
      <c r="G4032" t="s">
        <v>55</v>
      </c>
      <c r="H4032" t="s">
        <v>36</v>
      </c>
      <c r="I4032" t="s">
        <v>56</v>
      </c>
      <c r="J4032">
        <v>24</v>
      </c>
      <c r="K4032">
        <v>1538.18</v>
      </c>
      <c r="L4032">
        <v>36916.22</v>
      </c>
      <c r="M4032">
        <v>20036.759999999998</v>
      </c>
      <c r="N4032">
        <v>3818.48</v>
      </c>
      <c r="O4032">
        <v>1769.99</v>
      </c>
      <c r="P4032">
        <v>1026.8399999999999</v>
      </c>
      <c r="Q4032">
        <v>631.70000000000005</v>
      </c>
      <c r="R4032">
        <v>1999.3</v>
      </c>
      <c r="S4032">
        <v>350.6</v>
      </c>
      <c r="T4032">
        <v>29633.69</v>
      </c>
      <c r="U4032">
        <v>16879.45</v>
      </c>
      <c r="V4032">
        <v>7282.53</v>
      </c>
      <c r="W4032">
        <v>7105.78</v>
      </c>
      <c r="X4032">
        <v>36603.21</v>
      </c>
      <c r="Y4032">
        <v>31170.01</v>
      </c>
    </row>
    <row r="4033" spans="1:25" x14ac:dyDescent="0.25">
      <c r="A4033" t="s">
        <v>4089</v>
      </c>
      <c r="B4033" s="1">
        <v>46036</v>
      </c>
      <c r="C4033">
        <v>2026</v>
      </c>
      <c r="D4033">
        <v>1</v>
      </c>
      <c r="E4033" t="s">
        <v>26</v>
      </c>
      <c r="F4033" t="s">
        <v>27</v>
      </c>
      <c r="G4033" t="s">
        <v>35</v>
      </c>
      <c r="H4033" t="s">
        <v>29</v>
      </c>
      <c r="I4033" t="s">
        <v>65</v>
      </c>
      <c r="J4033">
        <v>42</v>
      </c>
      <c r="K4033">
        <v>1136.67</v>
      </c>
      <c r="L4033">
        <v>47739.95</v>
      </c>
      <c r="M4033">
        <v>29646.58</v>
      </c>
      <c r="N4033">
        <v>4528.34</v>
      </c>
      <c r="O4033">
        <v>1522.02</v>
      </c>
      <c r="P4033">
        <v>1761.42</v>
      </c>
      <c r="Q4033">
        <v>331.31</v>
      </c>
      <c r="R4033">
        <v>2352.6999999999998</v>
      </c>
      <c r="S4033">
        <v>925.76</v>
      </c>
      <c r="T4033">
        <v>41068.129999999997</v>
      </c>
      <c r="U4033">
        <v>18093.37</v>
      </c>
      <c r="V4033">
        <v>6671.83</v>
      </c>
      <c r="W4033">
        <v>6076.3</v>
      </c>
      <c r="X4033">
        <v>51484.51</v>
      </c>
      <c r="Y4033">
        <v>41202.660000000003</v>
      </c>
    </row>
    <row r="4034" spans="1:25" x14ac:dyDescent="0.25">
      <c r="A4034" t="s">
        <v>4090</v>
      </c>
      <c r="B4034" s="1">
        <v>46036</v>
      </c>
      <c r="C4034">
        <v>2026</v>
      </c>
      <c r="D4034">
        <v>1</v>
      </c>
      <c r="E4034" t="s">
        <v>26</v>
      </c>
      <c r="F4034" t="s">
        <v>27</v>
      </c>
      <c r="G4034" t="s">
        <v>28</v>
      </c>
      <c r="H4034" t="s">
        <v>58</v>
      </c>
      <c r="I4034" t="s">
        <v>56</v>
      </c>
      <c r="J4034">
        <v>26</v>
      </c>
      <c r="K4034">
        <v>1059.69</v>
      </c>
      <c r="L4034">
        <v>27551.89</v>
      </c>
      <c r="M4034">
        <v>14784.3</v>
      </c>
      <c r="N4034">
        <v>3434.91</v>
      </c>
      <c r="O4034">
        <v>1664.91</v>
      </c>
      <c r="P4034">
        <v>865.67</v>
      </c>
      <c r="Q4034">
        <v>438.51</v>
      </c>
      <c r="R4034">
        <v>1094.9100000000001</v>
      </c>
      <c r="S4034">
        <v>567.4</v>
      </c>
      <c r="T4034">
        <v>22850.61</v>
      </c>
      <c r="U4034">
        <v>12767.59</v>
      </c>
      <c r="V4034">
        <v>4701.28</v>
      </c>
      <c r="W4034">
        <v>4192.24</v>
      </c>
      <c r="X4034">
        <v>30423.200000000001</v>
      </c>
      <c r="Y4034">
        <v>24760</v>
      </c>
    </row>
    <row r="4035" spans="1:25" x14ac:dyDescent="0.25">
      <c r="A4035" t="s">
        <v>4091</v>
      </c>
      <c r="B4035" s="1">
        <v>46036</v>
      </c>
      <c r="C4035">
        <v>2026</v>
      </c>
      <c r="D4035">
        <v>1</v>
      </c>
      <c r="E4035" t="s">
        <v>26</v>
      </c>
      <c r="F4035" t="s">
        <v>27</v>
      </c>
      <c r="G4035" t="s">
        <v>44</v>
      </c>
      <c r="H4035" t="s">
        <v>32</v>
      </c>
      <c r="I4035" t="s">
        <v>30</v>
      </c>
      <c r="J4035">
        <v>88</v>
      </c>
      <c r="K4035">
        <v>1412.25</v>
      </c>
      <c r="L4035">
        <v>124277.95</v>
      </c>
      <c r="M4035">
        <v>77993.81</v>
      </c>
      <c r="N4035">
        <v>10507.6</v>
      </c>
      <c r="O4035">
        <v>8899.93</v>
      </c>
      <c r="P4035">
        <v>5543.11</v>
      </c>
      <c r="Q4035">
        <v>1993.91</v>
      </c>
      <c r="R4035">
        <v>4782.46</v>
      </c>
      <c r="S4035">
        <v>2839.11</v>
      </c>
      <c r="T4035">
        <v>112559.95</v>
      </c>
      <c r="U4035">
        <v>46284.13</v>
      </c>
      <c r="V4035">
        <v>11718</v>
      </c>
      <c r="W4035">
        <v>11454.11</v>
      </c>
      <c r="X4035">
        <v>138528.42000000001</v>
      </c>
      <c r="Y4035">
        <v>121370.88</v>
      </c>
    </row>
    <row r="4036" spans="1:25" x14ac:dyDescent="0.25">
      <c r="A4036" t="s">
        <v>4092</v>
      </c>
      <c r="B4036" s="1">
        <v>46036</v>
      </c>
      <c r="C4036">
        <v>2026</v>
      </c>
      <c r="D4036">
        <v>1</v>
      </c>
      <c r="E4036" t="s">
        <v>26</v>
      </c>
      <c r="F4036" t="s">
        <v>27</v>
      </c>
      <c r="G4036" t="s">
        <v>55</v>
      </c>
      <c r="H4036" t="s">
        <v>29</v>
      </c>
      <c r="I4036" t="s">
        <v>39</v>
      </c>
      <c r="J4036">
        <v>53</v>
      </c>
      <c r="K4036">
        <v>1094.9000000000001</v>
      </c>
      <c r="L4036">
        <v>58029.94</v>
      </c>
      <c r="M4036">
        <v>34137.040000000001</v>
      </c>
      <c r="N4036">
        <v>6973.81</v>
      </c>
      <c r="O4036">
        <v>1886.62</v>
      </c>
      <c r="P4036">
        <v>2104.08</v>
      </c>
      <c r="Q4036">
        <v>381.24</v>
      </c>
      <c r="R4036">
        <v>2086.0700000000002</v>
      </c>
      <c r="S4036">
        <v>1397.51</v>
      </c>
      <c r="T4036">
        <v>48966.37</v>
      </c>
      <c r="U4036">
        <v>23892.9</v>
      </c>
      <c r="V4036">
        <v>9063.57</v>
      </c>
      <c r="W4036">
        <v>8417.5300000000007</v>
      </c>
      <c r="X4036">
        <v>54353.16</v>
      </c>
      <c r="Y4036">
        <v>51799.360000000001</v>
      </c>
    </row>
    <row r="4037" spans="1:25" x14ac:dyDescent="0.25">
      <c r="A4037" t="s">
        <v>4093</v>
      </c>
      <c r="B4037" s="1">
        <v>46037</v>
      </c>
      <c r="C4037">
        <v>2026</v>
      </c>
      <c r="D4037">
        <v>1</v>
      </c>
      <c r="E4037" t="s">
        <v>26</v>
      </c>
      <c r="F4037" t="s">
        <v>27</v>
      </c>
      <c r="G4037" t="s">
        <v>55</v>
      </c>
      <c r="H4037" t="s">
        <v>32</v>
      </c>
      <c r="I4037" t="s">
        <v>37</v>
      </c>
      <c r="J4037">
        <v>79</v>
      </c>
      <c r="K4037">
        <v>1400.01</v>
      </c>
      <c r="L4037">
        <v>110600.51</v>
      </c>
      <c r="M4037">
        <v>71786.73</v>
      </c>
      <c r="N4037">
        <v>10456</v>
      </c>
      <c r="O4037">
        <v>8006.52</v>
      </c>
      <c r="P4037">
        <v>3405.78</v>
      </c>
      <c r="Q4037">
        <v>1554.2</v>
      </c>
      <c r="R4037">
        <v>6224.99</v>
      </c>
      <c r="S4037">
        <v>1930.98</v>
      </c>
      <c r="T4037">
        <v>103365.2</v>
      </c>
      <c r="U4037">
        <v>38813.78</v>
      </c>
      <c r="V4037">
        <v>7235.31</v>
      </c>
      <c r="W4037">
        <v>7108.07</v>
      </c>
      <c r="X4037">
        <v>114112.21</v>
      </c>
      <c r="Y4037">
        <v>104355.11</v>
      </c>
    </row>
    <row r="4038" spans="1:25" x14ac:dyDescent="0.25">
      <c r="A4038" t="s">
        <v>4094</v>
      </c>
      <c r="B4038" s="1">
        <v>46037</v>
      </c>
      <c r="C4038">
        <v>2026</v>
      </c>
      <c r="D4038">
        <v>1</v>
      </c>
      <c r="E4038" t="s">
        <v>26</v>
      </c>
      <c r="F4038" t="s">
        <v>27</v>
      </c>
      <c r="G4038" t="s">
        <v>28</v>
      </c>
      <c r="H4038" t="s">
        <v>32</v>
      </c>
      <c r="I4038" t="s">
        <v>39</v>
      </c>
      <c r="J4038">
        <v>42</v>
      </c>
      <c r="K4038">
        <v>1543.48</v>
      </c>
      <c r="L4038">
        <v>64826.09</v>
      </c>
      <c r="M4038">
        <v>42185.74</v>
      </c>
      <c r="N4038">
        <v>4844.17</v>
      </c>
      <c r="O4038">
        <v>2154.85</v>
      </c>
      <c r="P4038">
        <v>1937.43</v>
      </c>
      <c r="Q4038">
        <v>492.91</v>
      </c>
      <c r="R4038">
        <v>4154.33</v>
      </c>
      <c r="S4038">
        <v>885.76</v>
      </c>
      <c r="T4038">
        <v>56655.19</v>
      </c>
      <c r="U4038">
        <v>22640.34</v>
      </c>
      <c r="V4038">
        <v>8170.9</v>
      </c>
      <c r="W4038">
        <v>8271.65</v>
      </c>
      <c r="X4038">
        <v>68018.19</v>
      </c>
      <c r="Y4038">
        <v>54322.559999999998</v>
      </c>
    </row>
    <row r="4039" spans="1:25" x14ac:dyDescent="0.25">
      <c r="A4039" t="s">
        <v>4095</v>
      </c>
      <c r="B4039" s="1">
        <v>46038</v>
      </c>
      <c r="C4039">
        <v>2026</v>
      </c>
      <c r="D4039">
        <v>1</v>
      </c>
      <c r="E4039" t="s">
        <v>26</v>
      </c>
      <c r="F4039" t="s">
        <v>27</v>
      </c>
      <c r="G4039" t="s">
        <v>55</v>
      </c>
      <c r="H4039" t="s">
        <v>32</v>
      </c>
      <c r="I4039" t="s">
        <v>37</v>
      </c>
      <c r="J4039">
        <v>72</v>
      </c>
      <c r="K4039">
        <v>1273.1500000000001</v>
      </c>
      <c r="L4039">
        <v>91666.64</v>
      </c>
      <c r="M4039">
        <v>47090.35</v>
      </c>
      <c r="N4039">
        <v>9300.11</v>
      </c>
      <c r="O4039">
        <v>2294.64</v>
      </c>
      <c r="P4039">
        <v>3174.36</v>
      </c>
      <c r="Q4039">
        <v>1245.57</v>
      </c>
      <c r="R4039">
        <v>3664.08</v>
      </c>
      <c r="S4039">
        <v>1242.05</v>
      </c>
      <c r="T4039">
        <v>68011.17</v>
      </c>
      <c r="U4039">
        <v>44576.3</v>
      </c>
      <c r="V4039">
        <v>23655.48</v>
      </c>
      <c r="W4039">
        <v>21647.78</v>
      </c>
      <c r="X4039">
        <v>100386.98</v>
      </c>
      <c r="Y4039">
        <v>71432.36</v>
      </c>
    </row>
    <row r="4040" spans="1:25" x14ac:dyDescent="0.25">
      <c r="A4040" t="s">
        <v>4096</v>
      </c>
      <c r="B4040" s="1">
        <v>46038</v>
      </c>
      <c r="C4040">
        <v>2026</v>
      </c>
      <c r="D4040">
        <v>1</v>
      </c>
      <c r="E4040" t="s">
        <v>26</v>
      </c>
      <c r="F4040" t="s">
        <v>27</v>
      </c>
      <c r="G4040" t="s">
        <v>55</v>
      </c>
      <c r="H4040" t="s">
        <v>32</v>
      </c>
      <c r="I4040" t="s">
        <v>37</v>
      </c>
      <c r="J4040">
        <v>68</v>
      </c>
      <c r="K4040">
        <v>1042.02</v>
      </c>
      <c r="L4040">
        <v>70857.67</v>
      </c>
      <c r="M4040">
        <v>39806</v>
      </c>
      <c r="N4040">
        <v>5965.49</v>
      </c>
      <c r="O4040">
        <v>3294.37</v>
      </c>
      <c r="P4040">
        <v>3031.37</v>
      </c>
      <c r="Q4040">
        <v>396.77</v>
      </c>
      <c r="R4040">
        <v>2698.55</v>
      </c>
      <c r="S4040">
        <v>855.71</v>
      </c>
      <c r="T4040">
        <v>56048.26</v>
      </c>
      <c r="U4040">
        <v>31051.66</v>
      </c>
      <c r="V4040">
        <v>14809.41</v>
      </c>
      <c r="W4040">
        <v>14835.03</v>
      </c>
      <c r="X4040">
        <v>76901.14</v>
      </c>
      <c r="Y4040">
        <v>60788.78</v>
      </c>
    </row>
    <row r="4041" spans="1:25" x14ac:dyDescent="0.25">
      <c r="A4041" t="s">
        <v>4097</v>
      </c>
      <c r="B4041" s="1">
        <v>46038</v>
      </c>
      <c r="C4041">
        <v>2026</v>
      </c>
      <c r="D4041">
        <v>1</v>
      </c>
      <c r="E4041" t="s">
        <v>26</v>
      </c>
      <c r="F4041" t="s">
        <v>27</v>
      </c>
      <c r="G4041" t="s">
        <v>55</v>
      </c>
      <c r="H4041" t="s">
        <v>32</v>
      </c>
      <c r="I4041" t="s">
        <v>30</v>
      </c>
      <c r="J4041">
        <v>77</v>
      </c>
      <c r="K4041">
        <v>1344.27</v>
      </c>
      <c r="L4041">
        <v>103508.89</v>
      </c>
      <c r="M4041">
        <v>66420.570000000007</v>
      </c>
      <c r="N4041">
        <v>8661.16</v>
      </c>
      <c r="O4041">
        <v>7381.61</v>
      </c>
      <c r="P4041">
        <v>2651.05</v>
      </c>
      <c r="Q4041">
        <v>549.91</v>
      </c>
      <c r="R4041">
        <v>4545.51</v>
      </c>
      <c r="S4041">
        <v>2228.98</v>
      </c>
      <c r="T4041">
        <v>92438.79</v>
      </c>
      <c r="U4041">
        <v>37088.31</v>
      </c>
      <c r="V4041">
        <v>11070.1</v>
      </c>
      <c r="W4041">
        <v>10124.83</v>
      </c>
      <c r="X4041">
        <v>112410.41</v>
      </c>
      <c r="Y4041">
        <v>94000.27</v>
      </c>
    </row>
    <row r="4042" spans="1:25" x14ac:dyDescent="0.25">
      <c r="A4042" t="s">
        <v>4098</v>
      </c>
      <c r="B4042" s="1">
        <v>46038</v>
      </c>
      <c r="C4042">
        <v>2026</v>
      </c>
      <c r="D4042">
        <v>1</v>
      </c>
      <c r="E4042" t="s">
        <v>26</v>
      </c>
      <c r="F4042" t="s">
        <v>27</v>
      </c>
      <c r="G4042" t="s">
        <v>28</v>
      </c>
      <c r="H4042" t="s">
        <v>53</v>
      </c>
      <c r="I4042" t="s">
        <v>33</v>
      </c>
      <c r="J4042">
        <v>46</v>
      </c>
      <c r="K4042">
        <v>1650.41</v>
      </c>
      <c r="L4042">
        <v>75918.710000000006</v>
      </c>
      <c r="M4042">
        <v>48396.33</v>
      </c>
      <c r="N4042">
        <v>7715.32</v>
      </c>
      <c r="O4042">
        <v>3209.6</v>
      </c>
      <c r="P4042">
        <v>1438.78</v>
      </c>
      <c r="Q4042">
        <v>565.53</v>
      </c>
      <c r="R4042">
        <v>3433.85</v>
      </c>
      <c r="S4042">
        <v>1715.79</v>
      </c>
      <c r="T4042">
        <v>66475.210000000006</v>
      </c>
      <c r="U4042">
        <v>27522.38</v>
      </c>
      <c r="V4042">
        <v>9443.5</v>
      </c>
      <c r="W4042">
        <v>8942.18</v>
      </c>
      <c r="X4042">
        <v>83278.23</v>
      </c>
      <c r="Y4042">
        <v>71070.05</v>
      </c>
    </row>
    <row r="4043" spans="1:25" x14ac:dyDescent="0.25">
      <c r="A4043" t="s">
        <v>4099</v>
      </c>
      <c r="B4043" s="1">
        <v>46039</v>
      </c>
      <c r="C4043">
        <v>2026</v>
      </c>
      <c r="D4043">
        <v>1</v>
      </c>
      <c r="E4043" t="s">
        <v>26</v>
      </c>
      <c r="F4043" t="s">
        <v>27</v>
      </c>
      <c r="G4043" t="s">
        <v>55</v>
      </c>
      <c r="H4043" t="s">
        <v>58</v>
      </c>
      <c r="I4043" t="s">
        <v>65</v>
      </c>
      <c r="J4043">
        <v>52</v>
      </c>
      <c r="K4043">
        <v>1040.99</v>
      </c>
      <c r="L4043">
        <v>54131.66</v>
      </c>
      <c r="M4043">
        <v>34977.49</v>
      </c>
      <c r="N4043">
        <v>6853.62</v>
      </c>
      <c r="O4043">
        <v>3528.64</v>
      </c>
      <c r="P4043">
        <v>1633.55</v>
      </c>
      <c r="Q4043">
        <v>579.85</v>
      </c>
      <c r="R4043">
        <v>2901.2</v>
      </c>
      <c r="S4043">
        <v>1121.82</v>
      </c>
      <c r="T4043">
        <v>51596.160000000003</v>
      </c>
      <c r="U4043">
        <v>19154.169999999998</v>
      </c>
      <c r="V4043">
        <v>2535.5</v>
      </c>
      <c r="W4043">
        <v>2279.21</v>
      </c>
      <c r="X4043">
        <v>50342.75</v>
      </c>
      <c r="Y4043">
        <v>54537.85</v>
      </c>
    </row>
    <row r="4044" spans="1:25" x14ac:dyDescent="0.25">
      <c r="A4044" t="s">
        <v>4100</v>
      </c>
      <c r="B4044" s="1">
        <v>46039</v>
      </c>
      <c r="C4044">
        <v>2026</v>
      </c>
      <c r="D4044">
        <v>1</v>
      </c>
      <c r="E4044" t="s">
        <v>26</v>
      </c>
      <c r="F4044" t="s">
        <v>27</v>
      </c>
      <c r="G4044" t="s">
        <v>55</v>
      </c>
      <c r="H4044" t="s">
        <v>36</v>
      </c>
      <c r="I4044" t="s">
        <v>50</v>
      </c>
      <c r="J4044">
        <v>33</v>
      </c>
      <c r="K4044">
        <v>1379.81</v>
      </c>
      <c r="L4044">
        <v>45533.57</v>
      </c>
      <c r="M4044">
        <v>23765.599999999999</v>
      </c>
      <c r="N4044">
        <v>3434.76</v>
      </c>
      <c r="O4044">
        <v>1204.43</v>
      </c>
      <c r="P4044">
        <v>1882.4</v>
      </c>
      <c r="Q4044">
        <v>342.12</v>
      </c>
      <c r="R4044">
        <v>2334.08</v>
      </c>
      <c r="S4044">
        <v>901.44</v>
      </c>
      <c r="T4044">
        <v>33864.82</v>
      </c>
      <c r="U4044">
        <v>21767.97</v>
      </c>
      <c r="V4044">
        <v>11668.74</v>
      </c>
      <c r="W4044">
        <v>10512.15</v>
      </c>
      <c r="X4044">
        <v>50473.19</v>
      </c>
      <c r="Y4044">
        <v>36444.47</v>
      </c>
    </row>
    <row r="4045" spans="1:25" x14ac:dyDescent="0.25">
      <c r="A4045" t="s">
        <v>4101</v>
      </c>
      <c r="B4045" s="1">
        <v>46039</v>
      </c>
      <c r="C4045">
        <v>2026</v>
      </c>
      <c r="D4045">
        <v>1</v>
      </c>
      <c r="E4045" t="s">
        <v>26</v>
      </c>
      <c r="F4045" t="s">
        <v>27</v>
      </c>
      <c r="G4045" t="s">
        <v>55</v>
      </c>
      <c r="H4045" t="s">
        <v>53</v>
      </c>
      <c r="I4045" t="s">
        <v>33</v>
      </c>
      <c r="J4045">
        <v>49</v>
      </c>
      <c r="K4045">
        <v>1752.89</v>
      </c>
      <c r="L4045">
        <v>85891.76</v>
      </c>
      <c r="M4045">
        <v>54777.98</v>
      </c>
      <c r="N4045">
        <v>6188.14</v>
      </c>
      <c r="O4045">
        <v>2177.25</v>
      </c>
      <c r="P4045">
        <v>1970.4</v>
      </c>
      <c r="Q4045">
        <v>1535.4</v>
      </c>
      <c r="R4045">
        <v>4355.13</v>
      </c>
      <c r="S4045">
        <v>800.38</v>
      </c>
      <c r="T4045">
        <v>71804.679999999993</v>
      </c>
      <c r="U4045">
        <v>31113.78</v>
      </c>
      <c r="V4045">
        <v>14087.08</v>
      </c>
      <c r="W4045">
        <v>14365.71</v>
      </c>
      <c r="X4045">
        <v>85748.05</v>
      </c>
      <c r="Y4045">
        <v>69278.95</v>
      </c>
    </row>
    <row r="4046" spans="1:25" x14ac:dyDescent="0.25">
      <c r="A4046" t="s">
        <v>4102</v>
      </c>
      <c r="B4046" s="1">
        <v>46039</v>
      </c>
      <c r="C4046">
        <v>2026</v>
      </c>
      <c r="D4046">
        <v>1</v>
      </c>
      <c r="E4046" t="s">
        <v>26</v>
      </c>
      <c r="F4046" t="s">
        <v>27</v>
      </c>
      <c r="G4046" t="s">
        <v>55</v>
      </c>
      <c r="H4046" t="s">
        <v>32</v>
      </c>
      <c r="I4046" t="s">
        <v>65</v>
      </c>
      <c r="J4046">
        <v>81</v>
      </c>
      <c r="K4046">
        <v>907.82</v>
      </c>
      <c r="L4046">
        <v>73533.149999999994</v>
      </c>
      <c r="M4046">
        <v>35872.26</v>
      </c>
      <c r="N4046">
        <v>9538.49</v>
      </c>
      <c r="O4046">
        <v>3341.33</v>
      </c>
      <c r="P4046">
        <v>3145.57</v>
      </c>
      <c r="Q4046">
        <v>551.30999999999995</v>
      </c>
      <c r="R4046">
        <v>3172.08</v>
      </c>
      <c r="S4046">
        <v>1003.67</v>
      </c>
      <c r="T4046">
        <v>56624.7</v>
      </c>
      <c r="U4046">
        <v>37660.9</v>
      </c>
      <c r="V4046">
        <v>16908.45</v>
      </c>
      <c r="W4046">
        <v>16297.42</v>
      </c>
      <c r="X4046">
        <v>72386.59</v>
      </c>
      <c r="Y4046">
        <v>57975.49</v>
      </c>
    </row>
    <row r="4047" spans="1:25" x14ac:dyDescent="0.25">
      <c r="A4047" t="s">
        <v>4103</v>
      </c>
      <c r="B4047" s="1">
        <v>46039</v>
      </c>
      <c r="C4047">
        <v>2026</v>
      </c>
      <c r="D4047">
        <v>1</v>
      </c>
      <c r="E4047" t="s">
        <v>26</v>
      </c>
      <c r="F4047" t="s">
        <v>27</v>
      </c>
      <c r="G4047" t="s">
        <v>55</v>
      </c>
      <c r="H4047" t="s">
        <v>32</v>
      </c>
      <c r="I4047" t="s">
        <v>39</v>
      </c>
      <c r="J4047">
        <v>54</v>
      </c>
      <c r="K4047">
        <v>996.18</v>
      </c>
      <c r="L4047">
        <v>53793.7</v>
      </c>
      <c r="M4047">
        <v>31952.35</v>
      </c>
      <c r="N4047">
        <v>6919.28</v>
      </c>
      <c r="O4047">
        <v>3724.67</v>
      </c>
      <c r="P4047">
        <v>1414.15</v>
      </c>
      <c r="Q4047">
        <v>645.38</v>
      </c>
      <c r="R4047">
        <v>1791.76</v>
      </c>
      <c r="S4047">
        <v>734.14</v>
      </c>
      <c r="T4047">
        <v>47181.73</v>
      </c>
      <c r="U4047">
        <v>21841.35</v>
      </c>
      <c r="V4047">
        <v>6611.97</v>
      </c>
      <c r="W4047">
        <v>6022.14</v>
      </c>
      <c r="X4047">
        <v>50619.199999999997</v>
      </c>
      <c r="Y4047">
        <v>48278.33</v>
      </c>
    </row>
    <row r="4048" spans="1:25" x14ac:dyDescent="0.25">
      <c r="A4048" t="s">
        <v>4104</v>
      </c>
      <c r="B4048" s="1">
        <v>46040</v>
      </c>
      <c r="C4048">
        <v>2026</v>
      </c>
      <c r="D4048">
        <v>1</v>
      </c>
      <c r="E4048" t="s">
        <v>26</v>
      </c>
      <c r="F4048" t="s">
        <v>27</v>
      </c>
      <c r="G4048" t="s">
        <v>55</v>
      </c>
      <c r="H4048" t="s">
        <v>36</v>
      </c>
      <c r="I4048" t="s">
        <v>39</v>
      </c>
      <c r="J4048">
        <v>64</v>
      </c>
      <c r="K4048">
        <v>810.82</v>
      </c>
      <c r="L4048">
        <v>51892.58</v>
      </c>
      <c r="M4048">
        <v>29840.06</v>
      </c>
      <c r="N4048">
        <v>5504.8</v>
      </c>
      <c r="O4048">
        <v>1598.43</v>
      </c>
      <c r="P4048">
        <v>2188.5300000000002</v>
      </c>
      <c r="Q4048">
        <v>478.43</v>
      </c>
      <c r="R4048">
        <v>1882.73</v>
      </c>
      <c r="S4048">
        <v>1248.8399999999999</v>
      </c>
      <c r="T4048">
        <v>42741.82</v>
      </c>
      <c r="U4048">
        <v>22052.52</v>
      </c>
      <c r="V4048">
        <v>9150.75</v>
      </c>
      <c r="W4048">
        <v>8306.06</v>
      </c>
      <c r="X4048">
        <v>53254.49</v>
      </c>
      <c r="Y4048">
        <v>41877.33</v>
      </c>
    </row>
    <row r="4049" spans="1:25" x14ac:dyDescent="0.25">
      <c r="A4049" t="s">
        <v>4105</v>
      </c>
      <c r="B4049" s="1">
        <v>46040</v>
      </c>
      <c r="C4049">
        <v>2026</v>
      </c>
      <c r="D4049">
        <v>1</v>
      </c>
      <c r="E4049" t="s">
        <v>26</v>
      </c>
      <c r="F4049" t="s">
        <v>27</v>
      </c>
      <c r="G4049" t="s">
        <v>28</v>
      </c>
      <c r="H4049" t="s">
        <v>53</v>
      </c>
      <c r="I4049" t="s">
        <v>56</v>
      </c>
      <c r="J4049">
        <v>16</v>
      </c>
      <c r="K4049">
        <v>1686.19</v>
      </c>
      <c r="L4049">
        <v>26979.119999999999</v>
      </c>
      <c r="M4049">
        <v>13396.8</v>
      </c>
      <c r="N4049">
        <v>2590.9499999999998</v>
      </c>
      <c r="O4049">
        <v>1718.5</v>
      </c>
      <c r="P4049">
        <v>851.12</v>
      </c>
      <c r="Q4049">
        <v>221.6</v>
      </c>
      <c r="R4049">
        <v>1132.54</v>
      </c>
      <c r="S4049">
        <v>648.48</v>
      </c>
      <c r="T4049">
        <v>20559.990000000002</v>
      </c>
      <c r="U4049">
        <v>13582.32</v>
      </c>
      <c r="V4049">
        <v>6419.13</v>
      </c>
      <c r="W4049">
        <v>6489.5</v>
      </c>
      <c r="X4049">
        <v>28698.98</v>
      </c>
      <c r="Y4049">
        <v>19203.099999999999</v>
      </c>
    </row>
    <row r="4050" spans="1:25" x14ac:dyDescent="0.25">
      <c r="A4050" t="s">
        <v>4106</v>
      </c>
      <c r="B4050" s="1">
        <v>46041</v>
      </c>
      <c r="C4050">
        <v>2026</v>
      </c>
      <c r="D4050">
        <v>1</v>
      </c>
      <c r="E4050" t="s">
        <v>26</v>
      </c>
      <c r="F4050" t="s">
        <v>27</v>
      </c>
      <c r="G4050" t="s">
        <v>44</v>
      </c>
      <c r="H4050" t="s">
        <v>53</v>
      </c>
      <c r="I4050" t="s">
        <v>56</v>
      </c>
      <c r="J4050">
        <v>19</v>
      </c>
      <c r="K4050">
        <v>1459.34</v>
      </c>
      <c r="L4050">
        <v>27727.5</v>
      </c>
      <c r="M4050">
        <v>16329.48</v>
      </c>
      <c r="N4050">
        <v>3171.64</v>
      </c>
      <c r="O4050">
        <v>712.83</v>
      </c>
      <c r="P4050">
        <v>521.6</v>
      </c>
      <c r="Q4050">
        <v>224.96</v>
      </c>
      <c r="R4050">
        <v>1631.75</v>
      </c>
      <c r="S4050">
        <v>545.62</v>
      </c>
      <c r="T4050">
        <v>23137.87</v>
      </c>
      <c r="U4050">
        <v>11398.03</v>
      </c>
      <c r="V4050">
        <v>4589.63</v>
      </c>
      <c r="W4050">
        <v>4447.53</v>
      </c>
      <c r="X4050">
        <v>30610</v>
      </c>
      <c r="Y4050">
        <v>22295.33</v>
      </c>
    </row>
    <row r="4051" spans="1:25" x14ac:dyDescent="0.25">
      <c r="A4051" t="s">
        <v>4107</v>
      </c>
      <c r="B4051" s="1">
        <v>46041</v>
      </c>
      <c r="C4051">
        <v>2026</v>
      </c>
      <c r="D4051">
        <v>1</v>
      </c>
      <c r="E4051" t="s">
        <v>26</v>
      </c>
      <c r="F4051" t="s">
        <v>27</v>
      </c>
      <c r="G4051" t="s">
        <v>55</v>
      </c>
      <c r="H4051" t="s">
        <v>32</v>
      </c>
      <c r="I4051" t="s">
        <v>45</v>
      </c>
      <c r="J4051">
        <v>90</v>
      </c>
      <c r="K4051">
        <v>834.71</v>
      </c>
      <c r="L4051">
        <v>75123.740000000005</v>
      </c>
      <c r="M4051">
        <v>44211.63</v>
      </c>
      <c r="N4051">
        <v>6424.5</v>
      </c>
      <c r="O4051">
        <v>5152.18</v>
      </c>
      <c r="P4051">
        <v>3039.55</v>
      </c>
      <c r="Q4051">
        <v>681.83</v>
      </c>
      <c r="R4051">
        <v>4861.3999999999996</v>
      </c>
      <c r="S4051">
        <v>1353.57</v>
      </c>
      <c r="T4051">
        <v>65724.649999999994</v>
      </c>
      <c r="U4051">
        <v>30912.1</v>
      </c>
      <c r="V4051">
        <v>9399.08</v>
      </c>
      <c r="W4051">
        <v>8604.49</v>
      </c>
      <c r="X4051">
        <v>71862.98</v>
      </c>
      <c r="Y4051">
        <v>71932.539999999994</v>
      </c>
    </row>
    <row r="4052" spans="1:25" x14ac:dyDescent="0.25">
      <c r="A4052" t="s">
        <v>4108</v>
      </c>
      <c r="B4052" s="1">
        <v>46041</v>
      </c>
      <c r="C4052">
        <v>2026</v>
      </c>
      <c r="D4052">
        <v>1</v>
      </c>
      <c r="E4052" t="s">
        <v>26</v>
      </c>
      <c r="F4052" t="s">
        <v>27</v>
      </c>
      <c r="G4052" t="s">
        <v>35</v>
      </c>
      <c r="H4052" t="s">
        <v>29</v>
      </c>
      <c r="I4052" t="s">
        <v>65</v>
      </c>
      <c r="J4052">
        <v>34</v>
      </c>
      <c r="K4052">
        <v>1476.38</v>
      </c>
      <c r="L4052">
        <v>50196.88</v>
      </c>
      <c r="M4052">
        <v>28405.06</v>
      </c>
      <c r="N4052">
        <v>3861.72</v>
      </c>
      <c r="O4052">
        <v>3194.93</v>
      </c>
      <c r="P4052">
        <v>986.22</v>
      </c>
      <c r="Q4052">
        <v>609.92999999999995</v>
      </c>
      <c r="R4052">
        <v>2901.68</v>
      </c>
      <c r="S4052">
        <v>547.80999999999995</v>
      </c>
      <c r="T4052">
        <v>40507.339999999997</v>
      </c>
      <c r="U4052">
        <v>21791.82</v>
      </c>
      <c r="V4052">
        <v>9689.5400000000009</v>
      </c>
      <c r="W4052">
        <v>9129.19</v>
      </c>
      <c r="X4052">
        <v>48538.75</v>
      </c>
      <c r="Y4052">
        <v>40517.78</v>
      </c>
    </row>
    <row r="4053" spans="1:25" x14ac:dyDescent="0.25">
      <c r="A4053" t="s">
        <v>4109</v>
      </c>
      <c r="B4053" s="1">
        <v>46042</v>
      </c>
      <c r="C4053">
        <v>2026</v>
      </c>
      <c r="D4053">
        <v>1</v>
      </c>
      <c r="E4053" t="s">
        <v>26</v>
      </c>
      <c r="F4053" t="s">
        <v>27</v>
      </c>
      <c r="G4053" t="s">
        <v>28</v>
      </c>
      <c r="H4053" t="s">
        <v>53</v>
      </c>
      <c r="I4053" t="s">
        <v>37</v>
      </c>
      <c r="J4053">
        <v>68</v>
      </c>
      <c r="K4053">
        <v>852.06</v>
      </c>
      <c r="L4053">
        <v>57939.74</v>
      </c>
      <c r="M4053">
        <v>28427.87</v>
      </c>
      <c r="N4053">
        <v>4771.76</v>
      </c>
      <c r="O4053">
        <v>4024.08</v>
      </c>
      <c r="P4053">
        <v>2384.8200000000002</v>
      </c>
      <c r="Q4053">
        <v>539.47</v>
      </c>
      <c r="R4053">
        <v>1832.07</v>
      </c>
      <c r="S4053">
        <v>579.44000000000005</v>
      </c>
      <c r="T4053">
        <v>42559.5</v>
      </c>
      <c r="U4053">
        <v>29511.87</v>
      </c>
      <c r="V4053">
        <v>15380.24</v>
      </c>
      <c r="W4053">
        <v>13793.92</v>
      </c>
      <c r="X4053">
        <v>53682.59</v>
      </c>
      <c r="Y4053">
        <v>42912.65</v>
      </c>
    </row>
    <row r="4054" spans="1:25" x14ac:dyDescent="0.25">
      <c r="A4054" t="s">
        <v>4110</v>
      </c>
      <c r="B4054" s="1">
        <v>46042</v>
      </c>
      <c r="C4054">
        <v>2026</v>
      </c>
      <c r="D4054">
        <v>1</v>
      </c>
      <c r="E4054" t="s">
        <v>26</v>
      </c>
      <c r="F4054" t="s">
        <v>27</v>
      </c>
      <c r="G4054" t="s">
        <v>44</v>
      </c>
      <c r="H4054" t="s">
        <v>36</v>
      </c>
      <c r="I4054" t="s">
        <v>45</v>
      </c>
      <c r="J4054">
        <v>18</v>
      </c>
      <c r="K4054">
        <v>1741.4</v>
      </c>
      <c r="L4054">
        <v>31345.279999999999</v>
      </c>
      <c r="M4054">
        <v>17354.28</v>
      </c>
      <c r="N4054">
        <v>2521.35</v>
      </c>
      <c r="O4054">
        <v>919.58</v>
      </c>
      <c r="P4054">
        <v>706.63</v>
      </c>
      <c r="Q4054">
        <v>487.49</v>
      </c>
      <c r="R4054">
        <v>1422.21</v>
      </c>
      <c r="S4054">
        <v>508.67</v>
      </c>
      <c r="T4054">
        <v>23920.22</v>
      </c>
      <c r="U4054">
        <v>13991.01</v>
      </c>
      <c r="V4054">
        <v>7425.06</v>
      </c>
      <c r="W4054">
        <v>6939.69</v>
      </c>
      <c r="X4054">
        <v>29957.279999999999</v>
      </c>
      <c r="Y4054">
        <v>23317.73</v>
      </c>
    </row>
    <row r="4055" spans="1:25" x14ac:dyDescent="0.25">
      <c r="A4055" t="s">
        <v>4111</v>
      </c>
      <c r="B4055" s="1">
        <v>46043</v>
      </c>
      <c r="C4055">
        <v>2026</v>
      </c>
      <c r="D4055">
        <v>1</v>
      </c>
      <c r="E4055" t="s">
        <v>26</v>
      </c>
      <c r="F4055" t="s">
        <v>27</v>
      </c>
      <c r="G4055" t="s">
        <v>55</v>
      </c>
      <c r="H4055" t="s">
        <v>32</v>
      </c>
      <c r="I4055" t="s">
        <v>65</v>
      </c>
      <c r="J4055">
        <v>102</v>
      </c>
      <c r="K4055">
        <v>922.93</v>
      </c>
      <c r="L4055">
        <v>94139.28</v>
      </c>
      <c r="M4055">
        <v>54273.11</v>
      </c>
      <c r="N4055">
        <v>7103.89</v>
      </c>
      <c r="O4055">
        <v>4603.42</v>
      </c>
      <c r="P4055">
        <v>3525.54</v>
      </c>
      <c r="Q4055">
        <v>1630.67</v>
      </c>
      <c r="R4055">
        <v>5971.27</v>
      </c>
      <c r="S4055">
        <v>1543.9</v>
      </c>
      <c r="T4055">
        <v>78651.81</v>
      </c>
      <c r="U4055">
        <v>39866.17</v>
      </c>
      <c r="V4055">
        <v>15487.48</v>
      </c>
      <c r="W4055">
        <v>14956.94</v>
      </c>
      <c r="X4055">
        <v>98839.33</v>
      </c>
      <c r="Y4055">
        <v>81840.13</v>
      </c>
    </row>
    <row r="4056" spans="1:25" x14ac:dyDescent="0.25">
      <c r="A4056" t="s">
        <v>4112</v>
      </c>
      <c r="B4056" s="1">
        <v>46043</v>
      </c>
      <c r="C4056">
        <v>2026</v>
      </c>
      <c r="D4056">
        <v>1</v>
      </c>
      <c r="E4056" t="s">
        <v>26</v>
      </c>
      <c r="F4056" t="s">
        <v>27</v>
      </c>
      <c r="G4056" t="s">
        <v>44</v>
      </c>
      <c r="H4056" t="s">
        <v>53</v>
      </c>
      <c r="I4056" t="s">
        <v>50</v>
      </c>
      <c r="J4056">
        <v>33</v>
      </c>
      <c r="K4056">
        <v>1078.29</v>
      </c>
      <c r="L4056">
        <v>35583.550000000003</v>
      </c>
      <c r="M4056">
        <v>23668.32</v>
      </c>
      <c r="N4056">
        <v>3329.61</v>
      </c>
      <c r="O4056">
        <v>2550.31</v>
      </c>
      <c r="P4056">
        <v>1144.99</v>
      </c>
      <c r="Q4056">
        <v>418.65</v>
      </c>
      <c r="R4056">
        <v>1654.02</v>
      </c>
      <c r="S4056">
        <v>524.71</v>
      </c>
      <c r="T4056">
        <v>33290.61</v>
      </c>
      <c r="U4056">
        <v>11915.23</v>
      </c>
      <c r="V4056">
        <v>2292.94</v>
      </c>
      <c r="W4056">
        <v>2205.9299999999998</v>
      </c>
      <c r="X4056">
        <v>33437.24</v>
      </c>
      <c r="Y4056">
        <v>31233.85</v>
      </c>
    </row>
    <row r="4057" spans="1:25" x14ac:dyDescent="0.25">
      <c r="A4057" t="s">
        <v>4113</v>
      </c>
      <c r="B4057" s="1">
        <v>46043</v>
      </c>
      <c r="C4057">
        <v>2026</v>
      </c>
      <c r="D4057">
        <v>1</v>
      </c>
      <c r="E4057" t="s">
        <v>26</v>
      </c>
      <c r="F4057" t="s">
        <v>27</v>
      </c>
      <c r="G4057" t="s">
        <v>55</v>
      </c>
      <c r="H4057" t="s">
        <v>36</v>
      </c>
      <c r="I4057" t="s">
        <v>50</v>
      </c>
      <c r="J4057">
        <v>49</v>
      </c>
      <c r="K4057">
        <v>1124.8399999999999</v>
      </c>
      <c r="L4057">
        <v>55117.03</v>
      </c>
      <c r="M4057">
        <v>31810.84</v>
      </c>
      <c r="N4057">
        <v>6704.32</v>
      </c>
      <c r="O4057">
        <v>4105.49</v>
      </c>
      <c r="P4057">
        <v>975.16</v>
      </c>
      <c r="Q4057">
        <v>642.76</v>
      </c>
      <c r="R4057">
        <v>2301.4899999999998</v>
      </c>
      <c r="S4057">
        <v>1049.56</v>
      </c>
      <c r="T4057">
        <v>47589.62</v>
      </c>
      <c r="U4057">
        <v>23306.19</v>
      </c>
      <c r="V4057">
        <v>7527.41</v>
      </c>
      <c r="W4057">
        <v>7636.11</v>
      </c>
      <c r="X4057">
        <v>55224.58</v>
      </c>
      <c r="Y4057">
        <v>47550.82</v>
      </c>
    </row>
    <row r="4058" spans="1:25" x14ac:dyDescent="0.25">
      <c r="A4058" t="s">
        <v>4114</v>
      </c>
      <c r="B4058" s="1">
        <v>46044</v>
      </c>
      <c r="C4058">
        <v>2026</v>
      </c>
      <c r="D4058">
        <v>1</v>
      </c>
      <c r="E4058" t="s">
        <v>26</v>
      </c>
      <c r="F4058" t="s">
        <v>27</v>
      </c>
      <c r="G4058" t="s">
        <v>55</v>
      </c>
      <c r="H4058" t="s">
        <v>32</v>
      </c>
      <c r="I4058" t="s">
        <v>30</v>
      </c>
      <c r="J4058">
        <v>106</v>
      </c>
      <c r="K4058">
        <v>1206.71</v>
      </c>
      <c r="L4058">
        <v>127911.76</v>
      </c>
      <c r="M4058">
        <v>76540.350000000006</v>
      </c>
      <c r="N4058">
        <v>13897.56</v>
      </c>
      <c r="O4058">
        <v>6006.17</v>
      </c>
      <c r="P4058">
        <v>3255.31</v>
      </c>
      <c r="Q4058">
        <v>1064.3800000000001</v>
      </c>
      <c r="R4058">
        <v>4875.2299999999996</v>
      </c>
      <c r="S4058">
        <v>2443.19</v>
      </c>
      <c r="T4058">
        <v>108082.19</v>
      </c>
      <c r="U4058">
        <v>51371.41</v>
      </c>
      <c r="V4058">
        <v>19829.560000000001</v>
      </c>
      <c r="W4058">
        <v>18994</v>
      </c>
      <c r="X4058">
        <v>140134.54999999999</v>
      </c>
      <c r="Y4058">
        <v>113573.22</v>
      </c>
    </row>
    <row r="4059" spans="1:25" x14ac:dyDescent="0.25">
      <c r="A4059" t="s">
        <v>4115</v>
      </c>
      <c r="B4059" s="1">
        <v>46044</v>
      </c>
      <c r="C4059">
        <v>2026</v>
      </c>
      <c r="D4059">
        <v>1</v>
      </c>
      <c r="E4059" t="s">
        <v>26</v>
      </c>
      <c r="F4059" t="s">
        <v>27</v>
      </c>
      <c r="G4059" t="s">
        <v>44</v>
      </c>
      <c r="H4059" t="s">
        <v>53</v>
      </c>
      <c r="I4059" t="s">
        <v>45</v>
      </c>
      <c r="J4059">
        <v>29</v>
      </c>
      <c r="K4059">
        <v>1582.26</v>
      </c>
      <c r="L4059">
        <v>45885.57</v>
      </c>
      <c r="M4059">
        <v>26692.63</v>
      </c>
      <c r="N4059">
        <v>4937.9399999999996</v>
      </c>
      <c r="O4059">
        <v>1503.6</v>
      </c>
      <c r="P4059">
        <v>1466.71</v>
      </c>
      <c r="Q4059">
        <v>679.09</v>
      </c>
      <c r="R4059">
        <v>2046.57</v>
      </c>
      <c r="S4059">
        <v>692.98</v>
      </c>
      <c r="T4059">
        <v>38019.519999999997</v>
      </c>
      <c r="U4059">
        <v>19192.95</v>
      </c>
      <c r="V4059">
        <v>7866.05</v>
      </c>
      <c r="W4059">
        <v>7713.22</v>
      </c>
      <c r="X4059">
        <v>50406.03</v>
      </c>
      <c r="Y4059">
        <v>37215.69</v>
      </c>
    </row>
    <row r="4060" spans="1:25" x14ac:dyDescent="0.25">
      <c r="A4060" t="s">
        <v>4116</v>
      </c>
      <c r="B4060" s="1">
        <v>46045</v>
      </c>
      <c r="C4060">
        <v>2026</v>
      </c>
      <c r="D4060">
        <v>1</v>
      </c>
      <c r="E4060" t="s">
        <v>26</v>
      </c>
      <c r="F4060" t="s">
        <v>27</v>
      </c>
      <c r="G4060" t="s">
        <v>28</v>
      </c>
      <c r="H4060" t="s">
        <v>32</v>
      </c>
      <c r="I4060" t="s">
        <v>39</v>
      </c>
      <c r="J4060">
        <v>42</v>
      </c>
      <c r="K4060">
        <v>1446.98</v>
      </c>
      <c r="L4060">
        <v>60773.25</v>
      </c>
      <c r="M4060">
        <v>30370.48</v>
      </c>
      <c r="N4060">
        <v>5774.16</v>
      </c>
      <c r="O4060">
        <v>3165.42</v>
      </c>
      <c r="P4060">
        <v>1403.97</v>
      </c>
      <c r="Q4060">
        <v>388.98</v>
      </c>
      <c r="R4060">
        <v>2411.19</v>
      </c>
      <c r="S4060">
        <v>1234.6600000000001</v>
      </c>
      <c r="T4060">
        <v>44748.88</v>
      </c>
      <c r="U4060">
        <v>30402.77</v>
      </c>
      <c r="V4060">
        <v>16024.37</v>
      </c>
      <c r="W4060">
        <v>14611.91</v>
      </c>
      <c r="X4060">
        <v>57345.79</v>
      </c>
      <c r="Y4060">
        <v>42994.7</v>
      </c>
    </row>
    <row r="4061" spans="1:25" x14ac:dyDescent="0.25">
      <c r="A4061" t="s">
        <v>4117</v>
      </c>
      <c r="B4061" s="1">
        <v>46045</v>
      </c>
      <c r="C4061">
        <v>2026</v>
      </c>
      <c r="D4061">
        <v>1</v>
      </c>
      <c r="E4061" t="s">
        <v>26</v>
      </c>
      <c r="F4061" t="s">
        <v>27</v>
      </c>
      <c r="G4061" t="s">
        <v>28</v>
      </c>
      <c r="H4061" t="s">
        <v>32</v>
      </c>
      <c r="I4061" t="s">
        <v>65</v>
      </c>
      <c r="J4061">
        <v>87</v>
      </c>
      <c r="K4061">
        <v>935.47</v>
      </c>
      <c r="L4061">
        <v>81385.73</v>
      </c>
      <c r="M4061">
        <v>46620.93</v>
      </c>
      <c r="N4061">
        <v>8187.36</v>
      </c>
      <c r="O4061">
        <v>2995.89</v>
      </c>
      <c r="P4061">
        <v>2921.37</v>
      </c>
      <c r="Q4061">
        <v>837.66</v>
      </c>
      <c r="R4061">
        <v>3343.38</v>
      </c>
      <c r="S4061">
        <v>1831.73</v>
      </c>
      <c r="T4061">
        <v>66738.33</v>
      </c>
      <c r="U4061">
        <v>34764.800000000003</v>
      </c>
      <c r="V4061">
        <v>14647.4</v>
      </c>
      <c r="W4061">
        <v>14876.33</v>
      </c>
      <c r="X4061">
        <v>87538.78</v>
      </c>
      <c r="Y4061">
        <v>66133.850000000006</v>
      </c>
    </row>
    <row r="4062" spans="1:25" x14ac:dyDescent="0.25">
      <c r="A4062" t="s">
        <v>4118</v>
      </c>
      <c r="B4062" s="1">
        <v>46046</v>
      </c>
      <c r="C4062">
        <v>2026</v>
      </c>
      <c r="D4062">
        <v>1</v>
      </c>
      <c r="E4062" t="s">
        <v>26</v>
      </c>
      <c r="F4062" t="s">
        <v>27</v>
      </c>
      <c r="G4062" t="s">
        <v>44</v>
      </c>
      <c r="H4062" t="s">
        <v>32</v>
      </c>
      <c r="I4062" t="s">
        <v>33</v>
      </c>
      <c r="J4062">
        <v>67</v>
      </c>
      <c r="K4062">
        <v>1151.6500000000001</v>
      </c>
      <c r="L4062">
        <v>77160.600000000006</v>
      </c>
      <c r="M4062">
        <v>39017.79</v>
      </c>
      <c r="N4062">
        <v>10008.07</v>
      </c>
      <c r="O4062">
        <v>2182.11</v>
      </c>
      <c r="P4062">
        <v>2616.61</v>
      </c>
      <c r="Q4062">
        <v>1333.26</v>
      </c>
      <c r="R4062">
        <v>4614.3999999999996</v>
      </c>
      <c r="S4062">
        <v>1632.96</v>
      </c>
      <c r="T4062">
        <v>61405.19</v>
      </c>
      <c r="U4062">
        <v>38142.81</v>
      </c>
      <c r="V4062">
        <v>15755.4</v>
      </c>
      <c r="W4062">
        <v>15115.39</v>
      </c>
      <c r="X4062">
        <v>76168.820000000007</v>
      </c>
      <c r="Y4062">
        <v>65820.02</v>
      </c>
    </row>
    <row r="4063" spans="1:25" x14ac:dyDescent="0.25">
      <c r="A4063" t="s">
        <v>4119</v>
      </c>
      <c r="B4063" s="1">
        <v>46046</v>
      </c>
      <c r="C4063">
        <v>2026</v>
      </c>
      <c r="D4063">
        <v>1</v>
      </c>
      <c r="E4063" t="s">
        <v>26</v>
      </c>
      <c r="F4063" t="s">
        <v>27</v>
      </c>
      <c r="G4063" t="s">
        <v>35</v>
      </c>
      <c r="H4063" t="s">
        <v>36</v>
      </c>
      <c r="I4063" t="s">
        <v>65</v>
      </c>
      <c r="J4063">
        <v>33</v>
      </c>
      <c r="K4063">
        <v>1186.68</v>
      </c>
      <c r="L4063">
        <v>39160.42</v>
      </c>
      <c r="M4063">
        <v>19383.41</v>
      </c>
      <c r="N4063">
        <v>3840.41</v>
      </c>
      <c r="O4063">
        <v>2919.09</v>
      </c>
      <c r="P4063">
        <v>1114.3499999999999</v>
      </c>
      <c r="Q4063">
        <v>482.42</v>
      </c>
      <c r="R4063">
        <v>1842.65</v>
      </c>
      <c r="S4063">
        <v>391.89</v>
      </c>
      <c r="T4063">
        <v>29974.22</v>
      </c>
      <c r="U4063">
        <v>19777.009999999998</v>
      </c>
      <c r="V4063">
        <v>9186.2000000000007</v>
      </c>
      <c r="W4063">
        <v>8818.8700000000008</v>
      </c>
      <c r="X4063">
        <v>41452.67</v>
      </c>
      <c r="Y4063">
        <v>30087.63</v>
      </c>
    </row>
    <row r="4064" spans="1:25" x14ac:dyDescent="0.25">
      <c r="A4064" t="s">
        <v>4120</v>
      </c>
      <c r="B4064" s="1">
        <v>46046</v>
      </c>
      <c r="C4064">
        <v>2026</v>
      </c>
      <c r="D4064">
        <v>1</v>
      </c>
      <c r="E4064" t="s">
        <v>26</v>
      </c>
      <c r="F4064" t="s">
        <v>27</v>
      </c>
      <c r="G4064" t="s">
        <v>35</v>
      </c>
      <c r="H4064" t="s">
        <v>32</v>
      </c>
      <c r="I4064" t="s">
        <v>37</v>
      </c>
      <c r="J4064">
        <v>72</v>
      </c>
      <c r="K4064">
        <v>1063.01</v>
      </c>
      <c r="L4064">
        <v>76536.77</v>
      </c>
      <c r="M4064">
        <v>40317.17</v>
      </c>
      <c r="N4064">
        <v>7733</v>
      </c>
      <c r="O4064">
        <v>3424.63</v>
      </c>
      <c r="P4064">
        <v>1851.6</v>
      </c>
      <c r="Q4064">
        <v>1326.55</v>
      </c>
      <c r="R4064">
        <v>4046.58</v>
      </c>
      <c r="S4064">
        <v>1655.68</v>
      </c>
      <c r="T4064">
        <v>60355.22</v>
      </c>
      <c r="U4064">
        <v>36219.599999999999</v>
      </c>
      <c r="V4064">
        <v>16181.55</v>
      </c>
      <c r="W4064">
        <v>14529.78</v>
      </c>
      <c r="X4064">
        <v>78363.820000000007</v>
      </c>
      <c r="Y4064">
        <v>64343.7</v>
      </c>
    </row>
    <row r="4065" spans="1:25" x14ac:dyDescent="0.25">
      <c r="A4065" t="s">
        <v>4121</v>
      </c>
      <c r="B4065" s="1">
        <v>46047</v>
      </c>
      <c r="C4065">
        <v>2026</v>
      </c>
      <c r="D4065">
        <v>1</v>
      </c>
      <c r="E4065" t="s">
        <v>26</v>
      </c>
      <c r="F4065" t="s">
        <v>27</v>
      </c>
      <c r="G4065" t="s">
        <v>55</v>
      </c>
      <c r="H4065" t="s">
        <v>36</v>
      </c>
      <c r="I4065" t="s">
        <v>65</v>
      </c>
      <c r="J4065">
        <v>83</v>
      </c>
      <c r="K4065">
        <v>973.56</v>
      </c>
      <c r="L4065">
        <v>80805.84</v>
      </c>
      <c r="M4065">
        <v>52815.92</v>
      </c>
      <c r="N4065">
        <v>9565.66</v>
      </c>
      <c r="O4065">
        <v>2377.4699999999998</v>
      </c>
      <c r="P4065">
        <v>2830.38</v>
      </c>
      <c r="Q4065">
        <v>1030.67</v>
      </c>
      <c r="R4065">
        <v>4673.75</v>
      </c>
      <c r="S4065">
        <v>1471.97</v>
      </c>
      <c r="T4065">
        <v>74765.81</v>
      </c>
      <c r="U4065">
        <v>27989.919999999998</v>
      </c>
      <c r="V4065">
        <v>6040.03</v>
      </c>
      <c r="W4065">
        <v>5605.08</v>
      </c>
      <c r="X4065">
        <v>81201.539999999994</v>
      </c>
      <c r="Y4065">
        <v>79718.3</v>
      </c>
    </row>
    <row r="4066" spans="1:25" x14ac:dyDescent="0.25">
      <c r="A4066" t="s">
        <v>4122</v>
      </c>
      <c r="B4066" s="1">
        <v>46047</v>
      </c>
      <c r="C4066">
        <v>2026</v>
      </c>
      <c r="D4066">
        <v>1</v>
      </c>
      <c r="E4066" t="s">
        <v>26</v>
      </c>
      <c r="F4066" t="s">
        <v>27</v>
      </c>
      <c r="G4066" t="s">
        <v>44</v>
      </c>
      <c r="H4066" t="s">
        <v>58</v>
      </c>
      <c r="I4066" t="s">
        <v>30</v>
      </c>
      <c r="J4066">
        <v>70</v>
      </c>
      <c r="K4066">
        <v>866.1</v>
      </c>
      <c r="L4066">
        <v>60626.720000000001</v>
      </c>
      <c r="M4066">
        <v>29464.86</v>
      </c>
      <c r="N4066">
        <v>4787.1000000000004</v>
      </c>
      <c r="O4066">
        <v>3156.52</v>
      </c>
      <c r="P4066">
        <v>1616.83</v>
      </c>
      <c r="Q4066">
        <v>911.08</v>
      </c>
      <c r="R4066">
        <v>3125.63</v>
      </c>
      <c r="S4066">
        <v>813.3</v>
      </c>
      <c r="T4066">
        <v>43875.32</v>
      </c>
      <c r="U4066">
        <v>31161.86</v>
      </c>
      <c r="V4066">
        <v>16751.400000000001</v>
      </c>
      <c r="W4066">
        <v>16214.22</v>
      </c>
      <c r="X4066">
        <v>65274.46</v>
      </c>
      <c r="Y4066">
        <v>45993.3</v>
      </c>
    </row>
    <row r="4067" spans="1:25" x14ac:dyDescent="0.25">
      <c r="A4067" t="s">
        <v>4123</v>
      </c>
      <c r="B4067" s="1">
        <v>46047</v>
      </c>
      <c r="C4067">
        <v>2026</v>
      </c>
      <c r="D4067">
        <v>1</v>
      </c>
      <c r="E4067" t="s">
        <v>26</v>
      </c>
      <c r="F4067" t="s">
        <v>27</v>
      </c>
      <c r="G4067" t="s">
        <v>28</v>
      </c>
      <c r="H4067" t="s">
        <v>32</v>
      </c>
      <c r="I4067" t="s">
        <v>37</v>
      </c>
      <c r="J4067">
        <v>90</v>
      </c>
      <c r="K4067">
        <v>922.76</v>
      </c>
      <c r="L4067">
        <v>83048.160000000003</v>
      </c>
      <c r="M4067">
        <v>40292.65</v>
      </c>
      <c r="N4067">
        <v>8201.9</v>
      </c>
      <c r="O4067">
        <v>4268.82</v>
      </c>
      <c r="P4067">
        <v>1468.48</v>
      </c>
      <c r="Q4067">
        <v>941.59</v>
      </c>
      <c r="R4067">
        <v>5376.54</v>
      </c>
      <c r="S4067">
        <v>1680.55</v>
      </c>
      <c r="T4067">
        <v>62230.53</v>
      </c>
      <c r="U4067">
        <v>42755.51</v>
      </c>
      <c r="V4067">
        <v>20817.63</v>
      </c>
      <c r="W4067">
        <v>18876.900000000001</v>
      </c>
      <c r="X4067">
        <v>77347.399999999994</v>
      </c>
      <c r="Y4067">
        <v>63646.78</v>
      </c>
    </row>
    <row r="4068" spans="1:25" x14ac:dyDescent="0.25">
      <c r="A4068" t="s">
        <v>4124</v>
      </c>
      <c r="B4068" s="1">
        <v>46047</v>
      </c>
      <c r="C4068">
        <v>2026</v>
      </c>
      <c r="D4068">
        <v>1</v>
      </c>
      <c r="E4068" t="s">
        <v>26</v>
      </c>
      <c r="F4068" t="s">
        <v>27</v>
      </c>
      <c r="G4068" t="s">
        <v>44</v>
      </c>
      <c r="H4068" t="s">
        <v>58</v>
      </c>
      <c r="I4068" t="s">
        <v>50</v>
      </c>
      <c r="J4068">
        <v>38</v>
      </c>
      <c r="K4068">
        <v>1330.75</v>
      </c>
      <c r="L4068">
        <v>50568.47</v>
      </c>
      <c r="M4068">
        <v>33558.339999999997</v>
      </c>
      <c r="N4068">
        <v>5637.55</v>
      </c>
      <c r="O4068">
        <v>3208.74</v>
      </c>
      <c r="P4068">
        <v>1480.76</v>
      </c>
      <c r="Q4068">
        <v>831.04</v>
      </c>
      <c r="R4068">
        <v>1577.84</v>
      </c>
      <c r="S4068">
        <v>1074.24</v>
      </c>
      <c r="T4068">
        <v>47368.51</v>
      </c>
      <c r="U4068">
        <v>17010.13</v>
      </c>
      <c r="V4068">
        <v>3199.96</v>
      </c>
      <c r="W4068">
        <v>2924.21</v>
      </c>
      <c r="X4068">
        <v>52698.76</v>
      </c>
      <c r="Y4068">
        <v>49060.11</v>
      </c>
    </row>
    <row r="4069" spans="1:25" x14ac:dyDescent="0.25">
      <c r="A4069" t="s">
        <v>4125</v>
      </c>
      <c r="B4069" s="1">
        <v>46048</v>
      </c>
      <c r="C4069">
        <v>2026</v>
      </c>
      <c r="D4069">
        <v>1</v>
      </c>
      <c r="E4069" t="s">
        <v>26</v>
      </c>
      <c r="F4069" t="s">
        <v>27</v>
      </c>
      <c r="G4069" t="s">
        <v>55</v>
      </c>
      <c r="H4069" t="s">
        <v>58</v>
      </c>
      <c r="I4069" t="s">
        <v>56</v>
      </c>
      <c r="J4069">
        <v>31</v>
      </c>
      <c r="K4069">
        <v>1462.07</v>
      </c>
      <c r="L4069">
        <v>45324.24</v>
      </c>
      <c r="M4069">
        <v>25353.119999999999</v>
      </c>
      <c r="N4069">
        <v>5716.92</v>
      </c>
      <c r="O4069">
        <v>2613.98</v>
      </c>
      <c r="P4069">
        <v>828.32</v>
      </c>
      <c r="Q4069">
        <v>715.22</v>
      </c>
      <c r="R4069">
        <v>2788.59</v>
      </c>
      <c r="S4069">
        <v>796.63</v>
      </c>
      <c r="T4069">
        <v>38812.79</v>
      </c>
      <c r="U4069">
        <v>19971.12</v>
      </c>
      <c r="V4069">
        <v>6511.45</v>
      </c>
      <c r="W4069">
        <v>6135.87</v>
      </c>
      <c r="X4069">
        <v>47395.33</v>
      </c>
      <c r="Y4069">
        <v>41657.019999999997</v>
      </c>
    </row>
    <row r="4070" spans="1:25" x14ac:dyDescent="0.25">
      <c r="A4070" t="s">
        <v>4126</v>
      </c>
      <c r="B4070" s="1">
        <v>46048</v>
      </c>
      <c r="C4070">
        <v>2026</v>
      </c>
      <c r="D4070">
        <v>1</v>
      </c>
      <c r="E4070" t="s">
        <v>26</v>
      </c>
      <c r="F4070" t="s">
        <v>27</v>
      </c>
      <c r="G4070" t="s">
        <v>44</v>
      </c>
      <c r="H4070" t="s">
        <v>32</v>
      </c>
      <c r="I4070" t="s">
        <v>56</v>
      </c>
      <c r="J4070">
        <v>45</v>
      </c>
      <c r="K4070">
        <v>933.51</v>
      </c>
      <c r="L4070">
        <v>42007.92</v>
      </c>
      <c r="M4070">
        <v>28306.34</v>
      </c>
      <c r="N4070">
        <v>4563.5</v>
      </c>
      <c r="O4070">
        <v>2929.08</v>
      </c>
      <c r="P4070">
        <v>1135.51</v>
      </c>
      <c r="Q4070">
        <v>523.95000000000005</v>
      </c>
      <c r="R4070">
        <v>2473.4</v>
      </c>
      <c r="S4070">
        <v>402.63</v>
      </c>
      <c r="T4070">
        <v>40334.400000000001</v>
      </c>
      <c r="U4070">
        <v>13701.58</v>
      </c>
      <c r="V4070">
        <v>1673.52</v>
      </c>
      <c r="W4070">
        <v>1488.5</v>
      </c>
      <c r="X4070">
        <v>43342.93</v>
      </c>
      <c r="Y4070">
        <v>44131.58</v>
      </c>
    </row>
    <row r="4071" spans="1:25" x14ac:dyDescent="0.25">
      <c r="A4071" t="s">
        <v>4127</v>
      </c>
      <c r="B4071" s="1">
        <v>46048</v>
      </c>
      <c r="C4071">
        <v>2026</v>
      </c>
      <c r="D4071">
        <v>1</v>
      </c>
      <c r="E4071" t="s">
        <v>26</v>
      </c>
      <c r="F4071" t="s">
        <v>27</v>
      </c>
      <c r="G4071" t="s">
        <v>55</v>
      </c>
      <c r="H4071" t="s">
        <v>36</v>
      </c>
      <c r="I4071" t="s">
        <v>56</v>
      </c>
      <c r="J4071">
        <v>36</v>
      </c>
      <c r="K4071">
        <v>835.46</v>
      </c>
      <c r="L4071">
        <v>30076.6</v>
      </c>
      <c r="M4071">
        <v>16211.71</v>
      </c>
      <c r="N4071">
        <v>3323.7</v>
      </c>
      <c r="O4071">
        <v>1937.02</v>
      </c>
      <c r="P4071">
        <v>542.15</v>
      </c>
      <c r="Q4071">
        <v>524.69000000000005</v>
      </c>
      <c r="R4071">
        <v>809.48</v>
      </c>
      <c r="S4071">
        <v>308.31</v>
      </c>
      <c r="T4071">
        <v>23657.05</v>
      </c>
      <c r="U4071">
        <v>13864.89</v>
      </c>
      <c r="V4071">
        <v>6419.54</v>
      </c>
      <c r="W4071">
        <v>6223.14</v>
      </c>
      <c r="X4071">
        <v>31634.63</v>
      </c>
      <c r="Y4071">
        <v>24057.759999999998</v>
      </c>
    </row>
    <row r="4072" spans="1:25" x14ac:dyDescent="0.25">
      <c r="A4072" t="s">
        <v>4128</v>
      </c>
      <c r="B4072" s="1">
        <v>46049</v>
      </c>
      <c r="C4072">
        <v>2026</v>
      </c>
      <c r="D4072">
        <v>1</v>
      </c>
      <c r="E4072" t="s">
        <v>26</v>
      </c>
      <c r="F4072" t="s">
        <v>27</v>
      </c>
      <c r="G4072" t="s">
        <v>35</v>
      </c>
      <c r="H4072" t="s">
        <v>53</v>
      </c>
      <c r="I4072" t="s">
        <v>65</v>
      </c>
      <c r="J4072">
        <v>38</v>
      </c>
      <c r="K4072">
        <v>1106.58</v>
      </c>
      <c r="L4072">
        <v>42050.22</v>
      </c>
      <c r="M4072">
        <v>23449.5</v>
      </c>
      <c r="N4072">
        <v>3507.64</v>
      </c>
      <c r="O4072">
        <v>2761.24</v>
      </c>
      <c r="P4072">
        <v>1422.04</v>
      </c>
      <c r="Q4072">
        <v>406.18</v>
      </c>
      <c r="R4072">
        <v>2336.21</v>
      </c>
      <c r="S4072">
        <v>657.32</v>
      </c>
      <c r="T4072">
        <v>34540.129999999997</v>
      </c>
      <c r="U4072">
        <v>18600.72</v>
      </c>
      <c r="V4072">
        <v>7510.1</v>
      </c>
      <c r="W4072">
        <v>6648.28</v>
      </c>
      <c r="X4072">
        <v>39346.800000000003</v>
      </c>
      <c r="Y4072">
        <v>34584.86</v>
      </c>
    </row>
    <row r="4073" spans="1:25" x14ac:dyDescent="0.25">
      <c r="A4073" t="s">
        <v>4129</v>
      </c>
      <c r="B4073" s="1">
        <v>46049</v>
      </c>
      <c r="C4073">
        <v>2026</v>
      </c>
      <c r="D4073">
        <v>1</v>
      </c>
      <c r="E4073" t="s">
        <v>26</v>
      </c>
      <c r="F4073" t="s">
        <v>27</v>
      </c>
      <c r="G4073" t="s">
        <v>28</v>
      </c>
      <c r="H4073" t="s">
        <v>58</v>
      </c>
      <c r="I4073" t="s">
        <v>45</v>
      </c>
      <c r="J4073">
        <v>32</v>
      </c>
      <c r="K4073">
        <v>1519.9</v>
      </c>
      <c r="L4073">
        <v>48636.73</v>
      </c>
      <c r="M4073">
        <v>30935.23</v>
      </c>
      <c r="N4073">
        <v>5565.82</v>
      </c>
      <c r="O4073">
        <v>3166.89</v>
      </c>
      <c r="P4073">
        <v>1442.88</v>
      </c>
      <c r="Q4073">
        <v>794.51</v>
      </c>
      <c r="R4073">
        <v>2674.44</v>
      </c>
      <c r="S4073">
        <v>531.34</v>
      </c>
      <c r="T4073">
        <v>45111.12</v>
      </c>
      <c r="U4073">
        <v>17701.5</v>
      </c>
      <c r="V4073">
        <v>3525.61</v>
      </c>
      <c r="W4073">
        <v>3410.63</v>
      </c>
      <c r="X4073">
        <v>47447.79</v>
      </c>
      <c r="Y4073">
        <v>47403.24</v>
      </c>
    </row>
    <row r="4074" spans="1:25" x14ac:dyDescent="0.25">
      <c r="A4074" t="s">
        <v>4130</v>
      </c>
      <c r="B4074" s="1">
        <v>46049</v>
      </c>
      <c r="C4074">
        <v>2026</v>
      </c>
      <c r="D4074">
        <v>1</v>
      </c>
      <c r="E4074" t="s">
        <v>26</v>
      </c>
      <c r="F4074" t="s">
        <v>27</v>
      </c>
      <c r="G4074" t="s">
        <v>44</v>
      </c>
      <c r="H4074" t="s">
        <v>36</v>
      </c>
      <c r="I4074" t="s">
        <v>33</v>
      </c>
      <c r="J4074">
        <v>45</v>
      </c>
      <c r="K4074">
        <v>1708.98</v>
      </c>
      <c r="L4074">
        <v>76904</v>
      </c>
      <c r="M4074">
        <v>49266.94</v>
      </c>
      <c r="N4074">
        <v>7305.21</v>
      </c>
      <c r="O4074">
        <v>2702.89</v>
      </c>
      <c r="P4074">
        <v>2027.58</v>
      </c>
      <c r="Q4074">
        <v>546.97</v>
      </c>
      <c r="R4074">
        <v>4711.29</v>
      </c>
      <c r="S4074">
        <v>1828.46</v>
      </c>
      <c r="T4074">
        <v>68389.350000000006</v>
      </c>
      <c r="U4074">
        <v>27637.05</v>
      </c>
      <c r="V4074">
        <v>8514.65</v>
      </c>
      <c r="W4074">
        <v>7961.75</v>
      </c>
      <c r="X4074">
        <v>84480.21</v>
      </c>
      <c r="Y4074">
        <v>74107.94</v>
      </c>
    </row>
    <row r="4075" spans="1:25" x14ac:dyDescent="0.25">
      <c r="A4075" t="s">
        <v>4131</v>
      </c>
      <c r="B4075" s="1">
        <v>46049</v>
      </c>
      <c r="C4075">
        <v>2026</v>
      </c>
      <c r="D4075">
        <v>1</v>
      </c>
      <c r="E4075" t="s">
        <v>26</v>
      </c>
      <c r="F4075" t="s">
        <v>27</v>
      </c>
      <c r="G4075" t="s">
        <v>35</v>
      </c>
      <c r="H4075" t="s">
        <v>36</v>
      </c>
      <c r="I4075" t="s">
        <v>65</v>
      </c>
      <c r="J4075">
        <v>43</v>
      </c>
      <c r="K4075">
        <v>1468.63</v>
      </c>
      <c r="L4075">
        <v>63151.26</v>
      </c>
      <c r="M4075">
        <v>38439.18</v>
      </c>
      <c r="N4075">
        <v>6237.89</v>
      </c>
      <c r="O4075">
        <v>1949.89</v>
      </c>
      <c r="P4075">
        <v>1579.12</v>
      </c>
      <c r="Q4075">
        <v>831.13</v>
      </c>
      <c r="R4075">
        <v>3304.48</v>
      </c>
      <c r="S4075">
        <v>1368.48</v>
      </c>
      <c r="T4075">
        <v>53710.16</v>
      </c>
      <c r="U4075">
        <v>24712.09</v>
      </c>
      <c r="V4075">
        <v>9441.1</v>
      </c>
      <c r="W4075">
        <v>9143.6299999999992</v>
      </c>
      <c r="X4075">
        <v>67759.58</v>
      </c>
      <c r="Y4075">
        <v>55120.68</v>
      </c>
    </row>
    <row r="4076" spans="1:25" x14ac:dyDescent="0.25">
      <c r="A4076" t="s">
        <v>4132</v>
      </c>
      <c r="B4076" s="1">
        <v>46049</v>
      </c>
      <c r="C4076">
        <v>2026</v>
      </c>
      <c r="D4076">
        <v>1</v>
      </c>
      <c r="E4076" t="s">
        <v>26</v>
      </c>
      <c r="F4076" t="s">
        <v>27</v>
      </c>
      <c r="G4076" t="s">
        <v>44</v>
      </c>
      <c r="H4076" t="s">
        <v>53</v>
      </c>
      <c r="I4076" t="s">
        <v>50</v>
      </c>
      <c r="J4076">
        <v>40</v>
      </c>
      <c r="K4076">
        <v>836.65</v>
      </c>
      <c r="L4076">
        <v>33466.04</v>
      </c>
      <c r="M4076">
        <v>19137.3</v>
      </c>
      <c r="N4076">
        <v>4095.4</v>
      </c>
      <c r="O4076">
        <v>1549.63</v>
      </c>
      <c r="P4076">
        <v>1147.6099999999999</v>
      </c>
      <c r="Q4076">
        <v>542.44000000000005</v>
      </c>
      <c r="R4076">
        <v>1019.98</v>
      </c>
      <c r="S4076">
        <v>304.97000000000003</v>
      </c>
      <c r="T4076">
        <v>27797.33</v>
      </c>
      <c r="U4076">
        <v>14328.74</v>
      </c>
      <c r="V4076">
        <v>5668.71</v>
      </c>
      <c r="W4076">
        <v>5174.3599999999997</v>
      </c>
      <c r="X4076">
        <v>33303.08</v>
      </c>
      <c r="Y4076">
        <v>27390.26</v>
      </c>
    </row>
    <row r="4077" spans="1:25" x14ac:dyDescent="0.25">
      <c r="A4077" t="s">
        <v>4133</v>
      </c>
      <c r="B4077" s="1">
        <v>46049</v>
      </c>
      <c r="C4077">
        <v>2026</v>
      </c>
      <c r="D4077">
        <v>1</v>
      </c>
      <c r="E4077" t="s">
        <v>26</v>
      </c>
      <c r="F4077" t="s">
        <v>27</v>
      </c>
      <c r="G4077" t="s">
        <v>55</v>
      </c>
      <c r="H4077" t="s">
        <v>29</v>
      </c>
      <c r="I4077" t="s">
        <v>30</v>
      </c>
      <c r="J4077">
        <v>88</v>
      </c>
      <c r="K4077">
        <v>1452.1</v>
      </c>
      <c r="L4077">
        <v>127785.11</v>
      </c>
      <c r="M4077">
        <v>62858.25</v>
      </c>
      <c r="N4077">
        <v>16071.01</v>
      </c>
      <c r="O4077">
        <v>9258.5499999999993</v>
      </c>
      <c r="P4077">
        <v>4675.3999999999996</v>
      </c>
      <c r="Q4077">
        <v>1962.89</v>
      </c>
      <c r="R4077">
        <v>7230.96</v>
      </c>
      <c r="S4077">
        <v>2427.64</v>
      </c>
      <c r="T4077">
        <v>104484.69</v>
      </c>
      <c r="U4077">
        <v>64926.87</v>
      </c>
      <c r="V4077">
        <v>23300.42</v>
      </c>
      <c r="W4077">
        <v>20757.810000000001</v>
      </c>
      <c r="X4077">
        <v>120245.37</v>
      </c>
      <c r="Y4077">
        <v>97957.15</v>
      </c>
    </row>
    <row r="4078" spans="1:25" x14ac:dyDescent="0.25">
      <c r="A4078" t="s">
        <v>4134</v>
      </c>
      <c r="B4078" s="1">
        <v>46049</v>
      </c>
      <c r="C4078">
        <v>2026</v>
      </c>
      <c r="D4078">
        <v>1</v>
      </c>
      <c r="E4078" t="s">
        <v>26</v>
      </c>
      <c r="F4078" t="s">
        <v>27</v>
      </c>
      <c r="G4078" t="s">
        <v>35</v>
      </c>
      <c r="H4078" t="s">
        <v>36</v>
      </c>
      <c r="I4078" t="s">
        <v>33</v>
      </c>
      <c r="J4078">
        <v>55</v>
      </c>
      <c r="K4078">
        <v>1448.91</v>
      </c>
      <c r="L4078">
        <v>79689.86</v>
      </c>
      <c r="M4078">
        <v>50520.44</v>
      </c>
      <c r="N4078">
        <v>10151.969999999999</v>
      </c>
      <c r="O4078">
        <v>4957.16</v>
      </c>
      <c r="P4078">
        <v>1547.42</v>
      </c>
      <c r="Q4078">
        <v>635.83000000000004</v>
      </c>
      <c r="R4078">
        <v>2738.83</v>
      </c>
      <c r="S4078">
        <v>1159.2</v>
      </c>
      <c r="T4078">
        <v>71710.850000000006</v>
      </c>
      <c r="U4078">
        <v>29169.42</v>
      </c>
      <c r="V4078">
        <v>7979.01</v>
      </c>
      <c r="W4078">
        <v>7274.12</v>
      </c>
      <c r="X4078">
        <v>82627.59</v>
      </c>
      <c r="Y4078">
        <v>69089.66</v>
      </c>
    </row>
    <row r="4079" spans="1:25" x14ac:dyDescent="0.25">
      <c r="A4079" t="s">
        <v>4135</v>
      </c>
      <c r="B4079" s="1">
        <v>46049</v>
      </c>
      <c r="C4079">
        <v>2026</v>
      </c>
      <c r="D4079">
        <v>1</v>
      </c>
      <c r="E4079" t="s">
        <v>26</v>
      </c>
      <c r="F4079" t="s">
        <v>27</v>
      </c>
      <c r="G4079" t="s">
        <v>44</v>
      </c>
      <c r="H4079" t="s">
        <v>32</v>
      </c>
      <c r="I4079" t="s">
        <v>33</v>
      </c>
      <c r="J4079">
        <v>85</v>
      </c>
      <c r="K4079">
        <v>972.81</v>
      </c>
      <c r="L4079">
        <v>82689.100000000006</v>
      </c>
      <c r="M4079">
        <v>53102.42</v>
      </c>
      <c r="N4079">
        <v>7990.24</v>
      </c>
      <c r="O4079">
        <v>5281.96</v>
      </c>
      <c r="P4079">
        <v>3395.05</v>
      </c>
      <c r="Q4079">
        <v>500.77</v>
      </c>
      <c r="R4079">
        <v>2472.0700000000002</v>
      </c>
      <c r="S4079">
        <v>1119.24</v>
      </c>
      <c r="T4079">
        <v>73861.75</v>
      </c>
      <c r="U4079">
        <v>29586.68</v>
      </c>
      <c r="V4079">
        <v>8827.35</v>
      </c>
      <c r="W4079">
        <v>7819.89</v>
      </c>
      <c r="X4079">
        <v>76861</v>
      </c>
      <c r="Y4079">
        <v>75924.84</v>
      </c>
    </row>
    <row r="4080" spans="1:25" x14ac:dyDescent="0.25">
      <c r="A4080" t="s">
        <v>4136</v>
      </c>
      <c r="B4080" s="1">
        <v>46049</v>
      </c>
      <c r="C4080">
        <v>2026</v>
      </c>
      <c r="D4080">
        <v>1</v>
      </c>
      <c r="E4080" t="s">
        <v>26</v>
      </c>
      <c r="F4080" t="s">
        <v>27</v>
      </c>
      <c r="G4080" t="s">
        <v>35</v>
      </c>
      <c r="H4080" t="s">
        <v>58</v>
      </c>
      <c r="I4080" t="s">
        <v>56</v>
      </c>
      <c r="J4080">
        <v>24</v>
      </c>
      <c r="K4080">
        <v>1408.01</v>
      </c>
      <c r="L4080">
        <v>33792.129999999997</v>
      </c>
      <c r="M4080">
        <v>18543.37</v>
      </c>
      <c r="N4080">
        <v>3859.67</v>
      </c>
      <c r="O4080">
        <v>2359.63</v>
      </c>
      <c r="P4080">
        <v>945.08</v>
      </c>
      <c r="Q4080">
        <v>254.3</v>
      </c>
      <c r="R4080">
        <v>1885.49</v>
      </c>
      <c r="S4080">
        <v>478.67</v>
      </c>
      <c r="T4080">
        <v>28326.21</v>
      </c>
      <c r="U4080">
        <v>15248.75</v>
      </c>
      <c r="V4080">
        <v>5465.91</v>
      </c>
      <c r="W4080">
        <v>5380.77</v>
      </c>
      <c r="X4080">
        <v>33017.1</v>
      </c>
      <c r="Y4080">
        <v>30942.52</v>
      </c>
    </row>
    <row r="4081" spans="1:25" x14ac:dyDescent="0.25">
      <c r="A4081" t="s">
        <v>4137</v>
      </c>
      <c r="B4081" s="1">
        <v>46050</v>
      </c>
      <c r="C4081">
        <v>2026</v>
      </c>
      <c r="D4081">
        <v>1</v>
      </c>
      <c r="E4081" t="s">
        <v>26</v>
      </c>
      <c r="F4081" t="s">
        <v>27</v>
      </c>
      <c r="G4081" t="s">
        <v>44</v>
      </c>
      <c r="H4081" t="s">
        <v>36</v>
      </c>
      <c r="I4081" t="s">
        <v>65</v>
      </c>
      <c r="J4081">
        <v>47</v>
      </c>
      <c r="K4081">
        <v>1179.0899999999999</v>
      </c>
      <c r="L4081">
        <v>55417.33</v>
      </c>
      <c r="M4081">
        <v>33506.11</v>
      </c>
      <c r="N4081">
        <v>6336.19</v>
      </c>
      <c r="O4081">
        <v>1903.11</v>
      </c>
      <c r="P4081">
        <v>2130.52</v>
      </c>
      <c r="Q4081">
        <v>325.61</v>
      </c>
      <c r="R4081">
        <v>3263.33</v>
      </c>
      <c r="S4081">
        <v>739.82</v>
      </c>
      <c r="T4081">
        <v>48204.69</v>
      </c>
      <c r="U4081">
        <v>21911.22</v>
      </c>
      <c r="V4081">
        <v>7212.64</v>
      </c>
      <c r="W4081">
        <v>6415.69</v>
      </c>
      <c r="X4081">
        <v>54051.22</v>
      </c>
      <c r="Y4081">
        <v>49391.88</v>
      </c>
    </row>
    <row r="4082" spans="1:25" x14ac:dyDescent="0.25">
      <c r="A4082" t="s">
        <v>4138</v>
      </c>
      <c r="B4082" s="1">
        <v>46050</v>
      </c>
      <c r="C4082">
        <v>2026</v>
      </c>
      <c r="D4082">
        <v>1</v>
      </c>
      <c r="E4082" t="s">
        <v>26</v>
      </c>
      <c r="F4082" t="s">
        <v>27</v>
      </c>
      <c r="G4082" t="s">
        <v>28</v>
      </c>
      <c r="H4082" t="s">
        <v>29</v>
      </c>
      <c r="I4082" t="s">
        <v>30</v>
      </c>
      <c r="J4082">
        <v>61</v>
      </c>
      <c r="K4082">
        <v>1536.46</v>
      </c>
      <c r="L4082">
        <v>93724.15</v>
      </c>
      <c r="M4082">
        <v>51188.15</v>
      </c>
      <c r="N4082">
        <v>8160.22</v>
      </c>
      <c r="O4082">
        <v>3061.54</v>
      </c>
      <c r="P4082">
        <v>2350.63</v>
      </c>
      <c r="Q4082">
        <v>1140.3499999999999</v>
      </c>
      <c r="R4082">
        <v>5965.82</v>
      </c>
      <c r="S4082">
        <v>2220.7399999999998</v>
      </c>
      <c r="T4082">
        <v>74087.44</v>
      </c>
      <c r="U4082">
        <v>42535.99</v>
      </c>
      <c r="V4082">
        <v>19636.71</v>
      </c>
      <c r="W4082">
        <v>19940.52</v>
      </c>
      <c r="X4082">
        <v>97380.86</v>
      </c>
      <c r="Y4082">
        <v>74714.149999999994</v>
      </c>
    </row>
    <row r="4083" spans="1:25" x14ac:dyDescent="0.25">
      <c r="A4083" t="s">
        <v>4139</v>
      </c>
      <c r="B4083" s="1">
        <v>46050</v>
      </c>
      <c r="C4083">
        <v>2026</v>
      </c>
      <c r="D4083">
        <v>1</v>
      </c>
      <c r="E4083" t="s">
        <v>26</v>
      </c>
      <c r="F4083" t="s">
        <v>27</v>
      </c>
      <c r="G4083" t="s">
        <v>35</v>
      </c>
      <c r="H4083" t="s">
        <v>36</v>
      </c>
      <c r="I4083" t="s">
        <v>50</v>
      </c>
      <c r="J4083">
        <v>32</v>
      </c>
      <c r="K4083">
        <v>1014.91</v>
      </c>
      <c r="L4083">
        <v>32477.14</v>
      </c>
      <c r="M4083">
        <v>18884.03</v>
      </c>
      <c r="N4083">
        <v>2290.2399999999998</v>
      </c>
      <c r="O4083">
        <v>1292.23</v>
      </c>
      <c r="P4083">
        <v>1452.49</v>
      </c>
      <c r="Q4083">
        <v>196.29</v>
      </c>
      <c r="R4083">
        <v>1293.68</v>
      </c>
      <c r="S4083">
        <v>308.91000000000003</v>
      </c>
      <c r="T4083">
        <v>25717.87</v>
      </c>
      <c r="U4083">
        <v>13593.11</v>
      </c>
      <c r="V4083">
        <v>6759.27</v>
      </c>
      <c r="W4083">
        <v>6334.58</v>
      </c>
      <c r="X4083">
        <v>36008.79</v>
      </c>
      <c r="Y4083">
        <v>26043.85</v>
      </c>
    </row>
    <row r="4084" spans="1:25" x14ac:dyDescent="0.25">
      <c r="A4084" t="s">
        <v>4140</v>
      </c>
      <c r="B4084" s="1">
        <v>46050</v>
      </c>
      <c r="C4084">
        <v>2026</v>
      </c>
      <c r="D4084">
        <v>1</v>
      </c>
      <c r="E4084" t="s">
        <v>26</v>
      </c>
      <c r="F4084" t="s">
        <v>27</v>
      </c>
      <c r="G4084" t="s">
        <v>28</v>
      </c>
      <c r="H4084" t="s">
        <v>58</v>
      </c>
      <c r="I4084" t="s">
        <v>39</v>
      </c>
      <c r="J4084">
        <v>32</v>
      </c>
      <c r="K4084">
        <v>1505.65</v>
      </c>
      <c r="L4084">
        <v>48180.76</v>
      </c>
      <c r="M4084">
        <v>25809.9</v>
      </c>
      <c r="N4084">
        <v>6126.25</v>
      </c>
      <c r="O4084">
        <v>1713.69</v>
      </c>
      <c r="P4084">
        <v>1519.55</v>
      </c>
      <c r="Q4084">
        <v>617.23</v>
      </c>
      <c r="R4084">
        <v>1681.09</v>
      </c>
      <c r="S4084">
        <v>808.87</v>
      </c>
      <c r="T4084">
        <v>38276.57</v>
      </c>
      <c r="U4084">
        <v>22370.86</v>
      </c>
      <c r="V4084">
        <v>9904.19</v>
      </c>
      <c r="W4084">
        <v>9437.82</v>
      </c>
      <c r="X4084">
        <v>50020.58</v>
      </c>
      <c r="Y4084">
        <v>38833.06</v>
      </c>
    </row>
    <row r="4085" spans="1:25" x14ac:dyDescent="0.25">
      <c r="A4085" t="s">
        <v>4141</v>
      </c>
      <c r="B4085" s="1">
        <v>46050</v>
      </c>
      <c r="C4085">
        <v>2026</v>
      </c>
      <c r="D4085">
        <v>1</v>
      </c>
      <c r="E4085" t="s">
        <v>26</v>
      </c>
      <c r="F4085" t="s">
        <v>27</v>
      </c>
      <c r="G4085" t="s">
        <v>44</v>
      </c>
      <c r="H4085" t="s">
        <v>58</v>
      </c>
      <c r="I4085" t="s">
        <v>37</v>
      </c>
      <c r="J4085">
        <v>50</v>
      </c>
      <c r="K4085">
        <v>1259.6300000000001</v>
      </c>
      <c r="L4085">
        <v>62981.47</v>
      </c>
      <c r="M4085">
        <v>35839.86</v>
      </c>
      <c r="N4085">
        <v>5867.62</v>
      </c>
      <c r="O4085">
        <v>2239.59</v>
      </c>
      <c r="P4085">
        <v>1315.24</v>
      </c>
      <c r="Q4085">
        <v>320.76</v>
      </c>
      <c r="R4085">
        <v>3150.06</v>
      </c>
      <c r="S4085">
        <v>1213.0999999999999</v>
      </c>
      <c r="T4085">
        <v>49946.23</v>
      </c>
      <c r="U4085">
        <v>27141.61</v>
      </c>
      <c r="V4085">
        <v>13035.24</v>
      </c>
      <c r="W4085">
        <v>12589.63</v>
      </c>
      <c r="X4085">
        <v>67583.48</v>
      </c>
      <c r="Y4085">
        <v>54718.58</v>
      </c>
    </row>
    <row r="4086" spans="1:25" x14ac:dyDescent="0.25">
      <c r="A4086" t="s">
        <v>4142</v>
      </c>
      <c r="B4086" s="1">
        <v>46051</v>
      </c>
      <c r="C4086">
        <v>2026</v>
      </c>
      <c r="D4086">
        <v>1</v>
      </c>
      <c r="E4086" t="s">
        <v>26</v>
      </c>
      <c r="F4086" t="s">
        <v>27</v>
      </c>
      <c r="G4086" t="s">
        <v>35</v>
      </c>
      <c r="H4086" t="s">
        <v>32</v>
      </c>
      <c r="I4086" t="s">
        <v>65</v>
      </c>
      <c r="J4086">
        <v>75</v>
      </c>
      <c r="K4086">
        <v>864.82</v>
      </c>
      <c r="L4086">
        <v>64861.5</v>
      </c>
      <c r="M4086">
        <v>35917.53</v>
      </c>
      <c r="N4086">
        <v>6713.68</v>
      </c>
      <c r="O4086">
        <v>3087.58</v>
      </c>
      <c r="P4086">
        <v>1058.8</v>
      </c>
      <c r="Q4086">
        <v>713.91</v>
      </c>
      <c r="R4086">
        <v>2591.41</v>
      </c>
      <c r="S4086">
        <v>1583.46</v>
      </c>
      <c r="T4086">
        <v>51666.37</v>
      </c>
      <c r="U4086">
        <v>28943.97</v>
      </c>
      <c r="V4086">
        <v>13195.13</v>
      </c>
      <c r="W4086">
        <v>11633.07</v>
      </c>
      <c r="X4086">
        <v>70879.259999999995</v>
      </c>
      <c r="Y4086">
        <v>50112.35</v>
      </c>
    </row>
    <row r="4087" spans="1:25" x14ac:dyDescent="0.25">
      <c r="A4087" t="s">
        <v>4143</v>
      </c>
      <c r="B4087" s="1">
        <v>46051</v>
      </c>
      <c r="C4087">
        <v>2026</v>
      </c>
      <c r="D4087">
        <v>1</v>
      </c>
      <c r="E4087" t="s">
        <v>26</v>
      </c>
      <c r="F4087" t="s">
        <v>27</v>
      </c>
      <c r="G4087" t="s">
        <v>28</v>
      </c>
      <c r="H4087" t="s">
        <v>58</v>
      </c>
      <c r="I4087" t="s">
        <v>30</v>
      </c>
      <c r="J4087">
        <v>58</v>
      </c>
      <c r="K4087">
        <v>1174.74</v>
      </c>
      <c r="L4087">
        <v>68134.91</v>
      </c>
      <c r="M4087">
        <v>45258.9</v>
      </c>
      <c r="N4087">
        <v>5046.03</v>
      </c>
      <c r="O4087">
        <v>3940.33</v>
      </c>
      <c r="P4087">
        <v>1770.16</v>
      </c>
      <c r="Q4087">
        <v>1068.3699999999999</v>
      </c>
      <c r="R4087">
        <v>4245.33</v>
      </c>
      <c r="S4087">
        <v>604.78</v>
      </c>
      <c r="T4087">
        <v>61933.9</v>
      </c>
      <c r="U4087">
        <v>22876.01</v>
      </c>
      <c r="V4087">
        <v>6201.01</v>
      </c>
      <c r="W4087">
        <v>6129.76</v>
      </c>
      <c r="X4087">
        <v>65520.5</v>
      </c>
      <c r="Y4087">
        <v>67217.47</v>
      </c>
    </row>
    <row r="4088" spans="1:25" x14ac:dyDescent="0.25">
      <c r="A4088" t="s">
        <v>4144</v>
      </c>
      <c r="B4088" s="1">
        <v>46051</v>
      </c>
      <c r="C4088">
        <v>2026</v>
      </c>
      <c r="D4088">
        <v>1</v>
      </c>
      <c r="E4088" t="s">
        <v>26</v>
      </c>
      <c r="F4088" t="s">
        <v>27</v>
      </c>
      <c r="G4088" t="s">
        <v>44</v>
      </c>
      <c r="H4088" t="s">
        <v>32</v>
      </c>
      <c r="I4088" t="s">
        <v>65</v>
      </c>
      <c r="J4088">
        <v>36</v>
      </c>
      <c r="K4088">
        <v>1738.84</v>
      </c>
      <c r="L4088">
        <v>62598.400000000001</v>
      </c>
      <c r="M4088">
        <v>38498.160000000003</v>
      </c>
      <c r="N4088">
        <v>6790.27</v>
      </c>
      <c r="O4088">
        <v>1712.48</v>
      </c>
      <c r="P4088">
        <v>1180.74</v>
      </c>
      <c r="Q4088">
        <v>594.04</v>
      </c>
      <c r="R4088">
        <v>3196.35</v>
      </c>
      <c r="S4088">
        <v>565.96</v>
      </c>
      <c r="T4088">
        <v>52538</v>
      </c>
      <c r="U4088">
        <v>24100.25</v>
      </c>
      <c r="V4088">
        <v>10060.41</v>
      </c>
      <c r="W4088">
        <v>9083.91</v>
      </c>
      <c r="X4088">
        <v>68132.740000000005</v>
      </c>
      <c r="Y4088">
        <v>56729.05</v>
      </c>
    </row>
    <row r="4089" spans="1:25" x14ac:dyDescent="0.25">
      <c r="A4089" t="s">
        <v>4145</v>
      </c>
      <c r="B4089" s="1">
        <v>46051</v>
      </c>
      <c r="C4089">
        <v>2026</v>
      </c>
      <c r="D4089">
        <v>1</v>
      </c>
      <c r="E4089" t="s">
        <v>26</v>
      </c>
      <c r="F4089" t="s">
        <v>27</v>
      </c>
      <c r="G4089" t="s">
        <v>35</v>
      </c>
      <c r="H4089" t="s">
        <v>58</v>
      </c>
      <c r="I4089" t="s">
        <v>30</v>
      </c>
      <c r="J4089">
        <v>84</v>
      </c>
      <c r="K4089">
        <v>1079.03</v>
      </c>
      <c r="L4089">
        <v>90638.74</v>
      </c>
      <c r="M4089">
        <v>55740.15</v>
      </c>
      <c r="N4089">
        <v>6903.27</v>
      </c>
      <c r="O4089">
        <v>2514.5300000000002</v>
      </c>
      <c r="P4089">
        <v>3605.99</v>
      </c>
      <c r="Q4089">
        <v>1049.97</v>
      </c>
      <c r="R4089">
        <v>3519.96</v>
      </c>
      <c r="S4089">
        <v>732.1</v>
      </c>
      <c r="T4089">
        <v>74065.960000000006</v>
      </c>
      <c r="U4089">
        <v>34898.589999999997</v>
      </c>
      <c r="V4089">
        <v>16572.77</v>
      </c>
      <c r="W4089">
        <v>16554.3</v>
      </c>
      <c r="X4089">
        <v>91768.34</v>
      </c>
      <c r="Y4089">
        <v>74885.149999999994</v>
      </c>
    </row>
    <row r="4090" spans="1:25" x14ac:dyDescent="0.25">
      <c r="A4090" t="s">
        <v>4146</v>
      </c>
      <c r="B4090" s="1">
        <v>46052</v>
      </c>
      <c r="C4090">
        <v>2026</v>
      </c>
      <c r="D4090">
        <v>1</v>
      </c>
      <c r="E4090" t="s">
        <v>26</v>
      </c>
      <c r="F4090" t="s">
        <v>27</v>
      </c>
      <c r="G4090" t="s">
        <v>28</v>
      </c>
      <c r="H4090" t="s">
        <v>36</v>
      </c>
      <c r="I4090" t="s">
        <v>50</v>
      </c>
      <c r="J4090">
        <v>60</v>
      </c>
      <c r="K4090">
        <v>867.86</v>
      </c>
      <c r="L4090">
        <v>52071.56</v>
      </c>
      <c r="M4090">
        <v>29002.720000000001</v>
      </c>
      <c r="N4090">
        <v>6496.01</v>
      </c>
      <c r="O4090">
        <v>3242.77</v>
      </c>
      <c r="P4090">
        <v>2336.3000000000002</v>
      </c>
      <c r="Q4090">
        <v>750.77</v>
      </c>
      <c r="R4090">
        <v>1991.08</v>
      </c>
      <c r="S4090">
        <v>1161.8499999999999</v>
      </c>
      <c r="T4090">
        <v>44981.51</v>
      </c>
      <c r="U4090">
        <v>23068.85</v>
      </c>
      <c r="V4090">
        <v>7090.06</v>
      </c>
      <c r="W4090">
        <v>6410.05</v>
      </c>
      <c r="X4090">
        <v>49006.17</v>
      </c>
      <c r="Y4090">
        <v>48605.64</v>
      </c>
    </row>
    <row r="4091" spans="1:25" x14ac:dyDescent="0.25">
      <c r="A4091" t="s">
        <v>4147</v>
      </c>
      <c r="B4091" s="1">
        <v>46052</v>
      </c>
      <c r="C4091">
        <v>2026</v>
      </c>
      <c r="D4091">
        <v>1</v>
      </c>
      <c r="E4091" t="s">
        <v>26</v>
      </c>
      <c r="F4091" t="s">
        <v>27</v>
      </c>
      <c r="G4091" t="s">
        <v>35</v>
      </c>
      <c r="H4091" t="s">
        <v>29</v>
      </c>
      <c r="I4091" t="s">
        <v>33</v>
      </c>
      <c r="J4091">
        <v>63</v>
      </c>
      <c r="K4091">
        <v>1390.35</v>
      </c>
      <c r="L4091">
        <v>87592.15</v>
      </c>
      <c r="M4091">
        <v>45813.45</v>
      </c>
      <c r="N4091">
        <v>8115.82</v>
      </c>
      <c r="O4091">
        <v>6410.93</v>
      </c>
      <c r="P4091">
        <v>2085.27</v>
      </c>
      <c r="Q4091">
        <v>1120.31</v>
      </c>
      <c r="R4091">
        <v>2306.69</v>
      </c>
      <c r="S4091">
        <v>1234.76</v>
      </c>
      <c r="T4091">
        <v>67087.23</v>
      </c>
      <c r="U4091">
        <v>41778.71</v>
      </c>
      <c r="V4091">
        <v>20504.919999999998</v>
      </c>
      <c r="W4091">
        <v>19924.16</v>
      </c>
      <c r="X4091">
        <v>96072.88</v>
      </c>
      <c r="Y4091">
        <v>69155.070000000007</v>
      </c>
    </row>
    <row r="4092" spans="1:25" x14ac:dyDescent="0.25">
      <c r="A4092" t="s">
        <v>4148</v>
      </c>
      <c r="B4092" s="1">
        <v>46052</v>
      </c>
      <c r="C4092">
        <v>2026</v>
      </c>
      <c r="D4092">
        <v>1</v>
      </c>
      <c r="E4092" t="s">
        <v>26</v>
      </c>
      <c r="F4092" t="s">
        <v>27</v>
      </c>
      <c r="G4092" t="s">
        <v>28</v>
      </c>
      <c r="H4092" t="s">
        <v>32</v>
      </c>
      <c r="I4092" t="s">
        <v>39</v>
      </c>
      <c r="J4092">
        <v>32</v>
      </c>
      <c r="K4092">
        <v>1443.88</v>
      </c>
      <c r="L4092">
        <v>46204.08</v>
      </c>
      <c r="M4092">
        <v>24336.61</v>
      </c>
      <c r="N4092">
        <v>4066.01</v>
      </c>
      <c r="O4092">
        <v>1267.45</v>
      </c>
      <c r="P4092">
        <v>1736.21</v>
      </c>
      <c r="Q4092">
        <v>240.63</v>
      </c>
      <c r="R4092">
        <v>1647.9</v>
      </c>
      <c r="S4092">
        <v>934.11</v>
      </c>
      <c r="T4092">
        <v>34228.93</v>
      </c>
      <c r="U4092">
        <v>21867.47</v>
      </c>
      <c r="V4092">
        <v>11975.15</v>
      </c>
      <c r="W4092">
        <v>10627.71</v>
      </c>
      <c r="X4092">
        <v>43174.25</v>
      </c>
      <c r="Y4092">
        <v>34325.370000000003</v>
      </c>
    </row>
    <row r="4093" spans="1:25" x14ac:dyDescent="0.25">
      <c r="A4093" t="s">
        <v>4149</v>
      </c>
      <c r="B4093" s="1">
        <v>46052</v>
      </c>
      <c r="C4093">
        <v>2026</v>
      </c>
      <c r="D4093">
        <v>1</v>
      </c>
      <c r="E4093" t="s">
        <v>26</v>
      </c>
      <c r="F4093" t="s">
        <v>27</v>
      </c>
      <c r="G4093" t="s">
        <v>35</v>
      </c>
      <c r="H4093" t="s">
        <v>36</v>
      </c>
      <c r="I4093" t="s">
        <v>45</v>
      </c>
      <c r="J4093">
        <v>29</v>
      </c>
      <c r="K4093">
        <v>1032</v>
      </c>
      <c r="L4093">
        <v>29927.97</v>
      </c>
      <c r="M4093">
        <v>16245.77</v>
      </c>
      <c r="N4093">
        <v>3112.09</v>
      </c>
      <c r="O4093">
        <v>1924.33</v>
      </c>
      <c r="P4093">
        <v>1135.72</v>
      </c>
      <c r="Q4093">
        <v>271.48</v>
      </c>
      <c r="R4093">
        <v>1549.64</v>
      </c>
      <c r="S4093">
        <v>274.35000000000002</v>
      </c>
      <c r="T4093">
        <v>24513.38</v>
      </c>
      <c r="U4093">
        <v>13682.2</v>
      </c>
      <c r="V4093">
        <v>5414.59</v>
      </c>
      <c r="W4093">
        <v>4778.26</v>
      </c>
      <c r="X4093">
        <v>31850.880000000001</v>
      </c>
      <c r="Y4093">
        <v>26377.759999999998</v>
      </c>
    </row>
    <row r="4094" spans="1:25" x14ac:dyDescent="0.25">
      <c r="A4094" t="s">
        <v>4150</v>
      </c>
      <c r="B4094" s="1">
        <v>46052</v>
      </c>
      <c r="C4094">
        <v>2026</v>
      </c>
      <c r="D4094">
        <v>1</v>
      </c>
      <c r="E4094" t="s">
        <v>26</v>
      </c>
      <c r="F4094" t="s">
        <v>27</v>
      </c>
      <c r="G4094" t="s">
        <v>28</v>
      </c>
      <c r="H4094" t="s">
        <v>32</v>
      </c>
      <c r="I4094" t="s">
        <v>30</v>
      </c>
      <c r="J4094">
        <v>65</v>
      </c>
      <c r="K4094">
        <v>1587.62</v>
      </c>
      <c r="L4094">
        <v>103195.32</v>
      </c>
      <c r="M4094">
        <v>57133.68</v>
      </c>
      <c r="N4094">
        <v>10828.29</v>
      </c>
      <c r="O4094">
        <v>5188.47</v>
      </c>
      <c r="P4094">
        <v>2283.7800000000002</v>
      </c>
      <c r="Q4094">
        <v>1448.29</v>
      </c>
      <c r="R4094">
        <v>2991.3</v>
      </c>
      <c r="S4094">
        <v>1740.18</v>
      </c>
      <c r="T4094">
        <v>81614.009999999995</v>
      </c>
      <c r="U4094">
        <v>46061.64</v>
      </c>
      <c r="V4094">
        <v>21581.32</v>
      </c>
      <c r="W4094">
        <v>20889.32</v>
      </c>
      <c r="X4094">
        <v>98325.72</v>
      </c>
      <c r="Y4094">
        <v>88435.37</v>
      </c>
    </row>
    <row r="4095" spans="1:25" x14ac:dyDescent="0.25">
      <c r="A4095" t="s">
        <v>4151</v>
      </c>
      <c r="B4095" s="1">
        <v>46052</v>
      </c>
      <c r="C4095">
        <v>2026</v>
      </c>
      <c r="D4095">
        <v>1</v>
      </c>
      <c r="E4095" t="s">
        <v>26</v>
      </c>
      <c r="F4095" t="s">
        <v>27</v>
      </c>
      <c r="G4095" t="s">
        <v>44</v>
      </c>
      <c r="H4095" t="s">
        <v>32</v>
      </c>
      <c r="I4095" t="s">
        <v>56</v>
      </c>
      <c r="J4095">
        <v>19</v>
      </c>
      <c r="K4095">
        <v>1762.32</v>
      </c>
      <c r="L4095">
        <v>33484.15</v>
      </c>
      <c r="M4095">
        <v>16567.240000000002</v>
      </c>
      <c r="N4095">
        <v>3843.14</v>
      </c>
      <c r="O4095">
        <v>2200.65</v>
      </c>
      <c r="P4095">
        <v>1200.5899999999999</v>
      </c>
      <c r="Q4095">
        <v>429.83</v>
      </c>
      <c r="R4095">
        <v>1934.57</v>
      </c>
      <c r="S4095">
        <v>809.75</v>
      </c>
      <c r="T4095">
        <v>26985.77</v>
      </c>
      <c r="U4095">
        <v>16916.919999999998</v>
      </c>
      <c r="V4095">
        <v>6498.38</v>
      </c>
      <c r="W4095">
        <v>6355.63</v>
      </c>
      <c r="X4095">
        <v>34995.26</v>
      </c>
      <c r="Y4095">
        <v>29524.87</v>
      </c>
    </row>
    <row r="4096" spans="1:25" x14ac:dyDescent="0.25">
      <c r="A4096" t="s">
        <v>4152</v>
      </c>
      <c r="B4096" s="1">
        <v>46052</v>
      </c>
      <c r="C4096">
        <v>2026</v>
      </c>
      <c r="D4096">
        <v>1</v>
      </c>
      <c r="E4096" t="s">
        <v>26</v>
      </c>
      <c r="F4096" t="s">
        <v>27</v>
      </c>
      <c r="G4096" t="s">
        <v>28</v>
      </c>
      <c r="H4096" t="s">
        <v>53</v>
      </c>
      <c r="I4096" t="s">
        <v>56</v>
      </c>
      <c r="J4096">
        <v>15</v>
      </c>
      <c r="K4096">
        <v>1709.75</v>
      </c>
      <c r="L4096">
        <v>25646.27</v>
      </c>
      <c r="M4096">
        <v>16553.3</v>
      </c>
      <c r="N4096">
        <v>3326.64</v>
      </c>
      <c r="O4096">
        <v>1277.8699999999999</v>
      </c>
      <c r="P4096">
        <v>409.07</v>
      </c>
      <c r="Q4096">
        <v>133.88999999999999</v>
      </c>
      <c r="R4096">
        <v>1595.03</v>
      </c>
      <c r="S4096">
        <v>345.11</v>
      </c>
      <c r="T4096">
        <v>23640.91</v>
      </c>
      <c r="U4096">
        <v>9092.9699999999993</v>
      </c>
      <c r="V4096">
        <v>2005.36</v>
      </c>
      <c r="W4096">
        <v>1964.96</v>
      </c>
      <c r="X4096">
        <v>27872.86</v>
      </c>
      <c r="Y4096">
        <v>23459.88</v>
      </c>
    </row>
    <row r="4097" spans="1:25" x14ac:dyDescent="0.25">
      <c r="A4097" t="s">
        <v>4153</v>
      </c>
      <c r="B4097" s="1">
        <v>46053</v>
      </c>
      <c r="C4097">
        <v>2026</v>
      </c>
      <c r="D4097">
        <v>1</v>
      </c>
      <c r="E4097" t="s">
        <v>26</v>
      </c>
      <c r="F4097" t="s">
        <v>27</v>
      </c>
      <c r="G4097" t="s">
        <v>35</v>
      </c>
      <c r="H4097" t="s">
        <v>32</v>
      </c>
      <c r="I4097" t="s">
        <v>30</v>
      </c>
      <c r="J4097">
        <v>68</v>
      </c>
      <c r="K4097">
        <v>1694.21</v>
      </c>
      <c r="L4097">
        <v>115206.57</v>
      </c>
      <c r="M4097">
        <v>66388.789999999994</v>
      </c>
      <c r="N4097">
        <v>13519.65</v>
      </c>
      <c r="O4097">
        <v>3393.09</v>
      </c>
      <c r="P4097">
        <v>2368.2199999999998</v>
      </c>
      <c r="Q4097">
        <v>1313.81</v>
      </c>
      <c r="R4097">
        <v>6993.57</v>
      </c>
      <c r="S4097">
        <v>2124.37</v>
      </c>
      <c r="T4097">
        <v>96101.51</v>
      </c>
      <c r="U4097">
        <v>48817.78</v>
      </c>
      <c r="V4097">
        <v>19105.060000000001</v>
      </c>
      <c r="W4097">
        <v>17862.900000000001</v>
      </c>
      <c r="X4097">
        <v>110728.04</v>
      </c>
      <c r="Y4097">
        <v>96066.94</v>
      </c>
    </row>
    <row r="4098" spans="1:25" x14ac:dyDescent="0.25">
      <c r="A4098" t="s">
        <v>4154</v>
      </c>
      <c r="B4098" s="1">
        <v>46053</v>
      </c>
      <c r="C4098">
        <v>2026</v>
      </c>
      <c r="D4098">
        <v>1</v>
      </c>
      <c r="E4098" t="s">
        <v>26</v>
      </c>
      <c r="F4098" t="s">
        <v>27</v>
      </c>
      <c r="G4098" t="s">
        <v>44</v>
      </c>
      <c r="H4098" t="s">
        <v>32</v>
      </c>
      <c r="I4098" t="s">
        <v>39</v>
      </c>
      <c r="J4098">
        <v>45</v>
      </c>
      <c r="K4098">
        <v>930.85</v>
      </c>
      <c r="L4098">
        <v>41888.230000000003</v>
      </c>
      <c r="M4098">
        <v>22714.5</v>
      </c>
      <c r="N4098">
        <v>4249.6099999999997</v>
      </c>
      <c r="O4098">
        <v>1897.22</v>
      </c>
      <c r="P4098">
        <v>1729.99</v>
      </c>
      <c r="Q4098">
        <v>557.1</v>
      </c>
      <c r="R4098">
        <v>2367.98</v>
      </c>
      <c r="S4098">
        <v>514.12</v>
      </c>
      <c r="T4098">
        <v>34030.519999999997</v>
      </c>
      <c r="U4098">
        <v>19173.73</v>
      </c>
      <c r="V4098">
        <v>7857.71</v>
      </c>
      <c r="W4098">
        <v>7226.92</v>
      </c>
      <c r="X4098">
        <v>44454.89</v>
      </c>
      <c r="Y4098">
        <v>31752.04</v>
      </c>
    </row>
    <row r="4099" spans="1:25" x14ac:dyDescent="0.25">
      <c r="A4099" t="s">
        <v>4155</v>
      </c>
      <c r="B4099" s="1">
        <v>46053</v>
      </c>
      <c r="C4099">
        <v>2026</v>
      </c>
      <c r="D4099">
        <v>1</v>
      </c>
      <c r="E4099" t="s">
        <v>26</v>
      </c>
      <c r="F4099" t="s">
        <v>27</v>
      </c>
      <c r="G4099" t="s">
        <v>28</v>
      </c>
      <c r="H4099" t="s">
        <v>53</v>
      </c>
      <c r="I4099" t="s">
        <v>65</v>
      </c>
      <c r="J4099">
        <v>41</v>
      </c>
      <c r="K4099">
        <v>1045.72</v>
      </c>
      <c r="L4099">
        <v>42874.44</v>
      </c>
      <c r="M4099">
        <v>22503.7</v>
      </c>
      <c r="N4099">
        <v>4384.66</v>
      </c>
      <c r="O4099">
        <v>2972.07</v>
      </c>
      <c r="P4099">
        <v>1656.86</v>
      </c>
      <c r="Q4099">
        <v>303.52</v>
      </c>
      <c r="R4099">
        <v>2275.7800000000002</v>
      </c>
      <c r="S4099">
        <v>399.31</v>
      </c>
      <c r="T4099">
        <v>34495.919999999998</v>
      </c>
      <c r="U4099">
        <v>20370.740000000002</v>
      </c>
      <c r="V4099">
        <v>8378.52</v>
      </c>
      <c r="W4099">
        <v>8235.61</v>
      </c>
      <c r="X4099">
        <v>47498.61</v>
      </c>
      <c r="Y4099">
        <v>33702.36</v>
      </c>
    </row>
    <row r="4100" spans="1:25" x14ac:dyDescent="0.25">
      <c r="A4100" t="s">
        <v>4156</v>
      </c>
      <c r="B4100" s="1">
        <v>46053</v>
      </c>
      <c r="C4100">
        <v>2026</v>
      </c>
      <c r="D4100">
        <v>1</v>
      </c>
      <c r="E4100" t="s">
        <v>26</v>
      </c>
      <c r="F4100" t="s">
        <v>27</v>
      </c>
      <c r="G4100" t="s">
        <v>44</v>
      </c>
      <c r="H4100" t="s">
        <v>32</v>
      </c>
      <c r="I4100" t="s">
        <v>65</v>
      </c>
      <c r="J4100">
        <v>43</v>
      </c>
      <c r="K4100">
        <v>1386.42</v>
      </c>
      <c r="L4100">
        <v>59616.22</v>
      </c>
      <c r="M4100">
        <v>35809.56</v>
      </c>
      <c r="N4100">
        <v>5305.63</v>
      </c>
      <c r="O4100">
        <v>4440.8100000000004</v>
      </c>
      <c r="P4100">
        <v>1717.88</v>
      </c>
      <c r="Q4100">
        <v>501.33</v>
      </c>
      <c r="R4100">
        <v>3500.35</v>
      </c>
      <c r="S4100">
        <v>1325.73</v>
      </c>
      <c r="T4100">
        <v>52601.29</v>
      </c>
      <c r="U4100">
        <v>23806.66</v>
      </c>
      <c r="V4100">
        <v>7014.93</v>
      </c>
      <c r="W4100">
        <v>6492.7</v>
      </c>
      <c r="X4100">
        <v>59940.37</v>
      </c>
      <c r="Y4100">
        <v>49282.91</v>
      </c>
    </row>
    <row r="4101" spans="1:25" x14ac:dyDescent="0.25">
      <c r="A4101" t="s">
        <v>4157</v>
      </c>
      <c r="B4101" s="1">
        <v>46054</v>
      </c>
      <c r="C4101">
        <v>2026</v>
      </c>
      <c r="D4101">
        <v>2</v>
      </c>
      <c r="E4101" t="s">
        <v>161</v>
      </c>
      <c r="F4101" t="s">
        <v>27</v>
      </c>
      <c r="G4101" t="s">
        <v>55</v>
      </c>
      <c r="H4101" t="s">
        <v>32</v>
      </c>
      <c r="I4101" t="s">
        <v>56</v>
      </c>
      <c r="J4101">
        <v>57</v>
      </c>
      <c r="K4101">
        <v>926.53</v>
      </c>
      <c r="L4101">
        <v>52812.25</v>
      </c>
      <c r="M4101">
        <v>31082.37</v>
      </c>
      <c r="N4101">
        <v>5004.01</v>
      </c>
      <c r="O4101">
        <v>1990.76</v>
      </c>
      <c r="P4101">
        <v>1499.2</v>
      </c>
      <c r="Q4101">
        <v>582.66999999999996</v>
      </c>
      <c r="R4101">
        <v>3353.67</v>
      </c>
      <c r="S4101">
        <v>432.52</v>
      </c>
      <c r="T4101">
        <v>43945.2</v>
      </c>
      <c r="U4101">
        <v>21729.88</v>
      </c>
      <c r="V4101">
        <v>8867.0400000000009</v>
      </c>
      <c r="W4101">
        <v>8908.83</v>
      </c>
      <c r="X4101">
        <v>57761.49</v>
      </c>
      <c r="Y4101">
        <v>47996.78</v>
      </c>
    </row>
    <row r="4102" spans="1:25" x14ac:dyDescent="0.25">
      <c r="A4102" t="s">
        <v>4158</v>
      </c>
      <c r="B4102" s="1">
        <v>46054</v>
      </c>
      <c r="C4102">
        <v>2026</v>
      </c>
      <c r="D4102">
        <v>2</v>
      </c>
      <c r="E4102" t="s">
        <v>161</v>
      </c>
      <c r="F4102" t="s">
        <v>27</v>
      </c>
      <c r="G4102" t="s">
        <v>55</v>
      </c>
      <c r="H4102" t="s">
        <v>29</v>
      </c>
      <c r="I4102" t="s">
        <v>50</v>
      </c>
      <c r="J4102">
        <v>58</v>
      </c>
      <c r="K4102">
        <v>853.86</v>
      </c>
      <c r="L4102">
        <v>49524.14</v>
      </c>
      <c r="M4102">
        <v>25605.8</v>
      </c>
      <c r="N4102">
        <v>6348.62</v>
      </c>
      <c r="O4102">
        <v>3055.79</v>
      </c>
      <c r="P4102">
        <v>1442.67</v>
      </c>
      <c r="Q4102">
        <v>677.22</v>
      </c>
      <c r="R4102">
        <v>2643</v>
      </c>
      <c r="S4102">
        <v>791.3</v>
      </c>
      <c r="T4102">
        <v>40564.39</v>
      </c>
      <c r="U4102">
        <v>23918.34</v>
      </c>
      <c r="V4102">
        <v>8959.75</v>
      </c>
      <c r="W4102">
        <v>8243.07</v>
      </c>
      <c r="X4102">
        <v>53321.78</v>
      </c>
      <c r="Y4102">
        <v>38962.28</v>
      </c>
    </row>
    <row r="4103" spans="1:25" x14ac:dyDescent="0.25">
      <c r="A4103" t="s">
        <v>4159</v>
      </c>
      <c r="B4103" s="1">
        <v>46054</v>
      </c>
      <c r="C4103">
        <v>2026</v>
      </c>
      <c r="D4103">
        <v>2</v>
      </c>
      <c r="E4103" t="s">
        <v>161</v>
      </c>
      <c r="F4103" t="s">
        <v>27</v>
      </c>
      <c r="G4103" t="s">
        <v>35</v>
      </c>
      <c r="H4103" t="s">
        <v>32</v>
      </c>
      <c r="I4103" t="s">
        <v>30</v>
      </c>
      <c r="J4103">
        <v>43</v>
      </c>
      <c r="K4103">
        <v>1790.23</v>
      </c>
      <c r="L4103">
        <v>76980.100000000006</v>
      </c>
      <c r="M4103">
        <v>49047.76</v>
      </c>
      <c r="N4103">
        <v>5651.8</v>
      </c>
      <c r="O4103">
        <v>1943.74</v>
      </c>
      <c r="P4103">
        <v>3071.39</v>
      </c>
      <c r="Q4103">
        <v>1119.43</v>
      </c>
      <c r="R4103">
        <v>4240.3900000000003</v>
      </c>
      <c r="S4103">
        <v>1468.34</v>
      </c>
      <c r="T4103">
        <v>66542.850000000006</v>
      </c>
      <c r="U4103">
        <v>27932.34</v>
      </c>
      <c r="V4103">
        <v>10437.26</v>
      </c>
      <c r="W4103">
        <v>9765.41</v>
      </c>
      <c r="X4103">
        <v>71341.759999999995</v>
      </c>
      <c r="Y4103">
        <v>72151.17</v>
      </c>
    </row>
    <row r="4104" spans="1:25" x14ac:dyDescent="0.25">
      <c r="A4104" t="s">
        <v>4160</v>
      </c>
      <c r="B4104" s="1">
        <v>46054</v>
      </c>
      <c r="C4104">
        <v>2026</v>
      </c>
      <c r="D4104">
        <v>2</v>
      </c>
      <c r="E4104" t="s">
        <v>161</v>
      </c>
      <c r="F4104" t="s">
        <v>27</v>
      </c>
      <c r="G4104" t="s">
        <v>28</v>
      </c>
      <c r="H4104" t="s">
        <v>32</v>
      </c>
      <c r="I4104" t="s">
        <v>56</v>
      </c>
      <c r="J4104">
        <v>34</v>
      </c>
      <c r="K4104">
        <v>1137.05</v>
      </c>
      <c r="L4104">
        <v>38659.68</v>
      </c>
      <c r="M4104">
        <v>25555.79</v>
      </c>
      <c r="N4104">
        <v>3354.75</v>
      </c>
      <c r="O4104">
        <v>2126.98</v>
      </c>
      <c r="P4104">
        <v>824.62</v>
      </c>
      <c r="Q4104">
        <v>278.94</v>
      </c>
      <c r="R4104">
        <v>2256.5500000000002</v>
      </c>
      <c r="S4104">
        <v>810.48</v>
      </c>
      <c r="T4104">
        <v>35208.1</v>
      </c>
      <c r="U4104">
        <v>13103.89</v>
      </c>
      <c r="V4104">
        <v>3451.58</v>
      </c>
      <c r="W4104">
        <v>3060.91</v>
      </c>
      <c r="X4104">
        <v>41363.269999999997</v>
      </c>
      <c r="Y4104">
        <v>36938.6</v>
      </c>
    </row>
    <row r="4105" spans="1:25" x14ac:dyDescent="0.25">
      <c r="A4105" t="s">
        <v>4161</v>
      </c>
      <c r="B4105" s="1">
        <v>46054</v>
      </c>
      <c r="C4105">
        <v>2026</v>
      </c>
      <c r="D4105">
        <v>2</v>
      </c>
      <c r="E4105" t="s">
        <v>161</v>
      </c>
      <c r="F4105" t="s">
        <v>27</v>
      </c>
      <c r="G4105" t="s">
        <v>55</v>
      </c>
      <c r="H4105" t="s">
        <v>32</v>
      </c>
      <c r="I4105" t="s">
        <v>45</v>
      </c>
      <c r="J4105">
        <v>80</v>
      </c>
      <c r="K4105">
        <v>866.3</v>
      </c>
      <c r="L4105">
        <v>69304.25</v>
      </c>
      <c r="M4105">
        <v>36284.910000000003</v>
      </c>
      <c r="N4105">
        <v>5543.6</v>
      </c>
      <c r="O4105">
        <v>4501.72</v>
      </c>
      <c r="P4105">
        <v>2391.56</v>
      </c>
      <c r="Q4105">
        <v>747.57</v>
      </c>
      <c r="R4105">
        <v>4459.78</v>
      </c>
      <c r="S4105">
        <v>1399.19</v>
      </c>
      <c r="T4105">
        <v>55328.33</v>
      </c>
      <c r="U4105">
        <v>33019.339999999997</v>
      </c>
      <c r="V4105">
        <v>13975.92</v>
      </c>
      <c r="W4105">
        <v>12357.51</v>
      </c>
      <c r="X4105">
        <v>72930.05</v>
      </c>
      <c r="Y4105">
        <v>55242.65</v>
      </c>
    </row>
    <row r="4106" spans="1:25" x14ac:dyDescent="0.25">
      <c r="A4106" t="s">
        <v>4162</v>
      </c>
      <c r="B4106" s="1">
        <v>46054</v>
      </c>
      <c r="C4106">
        <v>2026</v>
      </c>
      <c r="D4106">
        <v>2</v>
      </c>
      <c r="E4106" t="s">
        <v>161</v>
      </c>
      <c r="F4106" t="s">
        <v>27</v>
      </c>
      <c r="G4106" t="s">
        <v>44</v>
      </c>
      <c r="H4106" t="s">
        <v>32</v>
      </c>
      <c r="I4106" t="s">
        <v>37</v>
      </c>
      <c r="J4106">
        <v>38</v>
      </c>
      <c r="K4106">
        <v>1660.09</v>
      </c>
      <c r="L4106">
        <v>63083.3</v>
      </c>
      <c r="M4106">
        <v>36486.230000000003</v>
      </c>
      <c r="N4106">
        <v>4742.87</v>
      </c>
      <c r="O4106">
        <v>3637.62</v>
      </c>
      <c r="P4106">
        <v>2452.91</v>
      </c>
      <c r="Q4106">
        <v>450.1</v>
      </c>
      <c r="R4106">
        <v>2503.27</v>
      </c>
      <c r="S4106">
        <v>585.07000000000005</v>
      </c>
      <c r="T4106">
        <v>50858.07</v>
      </c>
      <c r="U4106">
        <v>26597.08</v>
      </c>
      <c r="V4106">
        <v>12225.24</v>
      </c>
      <c r="W4106">
        <v>11384.81</v>
      </c>
      <c r="X4106">
        <v>67941.210000000006</v>
      </c>
      <c r="Y4106">
        <v>51880.14</v>
      </c>
    </row>
    <row r="4107" spans="1:25" x14ac:dyDescent="0.25">
      <c r="A4107" t="s">
        <v>4163</v>
      </c>
      <c r="B4107" s="1">
        <v>46055</v>
      </c>
      <c r="C4107">
        <v>2026</v>
      </c>
      <c r="D4107">
        <v>2</v>
      </c>
      <c r="E4107" t="s">
        <v>161</v>
      </c>
      <c r="F4107" t="s">
        <v>27</v>
      </c>
      <c r="G4107" t="s">
        <v>35</v>
      </c>
      <c r="H4107" t="s">
        <v>32</v>
      </c>
      <c r="I4107" t="s">
        <v>50</v>
      </c>
      <c r="J4107">
        <v>27</v>
      </c>
      <c r="K4107">
        <v>1638.13</v>
      </c>
      <c r="L4107">
        <v>44229.52</v>
      </c>
      <c r="M4107">
        <v>28183.81</v>
      </c>
      <c r="N4107">
        <v>3167.9</v>
      </c>
      <c r="O4107">
        <v>2051.1999999999998</v>
      </c>
      <c r="P4107">
        <v>1613.65</v>
      </c>
      <c r="Q4107">
        <v>491.87</v>
      </c>
      <c r="R4107">
        <v>1926.75</v>
      </c>
      <c r="S4107">
        <v>898.53</v>
      </c>
      <c r="T4107">
        <v>38333.72</v>
      </c>
      <c r="U4107">
        <v>16045.71</v>
      </c>
      <c r="V4107">
        <v>5895.8</v>
      </c>
      <c r="W4107">
        <v>5492.79</v>
      </c>
      <c r="X4107">
        <v>45033.06</v>
      </c>
      <c r="Y4107">
        <v>35671.46</v>
      </c>
    </row>
    <row r="4108" spans="1:25" x14ac:dyDescent="0.25">
      <c r="A4108" t="s">
        <v>4164</v>
      </c>
      <c r="B4108" s="1">
        <v>46056</v>
      </c>
      <c r="C4108">
        <v>2026</v>
      </c>
      <c r="D4108">
        <v>2</v>
      </c>
      <c r="E4108" t="s">
        <v>161</v>
      </c>
      <c r="F4108" t="s">
        <v>27</v>
      </c>
      <c r="G4108" t="s">
        <v>55</v>
      </c>
      <c r="H4108" t="s">
        <v>53</v>
      </c>
      <c r="I4108" t="s">
        <v>30</v>
      </c>
      <c r="J4108">
        <v>79</v>
      </c>
      <c r="K4108">
        <v>1322.69</v>
      </c>
      <c r="L4108">
        <v>104492.73</v>
      </c>
      <c r="M4108">
        <v>67156.490000000005</v>
      </c>
      <c r="N4108">
        <v>7644.07</v>
      </c>
      <c r="O4108">
        <v>4525.97</v>
      </c>
      <c r="P4108">
        <v>2757.54</v>
      </c>
      <c r="Q4108">
        <v>909.54</v>
      </c>
      <c r="R4108">
        <v>6173.42</v>
      </c>
      <c r="S4108">
        <v>1664.38</v>
      </c>
      <c r="T4108">
        <v>90831.41</v>
      </c>
      <c r="U4108">
        <v>37336.239999999998</v>
      </c>
      <c r="V4108">
        <v>13661.32</v>
      </c>
      <c r="W4108">
        <v>13265.15</v>
      </c>
      <c r="X4108">
        <v>114444.08</v>
      </c>
      <c r="Y4108">
        <v>88790.53</v>
      </c>
    </row>
    <row r="4109" spans="1:25" x14ac:dyDescent="0.25">
      <c r="A4109" t="s">
        <v>4165</v>
      </c>
      <c r="B4109" s="1">
        <v>46056</v>
      </c>
      <c r="C4109">
        <v>2026</v>
      </c>
      <c r="D4109">
        <v>2</v>
      </c>
      <c r="E4109" t="s">
        <v>161</v>
      </c>
      <c r="F4109" t="s">
        <v>27</v>
      </c>
      <c r="G4109" t="s">
        <v>28</v>
      </c>
      <c r="H4109" t="s">
        <v>32</v>
      </c>
      <c r="I4109" t="s">
        <v>50</v>
      </c>
      <c r="J4109">
        <v>82</v>
      </c>
      <c r="K4109">
        <v>936.14</v>
      </c>
      <c r="L4109">
        <v>76763.14</v>
      </c>
      <c r="M4109">
        <v>39476.99</v>
      </c>
      <c r="N4109">
        <v>6078.66</v>
      </c>
      <c r="O4109">
        <v>5121.79</v>
      </c>
      <c r="P4109">
        <v>2703.9</v>
      </c>
      <c r="Q4109">
        <v>498.73</v>
      </c>
      <c r="R4109">
        <v>1948</v>
      </c>
      <c r="S4109">
        <v>1791.1</v>
      </c>
      <c r="T4109">
        <v>57619.16</v>
      </c>
      <c r="U4109">
        <v>37286.160000000003</v>
      </c>
      <c r="V4109">
        <v>19143.990000000002</v>
      </c>
      <c r="W4109">
        <v>18878.98</v>
      </c>
      <c r="X4109">
        <v>75680.17</v>
      </c>
      <c r="Y4109">
        <v>63281.58</v>
      </c>
    </row>
    <row r="4110" spans="1:25" x14ac:dyDescent="0.25">
      <c r="A4110" t="s">
        <v>4166</v>
      </c>
      <c r="B4110" s="1">
        <v>46056</v>
      </c>
      <c r="C4110">
        <v>2026</v>
      </c>
      <c r="D4110">
        <v>2</v>
      </c>
      <c r="E4110" t="s">
        <v>161</v>
      </c>
      <c r="F4110" t="s">
        <v>27</v>
      </c>
      <c r="G4110" t="s">
        <v>28</v>
      </c>
      <c r="H4110" t="s">
        <v>58</v>
      </c>
      <c r="I4110" t="s">
        <v>30</v>
      </c>
      <c r="J4110">
        <v>127</v>
      </c>
      <c r="K4110">
        <v>814.45</v>
      </c>
      <c r="L4110">
        <v>103435.71</v>
      </c>
      <c r="M4110">
        <v>52892.41</v>
      </c>
      <c r="N4110">
        <v>12492.5</v>
      </c>
      <c r="O4110">
        <v>3151.66</v>
      </c>
      <c r="P4110">
        <v>3746.72</v>
      </c>
      <c r="Q4110">
        <v>684.79</v>
      </c>
      <c r="R4110">
        <v>3014.15</v>
      </c>
      <c r="S4110">
        <v>1089.96</v>
      </c>
      <c r="T4110">
        <v>77072.19</v>
      </c>
      <c r="U4110">
        <v>50543.29</v>
      </c>
      <c r="V4110">
        <v>26363.51</v>
      </c>
      <c r="W4110">
        <v>24562.89</v>
      </c>
      <c r="X4110">
        <v>109617.22</v>
      </c>
      <c r="Y4110">
        <v>75991.490000000005</v>
      </c>
    </row>
    <row r="4111" spans="1:25" x14ac:dyDescent="0.25">
      <c r="A4111" t="s">
        <v>4167</v>
      </c>
      <c r="B4111" s="1">
        <v>46056</v>
      </c>
      <c r="C4111">
        <v>2026</v>
      </c>
      <c r="D4111">
        <v>2</v>
      </c>
      <c r="E4111" t="s">
        <v>161</v>
      </c>
      <c r="F4111" t="s">
        <v>27</v>
      </c>
      <c r="G4111" t="s">
        <v>44</v>
      </c>
      <c r="H4111" t="s">
        <v>32</v>
      </c>
      <c r="I4111" t="s">
        <v>37</v>
      </c>
      <c r="J4111">
        <v>86</v>
      </c>
      <c r="K4111">
        <v>890.87</v>
      </c>
      <c r="L4111">
        <v>76614.8</v>
      </c>
      <c r="M4111">
        <v>39364.58</v>
      </c>
      <c r="N4111">
        <v>7423.89</v>
      </c>
      <c r="O4111">
        <v>3949.82</v>
      </c>
      <c r="P4111">
        <v>2158.1</v>
      </c>
      <c r="Q4111">
        <v>1056.9000000000001</v>
      </c>
      <c r="R4111">
        <v>2160.71</v>
      </c>
      <c r="S4111">
        <v>1451.59</v>
      </c>
      <c r="T4111">
        <v>57565.58</v>
      </c>
      <c r="U4111">
        <v>37250.22</v>
      </c>
      <c r="V4111">
        <v>19049.22</v>
      </c>
      <c r="W4111">
        <v>16990.41</v>
      </c>
      <c r="X4111">
        <v>72474.61</v>
      </c>
      <c r="Y4111">
        <v>56598.67</v>
      </c>
    </row>
    <row r="4112" spans="1:25" x14ac:dyDescent="0.25">
      <c r="A4112" t="s">
        <v>4168</v>
      </c>
      <c r="B4112" s="1">
        <v>46057</v>
      </c>
      <c r="C4112">
        <v>2026</v>
      </c>
      <c r="D4112">
        <v>2</v>
      </c>
      <c r="E4112" t="s">
        <v>161</v>
      </c>
      <c r="F4112" t="s">
        <v>27</v>
      </c>
      <c r="G4112" t="s">
        <v>28</v>
      </c>
      <c r="H4112" t="s">
        <v>53</v>
      </c>
      <c r="I4112" t="s">
        <v>30</v>
      </c>
      <c r="J4112">
        <v>45</v>
      </c>
      <c r="K4112">
        <v>1684.68</v>
      </c>
      <c r="L4112">
        <v>75810.710000000006</v>
      </c>
      <c r="M4112">
        <v>39202.400000000001</v>
      </c>
      <c r="N4112">
        <v>7804</v>
      </c>
      <c r="O4112">
        <v>2321.8000000000002</v>
      </c>
      <c r="P4112">
        <v>1469.52</v>
      </c>
      <c r="Q4112">
        <v>387.97</v>
      </c>
      <c r="R4112">
        <v>3836.7</v>
      </c>
      <c r="S4112">
        <v>1579.27</v>
      </c>
      <c r="T4112">
        <v>56601.67</v>
      </c>
      <c r="U4112">
        <v>36608.300000000003</v>
      </c>
      <c r="V4112">
        <v>19209.04</v>
      </c>
      <c r="W4112">
        <v>17972.61</v>
      </c>
      <c r="X4112">
        <v>77925.820000000007</v>
      </c>
      <c r="Y4112">
        <v>53982.67</v>
      </c>
    </row>
    <row r="4113" spans="1:25" x14ac:dyDescent="0.25">
      <c r="A4113" t="s">
        <v>4169</v>
      </c>
      <c r="B4113" s="1">
        <v>46057</v>
      </c>
      <c r="C4113">
        <v>2026</v>
      </c>
      <c r="D4113">
        <v>2</v>
      </c>
      <c r="E4113" t="s">
        <v>161</v>
      </c>
      <c r="F4113" t="s">
        <v>27</v>
      </c>
      <c r="G4113" t="s">
        <v>28</v>
      </c>
      <c r="H4113" t="s">
        <v>32</v>
      </c>
      <c r="I4113" t="s">
        <v>37</v>
      </c>
      <c r="J4113">
        <v>64</v>
      </c>
      <c r="K4113">
        <v>995.61</v>
      </c>
      <c r="L4113">
        <v>63719.13</v>
      </c>
      <c r="M4113">
        <v>31228.959999999999</v>
      </c>
      <c r="N4113">
        <v>5362.39</v>
      </c>
      <c r="O4113">
        <v>1741.84</v>
      </c>
      <c r="P4113">
        <v>2106.73</v>
      </c>
      <c r="Q4113">
        <v>580.16999999999996</v>
      </c>
      <c r="R4113">
        <v>3699.36</v>
      </c>
      <c r="S4113">
        <v>1213.6199999999999</v>
      </c>
      <c r="T4113">
        <v>45933.07</v>
      </c>
      <c r="U4113">
        <v>32490.17</v>
      </c>
      <c r="V4113">
        <v>17786.060000000001</v>
      </c>
      <c r="W4113">
        <v>17022.47</v>
      </c>
      <c r="X4113">
        <v>59917.83</v>
      </c>
      <c r="Y4113">
        <v>46841.51</v>
      </c>
    </row>
    <row r="4114" spans="1:25" x14ac:dyDescent="0.25">
      <c r="A4114" t="s">
        <v>4170</v>
      </c>
      <c r="B4114" s="1">
        <v>46057</v>
      </c>
      <c r="C4114">
        <v>2026</v>
      </c>
      <c r="D4114">
        <v>2</v>
      </c>
      <c r="E4114" t="s">
        <v>161</v>
      </c>
      <c r="F4114" t="s">
        <v>27</v>
      </c>
      <c r="G4114" t="s">
        <v>44</v>
      </c>
      <c r="H4114" t="s">
        <v>53</v>
      </c>
      <c r="I4114" t="s">
        <v>30</v>
      </c>
      <c r="J4114">
        <v>46</v>
      </c>
      <c r="K4114">
        <v>1347.14</v>
      </c>
      <c r="L4114">
        <v>61968.65</v>
      </c>
      <c r="M4114">
        <v>34748.81</v>
      </c>
      <c r="N4114">
        <v>4588.76</v>
      </c>
      <c r="O4114">
        <v>2196.19</v>
      </c>
      <c r="P4114">
        <v>1800.01</v>
      </c>
      <c r="Q4114">
        <v>1056.81</v>
      </c>
      <c r="R4114">
        <v>3882.69</v>
      </c>
      <c r="S4114">
        <v>584.77</v>
      </c>
      <c r="T4114">
        <v>48858.04</v>
      </c>
      <c r="U4114">
        <v>27219.85</v>
      </c>
      <c r="V4114">
        <v>13110.61</v>
      </c>
      <c r="W4114">
        <v>12415.15</v>
      </c>
      <c r="X4114">
        <v>67470.37</v>
      </c>
      <c r="Y4114">
        <v>52257.19</v>
      </c>
    </row>
    <row r="4115" spans="1:25" x14ac:dyDescent="0.25">
      <c r="A4115" t="s">
        <v>4171</v>
      </c>
      <c r="B4115" s="1">
        <v>46057</v>
      </c>
      <c r="C4115">
        <v>2026</v>
      </c>
      <c r="D4115">
        <v>2</v>
      </c>
      <c r="E4115" t="s">
        <v>161</v>
      </c>
      <c r="F4115" t="s">
        <v>27</v>
      </c>
      <c r="G4115" t="s">
        <v>28</v>
      </c>
      <c r="H4115" t="s">
        <v>32</v>
      </c>
      <c r="I4115" t="s">
        <v>65</v>
      </c>
      <c r="J4115">
        <v>55</v>
      </c>
      <c r="K4115">
        <v>1081.3499999999999</v>
      </c>
      <c r="L4115">
        <v>59474.23</v>
      </c>
      <c r="M4115">
        <v>31212.7</v>
      </c>
      <c r="N4115">
        <v>4771.87</v>
      </c>
      <c r="O4115">
        <v>3620.5</v>
      </c>
      <c r="P4115">
        <v>2384.17</v>
      </c>
      <c r="Q4115">
        <v>464.01</v>
      </c>
      <c r="R4115">
        <v>2283.79</v>
      </c>
      <c r="S4115">
        <v>1043.51</v>
      </c>
      <c r="T4115">
        <v>45780.55</v>
      </c>
      <c r="U4115">
        <v>28261.53</v>
      </c>
      <c r="V4115">
        <v>13693.68</v>
      </c>
      <c r="W4115">
        <v>13437.09</v>
      </c>
      <c r="X4115">
        <v>63861.25</v>
      </c>
      <c r="Y4115">
        <v>47828.41</v>
      </c>
    </row>
    <row r="4116" spans="1:25" x14ac:dyDescent="0.25">
      <c r="A4116" t="s">
        <v>4172</v>
      </c>
      <c r="B4116" s="1">
        <v>46058</v>
      </c>
      <c r="C4116">
        <v>2026</v>
      </c>
      <c r="D4116">
        <v>2</v>
      </c>
      <c r="E4116" t="s">
        <v>161</v>
      </c>
      <c r="F4116" t="s">
        <v>27</v>
      </c>
      <c r="G4116" t="s">
        <v>28</v>
      </c>
      <c r="H4116" t="s">
        <v>53</v>
      </c>
      <c r="I4116" t="s">
        <v>50</v>
      </c>
      <c r="J4116">
        <v>26</v>
      </c>
      <c r="K4116">
        <v>1425.25</v>
      </c>
      <c r="L4116">
        <v>37056.620000000003</v>
      </c>
      <c r="M4116">
        <v>20322.099999999999</v>
      </c>
      <c r="N4116">
        <v>3801.28</v>
      </c>
      <c r="O4116">
        <v>1586.56</v>
      </c>
      <c r="P4116">
        <v>1546.21</v>
      </c>
      <c r="Q4116">
        <v>299.7</v>
      </c>
      <c r="R4116">
        <v>975.8</v>
      </c>
      <c r="S4116">
        <v>725.09</v>
      </c>
      <c r="T4116">
        <v>29256.75</v>
      </c>
      <c r="U4116">
        <v>16734.52</v>
      </c>
      <c r="V4116">
        <v>7799.87</v>
      </c>
      <c r="W4116">
        <v>7904.05</v>
      </c>
      <c r="X4116">
        <v>35220.31</v>
      </c>
      <c r="Y4116">
        <v>31438.58</v>
      </c>
    </row>
    <row r="4117" spans="1:25" x14ac:dyDescent="0.25">
      <c r="A4117" t="s">
        <v>4173</v>
      </c>
      <c r="B4117" s="1">
        <v>46058</v>
      </c>
      <c r="C4117">
        <v>2026</v>
      </c>
      <c r="D4117">
        <v>2</v>
      </c>
      <c r="E4117" t="s">
        <v>161</v>
      </c>
      <c r="F4117" t="s">
        <v>27</v>
      </c>
      <c r="G4117" t="s">
        <v>35</v>
      </c>
      <c r="H4117" t="s">
        <v>36</v>
      </c>
      <c r="I4117" t="s">
        <v>45</v>
      </c>
      <c r="J4117">
        <v>22</v>
      </c>
      <c r="K4117">
        <v>1783.74</v>
      </c>
      <c r="L4117">
        <v>39242.339999999997</v>
      </c>
      <c r="M4117">
        <v>21091.39</v>
      </c>
      <c r="N4117">
        <v>4329.66</v>
      </c>
      <c r="O4117">
        <v>2883.6</v>
      </c>
      <c r="P4117">
        <v>908.47</v>
      </c>
      <c r="Q4117">
        <v>346.27</v>
      </c>
      <c r="R4117">
        <v>1384.05</v>
      </c>
      <c r="S4117">
        <v>898.86</v>
      </c>
      <c r="T4117">
        <v>31842.3</v>
      </c>
      <c r="U4117">
        <v>18150.95</v>
      </c>
      <c r="V4117">
        <v>7400.04</v>
      </c>
      <c r="W4117">
        <v>7438.13</v>
      </c>
      <c r="X4117">
        <v>43480.38</v>
      </c>
      <c r="Y4117">
        <v>33145.199999999997</v>
      </c>
    </row>
    <row r="4118" spans="1:25" x14ac:dyDescent="0.25">
      <c r="A4118" t="s">
        <v>4174</v>
      </c>
      <c r="B4118" s="1">
        <v>46058</v>
      </c>
      <c r="C4118">
        <v>2026</v>
      </c>
      <c r="D4118">
        <v>2</v>
      </c>
      <c r="E4118" t="s">
        <v>161</v>
      </c>
      <c r="F4118" t="s">
        <v>27</v>
      </c>
      <c r="G4118" t="s">
        <v>55</v>
      </c>
      <c r="H4118" t="s">
        <v>36</v>
      </c>
      <c r="I4118" t="s">
        <v>39</v>
      </c>
      <c r="J4118">
        <v>61</v>
      </c>
      <c r="K4118">
        <v>884.26</v>
      </c>
      <c r="L4118">
        <v>53939.57</v>
      </c>
      <c r="M4118">
        <v>36449.699999999997</v>
      </c>
      <c r="N4118">
        <v>6647.74</v>
      </c>
      <c r="O4118">
        <v>2978.08</v>
      </c>
      <c r="P4118">
        <v>2009.08</v>
      </c>
      <c r="Q4118">
        <v>488.39</v>
      </c>
      <c r="R4118">
        <v>3068.5</v>
      </c>
      <c r="S4118">
        <v>961.43</v>
      </c>
      <c r="T4118">
        <v>52602.92</v>
      </c>
      <c r="U4118">
        <v>17489.88</v>
      </c>
      <c r="V4118">
        <v>1336.65</v>
      </c>
      <c r="W4118">
        <v>1357.91</v>
      </c>
      <c r="X4118">
        <v>57331.26</v>
      </c>
      <c r="Y4118">
        <v>56235.03</v>
      </c>
    </row>
    <row r="4119" spans="1:25" x14ac:dyDescent="0.25">
      <c r="A4119" t="s">
        <v>4175</v>
      </c>
      <c r="B4119" s="1">
        <v>46058</v>
      </c>
      <c r="C4119">
        <v>2026</v>
      </c>
      <c r="D4119">
        <v>2</v>
      </c>
      <c r="E4119" t="s">
        <v>161</v>
      </c>
      <c r="F4119" t="s">
        <v>27</v>
      </c>
      <c r="G4119" t="s">
        <v>55</v>
      </c>
      <c r="H4119" t="s">
        <v>29</v>
      </c>
      <c r="I4119" t="s">
        <v>30</v>
      </c>
      <c r="J4119">
        <v>66</v>
      </c>
      <c r="K4119">
        <v>1695.53</v>
      </c>
      <c r="L4119">
        <v>111905.2</v>
      </c>
      <c r="M4119">
        <v>58645.279999999999</v>
      </c>
      <c r="N4119">
        <v>11218.22</v>
      </c>
      <c r="O4119">
        <v>6232.83</v>
      </c>
      <c r="P4119">
        <v>4132.7</v>
      </c>
      <c r="Q4119">
        <v>881.11</v>
      </c>
      <c r="R4119">
        <v>3785.67</v>
      </c>
      <c r="S4119">
        <v>1387.15</v>
      </c>
      <c r="T4119">
        <v>86282.95</v>
      </c>
      <c r="U4119">
        <v>53259.92</v>
      </c>
      <c r="V4119">
        <v>25622.25</v>
      </c>
      <c r="W4119">
        <v>25586.22</v>
      </c>
      <c r="X4119">
        <v>104581.38</v>
      </c>
      <c r="Y4119">
        <v>84557.01</v>
      </c>
    </row>
    <row r="4120" spans="1:25" x14ac:dyDescent="0.25">
      <c r="A4120" t="s">
        <v>4176</v>
      </c>
      <c r="B4120" s="1">
        <v>46059</v>
      </c>
      <c r="C4120">
        <v>2026</v>
      </c>
      <c r="D4120">
        <v>2</v>
      </c>
      <c r="E4120" t="s">
        <v>161</v>
      </c>
      <c r="F4120" t="s">
        <v>27</v>
      </c>
      <c r="G4120" t="s">
        <v>44</v>
      </c>
      <c r="H4120" t="s">
        <v>58</v>
      </c>
      <c r="I4120" t="s">
        <v>45</v>
      </c>
      <c r="J4120">
        <v>40</v>
      </c>
      <c r="K4120">
        <v>1033.4000000000001</v>
      </c>
      <c r="L4120">
        <v>41336.160000000003</v>
      </c>
      <c r="M4120">
        <v>27728.71</v>
      </c>
      <c r="N4120">
        <v>3852.29</v>
      </c>
      <c r="O4120">
        <v>2054.4499999999998</v>
      </c>
      <c r="P4120">
        <v>641.14</v>
      </c>
      <c r="Q4120">
        <v>725.01</v>
      </c>
      <c r="R4120">
        <v>1116.29</v>
      </c>
      <c r="S4120">
        <v>338.46</v>
      </c>
      <c r="T4120">
        <v>36456.339999999997</v>
      </c>
      <c r="U4120">
        <v>13607.45</v>
      </c>
      <c r="V4120">
        <v>4879.82</v>
      </c>
      <c r="W4120">
        <v>4854.1899999999996</v>
      </c>
      <c r="X4120">
        <v>44861.73</v>
      </c>
      <c r="Y4120">
        <v>37634.86</v>
      </c>
    </row>
    <row r="4121" spans="1:25" x14ac:dyDescent="0.25">
      <c r="A4121" t="s">
        <v>4177</v>
      </c>
      <c r="B4121" s="1">
        <v>46059</v>
      </c>
      <c r="C4121">
        <v>2026</v>
      </c>
      <c r="D4121">
        <v>2</v>
      </c>
      <c r="E4121" t="s">
        <v>161</v>
      </c>
      <c r="F4121" t="s">
        <v>27</v>
      </c>
      <c r="G4121" t="s">
        <v>55</v>
      </c>
      <c r="H4121" t="s">
        <v>58</v>
      </c>
      <c r="I4121" t="s">
        <v>37</v>
      </c>
      <c r="J4121">
        <v>48</v>
      </c>
      <c r="K4121">
        <v>1644.68</v>
      </c>
      <c r="L4121">
        <v>78944.86</v>
      </c>
      <c r="M4121">
        <v>38833.550000000003</v>
      </c>
      <c r="N4121">
        <v>5850.53</v>
      </c>
      <c r="O4121">
        <v>3300.74</v>
      </c>
      <c r="P4121">
        <v>2176.04</v>
      </c>
      <c r="Q4121">
        <v>807.83</v>
      </c>
      <c r="R4121">
        <v>4631.17</v>
      </c>
      <c r="S4121">
        <v>1046.53</v>
      </c>
      <c r="T4121">
        <v>56646.39</v>
      </c>
      <c r="U4121">
        <v>40111.32</v>
      </c>
      <c r="V4121">
        <v>22298.47</v>
      </c>
      <c r="W4121">
        <v>21333.75</v>
      </c>
      <c r="X4121">
        <v>88098.83</v>
      </c>
      <c r="Y4121">
        <v>54307.49</v>
      </c>
    </row>
    <row r="4122" spans="1:25" x14ac:dyDescent="0.25">
      <c r="A4122" t="s">
        <v>4178</v>
      </c>
      <c r="B4122" s="1">
        <v>46059</v>
      </c>
      <c r="C4122">
        <v>2026</v>
      </c>
      <c r="D4122">
        <v>2</v>
      </c>
      <c r="E4122" t="s">
        <v>161</v>
      </c>
      <c r="F4122" t="s">
        <v>27</v>
      </c>
      <c r="G4122" t="s">
        <v>55</v>
      </c>
      <c r="H4122" t="s">
        <v>36</v>
      </c>
      <c r="I4122" t="s">
        <v>33</v>
      </c>
      <c r="J4122">
        <v>51</v>
      </c>
      <c r="K4122">
        <v>1251.07</v>
      </c>
      <c r="L4122">
        <v>63804.63</v>
      </c>
      <c r="M4122">
        <v>32279.1</v>
      </c>
      <c r="N4122">
        <v>6565.43</v>
      </c>
      <c r="O4122">
        <v>1758.73</v>
      </c>
      <c r="P4122">
        <v>2164.83</v>
      </c>
      <c r="Q4122">
        <v>375.46</v>
      </c>
      <c r="R4122">
        <v>2982.52</v>
      </c>
      <c r="S4122">
        <v>1231.3399999999999</v>
      </c>
      <c r="T4122">
        <v>47357.41</v>
      </c>
      <c r="U4122">
        <v>31525.54</v>
      </c>
      <c r="V4122">
        <v>16447.23</v>
      </c>
      <c r="W4122">
        <v>15660.42</v>
      </c>
      <c r="X4122">
        <v>67699.789999999994</v>
      </c>
      <c r="Y4122">
        <v>50120.27</v>
      </c>
    </row>
    <row r="4123" spans="1:25" x14ac:dyDescent="0.25">
      <c r="A4123" t="s">
        <v>4179</v>
      </c>
      <c r="B4123" s="1">
        <v>46059</v>
      </c>
      <c r="C4123">
        <v>2026</v>
      </c>
      <c r="D4123">
        <v>2</v>
      </c>
      <c r="E4123" t="s">
        <v>161</v>
      </c>
      <c r="F4123" t="s">
        <v>27</v>
      </c>
      <c r="G4123" t="s">
        <v>35</v>
      </c>
      <c r="H4123" t="s">
        <v>29</v>
      </c>
      <c r="I4123" t="s">
        <v>50</v>
      </c>
      <c r="J4123">
        <v>37</v>
      </c>
      <c r="K4123">
        <v>1180.27</v>
      </c>
      <c r="L4123">
        <v>43670.11</v>
      </c>
      <c r="M4123">
        <v>24041.66</v>
      </c>
      <c r="N4123">
        <v>3113.01</v>
      </c>
      <c r="O4123">
        <v>2869.09</v>
      </c>
      <c r="P4123">
        <v>819.5</v>
      </c>
      <c r="Q4123">
        <v>726.03</v>
      </c>
      <c r="R4123">
        <v>2211.7399999999998</v>
      </c>
      <c r="S4123">
        <v>951.25</v>
      </c>
      <c r="T4123">
        <v>34732.28</v>
      </c>
      <c r="U4123">
        <v>19628.45</v>
      </c>
      <c r="V4123">
        <v>8937.83</v>
      </c>
      <c r="W4123">
        <v>9094.65</v>
      </c>
      <c r="X4123">
        <v>45368.33</v>
      </c>
      <c r="Y4123">
        <v>36935.58</v>
      </c>
    </row>
    <row r="4124" spans="1:25" x14ac:dyDescent="0.25">
      <c r="A4124" t="s">
        <v>4180</v>
      </c>
      <c r="B4124" s="1">
        <v>46059</v>
      </c>
      <c r="C4124">
        <v>2026</v>
      </c>
      <c r="D4124">
        <v>2</v>
      </c>
      <c r="E4124" t="s">
        <v>161</v>
      </c>
      <c r="F4124" t="s">
        <v>27</v>
      </c>
      <c r="G4124" t="s">
        <v>55</v>
      </c>
      <c r="H4124" t="s">
        <v>53</v>
      </c>
      <c r="I4124" t="s">
        <v>45</v>
      </c>
      <c r="J4124">
        <v>47</v>
      </c>
      <c r="K4124">
        <v>1071.1500000000001</v>
      </c>
      <c r="L4124">
        <v>50344.18</v>
      </c>
      <c r="M4124">
        <v>24775.35</v>
      </c>
      <c r="N4124">
        <v>5007.24</v>
      </c>
      <c r="O4124">
        <v>3144.2</v>
      </c>
      <c r="P4124">
        <v>913.57</v>
      </c>
      <c r="Q4124">
        <v>308.24</v>
      </c>
      <c r="R4124">
        <v>2063.87</v>
      </c>
      <c r="S4124">
        <v>780.16</v>
      </c>
      <c r="T4124">
        <v>36992.620000000003</v>
      </c>
      <c r="U4124">
        <v>25568.83</v>
      </c>
      <c r="V4124">
        <v>13351.56</v>
      </c>
      <c r="W4124">
        <v>12347.09</v>
      </c>
      <c r="X4124">
        <v>56127.64</v>
      </c>
      <c r="Y4124">
        <v>36147.629999999997</v>
      </c>
    </row>
    <row r="4125" spans="1:25" x14ac:dyDescent="0.25">
      <c r="A4125" t="s">
        <v>4181</v>
      </c>
      <c r="B4125" s="1">
        <v>46059</v>
      </c>
      <c r="C4125">
        <v>2026</v>
      </c>
      <c r="D4125">
        <v>2</v>
      </c>
      <c r="E4125" t="s">
        <v>161</v>
      </c>
      <c r="F4125" t="s">
        <v>27</v>
      </c>
      <c r="G4125" t="s">
        <v>55</v>
      </c>
      <c r="H4125" t="s">
        <v>29</v>
      </c>
      <c r="I4125" t="s">
        <v>50</v>
      </c>
      <c r="J4125">
        <v>51</v>
      </c>
      <c r="K4125">
        <v>1135.19</v>
      </c>
      <c r="L4125">
        <v>57894.7</v>
      </c>
      <c r="M4125">
        <v>34528.76</v>
      </c>
      <c r="N4125">
        <v>4385.01</v>
      </c>
      <c r="O4125">
        <v>3845.48</v>
      </c>
      <c r="P4125">
        <v>1763.37</v>
      </c>
      <c r="Q4125">
        <v>824.12</v>
      </c>
      <c r="R4125">
        <v>1753.82</v>
      </c>
      <c r="S4125">
        <v>1425.52</v>
      </c>
      <c r="T4125">
        <v>48526.09</v>
      </c>
      <c r="U4125">
        <v>23365.94</v>
      </c>
      <c r="V4125">
        <v>9368.6200000000008</v>
      </c>
      <c r="W4125">
        <v>8703.32</v>
      </c>
      <c r="X4125">
        <v>61003.28</v>
      </c>
      <c r="Y4125">
        <v>49767.76</v>
      </c>
    </row>
    <row r="4126" spans="1:25" x14ac:dyDescent="0.25">
      <c r="A4126" t="s">
        <v>4182</v>
      </c>
      <c r="B4126" s="1">
        <v>46059</v>
      </c>
      <c r="C4126">
        <v>2026</v>
      </c>
      <c r="D4126">
        <v>2</v>
      </c>
      <c r="E4126" t="s">
        <v>161</v>
      </c>
      <c r="F4126" t="s">
        <v>27</v>
      </c>
      <c r="G4126" t="s">
        <v>55</v>
      </c>
      <c r="H4126" t="s">
        <v>58</v>
      </c>
      <c r="I4126" t="s">
        <v>45</v>
      </c>
      <c r="J4126">
        <v>45</v>
      </c>
      <c r="K4126">
        <v>1013.21</v>
      </c>
      <c r="L4126">
        <v>45594.54</v>
      </c>
      <c r="M4126">
        <v>22178.2</v>
      </c>
      <c r="N4126">
        <v>4513.34</v>
      </c>
      <c r="O4126">
        <v>1996.85</v>
      </c>
      <c r="P4126">
        <v>1158.68</v>
      </c>
      <c r="Q4126">
        <v>616.64</v>
      </c>
      <c r="R4126">
        <v>2504.85</v>
      </c>
      <c r="S4126">
        <v>894.65</v>
      </c>
      <c r="T4126">
        <v>33863.21</v>
      </c>
      <c r="U4126">
        <v>23416.34</v>
      </c>
      <c r="V4126">
        <v>11731.33</v>
      </c>
      <c r="W4126">
        <v>11877.36</v>
      </c>
      <c r="X4126">
        <v>43045.24</v>
      </c>
      <c r="Y4126">
        <v>36173.39</v>
      </c>
    </row>
    <row r="4127" spans="1:25" x14ac:dyDescent="0.25">
      <c r="A4127" t="s">
        <v>4183</v>
      </c>
      <c r="B4127" s="1">
        <v>46060</v>
      </c>
      <c r="C4127">
        <v>2026</v>
      </c>
      <c r="D4127">
        <v>2</v>
      </c>
      <c r="E4127" t="s">
        <v>161</v>
      </c>
      <c r="F4127" t="s">
        <v>27</v>
      </c>
      <c r="G4127" t="s">
        <v>28</v>
      </c>
      <c r="H4127" t="s">
        <v>32</v>
      </c>
      <c r="I4127" t="s">
        <v>33</v>
      </c>
      <c r="J4127">
        <v>46</v>
      </c>
      <c r="K4127">
        <v>1764.96</v>
      </c>
      <c r="L4127">
        <v>81188.259999999995</v>
      </c>
      <c r="M4127">
        <v>44072.1</v>
      </c>
      <c r="N4127">
        <v>7582.78</v>
      </c>
      <c r="O4127">
        <v>3323.67</v>
      </c>
      <c r="P4127">
        <v>2578.34</v>
      </c>
      <c r="Q4127">
        <v>805.78</v>
      </c>
      <c r="R4127">
        <v>2261.7199999999998</v>
      </c>
      <c r="S4127">
        <v>1511.58</v>
      </c>
      <c r="T4127">
        <v>62135.96</v>
      </c>
      <c r="U4127">
        <v>37116.160000000003</v>
      </c>
      <c r="V4127">
        <v>19052.29</v>
      </c>
      <c r="W4127">
        <v>19412.14</v>
      </c>
      <c r="X4127">
        <v>78034.47</v>
      </c>
      <c r="Y4127">
        <v>66076.259999999995</v>
      </c>
    </row>
    <row r="4128" spans="1:25" x14ac:dyDescent="0.25">
      <c r="A4128" t="s">
        <v>4184</v>
      </c>
      <c r="B4128" s="1">
        <v>46061</v>
      </c>
      <c r="C4128">
        <v>2026</v>
      </c>
      <c r="D4128">
        <v>2</v>
      </c>
      <c r="E4128" t="s">
        <v>161</v>
      </c>
      <c r="F4128" t="s">
        <v>27</v>
      </c>
      <c r="G4128" t="s">
        <v>44</v>
      </c>
      <c r="H4128" t="s">
        <v>29</v>
      </c>
      <c r="I4128" t="s">
        <v>45</v>
      </c>
      <c r="J4128">
        <v>46</v>
      </c>
      <c r="K4128">
        <v>1007.3</v>
      </c>
      <c r="L4128">
        <v>46335.95</v>
      </c>
      <c r="M4128">
        <v>31325.87</v>
      </c>
      <c r="N4128">
        <v>5005.71</v>
      </c>
      <c r="O4128">
        <v>3293.66</v>
      </c>
      <c r="P4128">
        <v>1922.37</v>
      </c>
      <c r="Q4128">
        <v>793.21</v>
      </c>
      <c r="R4128">
        <v>1339.5</v>
      </c>
      <c r="S4128">
        <v>929.96</v>
      </c>
      <c r="T4128">
        <v>44610.28</v>
      </c>
      <c r="U4128">
        <v>15010.08</v>
      </c>
      <c r="V4128">
        <v>1725.67</v>
      </c>
      <c r="W4128">
        <v>1693.73</v>
      </c>
      <c r="X4128">
        <v>48614.52</v>
      </c>
      <c r="Y4128">
        <v>43163.55</v>
      </c>
    </row>
    <row r="4129" spans="1:25" x14ac:dyDescent="0.25">
      <c r="A4129" t="s">
        <v>4185</v>
      </c>
      <c r="B4129" s="1">
        <v>46061</v>
      </c>
      <c r="C4129">
        <v>2026</v>
      </c>
      <c r="D4129">
        <v>2</v>
      </c>
      <c r="E4129" t="s">
        <v>161</v>
      </c>
      <c r="F4129" t="s">
        <v>27</v>
      </c>
      <c r="G4129" t="s">
        <v>44</v>
      </c>
      <c r="H4129" t="s">
        <v>32</v>
      </c>
      <c r="I4129" t="s">
        <v>30</v>
      </c>
      <c r="J4129">
        <v>120</v>
      </c>
      <c r="K4129">
        <v>984.82</v>
      </c>
      <c r="L4129">
        <v>118178.7</v>
      </c>
      <c r="M4129">
        <v>59734.5</v>
      </c>
      <c r="N4129">
        <v>10994.85</v>
      </c>
      <c r="O4129">
        <v>5042.38</v>
      </c>
      <c r="P4129">
        <v>2900.32</v>
      </c>
      <c r="Q4129">
        <v>828.69</v>
      </c>
      <c r="R4129">
        <v>4315.18</v>
      </c>
      <c r="S4129">
        <v>1905.76</v>
      </c>
      <c r="T4129">
        <v>85721.68</v>
      </c>
      <c r="U4129">
        <v>58444.21</v>
      </c>
      <c r="V4129">
        <v>32457.03</v>
      </c>
      <c r="W4129">
        <v>31265.15</v>
      </c>
      <c r="X4129">
        <v>116095.35</v>
      </c>
      <c r="Y4129">
        <v>83522.399999999994</v>
      </c>
    </row>
    <row r="4130" spans="1:25" x14ac:dyDescent="0.25">
      <c r="A4130" t="s">
        <v>4186</v>
      </c>
      <c r="B4130" s="1">
        <v>46061</v>
      </c>
      <c r="C4130">
        <v>2026</v>
      </c>
      <c r="D4130">
        <v>2</v>
      </c>
      <c r="E4130" t="s">
        <v>161</v>
      </c>
      <c r="F4130" t="s">
        <v>27</v>
      </c>
      <c r="G4130" t="s">
        <v>28</v>
      </c>
      <c r="H4130" t="s">
        <v>36</v>
      </c>
      <c r="I4130" t="s">
        <v>37</v>
      </c>
      <c r="J4130">
        <v>70</v>
      </c>
      <c r="K4130">
        <v>1126.82</v>
      </c>
      <c r="L4130">
        <v>78877.070000000007</v>
      </c>
      <c r="M4130">
        <v>40126.199999999997</v>
      </c>
      <c r="N4130">
        <v>7830.77</v>
      </c>
      <c r="O4130">
        <v>2963.05</v>
      </c>
      <c r="P4130">
        <v>1529.22</v>
      </c>
      <c r="Q4130">
        <v>994.98</v>
      </c>
      <c r="R4130">
        <v>3013.12</v>
      </c>
      <c r="S4130">
        <v>1817.73</v>
      </c>
      <c r="T4130">
        <v>58275.07</v>
      </c>
      <c r="U4130">
        <v>38750.870000000003</v>
      </c>
      <c r="V4130">
        <v>20602</v>
      </c>
      <c r="W4130">
        <v>20994.23</v>
      </c>
      <c r="X4130">
        <v>79552.34</v>
      </c>
      <c r="Y4130">
        <v>59407.18</v>
      </c>
    </row>
    <row r="4131" spans="1:25" x14ac:dyDescent="0.25">
      <c r="A4131" t="s">
        <v>4187</v>
      </c>
      <c r="B4131" s="1">
        <v>46061</v>
      </c>
      <c r="C4131">
        <v>2026</v>
      </c>
      <c r="D4131">
        <v>2</v>
      </c>
      <c r="E4131" t="s">
        <v>161</v>
      </c>
      <c r="F4131" t="s">
        <v>27</v>
      </c>
      <c r="G4131" t="s">
        <v>35</v>
      </c>
      <c r="H4131" t="s">
        <v>36</v>
      </c>
      <c r="I4131" t="s">
        <v>33</v>
      </c>
      <c r="J4131">
        <v>33</v>
      </c>
      <c r="K4131">
        <v>1468.07</v>
      </c>
      <c r="L4131">
        <v>48446.22</v>
      </c>
      <c r="M4131">
        <v>25066.93</v>
      </c>
      <c r="N4131">
        <v>6169.13</v>
      </c>
      <c r="O4131">
        <v>3445.87</v>
      </c>
      <c r="P4131">
        <v>1430.06</v>
      </c>
      <c r="Q4131">
        <v>532.54999999999995</v>
      </c>
      <c r="R4131">
        <v>2786.67</v>
      </c>
      <c r="S4131">
        <v>1062.3599999999999</v>
      </c>
      <c r="T4131">
        <v>40493.57</v>
      </c>
      <c r="U4131">
        <v>23379.29</v>
      </c>
      <c r="V4131">
        <v>7952.65</v>
      </c>
      <c r="W4131">
        <v>7490.23</v>
      </c>
      <c r="X4131">
        <v>51149.37</v>
      </c>
      <c r="Y4131">
        <v>39631.54</v>
      </c>
    </row>
    <row r="4132" spans="1:25" x14ac:dyDescent="0.25">
      <c r="A4132" t="s">
        <v>4188</v>
      </c>
      <c r="B4132" s="1">
        <v>46061</v>
      </c>
      <c r="C4132">
        <v>2026</v>
      </c>
      <c r="D4132">
        <v>2</v>
      </c>
      <c r="E4132" t="s">
        <v>161</v>
      </c>
      <c r="F4132" t="s">
        <v>27</v>
      </c>
      <c r="G4132" t="s">
        <v>28</v>
      </c>
      <c r="H4132" t="s">
        <v>53</v>
      </c>
      <c r="I4132" t="s">
        <v>37</v>
      </c>
      <c r="J4132">
        <v>42</v>
      </c>
      <c r="K4132">
        <v>1677.16</v>
      </c>
      <c r="L4132">
        <v>70440.52</v>
      </c>
      <c r="M4132">
        <v>39712.589999999997</v>
      </c>
      <c r="N4132">
        <v>7689.7</v>
      </c>
      <c r="O4132">
        <v>1939.99</v>
      </c>
      <c r="P4132">
        <v>3152.93</v>
      </c>
      <c r="Q4132">
        <v>706.09</v>
      </c>
      <c r="R4132">
        <v>2966.96</v>
      </c>
      <c r="S4132">
        <v>802.75</v>
      </c>
      <c r="T4132">
        <v>56971.02</v>
      </c>
      <c r="U4132">
        <v>30727.919999999998</v>
      </c>
      <c r="V4132">
        <v>13469.49</v>
      </c>
      <c r="W4132">
        <v>12913.39</v>
      </c>
      <c r="X4132">
        <v>71196.100000000006</v>
      </c>
      <c r="Y4132">
        <v>61709.56</v>
      </c>
    </row>
    <row r="4133" spans="1:25" x14ac:dyDescent="0.25">
      <c r="A4133" t="s">
        <v>4189</v>
      </c>
      <c r="B4133" s="1">
        <v>46062</v>
      </c>
      <c r="C4133">
        <v>2026</v>
      </c>
      <c r="D4133">
        <v>2</v>
      </c>
      <c r="E4133" t="s">
        <v>161</v>
      </c>
      <c r="F4133" t="s">
        <v>27</v>
      </c>
      <c r="G4133" t="s">
        <v>44</v>
      </c>
      <c r="H4133" t="s">
        <v>36</v>
      </c>
      <c r="I4133" t="s">
        <v>56</v>
      </c>
      <c r="J4133">
        <v>39</v>
      </c>
      <c r="K4133">
        <v>806.5</v>
      </c>
      <c r="L4133">
        <v>31453.65</v>
      </c>
      <c r="M4133">
        <v>16595.7</v>
      </c>
      <c r="N4133">
        <v>2287.56</v>
      </c>
      <c r="O4133">
        <v>1384.37</v>
      </c>
      <c r="P4133">
        <v>801.79</v>
      </c>
      <c r="Q4133">
        <v>401.17</v>
      </c>
      <c r="R4133">
        <v>1443.68</v>
      </c>
      <c r="S4133">
        <v>635.66999999999996</v>
      </c>
      <c r="T4133">
        <v>23549.93</v>
      </c>
      <c r="U4133">
        <v>14857.96</v>
      </c>
      <c r="V4133">
        <v>7903.72</v>
      </c>
      <c r="W4133">
        <v>6976.83</v>
      </c>
      <c r="X4133">
        <v>32971.379999999997</v>
      </c>
      <c r="Y4133">
        <v>24965.919999999998</v>
      </c>
    </row>
    <row r="4134" spans="1:25" x14ac:dyDescent="0.25">
      <c r="A4134" t="s">
        <v>4190</v>
      </c>
      <c r="B4134" s="1">
        <v>46062</v>
      </c>
      <c r="C4134">
        <v>2026</v>
      </c>
      <c r="D4134">
        <v>2</v>
      </c>
      <c r="E4134" t="s">
        <v>161</v>
      </c>
      <c r="F4134" t="s">
        <v>27</v>
      </c>
      <c r="G4134" t="s">
        <v>55</v>
      </c>
      <c r="H4134" t="s">
        <v>29</v>
      </c>
      <c r="I4134" t="s">
        <v>39</v>
      </c>
      <c r="J4134">
        <v>39</v>
      </c>
      <c r="K4134">
        <v>998.2</v>
      </c>
      <c r="L4134">
        <v>38929.99</v>
      </c>
      <c r="M4134">
        <v>20495.25</v>
      </c>
      <c r="N4134">
        <v>4474.04</v>
      </c>
      <c r="O4134">
        <v>1661.92</v>
      </c>
      <c r="P4134">
        <v>1307.18</v>
      </c>
      <c r="Q4134">
        <v>389.94</v>
      </c>
      <c r="R4134">
        <v>1065.99</v>
      </c>
      <c r="S4134">
        <v>390.17</v>
      </c>
      <c r="T4134">
        <v>29784.5</v>
      </c>
      <c r="U4134">
        <v>18434.740000000002</v>
      </c>
      <c r="V4134">
        <v>9145.49</v>
      </c>
      <c r="W4134">
        <v>9229.7800000000007</v>
      </c>
      <c r="X4134">
        <v>36915.32</v>
      </c>
      <c r="Y4134">
        <v>28840.79</v>
      </c>
    </row>
    <row r="4135" spans="1:25" x14ac:dyDescent="0.25">
      <c r="A4135" t="s">
        <v>4191</v>
      </c>
      <c r="B4135" s="1">
        <v>46062</v>
      </c>
      <c r="C4135">
        <v>2026</v>
      </c>
      <c r="D4135">
        <v>2</v>
      </c>
      <c r="E4135" t="s">
        <v>161</v>
      </c>
      <c r="F4135" t="s">
        <v>27</v>
      </c>
      <c r="G4135" t="s">
        <v>28</v>
      </c>
      <c r="H4135" t="s">
        <v>29</v>
      </c>
      <c r="I4135" t="s">
        <v>39</v>
      </c>
      <c r="J4135">
        <v>40</v>
      </c>
      <c r="K4135">
        <v>1030.22</v>
      </c>
      <c r="L4135">
        <v>41208.94</v>
      </c>
      <c r="M4135">
        <v>21351.13</v>
      </c>
      <c r="N4135">
        <v>4136.8900000000003</v>
      </c>
      <c r="O4135">
        <v>1950.11</v>
      </c>
      <c r="P4135">
        <v>886.21</v>
      </c>
      <c r="Q4135">
        <v>317.94</v>
      </c>
      <c r="R4135">
        <v>2599.85</v>
      </c>
      <c r="S4135">
        <v>845.49</v>
      </c>
      <c r="T4135">
        <v>32087.62</v>
      </c>
      <c r="U4135">
        <v>19857.810000000001</v>
      </c>
      <c r="V4135">
        <v>9121.32</v>
      </c>
      <c r="W4135">
        <v>8930.99</v>
      </c>
      <c r="X4135">
        <v>38590.120000000003</v>
      </c>
      <c r="Y4135">
        <v>33471.769999999997</v>
      </c>
    </row>
    <row r="4136" spans="1:25" x14ac:dyDescent="0.25">
      <c r="A4136" t="s">
        <v>4192</v>
      </c>
      <c r="B4136" s="1">
        <v>46062</v>
      </c>
      <c r="C4136">
        <v>2026</v>
      </c>
      <c r="D4136">
        <v>2</v>
      </c>
      <c r="E4136" t="s">
        <v>161</v>
      </c>
      <c r="F4136" t="s">
        <v>27</v>
      </c>
      <c r="G4136" t="s">
        <v>55</v>
      </c>
      <c r="H4136" t="s">
        <v>32</v>
      </c>
      <c r="I4136" t="s">
        <v>50</v>
      </c>
      <c r="J4136">
        <v>58</v>
      </c>
      <c r="K4136">
        <v>1114.95</v>
      </c>
      <c r="L4136">
        <v>64667.040000000001</v>
      </c>
      <c r="M4136">
        <v>36124.01</v>
      </c>
      <c r="N4136">
        <v>5420.31</v>
      </c>
      <c r="O4136">
        <v>4732.5</v>
      </c>
      <c r="P4136">
        <v>2465.79</v>
      </c>
      <c r="Q4136">
        <v>1065.8900000000001</v>
      </c>
      <c r="R4136">
        <v>3549.58</v>
      </c>
      <c r="S4136">
        <v>1523.58</v>
      </c>
      <c r="T4136">
        <v>54881.66</v>
      </c>
      <c r="U4136">
        <v>28543.02</v>
      </c>
      <c r="V4136">
        <v>9785.3799999999992</v>
      </c>
      <c r="W4136">
        <v>9971.58</v>
      </c>
      <c r="X4136">
        <v>70619.97</v>
      </c>
      <c r="Y4136">
        <v>59274.47</v>
      </c>
    </row>
    <row r="4137" spans="1:25" x14ac:dyDescent="0.25">
      <c r="A4137" t="s">
        <v>4193</v>
      </c>
      <c r="B4137" s="1">
        <v>46062</v>
      </c>
      <c r="C4137">
        <v>2026</v>
      </c>
      <c r="D4137">
        <v>2</v>
      </c>
      <c r="E4137" t="s">
        <v>161</v>
      </c>
      <c r="F4137" t="s">
        <v>27</v>
      </c>
      <c r="G4137" t="s">
        <v>44</v>
      </c>
      <c r="H4137" t="s">
        <v>32</v>
      </c>
      <c r="I4137" t="s">
        <v>37</v>
      </c>
      <c r="J4137">
        <v>65</v>
      </c>
      <c r="K4137">
        <v>1165.47</v>
      </c>
      <c r="L4137">
        <v>75755.42</v>
      </c>
      <c r="M4137">
        <v>46506.02</v>
      </c>
      <c r="N4137">
        <v>8209.6200000000008</v>
      </c>
      <c r="O4137">
        <v>2787.66</v>
      </c>
      <c r="P4137">
        <v>2545.59</v>
      </c>
      <c r="Q4137">
        <v>493.83</v>
      </c>
      <c r="R4137">
        <v>2820.25</v>
      </c>
      <c r="S4137">
        <v>797.98</v>
      </c>
      <c r="T4137">
        <v>64160.95</v>
      </c>
      <c r="U4137">
        <v>29249.41</v>
      </c>
      <c r="V4137">
        <v>11594.47</v>
      </c>
      <c r="W4137">
        <v>10795.45</v>
      </c>
      <c r="X4137">
        <v>70907.679999999993</v>
      </c>
      <c r="Y4137">
        <v>64894.559999999998</v>
      </c>
    </row>
    <row r="4138" spans="1:25" x14ac:dyDescent="0.25">
      <c r="A4138" t="s">
        <v>4194</v>
      </c>
      <c r="B4138" s="1">
        <v>46063</v>
      </c>
      <c r="C4138">
        <v>2026</v>
      </c>
      <c r="D4138">
        <v>2</v>
      </c>
      <c r="E4138" t="s">
        <v>161</v>
      </c>
      <c r="F4138" t="s">
        <v>27</v>
      </c>
      <c r="G4138" t="s">
        <v>55</v>
      </c>
      <c r="H4138" t="s">
        <v>32</v>
      </c>
      <c r="I4138" t="s">
        <v>45</v>
      </c>
      <c r="J4138">
        <v>56</v>
      </c>
      <c r="K4138">
        <v>1111.47</v>
      </c>
      <c r="L4138">
        <v>62242.25</v>
      </c>
      <c r="M4138">
        <v>36201.26</v>
      </c>
      <c r="N4138">
        <v>5228.2299999999996</v>
      </c>
      <c r="O4138">
        <v>2989.43</v>
      </c>
      <c r="P4138">
        <v>1049.4000000000001</v>
      </c>
      <c r="Q4138">
        <v>994.64</v>
      </c>
      <c r="R4138">
        <v>1561.46</v>
      </c>
      <c r="S4138">
        <v>983.15</v>
      </c>
      <c r="T4138">
        <v>49007.57</v>
      </c>
      <c r="U4138">
        <v>26040.99</v>
      </c>
      <c r="V4138">
        <v>13234.68</v>
      </c>
      <c r="W4138">
        <v>13163.8</v>
      </c>
      <c r="X4138">
        <v>58287.05</v>
      </c>
      <c r="Y4138">
        <v>48287.61</v>
      </c>
    </row>
    <row r="4139" spans="1:25" x14ac:dyDescent="0.25">
      <c r="A4139" t="s">
        <v>4195</v>
      </c>
      <c r="B4139" s="1">
        <v>46063</v>
      </c>
      <c r="C4139">
        <v>2026</v>
      </c>
      <c r="D4139">
        <v>2</v>
      </c>
      <c r="E4139" t="s">
        <v>161</v>
      </c>
      <c r="F4139" t="s">
        <v>27</v>
      </c>
      <c r="G4139" t="s">
        <v>44</v>
      </c>
      <c r="H4139" t="s">
        <v>32</v>
      </c>
      <c r="I4139" t="s">
        <v>39</v>
      </c>
      <c r="J4139">
        <v>24</v>
      </c>
      <c r="K4139">
        <v>1619.63</v>
      </c>
      <c r="L4139">
        <v>38871.15</v>
      </c>
      <c r="M4139">
        <v>20973.82</v>
      </c>
      <c r="N4139">
        <v>3800.41</v>
      </c>
      <c r="O4139">
        <v>2251</v>
      </c>
      <c r="P4139">
        <v>861.08</v>
      </c>
      <c r="Q4139">
        <v>289.72000000000003</v>
      </c>
      <c r="R4139">
        <v>2283.73</v>
      </c>
      <c r="S4139">
        <v>383.34</v>
      </c>
      <c r="T4139">
        <v>30843.11</v>
      </c>
      <c r="U4139">
        <v>17897.330000000002</v>
      </c>
      <c r="V4139">
        <v>8028.04</v>
      </c>
      <c r="W4139">
        <v>7360.85</v>
      </c>
      <c r="X4139">
        <v>35777.83</v>
      </c>
      <c r="Y4139">
        <v>29896.02</v>
      </c>
    </row>
    <row r="4140" spans="1:25" x14ac:dyDescent="0.25">
      <c r="A4140" t="s">
        <v>4196</v>
      </c>
      <c r="B4140" s="1">
        <v>46063</v>
      </c>
      <c r="C4140">
        <v>2026</v>
      </c>
      <c r="D4140">
        <v>2</v>
      </c>
      <c r="E4140" t="s">
        <v>161</v>
      </c>
      <c r="F4140" t="s">
        <v>27</v>
      </c>
      <c r="G4140" t="s">
        <v>28</v>
      </c>
      <c r="H4140" t="s">
        <v>29</v>
      </c>
      <c r="I4140" t="s">
        <v>56</v>
      </c>
      <c r="J4140">
        <v>31</v>
      </c>
      <c r="K4140">
        <v>1116.1300000000001</v>
      </c>
      <c r="L4140">
        <v>34599.9</v>
      </c>
      <c r="M4140">
        <v>22676.46</v>
      </c>
      <c r="N4140">
        <v>3451.72</v>
      </c>
      <c r="O4140">
        <v>1823.72</v>
      </c>
      <c r="P4140">
        <v>574.88</v>
      </c>
      <c r="Q4140">
        <v>603.51</v>
      </c>
      <c r="R4140">
        <v>2104.62</v>
      </c>
      <c r="S4140">
        <v>790.68</v>
      </c>
      <c r="T4140">
        <v>32025.599999999999</v>
      </c>
      <c r="U4140">
        <v>11923.44</v>
      </c>
      <c r="V4140">
        <v>2574.31</v>
      </c>
      <c r="W4140">
        <v>2560.77</v>
      </c>
      <c r="X4140">
        <v>33885.31</v>
      </c>
      <c r="Y4140">
        <v>32731.99</v>
      </c>
    </row>
    <row r="4141" spans="1:25" x14ac:dyDescent="0.25">
      <c r="A4141" t="s">
        <v>4197</v>
      </c>
      <c r="B4141" s="1">
        <v>46063</v>
      </c>
      <c r="C4141">
        <v>2026</v>
      </c>
      <c r="D4141">
        <v>2</v>
      </c>
      <c r="E4141" t="s">
        <v>161</v>
      </c>
      <c r="F4141" t="s">
        <v>27</v>
      </c>
      <c r="G4141" t="s">
        <v>55</v>
      </c>
      <c r="H4141" t="s">
        <v>36</v>
      </c>
      <c r="I4141" t="s">
        <v>45</v>
      </c>
      <c r="J4141">
        <v>25</v>
      </c>
      <c r="K4141">
        <v>1742.8</v>
      </c>
      <c r="L4141">
        <v>43570.03</v>
      </c>
      <c r="M4141">
        <v>24473.18</v>
      </c>
      <c r="N4141">
        <v>3488.36</v>
      </c>
      <c r="O4141">
        <v>3265.22</v>
      </c>
      <c r="P4141">
        <v>1318.14</v>
      </c>
      <c r="Q4141">
        <v>300.79000000000002</v>
      </c>
      <c r="R4141">
        <v>1508.52</v>
      </c>
      <c r="S4141">
        <v>851.63</v>
      </c>
      <c r="T4141">
        <v>35205.83</v>
      </c>
      <c r="U4141">
        <v>19096.849999999999</v>
      </c>
      <c r="V4141">
        <v>8364.2000000000007</v>
      </c>
      <c r="W4141">
        <v>7534.66</v>
      </c>
      <c r="X4141">
        <v>43774.85</v>
      </c>
      <c r="Y4141">
        <v>33248.26</v>
      </c>
    </row>
    <row r="4142" spans="1:25" x14ac:dyDescent="0.25">
      <c r="A4142" t="s">
        <v>4198</v>
      </c>
      <c r="B4142" s="1">
        <v>46063</v>
      </c>
      <c r="C4142">
        <v>2026</v>
      </c>
      <c r="D4142">
        <v>2</v>
      </c>
      <c r="E4142" t="s">
        <v>161</v>
      </c>
      <c r="F4142" t="s">
        <v>27</v>
      </c>
      <c r="G4142" t="s">
        <v>44</v>
      </c>
      <c r="H4142" t="s">
        <v>32</v>
      </c>
      <c r="I4142" t="s">
        <v>37</v>
      </c>
      <c r="J4142">
        <v>42</v>
      </c>
      <c r="K4142">
        <v>1624.4</v>
      </c>
      <c r="L4142">
        <v>68224.75</v>
      </c>
      <c r="M4142">
        <v>38746.83</v>
      </c>
      <c r="N4142">
        <v>5572.57</v>
      </c>
      <c r="O4142">
        <v>3028.86</v>
      </c>
      <c r="P4142">
        <v>2522.14</v>
      </c>
      <c r="Q4142">
        <v>1217.1300000000001</v>
      </c>
      <c r="R4142">
        <v>4001.05</v>
      </c>
      <c r="S4142">
        <v>678.26</v>
      </c>
      <c r="T4142">
        <v>55766.82</v>
      </c>
      <c r="U4142">
        <v>29477.93</v>
      </c>
      <c r="V4142">
        <v>12457.93</v>
      </c>
      <c r="W4142">
        <v>11956.4</v>
      </c>
      <c r="X4142">
        <v>72995.899999999994</v>
      </c>
      <c r="Y4142">
        <v>58947.64</v>
      </c>
    </row>
    <row r="4143" spans="1:25" x14ac:dyDescent="0.25">
      <c r="A4143" t="s">
        <v>4199</v>
      </c>
      <c r="B4143" s="1">
        <v>46063</v>
      </c>
      <c r="C4143">
        <v>2026</v>
      </c>
      <c r="D4143">
        <v>2</v>
      </c>
      <c r="E4143" t="s">
        <v>161</v>
      </c>
      <c r="F4143" t="s">
        <v>27</v>
      </c>
      <c r="G4143" t="s">
        <v>44</v>
      </c>
      <c r="H4143" t="s">
        <v>53</v>
      </c>
      <c r="I4143" t="s">
        <v>30</v>
      </c>
      <c r="J4143">
        <v>46</v>
      </c>
      <c r="K4143">
        <v>1526.77</v>
      </c>
      <c r="L4143">
        <v>70231.48</v>
      </c>
      <c r="M4143">
        <v>44529.39</v>
      </c>
      <c r="N4143">
        <v>6412.33</v>
      </c>
      <c r="O4143">
        <v>4248.75</v>
      </c>
      <c r="P4143">
        <v>2965.13</v>
      </c>
      <c r="Q4143">
        <v>1255.07</v>
      </c>
      <c r="R4143">
        <v>3664.27</v>
      </c>
      <c r="S4143">
        <v>1717.6</v>
      </c>
      <c r="T4143">
        <v>64792.53</v>
      </c>
      <c r="U4143">
        <v>25702.09</v>
      </c>
      <c r="V4143">
        <v>5438.95</v>
      </c>
      <c r="W4143">
        <v>5483.2</v>
      </c>
      <c r="X4143">
        <v>69507.91</v>
      </c>
      <c r="Y4143">
        <v>69585.25</v>
      </c>
    </row>
    <row r="4144" spans="1:25" x14ac:dyDescent="0.25">
      <c r="A4144" t="s">
        <v>4200</v>
      </c>
      <c r="B4144" s="1">
        <v>46063</v>
      </c>
      <c r="C4144">
        <v>2026</v>
      </c>
      <c r="D4144">
        <v>2</v>
      </c>
      <c r="E4144" t="s">
        <v>161</v>
      </c>
      <c r="F4144" t="s">
        <v>27</v>
      </c>
      <c r="G4144" t="s">
        <v>28</v>
      </c>
      <c r="H4144" t="s">
        <v>36</v>
      </c>
      <c r="I4144" t="s">
        <v>65</v>
      </c>
      <c r="J4144">
        <v>35</v>
      </c>
      <c r="K4144">
        <v>1753.92</v>
      </c>
      <c r="L4144">
        <v>61387.03</v>
      </c>
      <c r="M4144">
        <v>40919.06</v>
      </c>
      <c r="N4144">
        <v>7463.25</v>
      </c>
      <c r="O4144">
        <v>2959.4</v>
      </c>
      <c r="P4144">
        <v>1216.0899999999999</v>
      </c>
      <c r="Q4144">
        <v>597.95000000000005</v>
      </c>
      <c r="R4144">
        <v>3555.34</v>
      </c>
      <c r="S4144">
        <v>1441.11</v>
      </c>
      <c r="T4144">
        <v>58152.19</v>
      </c>
      <c r="U4144">
        <v>20467.97</v>
      </c>
      <c r="V4144">
        <v>3234.84</v>
      </c>
      <c r="W4144">
        <v>2852.32</v>
      </c>
      <c r="X4144">
        <v>66862.850000000006</v>
      </c>
      <c r="Y4144">
        <v>63723.88</v>
      </c>
    </row>
    <row r="4145" spans="1:25" x14ac:dyDescent="0.25">
      <c r="A4145" t="s">
        <v>4201</v>
      </c>
      <c r="B4145" s="1">
        <v>46063</v>
      </c>
      <c r="C4145">
        <v>2026</v>
      </c>
      <c r="D4145">
        <v>2</v>
      </c>
      <c r="E4145" t="s">
        <v>161</v>
      </c>
      <c r="F4145" t="s">
        <v>27</v>
      </c>
      <c r="G4145" t="s">
        <v>35</v>
      </c>
      <c r="H4145" t="s">
        <v>53</v>
      </c>
      <c r="I4145" t="s">
        <v>39</v>
      </c>
      <c r="J4145">
        <v>19</v>
      </c>
      <c r="K4145">
        <v>1639.22</v>
      </c>
      <c r="L4145">
        <v>31145.27</v>
      </c>
      <c r="M4145">
        <v>18811.61</v>
      </c>
      <c r="N4145">
        <v>2810.98</v>
      </c>
      <c r="O4145">
        <v>1734.76</v>
      </c>
      <c r="P4145">
        <v>982.32</v>
      </c>
      <c r="Q4145">
        <v>174.89</v>
      </c>
      <c r="R4145">
        <v>1035.4000000000001</v>
      </c>
      <c r="S4145">
        <v>775.35</v>
      </c>
      <c r="T4145">
        <v>26325.31</v>
      </c>
      <c r="U4145">
        <v>12333.67</v>
      </c>
      <c r="V4145">
        <v>4819.97</v>
      </c>
      <c r="W4145">
        <v>4452.09</v>
      </c>
      <c r="X4145">
        <v>30436.98</v>
      </c>
      <c r="Y4145">
        <v>26909.54</v>
      </c>
    </row>
    <row r="4146" spans="1:25" x14ac:dyDescent="0.25">
      <c r="A4146" t="s">
        <v>4202</v>
      </c>
      <c r="B4146" s="1">
        <v>46063</v>
      </c>
      <c r="C4146">
        <v>2026</v>
      </c>
      <c r="D4146">
        <v>2</v>
      </c>
      <c r="E4146" t="s">
        <v>161</v>
      </c>
      <c r="F4146" t="s">
        <v>27</v>
      </c>
      <c r="G4146" t="s">
        <v>28</v>
      </c>
      <c r="H4146" t="s">
        <v>32</v>
      </c>
      <c r="I4146" t="s">
        <v>30</v>
      </c>
      <c r="J4146">
        <v>65</v>
      </c>
      <c r="K4146">
        <v>1791.45</v>
      </c>
      <c r="L4146">
        <v>116444.12</v>
      </c>
      <c r="M4146">
        <v>74078.19</v>
      </c>
      <c r="N4146">
        <v>12190.56</v>
      </c>
      <c r="O4146">
        <v>8212.86</v>
      </c>
      <c r="P4146">
        <v>2748.29</v>
      </c>
      <c r="Q4146">
        <v>1853.26</v>
      </c>
      <c r="R4146">
        <v>6319.53</v>
      </c>
      <c r="S4146">
        <v>2291.2600000000002</v>
      </c>
      <c r="T4146">
        <v>107693.96</v>
      </c>
      <c r="U4146">
        <v>42365.93</v>
      </c>
      <c r="V4146">
        <v>8750.16</v>
      </c>
      <c r="W4146">
        <v>8574.18</v>
      </c>
      <c r="X4146">
        <v>129811.03</v>
      </c>
      <c r="Y4146">
        <v>107002.79</v>
      </c>
    </row>
    <row r="4147" spans="1:25" x14ac:dyDescent="0.25">
      <c r="A4147" t="s">
        <v>4203</v>
      </c>
      <c r="B4147" s="1">
        <v>46064</v>
      </c>
      <c r="C4147">
        <v>2026</v>
      </c>
      <c r="D4147">
        <v>2</v>
      </c>
      <c r="E4147" t="s">
        <v>161</v>
      </c>
      <c r="F4147" t="s">
        <v>27</v>
      </c>
      <c r="G4147" t="s">
        <v>55</v>
      </c>
      <c r="H4147" t="s">
        <v>53</v>
      </c>
      <c r="I4147" t="s">
        <v>33</v>
      </c>
      <c r="J4147">
        <v>57</v>
      </c>
      <c r="K4147">
        <v>1315.64</v>
      </c>
      <c r="L4147">
        <v>74991.69</v>
      </c>
      <c r="M4147">
        <v>41330.6</v>
      </c>
      <c r="N4147">
        <v>5729.03</v>
      </c>
      <c r="O4147">
        <v>4803.09</v>
      </c>
      <c r="P4147">
        <v>1561.87</v>
      </c>
      <c r="Q4147">
        <v>831.59</v>
      </c>
      <c r="R4147">
        <v>2353.08</v>
      </c>
      <c r="S4147">
        <v>855.01</v>
      </c>
      <c r="T4147">
        <v>57464.27</v>
      </c>
      <c r="U4147">
        <v>33661.089999999997</v>
      </c>
      <c r="V4147">
        <v>17527.419999999998</v>
      </c>
      <c r="W4147">
        <v>16412.96</v>
      </c>
      <c r="X4147">
        <v>75127.48</v>
      </c>
      <c r="Y4147">
        <v>59652.47</v>
      </c>
    </row>
    <row r="4148" spans="1:25" x14ac:dyDescent="0.25">
      <c r="A4148" t="s">
        <v>4204</v>
      </c>
      <c r="B4148" s="1">
        <v>46064</v>
      </c>
      <c r="C4148">
        <v>2026</v>
      </c>
      <c r="D4148">
        <v>2</v>
      </c>
      <c r="E4148" t="s">
        <v>161</v>
      </c>
      <c r="F4148" t="s">
        <v>27</v>
      </c>
      <c r="G4148" t="s">
        <v>55</v>
      </c>
      <c r="H4148" t="s">
        <v>36</v>
      </c>
      <c r="I4148" t="s">
        <v>56</v>
      </c>
      <c r="J4148">
        <v>26</v>
      </c>
      <c r="K4148">
        <v>1135.6600000000001</v>
      </c>
      <c r="L4148">
        <v>29527.24</v>
      </c>
      <c r="M4148">
        <v>18005.11</v>
      </c>
      <c r="N4148">
        <v>2889.18</v>
      </c>
      <c r="O4148">
        <v>862.33</v>
      </c>
      <c r="P4148">
        <v>1219.7</v>
      </c>
      <c r="Q4148">
        <v>461.79</v>
      </c>
      <c r="R4148">
        <v>1660.88</v>
      </c>
      <c r="S4148">
        <v>687.04</v>
      </c>
      <c r="T4148">
        <v>25786.04</v>
      </c>
      <c r="U4148">
        <v>11522.13</v>
      </c>
      <c r="V4148">
        <v>3741.2</v>
      </c>
      <c r="W4148">
        <v>3578.94</v>
      </c>
      <c r="X4148">
        <v>28267.25</v>
      </c>
      <c r="Y4148">
        <v>26055.85</v>
      </c>
    </row>
    <row r="4149" spans="1:25" x14ac:dyDescent="0.25">
      <c r="A4149" t="s">
        <v>4205</v>
      </c>
      <c r="B4149" s="1">
        <v>46065</v>
      </c>
      <c r="C4149">
        <v>2026</v>
      </c>
      <c r="D4149">
        <v>2</v>
      </c>
      <c r="E4149" t="s">
        <v>161</v>
      </c>
      <c r="F4149" t="s">
        <v>27</v>
      </c>
      <c r="G4149" t="s">
        <v>44</v>
      </c>
      <c r="H4149" t="s">
        <v>53</v>
      </c>
      <c r="I4149" t="s">
        <v>33</v>
      </c>
      <c r="J4149">
        <v>65</v>
      </c>
      <c r="K4149">
        <v>1205.6500000000001</v>
      </c>
      <c r="L4149">
        <v>78367.31</v>
      </c>
      <c r="M4149">
        <v>39137.03</v>
      </c>
      <c r="N4149">
        <v>6894.15</v>
      </c>
      <c r="O4149">
        <v>3039.19</v>
      </c>
      <c r="P4149">
        <v>3046.9</v>
      </c>
      <c r="Q4149">
        <v>420.17</v>
      </c>
      <c r="R4149">
        <v>4792.57</v>
      </c>
      <c r="S4149">
        <v>1601.09</v>
      </c>
      <c r="T4149">
        <v>58931.09</v>
      </c>
      <c r="U4149">
        <v>39230.28</v>
      </c>
      <c r="V4149">
        <v>19436.22</v>
      </c>
      <c r="W4149">
        <v>17444.21</v>
      </c>
      <c r="X4149">
        <v>75926.92</v>
      </c>
      <c r="Y4149">
        <v>62654.47</v>
      </c>
    </row>
    <row r="4150" spans="1:25" x14ac:dyDescent="0.25">
      <c r="A4150" t="s">
        <v>4206</v>
      </c>
      <c r="B4150" s="1">
        <v>46065</v>
      </c>
      <c r="C4150">
        <v>2026</v>
      </c>
      <c r="D4150">
        <v>2</v>
      </c>
      <c r="E4150" t="s">
        <v>161</v>
      </c>
      <c r="F4150" t="s">
        <v>27</v>
      </c>
      <c r="G4150" t="s">
        <v>55</v>
      </c>
      <c r="H4150" t="s">
        <v>53</v>
      </c>
      <c r="I4150" t="s">
        <v>37</v>
      </c>
      <c r="J4150">
        <v>79</v>
      </c>
      <c r="K4150">
        <v>858.8</v>
      </c>
      <c r="L4150">
        <v>67845.56</v>
      </c>
      <c r="M4150">
        <v>36555.589999999997</v>
      </c>
      <c r="N4150">
        <v>5947.64</v>
      </c>
      <c r="O4150">
        <v>2682.19</v>
      </c>
      <c r="P4150">
        <v>2188.94</v>
      </c>
      <c r="Q4150">
        <v>925.62</v>
      </c>
      <c r="R4150">
        <v>4232.67</v>
      </c>
      <c r="S4150">
        <v>1585.97</v>
      </c>
      <c r="T4150">
        <v>54118.63</v>
      </c>
      <c r="U4150">
        <v>31289.97</v>
      </c>
      <c r="V4150">
        <v>13726.94</v>
      </c>
      <c r="W4150">
        <v>13102.27</v>
      </c>
      <c r="X4150">
        <v>69459.199999999997</v>
      </c>
      <c r="Y4150">
        <v>52544.18</v>
      </c>
    </row>
    <row r="4151" spans="1:25" x14ac:dyDescent="0.25">
      <c r="A4151" t="s">
        <v>4207</v>
      </c>
      <c r="B4151" s="1">
        <v>46065</v>
      </c>
      <c r="C4151">
        <v>2026</v>
      </c>
      <c r="D4151">
        <v>2</v>
      </c>
      <c r="E4151" t="s">
        <v>161</v>
      </c>
      <c r="F4151" t="s">
        <v>27</v>
      </c>
      <c r="G4151" t="s">
        <v>44</v>
      </c>
      <c r="H4151" t="s">
        <v>53</v>
      </c>
      <c r="I4151" t="s">
        <v>37</v>
      </c>
      <c r="J4151">
        <v>33</v>
      </c>
      <c r="K4151">
        <v>1687.17</v>
      </c>
      <c r="L4151">
        <v>55676.5</v>
      </c>
      <c r="M4151">
        <v>31309.98</v>
      </c>
      <c r="N4151">
        <v>4827.53</v>
      </c>
      <c r="O4151">
        <v>2163.6</v>
      </c>
      <c r="P4151">
        <v>1569.48</v>
      </c>
      <c r="Q4151">
        <v>901.56</v>
      </c>
      <c r="R4151">
        <v>1894.17</v>
      </c>
      <c r="S4151">
        <v>611.36</v>
      </c>
      <c r="T4151">
        <v>43277.69</v>
      </c>
      <c r="U4151">
        <v>24366.51</v>
      </c>
      <c r="V4151">
        <v>12398.81</v>
      </c>
      <c r="W4151">
        <v>12516.33</v>
      </c>
      <c r="X4151">
        <v>54782.53</v>
      </c>
      <c r="Y4151">
        <v>44791.12</v>
      </c>
    </row>
    <row r="4152" spans="1:25" x14ac:dyDescent="0.25">
      <c r="A4152" t="s">
        <v>4208</v>
      </c>
      <c r="B4152" s="1">
        <v>46066</v>
      </c>
      <c r="C4152">
        <v>2026</v>
      </c>
      <c r="D4152">
        <v>2</v>
      </c>
      <c r="E4152" t="s">
        <v>161</v>
      </c>
      <c r="F4152" t="s">
        <v>27</v>
      </c>
      <c r="G4152" t="s">
        <v>35</v>
      </c>
      <c r="H4152" t="s">
        <v>29</v>
      </c>
      <c r="I4152" t="s">
        <v>45</v>
      </c>
      <c r="J4152">
        <v>37</v>
      </c>
      <c r="K4152">
        <v>1412</v>
      </c>
      <c r="L4152">
        <v>52243.87</v>
      </c>
      <c r="M4152">
        <v>26951.47</v>
      </c>
      <c r="N4152">
        <v>5039.38</v>
      </c>
      <c r="O4152">
        <v>2522.91</v>
      </c>
      <c r="P4152">
        <v>1460.69</v>
      </c>
      <c r="Q4152">
        <v>580</v>
      </c>
      <c r="R4152">
        <v>1389.4</v>
      </c>
      <c r="S4152">
        <v>865.13</v>
      </c>
      <c r="T4152">
        <v>38808.980000000003</v>
      </c>
      <c r="U4152">
        <v>25292.400000000001</v>
      </c>
      <c r="V4152">
        <v>13434.89</v>
      </c>
      <c r="W4152">
        <v>12941.68</v>
      </c>
      <c r="X4152">
        <v>58353.22</v>
      </c>
      <c r="Y4152">
        <v>40434.65</v>
      </c>
    </row>
    <row r="4153" spans="1:25" x14ac:dyDescent="0.25">
      <c r="A4153" t="s">
        <v>4209</v>
      </c>
      <c r="B4153" s="1">
        <v>46067</v>
      </c>
      <c r="C4153">
        <v>2026</v>
      </c>
      <c r="D4153">
        <v>2</v>
      </c>
      <c r="E4153" t="s">
        <v>161</v>
      </c>
      <c r="F4153" t="s">
        <v>27</v>
      </c>
      <c r="G4153" t="s">
        <v>55</v>
      </c>
      <c r="H4153" t="s">
        <v>53</v>
      </c>
      <c r="I4153" t="s">
        <v>37</v>
      </c>
      <c r="J4153">
        <v>45</v>
      </c>
      <c r="K4153">
        <v>1379.95</v>
      </c>
      <c r="L4153">
        <v>62097.65</v>
      </c>
      <c r="M4153">
        <v>33857.019999999997</v>
      </c>
      <c r="N4153">
        <v>4836.29</v>
      </c>
      <c r="O4153">
        <v>3602.25</v>
      </c>
      <c r="P4153">
        <v>1027.6600000000001</v>
      </c>
      <c r="Q4153">
        <v>444.21</v>
      </c>
      <c r="R4153">
        <v>2084.71</v>
      </c>
      <c r="S4153">
        <v>902.61</v>
      </c>
      <c r="T4153">
        <v>46754.75</v>
      </c>
      <c r="U4153">
        <v>28240.63</v>
      </c>
      <c r="V4153">
        <v>15342.9</v>
      </c>
      <c r="W4153">
        <v>14167.28</v>
      </c>
      <c r="X4153">
        <v>63600.3</v>
      </c>
      <c r="Y4153">
        <v>47209.07</v>
      </c>
    </row>
    <row r="4154" spans="1:25" x14ac:dyDescent="0.25">
      <c r="A4154" t="s">
        <v>4210</v>
      </c>
      <c r="B4154" s="1">
        <v>46067</v>
      </c>
      <c r="C4154">
        <v>2026</v>
      </c>
      <c r="D4154">
        <v>2</v>
      </c>
      <c r="E4154" t="s">
        <v>161</v>
      </c>
      <c r="F4154" t="s">
        <v>27</v>
      </c>
      <c r="G4154" t="s">
        <v>55</v>
      </c>
      <c r="H4154" t="s">
        <v>32</v>
      </c>
      <c r="I4154" t="s">
        <v>50</v>
      </c>
      <c r="J4154">
        <v>40</v>
      </c>
      <c r="K4154">
        <v>1470.96</v>
      </c>
      <c r="L4154">
        <v>58838.5</v>
      </c>
      <c r="M4154">
        <v>33467.9</v>
      </c>
      <c r="N4154">
        <v>5591.53</v>
      </c>
      <c r="O4154">
        <v>1765.59</v>
      </c>
      <c r="P4154">
        <v>2082.9899999999998</v>
      </c>
      <c r="Q4154">
        <v>434.49</v>
      </c>
      <c r="R4154">
        <v>2004.31</v>
      </c>
      <c r="S4154">
        <v>1398.12</v>
      </c>
      <c r="T4154">
        <v>46744.93</v>
      </c>
      <c r="U4154">
        <v>25370.6</v>
      </c>
      <c r="V4154">
        <v>12093.57</v>
      </c>
      <c r="W4154">
        <v>11485.2</v>
      </c>
      <c r="X4154">
        <v>56526.37</v>
      </c>
      <c r="Y4154">
        <v>50864.93</v>
      </c>
    </row>
    <row r="4155" spans="1:25" x14ac:dyDescent="0.25">
      <c r="A4155" t="s">
        <v>4211</v>
      </c>
      <c r="B4155" s="1">
        <v>46067</v>
      </c>
      <c r="C4155">
        <v>2026</v>
      </c>
      <c r="D4155">
        <v>2</v>
      </c>
      <c r="E4155" t="s">
        <v>161</v>
      </c>
      <c r="F4155" t="s">
        <v>27</v>
      </c>
      <c r="G4155" t="s">
        <v>44</v>
      </c>
      <c r="H4155" t="s">
        <v>32</v>
      </c>
      <c r="I4155" t="s">
        <v>65</v>
      </c>
      <c r="J4155">
        <v>70</v>
      </c>
      <c r="K4155">
        <v>1086.32</v>
      </c>
      <c r="L4155">
        <v>76042.09</v>
      </c>
      <c r="M4155">
        <v>41635.410000000003</v>
      </c>
      <c r="N4155">
        <v>6846.2</v>
      </c>
      <c r="O4155">
        <v>3689.58</v>
      </c>
      <c r="P4155">
        <v>1510.06</v>
      </c>
      <c r="Q4155">
        <v>944</v>
      </c>
      <c r="R4155">
        <v>3895.75</v>
      </c>
      <c r="S4155">
        <v>1846.82</v>
      </c>
      <c r="T4155">
        <v>60367.83</v>
      </c>
      <c r="U4155">
        <v>34406.68</v>
      </c>
      <c r="V4155">
        <v>15674.26</v>
      </c>
      <c r="W4155">
        <v>15783.8</v>
      </c>
      <c r="X4155">
        <v>83526.36</v>
      </c>
      <c r="Y4155">
        <v>64492.91</v>
      </c>
    </row>
    <row r="4156" spans="1:25" x14ac:dyDescent="0.25">
      <c r="A4156" t="s">
        <v>4212</v>
      </c>
      <c r="B4156" s="1">
        <v>46067</v>
      </c>
      <c r="C4156">
        <v>2026</v>
      </c>
      <c r="D4156">
        <v>2</v>
      </c>
      <c r="E4156" t="s">
        <v>161</v>
      </c>
      <c r="F4156" t="s">
        <v>27</v>
      </c>
      <c r="G4156" t="s">
        <v>44</v>
      </c>
      <c r="H4156" t="s">
        <v>32</v>
      </c>
      <c r="I4156" t="s">
        <v>33</v>
      </c>
      <c r="J4156">
        <v>49</v>
      </c>
      <c r="K4156">
        <v>1268.81</v>
      </c>
      <c r="L4156">
        <v>62171.73</v>
      </c>
      <c r="M4156">
        <v>37149.19</v>
      </c>
      <c r="N4156">
        <v>7428.01</v>
      </c>
      <c r="O4156">
        <v>2330.36</v>
      </c>
      <c r="P4156">
        <v>1016.93</v>
      </c>
      <c r="Q4156">
        <v>1099.22</v>
      </c>
      <c r="R4156">
        <v>3284.84</v>
      </c>
      <c r="S4156">
        <v>1518.35</v>
      </c>
      <c r="T4156">
        <v>53826.9</v>
      </c>
      <c r="U4156">
        <v>25022.54</v>
      </c>
      <c r="V4156">
        <v>8344.83</v>
      </c>
      <c r="W4156">
        <v>7727.43</v>
      </c>
      <c r="X4156">
        <v>62888.84</v>
      </c>
      <c r="Y4156">
        <v>50550.98</v>
      </c>
    </row>
    <row r="4157" spans="1:25" x14ac:dyDescent="0.25">
      <c r="A4157" t="s">
        <v>4213</v>
      </c>
      <c r="B4157" s="1">
        <v>46067</v>
      </c>
      <c r="C4157">
        <v>2026</v>
      </c>
      <c r="D4157">
        <v>2</v>
      </c>
      <c r="E4157" t="s">
        <v>161</v>
      </c>
      <c r="F4157" t="s">
        <v>27</v>
      </c>
      <c r="G4157" t="s">
        <v>35</v>
      </c>
      <c r="H4157" t="s">
        <v>36</v>
      </c>
      <c r="I4157" t="s">
        <v>65</v>
      </c>
      <c r="J4157">
        <v>36</v>
      </c>
      <c r="K4157">
        <v>1680.01</v>
      </c>
      <c r="L4157">
        <v>60480.32</v>
      </c>
      <c r="M4157">
        <v>33481.160000000003</v>
      </c>
      <c r="N4157">
        <v>6516.77</v>
      </c>
      <c r="O4157">
        <v>2072.38</v>
      </c>
      <c r="P4157">
        <v>1461.4</v>
      </c>
      <c r="Q4157">
        <v>415.04</v>
      </c>
      <c r="R4157">
        <v>1666.73</v>
      </c>
      <c r="S4157">
        <v>602.33000000000004</v>
      </c>
      <c r="T4157">
        <v>46215.8</v>
      </c>
      <c r="U4157">
        <v>26999.16</v>
      </c>
      <c r="V4157">
        <v>14264.52</v>
      </c>
      <c r="W4157">
        <v>13715.92</v>
      </c>
      <c r="X4157">
        <v>66383.149999999994</v>
      </c>
      <c r="Y4157">
        <v>50779.19</v>
      </c>
    </row>
    <row r="4158" spans="1:25" x14ac:dyDescent="0.25">
      <c r="A4158" t="s">
        <v>4214</v>
      </c>
      <c r="B4158" s="1">
        <v>46067</v>
      </c>
      <c r="C4158">
        <v>2026</v>
      </c>
      <c r="D4158">
        <v>2</v>
      </c>
      <c r="E4158" t="s">
        <v>161</v>
      </c>
      <c r="F4158" t="s">
        <v>27</v>
      </c>
      <c r="G4158" t="s">
        <v>44</v>
      </c>
      <c r="H4158" t="s">
        <v>58</v>
      </c>
      <c r="I4158" t="s">
        <v>45</v>
      </c>
      <c r="J4158">
        <v>27</v>
      </c>
      <c r="K4158">
        <v>1762.84</v>
      </c>
      <c r="L4158">
        <v>47596.63</v>
      </c>
      <c r="M4158">
        <v>24249.88</v>
      </c>
      <c r="N4158">
        <v>3423.41</v>
      </c>
      <c r="O4158">
        <v>1472.21</v>
      </c>
      <c r="P4158">
        <v>1018.04</v>
      </c>
      <c r="Q4158">
        <v>557.26</v>
      </c>
      <c r="R4158">
        <v>3056.23</v>
      </c>
      <c r="S4158">
        <v>997.63</v>
      </c>
      <c r="T4158">
        <v>34774.67</v>
      </c>
      <c r="U4158">
        <v>23346.75</v>
      </c>
      <c r="V4158">
        <v>12821.97</v>
      </c>
      <c r="W4158">
        <v>12564.36</v>
      </c>
      <c r="X4158">
        <v>44995.92</v>
      </c>
      <c r="Y4158">
        <v>36029.78</v>
      </c>
    </row>
    <row r="4159" spans="1:25" x14ac:dyDescent="0.25">
      <c r="A4159" t="s">
        <v>4215</v>
      </c>
      <c r="B4159" s="1">
        <v>46068</v>
      </c>
      <c r="C4159">
        <v>2026</v>
      </c>
      <c r="D4159">
        <v>2</v>
      </c>
      <c r="E4159" t="s">
        <v>161</v>
      </c>
      <c r="F4159" t="s">
        <v>27</v>
      </c>
      <c r="G4159" t="s">
        <v>28</v>
      </c>
      <c r="H4159" t="s">
        <v>53</v>
      </c>
      <c r="I4159" t="s">
        <v>39</v>
      </c>
      <c r="J4159">
        <v>49</v>
      </c>
      <c r="K4159">
        <v>959.92</v>
      </c>
      <c r="L4159">
        <v>47035.86</v>
      </c>
      <c r="M4159">
        <v>26327.8</v>
      </c>
      <c r="N4159">
        <v>5593.15</v>
      </c>
      <c r="O4159">
        <v>3482.2</v>
      </c>
      <c r="P4159">
        <v>1432.77</v>
      </c>
      <c r="Q4159">
        <v>687.55</v>
      </c>
      <c r="R4159">
        <v>2209.62</v>
      </c>
      <c r="S4159">
        <v>394.76</v>
      </c>
      <c r="T4159">
        <v>40127.839999999997</v>
      </c>
      <c r="U4159">
        <v>20708.060000000001</v>
      </c>
      <c r="V4159">
        <v>6908.02</v>
      </c>
      <c r="W4159">
        <v>6822.94</v>
      </c>
      <c r="X4159">
        <v>51904.800000000003</v>
      </c>
      <c r="Y4159">
        <v>38344.080000000002</v>
      </c>
    </row>
    <row r="4160" spans="1:25" x14ac:dyDescent="0.25">
      <c r="A4160" t="s">
        <v>4216</v>
      </c>
      <c r="B4160" s="1">
        <v>46068</v>
      </c>
      <c r="C4160">
        <v>2026</v>
      </c>
      <c r="D4160">
        <v>2</v>
      </c>
      <c r="E4160" t="s">
        <v>161</v>
      </c>
      <c r="F4160" t="s">
        <v>27</v>
      </c>
      <c r="G4160" t="s">
        <v>28</v>
      </c>
      <c r="H4160" t="s">
        <v>58</v>
      </c>
      <c r="I4160" t="s">
        <v>56</v>
      </c>
      <c r="J4160">
        <v>20</v>
      </c>
      <c r="K4160">
        <v>1561.34</v>
      </c>
      <c r="L4160">
        <v>31226.799999999999</v>
      </c>
      <c r="M4160">
        <v>19863.169999999998</v>
      </c>
      <c r="N4160">
        <v>2498.79</v>
      </c>
      <c r="O4160">
        <v>803.51</v>
      </c>
      <c r="P4160">
        <v>658.1</v>
      </c>
      <c r="Q4160">
        <v>258.33999999999997</v>
      </c>
      <c r="R4160">
        <v>1697.17</v>
      </c>
      <c r="S4160">
        <v>601.23</v>
      </c>
      <c r="T4160">
        <v>26380.32</v>
      </c>
      <c r="U4160">
        <v>11363.63</v>
      </c>
      <c r="V4160">
        <v>4846.4799999999996</v>
      </c>
      <c r="W4160">
        <v>4789.71</v>
      </c>
      <c r="X4160">
        <v>34575.96</v>
      </c>
      <c r="Y4160">
        <v>25321.06</v>
      </c>
    </row>
    <row r="4161" spans="1:25" x14ac:dyDescent="0.25">
      <c r="A4161" t="s">
        <v>4217</v>
      </c>
      <c r="B4161" s="1">
        <v>46068</v>
      </c>
      <c r="C4161">
        <v>2026</v>
      </c>
      <c r="D4161">
        <v>2</v>
      </c>
      <c r="E4161" t="s">
        <v>161</v>
      </c>
      <c r="F4161" t="s">
        <v>27</v>
      </c>
      <c r="G4161" t="s">
        <v>44</v>
      </c>
      <c r="H4161" t="s">
        <v>53</v>
      </c>
      <c r="I4161" t="s">
        <v>33</v>
      </c>
      <c r="J4161">
        <v>71</v>
      </c>
      <c r="K4161">
        <v>874.31</v>
      </c>
      <c r="L4161">
        <v>62076.01</v>
      </c>
      <c r="M4161">
        <v>36126.53</v>
      </c>
      <c r="N4161">
        <v>4494.93</v>
      </c>
      <c r="O4161">
        <v>3426.19</v>
      </c>
      <c r="P4161">
        <v>1614.32</v>
      </c>
      <c r="Q4161">
        <v>520</v>
      </c>
      <c r="R4161">
        <v>3961.71</v>
      </c>
      <c r="S4161">
        <v>767.96</v>
      </c>
      <c r="T4161">
        <v>50911.64</v>
      </c>
      <c r="U4161">
        <v>25949.49</v>
      </c>
      <c r="V4161">
        <v>11164.38</v>
      </c>
      <c r="W4161">
        <v>10795.6</v>
      </c>
      <c r="X4161">
        <v>68524.23</v>
      </c>
      <c r="Y4161">
        <v>53056.800000000003</v>
      </c>
    </row>
    <row r="4162" spans="1:25" x14ac:dyDescent="0.25">
      <c r="A4162" t="s">
        <v>4218</v>
      </c>
      <c r="B4162" s="1">
        <v>46068</v>
      </c>
      <c r="C4162">
        <v>2026</v>
      </c>
      <c r="D4162">
        <v>2</v>
      </c>
      <c r="E4162" t="s">
        <v>161</v>
      </c>
      <c r="F4162" t="s">
        <v>27</v>
      </c>
      <c r="G4162" t="s">
        <v>35</v>
      </c>
      <c r="H4162" t="s">
        <v>53</v>
      </c>
      <c r="I4162" t="s">
        <v>65</v>
      </c>
      <c r="J4162">
        <v>41</v>
      </c>
      <c r="K4162">
        <v>984.44</v>
      </c>
      <c r="L4162">
        <v>40361.870000000003</v>
      </c>
      <c r="M4162">
        <v>25576.25</v>
      </c>
      <c r="N4162">
        <v>4464.43</v>
      </c>
      <c r="O4162">
        <v>1758.31</v>
      </c>
      <c r="P4162">
        <v>1060.72</v>
      </c>
      <c r="Q4162">
        <v>523.09</v>
      </c>
      <c r="R4162">
        <v>2086.4499999999998</v>
      </c>
      <c r="S4162">
        <v>464.14</v>
      </c>
      <c r="T4162">
        <v>35933.4</v>
      </c>
      <c r="U4162">
        <v>14785.62</v>
      </c>
      <c r="V4162">
        <v>4428.47</v>
      </c>
      <c r="W4162">
        <v>4268.88</v>
      </c>
      <c r="X4162">
        <v>43009.7</v>
      </c>
      <c r="Y4162">
        <v>34168.519999999997</v>
      </c>
    </row>
    <row r="4163" spans="1:25" x14ac:dyDescent="0.25">
      <c r="A4163" t="s">
        <v>4219</v>
      </c>
      <c r="B4163" s="1">
        <v>46068</v>
      </c>
      <c r="C4163">
        <v>2026</v>
      </c>
      <c r="D4163">
        <v>2</v>
      </c>
      <c r="E4163" t="s">
        <v>161</v>
      </c>
      <c r="F4163" t="s">
        <v>27</v>
      </c>
      <c r="G4163" t="s">
        <v>44</v>
      </c>
      <c r="H4163" t="s">
        <v>32</v>
      </c>
      <c r="I4163" t="s">
        <v>45</v>
      </c>
      <c r="J4163">
        <v>41</v>
      </c>
      <c r="K4163">
        <v>1286.69</v>
      </c>
      <c r="L4163">
        <v>52754.36</v>
      </c>
      <c r="M4163">
        <v>25399.51</v>
      </c>
      <c r="N4163">
        <v>4142.6899999999996</v>
      </c>
      <c r="O4163">
        <v>1758.01</v>
      </c>
      <c r="P4163">
        <v>1581.15</v>
      </c>
      <c r="Q4163">
        <v>408.67</v>
      </c>
      <c r="R4163">
        <v>2717.11</v>
      </c>
      <c r="S4163">
        <v>1030.01</v>
      </c>
      <c r="T4163">
        <v>37037.15</v>
      </c>
      <c r="U4163">
        <v>27354.85</v>
      </c>
      <c r="V4163">
        <v>15717.21</v>
      </c>
      <c r="W4163">
        <v>14182.01</v>
      </c>
      <c r="X4163">
        <v>55324.46</v>
      </c>
      <c r="Y4163">
        <v>37033.86</v>
      </c>
    </row>
    <row r="4164" spans="1:25" x14ac:dyDescent="0.25">
      <c r="A4164" t="s">
        <v>4220</v>
      </c>
      <c r="B4164" s="1">
        <v>46068</v>
      </c>
      <c r="C4164">
        <v>2026</v>
      </c>
      <c r="D4164">
        <v>2</v>
      </c>
      <c r="E4164" t="s">
        <v>161</v>
      </c>
      <c r="F4164" t="s">
        <v>27</v>
      </c>
      <c r="G4164" t="s">
        <v>28</v>
      </c>
      <c r="H4164" t="s">
        <v>29</v>
      </c>
      <c r="I4164" t="s">
        <v>39</v>
      </c>
      <c r="J4164">
        <v>33</v>
      </c>
      <c r="K4164">
        <v>1198.45</v>
      </c>
      <c r="L4164">
        <v>39548.71</v>
      </c>
      <c r="M4164">
        <v>19620.59</v>
      </c>
      <c r="N4164">
        <v>3633.43</v>
      </c>
      <c r="O4164">
        <v>2170.02</v>
      </c>
      <c r="P4164">
        <v>925.31</v>
      </c>
      <c r="Q4164">
        <v>672.95</v>
      </c>
      <c r="R4164">
        <v>1737</v>
      </c>
      <c r="S4164">
        <v>631.92999999999995</v>
      </c>
      <c r="T4164">
        <v>29391.24</v>
      </c>
      <c r="U4164">
        <v>19928.11</v>
      </c>
      <c r="V4164">
        <v>10157.459999999999</v>
      </c>
      <c r="W4164">
        <v>9795.83</v>
      </c>
      <c r="X4164">
        <v>42690.22</v>
      </c>
      <c r="Y4164">
        <v>27789.65</v>
      </c>
    </row>
    <row r="4165" spans="1:25" x14ac:dyDescent="0.25">
      <c r="A4165" t="s">
        <v>4221</v>
      </c>
      <c r="B4165" s="1">
        <v>46068</v>
      </c>
      <c r="C4165">
        <v>2026</v>
      </c>
      <c r="D4165">
        <v>2</v>
      </c>
      <c r="E4165" t="s">
        <v>161</v>
      </c>
      <c r="F4165" t="s">
        <v>27</v>
      </c>
      <c r="G4165" t="s">
        <v>28</v>
      </c>
      <c r="H4165" t="s">
        <v>29</v>
      </c>
      <c r="I4165" t="s">
        <v>39</v>
      </c>
      <c r="J4165">
        <v>33</v>
      </c>
      <c r="K4165">
        <v>1467.74</v>
      </c>
      <c r="L4165">
        <v>48435.49</v>
      </c>
      <c r="M4165">
        <v>29510.09</v>
      </c>
      <c r="N4165">
        <v>5547.31</v>
      </c>
      <c r="O4165">
        <v>3124.22</v>
      </c>
      <c r="P4165">
        <v>1183.5999999999999</v>
      </c>
      <c r="Q4165">
        <v>490.81</v>
      </c>
      <c r="R4165">
        <v>2525.41</v>
      </c>
      <c r="S4165">
        <v>546</v>
      </c>
      <c r="T4165">
        <v>42927.44</v>
      </c>
      <c r="U4165">
        <v>18925.400000000001</v>
      </c>
      <c r="V4165">
        <v>5508.05</v>
      </c>
      <c r="W4165">
        <v>5434.39</v>
      </c>
      <c r="X4165">
        <v>51645.7</v>
      </c>
      <c r="Y4165">
        <v>45350.22</v>
      </c>
    </row>
    <row r="4166" spans="1:25" x14ac:dyDescent="0.25">
      <c r="A4166" t="s">
        <v>4222</v>
      </c>
      <c r="B4166" s="1">
        <v>46068</v>
      </c>
      <c r="C4166">
        <v>2026</v>
      </c>
      <c r="D4166">
        <v>2</v>
      </c>
      <c r="E4166" t="s">
        <v>161</v>
      </c>
      <c r="F4166" t="s">
        <v>27</v>
      </c>
      <c r="G4166" t="s">
        <v>35</v>
      </c>
      <c r="H4166" t="s">
        <v>58</v>
      </c>
      <c r="I4166" t="s">
        <v>45</v>
      </c>
      <c r="J4166">
        <v>32</v>
      </c>
      <c r="K4166">
        <v>1400.43</v>
      </c>
      <c r="L4166">
        <v>44813.69</v>
      </c>
      <c r="M4166">
        <v>24582.41</v>
      </c>
      <c r="N4166">
        <v>5346.74</v>
      </c>
      <c r="O4166">
        <v>1600.34</v>
      </c>
      <c r="P4166">
        <v>865.68</v>
      </c>
      <c r="Q4166">
        <v>378.1</v>
      </c>
      <c r="R4166">
        <v>2859.87</v>
      </c>
      <c r="S4166">
        <v>570.39</v>
      </c>
      <c r="T4166">
        <v>36203.53</v>
      </c>
      <c r="U4166">
        <v>20231.28</v>
      </c>
      <c r="V4166">
        <v>8610.16</v>
      </c>
      <c r="W4166">
        <v>8526.91</v>
      </c>
      <c r="X4166">
        <v>48266.13</v>
      </c>
      <c r="Y4166">
        <v>38916.46</v>
      </c>
    </row>
    <row r="4167" spans="1:25" x14ac:dyDescent="0.25">
      <c r="A4167" t="s">
        <v>4223</v>
      </c>
      <c r="B4167" s="1">
        <v>46069</v>
      </c>
      <c r="C4167">
        <v>2026</v>
      </c>
      <c r="D4167">
        <v>2</v>
      </c>
      <c r="E4167" t="s">
        <v>161</v>
      </c>
      <c r="F4167" t="s">
        <v>27</v>
      </c>
      <c r="G4167" t="s">
        <v>44</v>
      </c>
      <c r="H4167" t="s">
        <v>36</v>
      </c>
      <c r="I4167" t="s">
        <v>45</v>
      </c>
      <c r="J4167">
        <v>37</v>
      </c>
      <c r="K4167">
        <v>1040.57</v>
      </c>
      <c r="L4167">
        <v>38501.120000000003</v>
      </c>
      <c r="M4167">
        <v>21670.6</v>
      </c>
      <c r="N4167">
        <v>3441.08</v>
      </c>
      <c r="O4167">
        <v>2572.1999999999998</v>
      </c>
      <c r="P4167">
        <v>623.48</v>
      </c>
      <c r="Q4167">
        <v>509.39</v>
      </c>
      <c r="R4167">
        <v>1769.53</v>
      </c>
      <c r="S4167">
        <v>809.94</v>
      </c>
      <c r="T4167">
        <v>31396.22</v>
      </c>
      <c r="U4167">
        <v>16830.52</v>
      </c>
      <c r="V4167">
        <v>7104.9</v>
      </c>
      <c r="W4167">
        <v>6802.13</v>
      </c>
      <c r="X4167">
        <v>42945.01</v>
      </c>
      <c r="Y4167">
        <v>32989.89</v>
      </c>
    </row>
    <row r="4168" spans="1:25" x14ac:dyDescent="0.25">
      <c r="A4168" t="s">
        <v>4224</v>
      </c>
      <c r="B4168" s="1">
        <v>46069</v>
      </c>
      <c r="C4168">
        <v>2026</v>
      </c>
      <c r="D4168">
        <v>2</v>
      </c>
      <c r="E4168" t="s">
        <v>161</v>
      </c>
      <c r="F4168" t="s">
        <v>27</v>
      </c>
      <c r="G4168" t="s">
        <v>28</v>
      </c>
      <c r="H4168" t="s">
        <v>29</v>
      </c>
      <c r="I4168" t="s">
        <v>50</v>
      </c>
      <c r="J4168">
        <v>34</v>
      </c>
      <c r="K4168">
        <v>1641.16</v>
      </c>
      <c r="L4168">
        <v>55799.59</v>
      </c>
      <c r="M4168">
        <v>36379.18</v>
      </c>
      <c r="N4168">
        <v>6396.64</v>
      </c>
      <c r="O4168">
        <v>2285</v>
      </c>
      <c r="P4168">
        <v>1769.93</v>
      </c>
      <c r="Q4168">
        <v>462.21</v>
      </c>
      <c r="R4168">
        <v>1663.58</v>
      </c>
      <c r="S4168">
        <v>1300.1400000000001</v>
      </c>
      <c r="T4168">
        <v>50256.69</v>
      </c>
      <c r="U4168">
        <v>19420.41</v>
      </c>
      <c r="V4168">
        <v>5542.9</v>
      </c>
      <c r="W4168">
        <v>5062.0200000000004</v>
      </c>
      <c r="X4168">
        <v>53292</v>
      </c>
      <c r="Y4168">
        <v>49299.67</v>
      </c>
    </row>
    <row r="4169" spans="1:25" x14ac:dyDescent="0.25">
      <c r="A4169" t="s">
        <v>4225</v>
      </c>
      <c r="B4169" s="1">
        <v>46069</v>
      </c>
      <c r="C4169">
        <v>2026</v>
      </c>
      <c r="D4169">
        <v>2</v>
      </c>
      <c r="E4169" t="s">
        <v>161</v>
      </c>
      <c r="F4169" t="s">
        <v>27</v>
      </c>
      <c r="G4169" t="s">
        <v>55</v>
      </c>
      <c r="H4169" t="s">
        <v>29</v>
      </c>
      <c r="I4169" t="s">
        <v>50</v>
      </c>
      <c r="J4169">
        <v>58</v>
      </c>
      <c r="K4169">
        <v>1027.82</v>
      </c>
      <c r="L4169">
        <v>59613.77</v>
      </c>
      <c r="M4169">
        <v>31781.759999999998</v>
      </c>
      <c r="N4169">
        <v>7086.51</v>
      </c>
      <c r="O4169">
        <v>4438.75</v>
      </c>
      <c r="P4169">
        <v>1367.46</v>
      </c>
      <c r="Q4169">
        <v>932</v>
      </c>
      <c r="R4169">
        <v>3148.66</v>
      </c>
      <c r="S4169">
        <v>1201.23</v>
      </c>
      <c r="T4169">
        <v>49956.36</v>
      </c>
      <c r="U4169">
        <v>27832.02</v>
      </c>
      <c r="V4169">
        <v>9657.42</v>
      </c>
      <c r="W4169">
        <v>8634.74</v>
      </c>
      <c r="X4169">
        <v>58393.52</v>
      </c>
      <c r="Y4169">
        <v>53974.03</v>
      </c>
    </row>
    <row r="4170" spans="1:25" x14ac:dyDescent="0.25">
      <c r="A4170" t="s">
        <v>4226</v>
      </c>
      <c r="B4170" s="1">
        <v>46069</v>
      </c>
      <c r="C4170">
        <v>2026</v>
      </c>
      <c r="D4170">
        <v>2</v>
      </c>
      <c r="E4170" t="s">
        <v>161</v>
      </c>
      <c r="F4170" t="s">
        <v>27</v>
      </c>
      <c r="G4170" t="s">
        <v>28</v>
      </c>
      <c r="H4170" t="s">
        <v>32</v>
      </c>
      <c r="I4170" t="s">
        <v>56</v>
      </c>
      <c r="J4170">
        <v>36</v>
      </c>
      <c r="K4170">
        <v>943.74</v>
      </c>
      <c r="L4170">
        <v>33974.57</v>
      </c>
      <c r="M4170">
        <v>18585.78</v>
      </c>
      <c r="N4170">
        <v>4385.74</v>
      </c>
      <c r="O4170">
        <v>1306.7</v>
      </c>
      <c r="P4170">
        <v>532.77</v>
      </c>
      <c r="Q4170">
        <v>390.83</v>
      </c>
      <c r="R4170">
        <v>1720.56</v>
      </c>
      <c r="S4170">
        <v>504.85</v>
      </c>
      <c r="T4170">
        <v>27427.24</v>
      </c>
      <c r="U4170">
        <v>15388.8</v>
      </c>
      <c r="V4170">
        <v>6547.34</v>
      </c>
      <c r="W4170">
        <v>6262.57</v>
      </c>
      <c r="X4170">
        <v>33165.71</v>
      </c>
      <c r="Y4170">
        <v>29629.1</v>
      </c>
    </row>
    <row r="4171" spans="1:25" x14ac:dyDescent="0.25">
      <c r="A4171" t="s">
        <v>4227</v>
      </c>
      <c r="B4171" s="1">
        <v>46069</v>
      </c>
      <c r="C4171">
        <v>2026</v>
      </c>
      <c r="D4171">
        <v>2</v>
      </c>
      <c r="E4171" t="s">
        <v>161</v>
      </c>
      <c r="F4171" t="s">
        <v>27</v>
      </c>
      <c r="G4171" t="s">
        <v>28</v>
      </c>
      <c r="H4171" t="s">
        <v>58</v>
      </c>
      <c r="I4171" t="s">
        <v>39</v>
      </c>
      <c r="J4171">
        <v>24</v>
      </c>
      <c r="K4171">
        <v>1562.39</v>
      </c>
      <c r="L4171">
        <v>37497.279999999999</v>
      </c>
      <c r="M4171">
        <v>23729.07</v>
      </c>
      <c r="N4171">
        <v>4452.59</v>
      </c>
      <c r="O4171">
        <v>1017.84</v>
      </c>
      <c r="P4171">
        <v>1412.05</v>
      </c>
      <c r="Q4171">
        <v>321.08</v>
      </c>
      <c r="R4171">
        <v>1221.3699999999999</v>
      </c>
      <c r="S4171">
        <v>379.04</v>
      </c>
      <c r="T4171">
        <v>32533.03</v>
      </c>
      <c r="U4171">
        <v>13768.21</v>
      </c>
      <c r="V4171">
        <v>4964.24</v>
      </c>
      <c r="W4171">
        <v>4411.3599999999997</v>
      </c>
      <c r="X4171">
        <v>41740.339999999997</v>
      </c>
      <c r="Y4171">
        <v>31295.75</v>
      </c>
    </row>
    <row r="4172" spans="1:25" x14ac:dyDescent="0.25">
      <c r="A4172" t="s">
        <v>4228</v>
      </c>
      <c r="B4172" s="1">
        <v>46070</v>
      </c>
      <c r="C4172">
        <v>2026</v>
      </c>
      <c r="D4172">
        <v>2</v>
      </c>
      <c r="E4172" t="s">
        <v>161</v>
      </c>
      <c r="F4172" t="s">
        <v>27</v>
      </c>
      <c r="G4172" t="s">
        <v>28</v>
      </c>
      <c r="H4172" t="s">
        <v>32</v>
      </c>
      <c r="I4172" t="s">
        <v>37</v>
      </c>
      <c r="J4172">
        <v>55</v>
      </c>
      <c r="K4172">
        <v>1578.88</v>
      </c>
      <c r="L4172">
        <v>86838.3</v>
      </c>
      <c r="M4172">
        <v>50493</v>
      </c>
      <c r="N4172">
        <v>7854.47</v>
      </c>
      <c r="O4172">
        <v>5742.64</v>
      </c>
      <c r="P4172">
        <v>1516.38</v>
      </c>
      <c r="Q4172">
        <v>979.01</v>
      </c>
      <c r="R4172">
        <v>3752.94</v>
      </c>
      <c r="S4172">
        <v>927.66</v>
      </c>
      <c r="T4172">
        <v>71266.100000000006</v>
      </c>
      <c r="U4172">
        <v>36345.300000000003</v>
      </c>
      <c r="V4172">
        <v>15572.2</v>
      </c>
      <c r="W4172">
        <v>13805.08</v>
      </c>
      <c r="X4172">
        <v>95764.43</v>
      </c>
      <c r="Y4172">
        <v>77874.98</v>
      </c>
    </row>
    <row r="4173" spans="1:25" x14ac:dyDescent="0.25">
      <c r="A4173" t="s">
        <v>4229</v>
      </c>
      <c r="B4173" s="1">
        <v>46070</v>
      </c>
      <c r="C4173">
        <v>2026</v>
      </c>
      <c r="D4173">
        <v>2</v>
      </c>
      <c r="E4173" t="s">
        <v>161</v>
      </c>
      <c r="F4173" t="s">
        <v>27</v>
      </c>
      <c r="G4173" t="s">
        <v>55</v>
      </c>
      <c r="H4173" t="s">
        <v>36</v>
      </c>
      <c r="I4173" t="s">
        <v>39</v>
      </c>
      <c r="J4173">
        <v>23</v>
      </c>
      <c r="K4173">
        <v>1800.44</v>
      </c>
      <c r="L4173">
        <v>41410.07</v>
      </c>
      <c r="M4173">
        <v>19953.189999999999</v>
      </c>
      <c r="N4173">
        <v>3768.57</v>
      </c>
      <c r="O4173">
        <v>2211.52</v>
      </c>
      <c r="P4173">
        <v>928.91</v>
      </c>
      <c r="Q4173">
        <v>720.35</v>
      </c>
      <c r="R4173">
        <v>2495.77</v>
      </c>
      <c r="S4173">
        <v>682.38</v>
      </c>
      <c r="T4173">
        <v>30760.7</v>
      </c>
      <c r="U4173">
        <v>21456.880000000001</v>
      </c>
      <c r="V4173">
        <v>10649.38</v>
      </c>
      <c r="W4173">
        <v>9953.15</v>
      </c>
      <c r="X4173">
        <v>43052.95</v>
      </c>
      <c r="Y4173">
        <v>32968.53</v>
      </c>
    </row>
    <row r="4174" spans="1:25" x14ac:dyDescent="0.25">
      <c r="A4174" t="s">
        <v>4230</v>
      </c>
      <c r="B4174" s="1">
        <v>46070</v>
      </c>
      <c r="C4174">
        <v>2026</v>
      </c>
      <c r="D4174">
        <v>2</v>
      </c>
      <c r="E4174" t="s">
        <v>161</v>
      </c>
      <c r="F4174" t="s">
        <v>27</v>
      </c>
      <c r="G4174" t="s">
        <v>28</v>
      </c>
      <c r="H4174" t="s">
        <v>36</v>
      </c>
      <c r="I4174" t="s">
        <v>37</v>
      </c>
      <c r="J4174">
        <v>46</v>
      </c>
      <c r="K4174">
        <v>1386.52</v>
      </c>
      <c r="L4174">
        <v>63779.94</v>
      </c>
      <c r="M4174">
        <v>35980.04</v>
      </c>
      <c r="N4174">
        <v>7860.11</v>
      </c>
      <c r="O4174">
        <v>4487.3</v>
      </c>
      <c r="P4174">
        <v>1342.61</v>
      </c>
      <c r="Q4174">
        <v>869.45</v>
      </c>
      <c r="R4174">
        <v>3246.5</v>
      </c>
      <c r="S4174">
        <v>919.8</v>
      </c>
      <c r="T4174">
        <v>54705.81</v>
      </c>
      <c r="U4174">
        <v>27799.89</v>
      </c>
      <c r="V4174">
        <v>9074.1200000000008</v>
      </c>
      <c r="W4174">
        <v>9128.76</v>
      </c>
      <c r="X4174">
        <v>61841.67</v>
      </c>
      <c r="Y4174">
        <v>52038.21</v>
      </c>
    </row>
    <row r="4175" spans="1:25" x14ac:dyDescent="0.25">
      <c r="A4175" t="s">
        <v>4231</v>
      </c>
      <c r="B4175" s="1">
        <v>46070</v>
      </c>
      <c r="C4175">
        <v>2026</v>
      </c>
      <c r="D4175">
        <v>2</v>
      </c>
      <c r="E4175" t="s">
        <v>161</v>
      </c>
      <c r="F4175" t="s">
        <v>27</v>
      </c>
      <c r="G4175" t="s">
        <v>28</v>
      </c>
      <c r="H4175" t="s">
        <v>36</v>
      </c>
      <c r="I4175" t="s">
        <v>56</v>
      </c>
      <c r="J4175">
        <v>23</v>
      </c>
      <c r="K4175">
        <v>1472.18</v>
      </c>
      <c r="L4175">
        <v>33860.050000000003</v>
      </c>
      <c r="M4175">
        <v>17706.240000000002</v>
      </c>
      <c r="N4175">
        <v>3200.91</v>
      </c>
      <c r="O4175">
        <v>1995.74</v>
      </c>
      <c r="P4175">
        <v>746.19</v>
      </c>
      <c r="Q4175">
        <v>488.43</v>
      </c>
      <c r="R4175">
        <v>2000.13</v>
      </c>
      <c r="S4175">
        <v>612.54</v>
      </c>
      <c r="T4175">
        <v>26750.18</v>
      </c>
      <c r="U4175">
        <v>16153.82</v>
      </c>
      <c r="V4175">
        <v>7109.87</v>
      </c>
      <c r="W4175">
        <v>7140.38</v>
      </c>
      <c r="X4175">
        <v>37111.57</v>
      </c>
      <c r="Y4175">
        <v>26689.45</v>
      </c>
    </row>
    <row r="4176" spans="1:25" x14ac:dyDescent="0.25">
      <c r="A4176" t="s">
        <v>4232</v>
      </c>
      <c r="B4176" s="1">
        <v>46070</v>
      </c>
      <c r="C4176">
        <v>2026</v>
      </c>
      <c r="D4176">
        <v>2</v>
      </c>
      <c r="E4176" t="s">
        <v>161</v>
      </c>
      <c r="F4176" t="s">
        <v>27</v>
      </c>
      <c r="G4176" t="s">
        <v>35</v>
      </c>
      <c r="H4176" t="s">
        <v>53</v>
      </c>
      <c r="I4176" t="s">
        <v>37</v>
      </c>
      <c r="J4176">
        <v>33</v>
      </c>
      <c r="K4176">
        <v>1222.18</v>
      </c>
      <c r="L4176">
        <v>40332.050000000003</v>
      </c>
      <c r="M4176">
        <v>21031.32</v>
      </c>
      <c r="N4176">
        <v>4497.8599999999997</v>
      </c>
      <c r="O4176">
        <v>2847.01</v>
      </c>
      <c r="P4176">
        <v>893.64</v>
      </c>
      <c r="Q4176">
        <v>355.76</v>
      </c>
      <c r="R4176">
        <v>2270.84</v>
      </c>
      <c r="S4176">
        <v>813.56</v>
      </c>
      <c r="T4176">
        <v>32709.99</v>
      </c>
      <c r="U4176">
        <v>19300.740000000002</v>
      </c>
      <c r="V4176">
        <v>7622.06</v>
      </c>
      <c r="W4176">
        <v>7022.46</v>
      </c>
      <c r="X4176">
        <v>38679.96</v>
      </c>
      <c r="Y4176">
        <v>31272.82</v>
      </c>
    </row>
    <row r="4177" spans="1:25" x14ac:dyDescent="0.25">
      <c r="A4177" t="s">
        <v>4233</v>
      </c>
      <c r="B4177" s="1">
        <v>46070</v>
      </c>
      <c r="C4177">
        <v>2026</v>
      </c>
      <c r="D4177">
        <v>2</v>
      </c>
      <c r="E4177" t="s">
        <v>161</v>
      </c>
      <c r="F4177" t="s">
        <v>27</v>
      </c>
      <c r="G4177" t="s">
        <v>35</v>
      </c>
      <c r="H4177" t="s">
        <v>29</v>
      </c>
      <c r="I4177" t="s">
        <v>39</v>
      </c>
      <c r="J4177">
        <v>22</v>
      </c>
      <c r="K4177">
        <v>1744.02</v>
      </c>
      <c r="L4177">
        <v>38368.51</v>
      </c>
      <c r="M4177">
        <v>19635.080000000002</v>
      </c>
      <c r="N4177">
        <v>3236.96</v>
      </c>
      <c r="O4177">
        <v>2317.7399999999998</v>
      </c>
      <c r="P4177">
        <v>1242.6500000000001</v>
      </c>
      <c r="Q4177">
        <v>193.89</v>
      </c>
      <c r="R4177">
        <v>2241.38</v>
      </c>
      <c r="S4177">
        <v>578.49</v>
      </c>
      <c r="T4177">
        <v>29446.18</v>
      </c>
      <c r="U4177">
        <v>18733.43</v>
      </c>
      <c r="V4177">
        <v>8922.33</v>
      </c>
      <c r="W4177">
        <v>7912.13</v>
      </c>
      <c r="X4177">
        <v>41495.660000000003</v>
      </c>
      <c r="Y4177">
        <v>31959.29</v>
      </c>
    </row>
    <row r="4178" spans="1:25" x14ac:dyDescent="0.25">
      <c r="A4178" t="s">
        <v>4234</v>
      </c>
      <c r="B4178" s="1">
        <v>46070</v>
      </c>
      <c r="C4178">
        <v>2026</v>
      </c>
      <c r="D4178">
        <v>2</v>
      </c>
      <c r="E4178" t="s">
        <v>161</v>
      </c>
      <c r="F4178" t="s">
        <v>27</v>
      </c>
      <c r="G4178" t="s">
        <v>28</v>
      </c>
      <c r="H4178" t="s">
        <v>32</v>
      </c>
      <c r="I4178" t="s">
        <v>30</v>
      </c>
      <c r="J4178">
        <v>125</v>
      </c>
      <c r="K4178">
        <v>920.21</v>
      </c>
      <c r="L4178">
        <v>115025.97</v>
      </c>
      <c r="M4178">
        <v>67422.75</v>
      </c>
      <c r="N4178">
        <v>12465.81</v>
      </c>
      <c r="O4178">
        <v>7737.87</v>
      </c>
      <c r="P4178">
        <v>4366.03</v>
      </c>
      <c r="Q4178">
        <v>1499.57</v>
      </c>
      <c r="R4178">
        <v>6528.17</v>
      </c>
      <c r="S4178">
        <v>2766.94</v>
      </c>
      <c r="T4178">
        <v>102787.14</v>
      </c>
      <c r="U4178">
        <v>47603.22</v>
      </c>
      <c r="V4178">
        <v>12238.84</v>
      </c>
      <c r="W4178">
        <v>11695.63</v>
      </c>
      <c r="X4178">
        <v>113720.86</v>
      </c>
      <c r="Y4178">
        <v>108919.82</v>
      </c>
    </row>
    <row r="4179" spans="1:25" x14ac:dyDescent="0.25">
      <c r="A4179" t="s">
        <v>4235</v>
      </c>
      <c r="B4179" s="1">
        <v>46071</v>
      </c>
      <c r="C4179">
        <v>2026</v>
      </c>
      <c r="D4179">
        <v>2</v>
      </c>
      <c r="E4179" t="s">
        <v>161</v>
      </c>
      <c r="F4179" t="s">
        <v>27</v>
      </c>
      <c r="G4179" t="s">
        <v>28</v>
      </c>
      <c r="H4179" t="s">
        <v>32</v>
      </c>
      <c r="I4179" t="s">
        <v>65</v>
      </c>
      <c r="J4179">
        <v>58</v>
      </c>
      <c r="K4179">
        <v>1130.8499999999999</v>
      </c>
      <c r="L4179">
        <v>65589.56</v>
      </c>
      <c r="M4179">
        <v>36545.58</v>
      </c>
      <c r="N4179">
        <v>6509.87</v>
      </c>
      <c r="O4179">
        <v>3461.81</v>
      </c>
      <c r="P4179">
        <v>1451.8</v>
      </c>
      <c r="Q4179">
        <v>1094</v>
      </c>
      <c r="R4179">
        <v>2972.31</v>
      </c>
      <c r="S4179">
        <v>905.56</v>
      </c>
      <c r="T4179">
        <v>52940.92</v>
      </c>
      <c r="U4179">
        <v>29043.98</v>
      </c>
      <c r="V4179">
        <v>12648.63</v>
      </c>
      <c r="W4179">
        <v>12214.43</v>
      </c>
      <c r="X4179">
        <v>63747.76</v>
      </c>
      <c r="Y4179">
        <v>51809.41</v>
      </c>
    </row>
    <row r="4180" spans="1:25" x14ac:dyDescent="0.25">
      <c r="A4180" t="s">
        <v>4236</v>
      </c>
      <c r="B4180" s="1">
        <v>46071</v>
      </c>
      <c r="C4180">
        <v>2026</v>
      </c>
      <c r="D4180">
        <v>2</v>
      </c>
      <c r="E4180" t="s">
        <v>161</v>
      </c>
      <c r="F4180" t="s">
        <v>27</v>
      </c>
      <c r="G4180" t="s">
        <v>28</v>
      </c>
      <c r="H4180" t="s">
        <v>36</v>
      </c>
      <c r="I4180" t="s">
        <v>65</v>
      </c>
      <c r="J4180">
        <v>54</v>
      </c>
      <c r="K4180">
        <v>1310.68</v>
      </c>
      <c r="L4180">
        <v>70776.509999999995</v>
      </c>
      <c r="M4180">
        <v>40013.160000000003</v>
      </c>
      <c r="N4180">
        <v>7867.8</v>
      </c>
      <c r="O4180">
        <v>4511.66</v>
      </c>
      <c r="P4180">
        <v>2094.0100000000002</v>
      </c>
      <c r="Q4180">
        <v>780.8</v>
      </c>
      <c r="R4180">
        <v>2311.92</v>
      </c>
      <c r="S4180">
        <v>1063.6099999999999</v>
      </c>
      <c r="T4180">
        <v>58642.96</v>
      </c>
      <c r="U4180">
        <v>30763.35</v>
      </c>
      <c r="V4180">
        <v>12133.55</v>
      </c>
      <c r="W4180">
        <v>11863.2</v>
      </c>
      <c r="X4180">
        <v>77128.429999999993</v>
      </c>
      <c r="Y4180">
        <v>62214.65</v>
      </c>
    </row>
    <row r="4181" spans="1:25" x14ac:dyDescent="0.25">
      <c r="A4181" t="s">
        <v>4237</v>
      </c>
      <c r="B4181" s="1">
        <v>46072</v>
      </c>
      <c r="C4181">
        <v>2026</v>
      </c>
      <c r="D4181">
        <v>2</v>
      </c>
      <c r="E4181" t="s">
        <v>161</v>
      </c>
      <c r="F4181" t="s">
        <v>27</v>
      </c>
      <c r="G4181" t="s">
        <v>55</v>
      </c>
      <c r="H4181" t="s">
        <v>36</v>
      </c>
      <c r="I4181" t="s">
        <v>33</v>
      </c>
      <c r="J4181">
        <v>41</v>
      </c>
      <c r="K4181">
        <v>1682.7</v>
      </c>
      <c r="L4181">
        <v>68990.87</v>
      </c>
      <c r="M4181">
        <v>37167</v>
      </c>
      <c r="N4181">
        <v>7802.03</v>
      </c>
      <c r="O4181">
        <v>2129.23</v>
      </c>
      <c r="P4181">
        <v>2620.4499999999998</v>
      </c>
      <c r="Q4181">
        <v>531.70000000000005</v>
      </c>
      <c r="R4181">
        <v>3308.36</v>
      </c>
      <c r="S4181">
        <v>964.43</v>
      </c>
      <c r="T4181">
        <v>54523.19</v>
      </c>
      <c r="U4181">
        <v>31823.88</v>
      </c>
      <c r="V4181">
        <v>14467.68</v>
      </c>
      <c r="W4181">
        <v>12864.19</v>
      </c>
      <c r="X4181">
        <v>71264.91</v>
      </c>
      <c r="Y4181">
        <v>56212.34</v>
      </c>
    </row>
    <row r="4182" spans="1:25" x14ac:dyDescent="0.25">
      <c r="A4182" t="s">
        <v>4238</v>
      </c>
      <c r="B4182" s="1">
        <v>46072</v>
      </c>
      <c r="C4182">
        <v>2026</v>
      </c>
      <c r="D4182">
        <v>2</v>
      </c>
      <c r="E4182" t="s">
        <v>161</v>
      </c>
      <c r="F4182" t="s">
        <v>27</v>
      </c>
      <c r="G4182" t="s">
        <v>44</v>
      </c>
      <c r="H4182" t="s">
        <v>53</v>
      </c>
      <c r="I4182" t="s">
        <v>37</v>
      </c>
      <c r="J4182">
        <v>29</v>
      </c>
      <c r="K4182">
        <v>1773.09</v>
      </c>
      <c r="L4182">
        <v>51419.59</v>
      </c>
      <c r="M4182">
        <v>30107.3</v>
      </c>
      <c r="N4182">
        <v>4474.04</v>
      </c>
      <c r="O4182">
        <v>2895.13</v>
      </c>
      <c r="P4182">
        <v>884.99</v>
      </c>
      <c r="Q4182">
        <v>520.01</v>
      </c>
      <c r="R4182">
        <v>1806.61</v>
      </c>
      <c r="S4182">
        <v>978.54</v>
      </c>
      <c r="T4182">
        <v>41666.629999999997</v>
      </c>
      <c r="U4182">
        <v>21312.29</v>
      </c>
      <c r="V4182">
        <v>9752.9599999999991</v>
      </c>
      <c r="W4182">
        <v>8736.82</v>
      </c>
      <c r="X4182">
        <v>50370.2</v>
      </c>
      <c r="Y4182">
        <v>41710.19</v>
      </c>
    </row>
    <row r="4183" spans="1:25" x14ac:dyDescent="0.25">
      <c r="A4183" t="s">
        <v>4239</v>
      </c>
      <c r="B4183" s="1">
        <v>46072</v>
      </c>
      <c r="C4183">
        <v>2026</v>
      </c>
      <c r="D4183">
        <v>2</v>
      </c>
      <c r="E4183" t="s">
        <v>161</v>
      </c>
      <c r="F4183" t="s">
        <v>27</v>
      </c>
      <c r="G4183" t="s">
        <v>35</v>
      </c>
      <c r="H4183" t="s">
        <v>36</v>
      </c>
      <c r="I4183" t="s">
        <v>30</v>
      </c>
      <c r="J4183">
        <v>68</v>
      </c>
      <c r="K4183">
        <v>1450.21</v>
      </c>
      <c r="L4183">
        <v>98614.44</v>
      </c>
      <c r="M4183">
        <v>58880.55</v>
      </c>
      <c r="N4183">
        <v>8002.48</v>
      </c>
      <c r="O4183">
        <v>5607.31</v>
      </c>
      <c r="P4183">
        <v>4094.52</v>
      </c>
      <c r="Q4183">
        <v>957.96</v>
      </c>
      <c r="R4183">
        <v>4016.05</v>
      </c>
      <c r="S4183">
        <v>2371.4299999999998</v>
      </c>
      <c r="T4183">
        <v>83930.32</v>
      </c>
      <c r="U4183">
        <v>39733.879999999997</v>
      </c>
      <c r="V4183">
        <v>14684.12</v>
      </c>
      <c r="W4183">
        <v>14199.73</v>
      </c>
      <c r="X4183">
        <v>108746.06</v>
      </c>
      <c r="Y4183">
        <v>83992.57</v>
      </c>
    </row>
    <row r="4184" spans="1:25" x14ac:dyDescent="0.25">
      <c r="A4184" t="s">
        <v>4240</v>
      </c>
      <c r="B4184" s="1">
        <v>46073</v>
      </c>
      <c r="C4184">
        <v>2026</v>
      </c>
      <c r="D4184">
        <v>2</v>
      </c>
      <c r="E4184" t="s">
        <v>161</v>
      </c>
      <c r="F4184" t="s">
        <v>27</v>
      </c>
      <c r="G4184" t="s">
        <v>55</v>
      </c>
      <c r="H4184" t="s">
        <v>32</v>
      </c>
      <c r="I4184" t="s">
        <v>30</v>
      </c>
      <c r="J4184">
        <v>135</v>
      </c>
      <c r="K4184">
        <v>970.42</v>
      </c>
      <c r="L4184">
        <v>131006.69</v>
      </c>
      <c r="M4184">
        <v>74089.789999999994</v>
      </c>
      <c r="N4184">
        <v>10544.29</v>
      </c>
      <c r="O4184">
        <v>7086.49</v>
      </c>
      <c r="P4184">
        <v>5212.49</v>
      </c>
      <c r="Q4184">
        <v>1934.99</v>
      </c>
      <c r="R4184">
        <v>3586.58</v>
      </c>
      <c r="S4184">
        <v>1710.96</v>
      </c>
      <c r="T4184">
        <v>104165.59</v>
      </c>
      <c r="U4184">
        <v>56916.9</v>
      </c>
      <c r="V4184">
        <v>26841.1</v>
      </c>
      <c r="W4184">
        <v>26995.72</v>
      </c>
      <c r="X4184">
        <v>128508.04</v>
      </c>
      <c r="Y4184">
        <v>111336</v>
      </c>
    </row>
    <row r="4185" spans="1:25" x14ac:dyDescent="0.25">
      <c r="A4185" t="s">
        <v>4241</v>
      </c>
      <c r="B4185" s="1">
        <v>46074</v>
      </c>
      <c r="C4185">
        <v>2026</v>
      </c>
      <c r="D4185">
        <v>2</v>
      </c>
      <c r="E4185" t="s">
        <v>161</v>
      </c>
      <c r="F4185" t="s">
        <v>27</v>
      </c>
      <c r="G4185" t="s">
        <v>44</v>
      </c>
      <c r="H4185" t="s">
        <v>36</v>
      </c>
      <c r="I4185" t="s">
        <v>56</v>
      </c>
      <c r="J4185">
        <v>26</v>
      </c>
      <c r="K4185">
        <v>1061.18</v>
      </c>
      <c r="L4185">
        <v>27590.55</v>
      </c>
      <c r="M4185">
        <v>14668.27</v>
      </c>
      <c r="N4185">
        <v>3281.25</v>
      </c>
      <c r="O4185">
        <v>1024.27</v>
      </c>
      <c r="P4185">
        <v>783.74</v>
      </c>
      <c r="Q4185">
        <v>373.68</v>
      </c>
      <c r="R4185">
        <v>1596.81</v>
      </c>
      <c r="S4185">
        <v>575.62</v>
      </c>
      <c r="T4185">
        <v>22303.62</v>
      </c>
      <c r="U4185">
        <v>12922.29</v>
      </c>
      <c r="V4185">
        <v>5286.93</v>
      </c>
      <c r="W4185">
        <v>5324.11</v>
      </c>
      <c r="X4185">
        <v>27738.17</v>
      </c>
      <c r="Y4185">
        <v>21673.9</v>
      </c>
    </row>
    <row r="4186" spans="1:25" x14ac:dyDescent="0.25">
      <c r="A4186" t="s">
        <v>4242</v>
      </c>
      <c r="B4186" s="1">
        <v>46074</v>
      </c>
      <c r="C4186">
        <v>2026</v>
      </c>
      <c r="D4186">
        <v>2</v>
      </c>
      <c r="E4186" t="s">
        <v>161</v>
      </c>
      <c r="F4186" t="s">
        <v>27</v>
      </c>
      <c r="G4186" t="s">
        <v>44</v>
      </c>
      <c r="H4186" t="s">
        <v>32</v>
      </c>
      <c r="I4186" t="s">
        <v>30</v>
      </c>
      <c r="J4186">
        <v>51</v>
      </c>
      <c r="K4186">
        <v>1744.59</v>
      </c>
      <c r="L4186">
        <v>88974.26</v>
      </c>
      <c r="M4186">
        <v>52320.59</v>
      </c>
      <c r="N4186">
        <v>6325.19</v>
      </c>
      <c r="O4186">
        <v>6655.84</v>
      </c>
      <c r="P4186">
        <v>1732.19</v>
      </c>
      <c r="Q4186">
        <v>816.26</v>
      </c>
      <c r="R4186">
        <v>5073.8500000000004</v>
      </c>
      <c r="S4186">
        <v>1940.88</v>
      </c>
      <c r="T4186">
        <v>74864.789999999994</v>
      </c>
      <c r="U4186">
        <v>36653.68</v>
      </c>
      <c r="V4186">
        <v>14109.47</v>
      </c>
      <c r="W4186">
        <v>12555.96</v>
      </c>
      <c r="X4186">
        <v>82726.45</v>
      </c>
      <c r="Y4186">
        <v>72616.33</v>
      </c>
    </row>
    <row r="4187" spans="1:25" x14ac:dyDescent="0.25">
      <c r="A4187" t="s">
        <v>4243</v>
      </c>
      <c r="B4187" s="1">
        <v>46074</v>
      </c>
      <c r="C4187">
        <v>2026</v>
      </c>
      <c r="D4187">
        <v>2</v>
      </c>
      <c r="E4187" t="s">
        <v>161</v>
      </c>
      <c r="F4187" t="s">
        <v>27</v>
      </c>
      <c r="G4187" t="s">
        <v>28</v>
      </c>
      <c r="H4187" t="s">
        <v>32</v>
      </c>
      <c r="I4187" t="s">
        <v>33</v>
      </c>
      <c r="J4187">
        <v>67</v>
      </c>
      <c r="K4187">
        <v>1781.89</v>
      </c>
      <c r="L4187">
        <v>119386.58</v>
      </c>
      <c r="M4187">
        <v>73559.14</v>
      </c>
      <c r="N4187">
        <v>8921.02</v>
      </c>
      <c r="O4187">
        <v>5281.94</v>
      </c>
      <c r="P4187">
        <v>2684.57</v>
      </c>
      <c r="Q4187">
        <v>1416.24</v>
      </c>
      <c r="R4187">
        <v>3650.94</v>
      </c>
      <c r="S4187">
        <v>1973.94</v>
      </c>
      <c r="T4187">
        <v>97487.8</v>
      </c>
      <c r="U4187">
        <v>45827.44</v>
      </c>
      <c r="V4187">
        <v>21898.79</v>
      </c>
      <c r="W4187">
        <v>19797.48</v>
      </c>
      <c r="X4187">
        <v>119049.46</v>
      </c>
      <c r="Y4187">
        <v>96764.74</v>
      </c>
    </row>
    <row r="4188" spans="1:25" x14ac:dyDescent="0.25">
      <c r="A4188" t="s">
        <v>4244</v>
      </c>
      <c r="B4188" s="1">
        <v>46074</v>
      </c>
      <c r="C4188">
        <v>2026</v>
      </c>
      <c r="D4188">
        <v>2</v>
      </c>
      <c r="E4188" t="s">
        <v>161</v>
      </c>
      <c r="F4188" t="s">
        <v>27</v>
      </c>
      <c r="G4188" t="s">
        <v>28</v>
      </c>
      <c r="H4188" t="s">
        <v>36</v>
      </c>
      <c r="I4188" t="s">
        <v>45</v>
      </c>
      <c r="J4188">
        <v>44</v>
      </c>
      <c r="K4188">
        <v>798.69</v>
      </c>
      <c r="L4188">
        <v>35142.230000000003</v>
      </c>
      <c r="M4188">
        <v>19403.64</v>
      </c>
      <c r="N4188">
        <v>4524.7</v>
      </c>
      <c r="O4188">
        <v>2579.86</v>
      </c>
      <c r="P4188">
        <v>1270.82</v>
      </c>
      <c r="Q4188">
        <v>550.80999999999995</v>
      </c>
      <c r="R4188">
        <v>1859</v>
      </c>
      <c r="S4188">
        <v>770.93</v>
      </c>
      <c r="T4188">
        <v>30959.74</v>
      </c>
      <c r="U4188">
        <v>15738.6</v>
      </c>
      <c r="V4188">
        <v>4182.49</v>
      </c>
      <c r="W4188">
        <v>4237.5200000000004</v>
      </c>
      <c r="X4188">
        <v>33610.160000000003</v>
      </c>
      <c r="Y4188">
        <v>31932.84</v>
      </c>
    </row>
    <row r="4189" spans="1:25" x14ac:dyDescent="0.25">
      <c r="A4189" t="s">
        <v>4245</v>
      </c>
      <c r="B4189" s="1">
        <v>46074</v>
      </c>
      <c r="C4189">
        <v>2026</v>
      </c>
      <c r="D4189">
        <v>2</v>
      </c>
      <c r="E4189" t="s">
        <v>161</v>
      </c>
      <c r="F4189" t="s">
        <v>27</v>
      </c>
      <c r="G4189" t="s">
        <v>44</v>
      </c>
      <c r="H4189" t="s">
        <v>36</v>
      </c>
      <c r="I4189" t="s">
        <v>30</v>
      </c>
      <c r="J4189">
        <v>86</v>
      </c>
      <c r="K4189">
        <v>893.1</v>
      </c>
      <c r="L4189">
        <v>76806.899999999994</v>
      </c>
      <c r="M4189">
        <v>43683.78</v>
      </c>
      <c r="N4189">
        <v>9466.7800000000007</v>
      </c>
      <c r="O4189">
        <v>2838.61</v>
      </c>
      <c r="P4189">
        <v>2776.09</v>
      </c>
      <c r="Q4189">
        <v>628.17999999999995</v>
      </c>
      <c r="R4189">
        <v>3115.84</v>
      </c>
      <c r="S4189">
        <v>1421.52</v>
      </c>
      <c r="T4189">
        <v>63930.8</v>
      </c>
      <c r="U4189">
        <v>33123.120000000003</v>
      </c>
      <c r="V4189">
        <v>12876.1</v>
      </c>
      <c r="W4189">
        <v>12086.16</v>
      </c>
      <c r="X4189">
        <v>77782.45</v>
      </c>
      <c r="Y4189">
        <v>62672.800000000003</v>
      </c>
    </row>
    <row r="4190" spans="1:25" x14ac:dyDescent="0.25">
      <c r="A4190" t="s">
        <v>4246</v>
      </c>
      <c r="B4190" s="1">
        <v>46074</v>
      </c>
      <c r="C4190">
        <v>2026</v>
      </c>
      <c r="D4190">
        <v>2</v>
      </c>
      <c r="E4190" t="s">
        <v>161</v>
      </c>
      <c r="F4190" t="s">
        <v>27</v>
      </c>
      <c r="G4190" t="s">
        <v>28</v>
      </c>
      <c r="H4190" t="s">
        <v>36</v>
      </c>
      <c r="I4190" t="s">
        <v>39</v>
      </c>
      <c r="J4190">
        <v>53</v>
      </c>
      <c r="K4190">
        <v>894.26</v>
      </c>
      <c r="L4190">
        <v>47395.82</v>
      </c>
      <c r="M4190">
        <v>29237.1</v>
      </c>
      <c r="N4190">
        <v>3772.86</v>
      </c>
      <c r="O4190">
        <v>3188.79</v>
      </c>
      <c r="P4190">
        <v>1354.44</v>
      </c>
      <c r="Q4190">
        <v>287.39</v>
      </c>
      <c r="R4190">
        <v>1725.23</v>
      </c>
      <c r="S4190">
        <v>1030.49</v>
      </c>
      <c r="T4190">
        <v>40596.29</v>
      </c>
      <c r="U4190">
        <v>18158.72</v>
      </c>
      <c r="V4190">
        <v>6799.52</v>
      </c>
      <c r="W4190">
        <v>6823.45</v>
      </c>
      <c r="X4190">
        <v>47727.519999999997</v>
      </c>
      <c r="Y4190">
        <v>43753.24</v>
      </c>
    </row>
    <row r="4191" spans="1:25" x14ac:dyDescent="0.25">
      <c r="A4191" t="s">
        <v>4247</v>
      </c>
      <c r="B4191" s="1">
        <v>46075</v>
      </c>
      <c r="C4191">
        <v>2026</v>
      </c>
      <c r="D4191">
        <v>2</v>
      </c>
      <c r="E4191" t="s">
        <v>161</v>
      </c>
      <c r="F4191" t="s">
        <v>27</v>
      </c>
      <c r="G4191" t="s">
        <v>44</v>
      </c>
      <c r="H4191" t="s">
        <v>29</v>
      </c>
      <c r="I4191" t="s">
        <v>37</v>
      </c>
      <c r="J4191">
        <v>45</v>
      </c>
      <c r="K4191">
        <v>1217.44</v>
      </c>
      <c r="L4191">
        <v>54784.76</v>
      </c>
      <c r="M4191">
        <v>30044.77</v>
      </c>
      <c r="N4191">
        <v>4055.98</v>
      </c>
      <c r="O4191">
        <v>3825.96</v>
      </c>
      <c r="P4191">
        <v>1890.07</v>
      </c>
      <c r="Q4191">
        <v>724.24</v>
      </c>
      <c r="R4191">
        <v>2612.3000000000002</v>
      </c>
      <c r="S4191">
        <v>831.75</v>
      </c>
      <c r="T4191">
        <v>43985.08</v>
      </c>
      <c r="U4191">
        <v>24739.99</v>
      </c>
      <c r="V4191">
        <v>10799.68</v>
      </c>
      <c r="W4191">
        <v>9841.51</v>
      </c>
      <c r="X4191">
        <v>53249.07</v>
      </c>
      <c r="Y4191">
        <v>47656.81</v>
      </c>
    </row>
    <row r="4192" spans="1:25" x14ac:dyDescent="0.25">
      <c r="A4192" t="s">
        <v>4248</v>
      </c>
      <c r="B4192" s="1">
        <v>46075</v>
      </c>
      <c r="C4192">
        <v>2026</v>
      </c>
      <c r="D4192">
        <v>2</v>
      </c>
      <c r="E4192" t="s">
        <v>161</v>
      </c>
      <c r="F4192" t="s">
        <v>27</v>
      </c>
      <c r="G4192" t="s">
        <v>55</v>
      </c>
      <c r="H4192" t="s">
        <v>36</v>
      </c>
      <c r="I4192" t="s">
        <v>65</v>
      </c>
      <c r="J4192">
        <v>45</v>
      </c>
      <c r="K4192">
        <v>1441.12</v>
      </c>
      <c r="L4192">
        <v>64850.27</v>
      </c>
      <c r="M4192">
        <v>36365.82</v>
      </c>
      <c r="N4192">
        <v>8116.44</v>
      </c>
      <c r="O4192">
        <v>3079.95</v>
      </c>
      <c r="P4192">
        <v>1665.75</v>
      </c>
      <c r="Q4192">
        <v>1013.8</v>
      </c>
      <c r="R4192">
        <v>2880.67</v>
      </c>
      <c r="S4192">
        <v>1484.19</v>
      </c>
      <c r="T4192">
        <v>54606.63</v>
      </c>
      <c r="U4192">
        <v>28484.45</v>
      </c>
      <c r="V4192">
        <v>10243.64</v>
      </c>
      <c r="W4192">
        <v>10131.44</v>
      </c>
      <c r="X4192">
        <v>68544.039999999994</v>
      </c>
      <c r="Y4192">
        <v>57929.13</v>
      </c>
    </row>
    <row r="4193" spans="1:25" x14ac:dyDescent="0.25">
      <c r="A4193" t="s">
        <v>4249</v>
      </c>
      <c r="B4193" s="1">
        <v>46076</v>
      </c>
      <c r="C4193">
        <v>2026</v>
      </c>
      <c r="D4193">
        <v>2</v>
      </c>
      <c r="E4193" t="s">
        <v>161</v>
      </c>
      <c r="F4193" t="s">
        <v>27</v>
      </c>
      <c r="G4193" t="s">
        <v>44</v>
      </c>
      <c r="H4193" t="s">
        <v>36</v>
      </c>
      <c r="I4193" t="s">
        <v>56</v>
      </c>
      <c r="J4193">
        <v>27</v>
      </c>
      <c r="K4193">
        <v>1441.93</v>
      </c>
      <c r="L4193">
        <v>38932.18</v>
      </c>
      <c r="M4193">
        <v>20814.23</v>
      </c>
      <c r="N4193">
        <v>3108.89</v>
      </c>
      <c r="O4193">
        <v>2746.86</v>
      </c>
      <c r="P4193">
        <v>1135.3499999999999</v>
      </c>
      <c r="Q4193">
        <v>431.63</v>
      </c>
      <c r="R4193">
        <v>2433.2399999999998</v>
      </c>
      <c r="S4193">
        <v>577.26</v>
      </c>
      <c r="T4193">
        <v>31247.46</v>
      </c>
      <c r="U4193">
        <v>18117.95</v>
      </c>
      <c r="V4193">
        <v>7684.72</v>
      </c>
      <c r="W4193">
        <v>7501.52</v>
      </c>
      <c r="X4193">
        <v>37803.730000000003</v>
      </c>
      <c r="Y4193">
        <v>29633.75</v>
      </c>
    </row>
    <row r="4194" spans="1:25" x14ac:dyDescent="0.25">
      <c r="A4194" t="s">
        <v>4250</v>
      </c>
      <c r="B4194" s="1">
        <v>46076</v>
      </c>
      <c r="C4194">
        <v>2026</v>
      </c>
      <c r="D4194">
        <v>2</v>
      </c>
      <c r="E4194" t="s">
        <v>161</v>
      </c>
      <c r="F4194" t="s">
        <v>27</v>
      </c>
      <c r="G4194" t="s">
        <v>55</v>
      </c>
      <c r="H4194" t="s">
        <v>32</v>
      </c>
      <c r="I4194" t="s">
        <v>39</v>
      </c>
      <c r="J4194">
        <v>63</v>
      </c>
      <c r="K4194">
        <v>1094.9100000000001</v>
      </c>
      <c r="L4194">
        <v>68979.31</v>
      </c>
      <c r="M4194">
        <v>42284.11</v>
      </c>
      <c r="N4194">
        <v>7928.06</v>
      </c>
      <c r="O4194">
        <v>2603.06</v>
      </c>
      <c r="P4194">
        <v>2744.12</v>
      </c>
      <c r="Q4194">
        <v>810.68</v>
      </c>
      <c r="R4194">
        <v>2869.41</v>
      </c>
      <c r="S4194">
        <v>1419.73</v>
      </c>
      <c r="T4194">
        <v>60659.17</v>
      </c>
      <c r="U4194">
        <v>26695.19</v>
      </c>
      <c r="V4194">
        <v>8320.1299999999992</v>
      </c>
      <c r="W4194">
        <v>7538.53</v>
      </c>
      <c r="X4194">
        <v>70999.44</v>
      </c>
      <c r="Y4194">
        <v>66570.94</v>
      </c>
    </row>
    <row r="4195" spans="1:25" x14ac:dyDescent="0.25">
      <c r="A4195" t="s">
        <v>4251</v>
      </c>
      <c r="B4195" s="1">
        <v>46077</v>
      </c>
      <c r="C4195">
        <v>2026</v>
      </c>
      <c r="D4195">
        <v>2</v>
      </c>
      <c r="E4195" t="s">
        <v>161</v>
      </c>
      <c r="F4195" t="s">
        <v>27</v>
      </c>
      <c r="G4195" t="s">
        <v>35</v>
      </c>
      <c r="H4195" t="s">
        <v>32</v>
      </c>
      <c r="I4195" t="s">
        <v>33</v>
      </c>
      <c r="J4195">
        <v>87</v>
      </c>
      <c r="K4195">
        <v>1055.83</v>
      </c>
      <c r="L4195">
        <v>91857</v>
      </c>
      <c r="M4195">
        <v>48734.76</v>
      </c>
      <c r="N4195">
        <v>11757.36</v>
      </c>
      <c r="O4195">
        <v>3654.83</v>
      </c>
      <c r="P4195">
        <v>2906.56</v>
      </c>
      <c r="Q4195">
        <v>937.8</v>
      </c>
      <c r="R4195">
        <v>3226.13</v>
      </c>
      <c r="S4195">
        <v>1108.73</v>
      </c>
      <c r="T4195">
        <v>72326.179999999993</v>
      </c>
      <c r="U4195">
        <v>43122.239999999998</v>
      </c>
      <c r="V4195">
        <v>19530.82</v>
      </c>
      <c r="W4195">
        <v>18137.22</v>
      </c>
      <c r="X4195">
        <v>87348.76</v>
      </c>
      <c r="Y4195">
        <v>78620.759999999995</v>
      </c>
    </row>
    <row r="4196" spans="1:25" x14ac:dyDescent="0.25">
      <c r="A4196" t="s">
        <v>4252</v>
      </c>
      <c r="B4196" s="1">
        <v>46077</v>
      </c>
      <c r="C4196">
        <v>2026</v>
      </c>
      <c r="D4196">
        <v>2</v>
      </c>
      <c r="E4196" t="s">
        <v>161</v>
      </c>
      <c r="F4196" t="s">
        <v>27</v>
      </c>
      <c r="G4196" t="s">
        <v>44</v>
      </c>
      <c r="H4196" t="s">
        <v>53</v>
      </c>
      <c r="I4196" t="s">
        <v>37</v>
      </c>
      <c r="J4196">
        <v>34</v>
      </c>
      <c r="K4196">
        <v>1481.18</v>
      </c>
      <c r="L4196">
        <v>50360.06</v>
      </c>
      <c r="M4196">
        <v>25975.48</v>
      </c>
      <c r="N4196">
        <v>6312.27</v>
      </c>
      <c r="O4196">
        <v>1522.18</v>
      </c>
      <c r="P4196">
        <v>1372.82</v>
      </c>
      <c r="Q4196">
        <v>588.57000000000005</v>
      </c>
      <c r="R4196">
        <v>3264.38</v>
      </c>
      <c r="S4196">
        <v>1147.72</v>
      </c>
      <c r="T4196">
        <v>40183.43</v>
      </c>
      <c r="U4196">
        <v>24384.58</v>
      </c>
      <c r="V4196">
        <v>10176.629999999999</v>
      </c>
      <c r="W4196">
        <v>9189.02</v>
      </c>
      <c r="X4196">
        <v>55527.519999999997</v>
      </c>
      <c r="Y4196">
        <v>41149.51</v>
      </c>
    </row>
    <row r="4197" spans="1:25" x14ac:dyDescent="0.25">
      <c r="A4197" t="s">
        <v>4253</v>
      </c>
      <c r="B4197" s="1">
        <v>46077</v>
      </c>
      <c r="C4197">
        <v>2026</v>
      </c>
      <c r="D4197">
        <v>2</v>
      </c>
      <c r="E4197" t="s">
        <v>161</v>
      </c>
      <c r="F4197" t="s">
        <v>27</v>
      </c>
      <c r="G4197" t="s">
        <v>44</v>
      </c>
      <c r="H4197" t="s">
        <v>32</v>
      </c>
      <c r="I4197" t="s">
        <v>50</v>
      </c>
      <c r="J4197">
        <v>44</v>
      </c>
      <c r="K4197">
        <v>1457.99</v>
      </c>
      <c r="L4197">
        <v>64151.73</v>
      </c>
      <c r="M4197">
        <v>34960.06</v>
      </c>
      <c r="N4197">
        <v>6269.36</v>
      </c>
      <c r="O4197">
        <v>2411.7399999999998</v>
      </c>
      <c r="P4197">
        <v>1160.6600000000001</v>
      </c>
      <c r="Q4197">
        <v>861.09</v>
      </c>
      <c r="R4197">
        <v>3426.76</v>
      </c>
      <c r="S4197">
        <v>1318.83</v>
      </c>
      <c r="T4197">
        <v>50408.49</v>
      </c>
      <c r="U4197">
        <v>29191.67</v>
      </c>
      <c r="V4197">
        <v>13743.24</v>
      </c>
      <c r="W4197">
        <v>13281.93</v>
      </c>
      <c r="X4197">
        <v>64553.94</v>
      </c>
      <c r="Y4197">
        <v>55036.23</v>
      </c>
    </row>
    <row r="4198" spans="1:25" x14ac:dyDescent="0.25">
      <c r="A4198" t="s">
        <v>4254</v>
      </c>
      <c r="B4198" s="1">
        <v>46077</v>
      </c>
      <c r="C4198">
        <v>2026</v>
      </c>
      <c r="D4198">
        <v>2</v>
      </c>
      <c r="E4198" t="s">
        <v>161</v>
      </c>
      <c r="F4198" t="s">
        <v>27</v>
      </c>
      <c r="G4198" t="s">
        <v>55</v>
      </c>
      <c r="H4198" t="s">
        <v>32</v>
      </c>
      <c r="I4198" t="s">
        <v>39</v>
      </c>
      <c r="J4198">
        <v>45</v>
      </c>
      <c r="K4198">
        <v>1290.92</v>
      </c>
      <c r="L4198">
        <v>58091.19</v>
      </c>
      <c r="M4198">
        <v>39114.86</v>
      </c>
      <c r="N4198">
        <v>6999.51</v>
      </c>
      <c r="O4198">
        <v>3584.68</v>
      </c>
      <c r="P4198">
        <v>2209.77</v>
      </c>
      <c r="Q4198">
        <v>691.14</v>
      </c>
      <c r="R4198">
        <v>2607.6999999999998</v>
      </c>
      <c r="S4198">
        <v>942.15</v>
      </c>
      <c r="T4198">
        <v>56149.81</v>
      </c>
      <c r="U4198">
        <v>18976.330000000002</v>
      </c>
      <c r="V4198">
        <v>1941.38</v>
      </c>
      <c r="W4198">
        <v>1939.03</v>
      </c>
      <c r="X4198">
        <v>54168.23</v>
      </c>
      <c r="Y4198">
        <v>59517.47</v>
      </c>
    </row>
    <row r="4199" spans="1:25" x14ac:dyDescent="0.25">
      <c r="A4199" t="s">
        <v>4255</v>
      </c>
      <c r="B4199" s="1">
        <v>46077</v>
      </c>
      <c r="C4199">
        <v>2026</v>
      </c>
      <c r="D4199">
        <v>2</v>
      </c>
      <c r="E4199" t="s">
        <v>161</v>
      </c>
      <c r="F4199" t="s">
        <v>27</v>
      </c>
      <c r="G4199" t="s">
        <v>28</v>
      </c>
      <c r="H4199" t="s">
        <v>32</v>
      </c>
      <c r="I4199" t="s">
        <v>33</v>
      </c>
      <c r="J4199">
        <v>47</v>
      </c>
      <c r="K4199">
        <v>1762.25</v>
      </c>
      <c r="L4199">
        <v>82825.94</v>
      </c>
      <c r="M4199">
        <v>46401.02</v>
      </c>
      <c r="N4199">
        <v>6571.34</v>
      </c>
      <c r="O4199">
        <v>3382.69</v>
      </c>
      <c r="P4199">
        <v>1566.95</v>
      </c>
      <c r="Q4199">
        <v>706.82</v>
      </c>
      <c r="R4199">
        <v>2074.0500000000002</v>
      </c>
      <c r="S4199">
        <v>887.48</v>
      </c>
      <c r="T4199">
        <v>61590.35</v>
      </c>
      <c r="U4199">
        <v>36424.92</v>
      </c>
      <c r="V4199">
        <v>21235.59</v>
      </c>
      <c r="W4199">
        <v>19187.14</v>
      </c>
      <c r="X4199">
        <v>81293.5</v>
      </c>
      <c r="Y4199">
        <v>65648.490000000005</v>
      </c>
    </row>
    <row r="4200" spans="1:25" x14ac:dyDescent="0.25">
      <c r="A4200" t="s">
        <v>4256</v>
      </c>
      <c r="B4200" s="1">
        <v>46077</v>
      </c>
      <c r="C4200">
        <v>2026</v>
      </c>
      <c r="D4200">
        <v>2</v>
      </c>
      <c r="E4200" t="s">
        <v>161</v>
      </c>
      <c r="F4200" t="s">
        <v>27</v>
      </c>
      <c r="G4200" t="s">
        <v>55</v>
      </c>
      <c r="H4200" t="s">
        <v>58</v>
      </c>
      <c r="I4200" t="s">
        <v>45</v>
      </c>
      <c r="J4200">
        <v>33</v>
      </c>
      <c r="K4200">
        <v>1729.94</v>
      </c>
      <c r="L4200">
        <v>57088.04</v>
      </c>
      <c r="M4200">
        <v>34932.14</v>
      </c>
      <c r="N4200">
        <v>4884.8</v>
      </c>
      <c r="O4200">
        <v>1781.78</v>
      </c>
      <c r="P4200">
        <v>1189.33</v>
      </c>
      <c r="Q4200">
        <v>653.77</v>
      </c>
      <c r="R4200">
        <v>3479.53</v>
      </c>
      <c r="S4200">
        <v>576.01</v>
      </c>
      <c r="T4200">
        <v>47497.36</v>
      </c>
      <c r="U4200">
        <v>22155.9</v>
      </c>
      <c r="V4200">
        <v>9590.68</v>
      </c>
      <c r="W4200">
        <v>8571.42</v>
      </c>
      <c r="X4200">
        <v>60906.51</v>
      </c>
      <c r="Y4200">
        <v>49030.92</v>
      </c>
    </row>
    <row r="4201" spans="1:25" x14ac:dyDescent="0.25">
      <c r="A4201" t="s">
        <v>4257</v>
      </c>
      <c r="B4201" s="1">
        <v>46077</v>
      </c>
      <c r="C4201">
        <v>2026</v>
      </c>
      <c r="D4201">
        <v>2</v>
      </c>
      <c r="E4201" t="s">
        <v>161</v>
      </c>
      <c r="F4201" t="s">
        <v>27</v>
      </c>
      <c r="G4201" t="s">
        <v>28</v>
      </c>
      <c r="H4201" t="s">
        <v>36</v>
      </c>
      <c r="I4201" t="s">
        <v>30</v>
      </c>
      <c r="J4201">
        <v>61</v>
      </c>
      <c r="K4201">
        <v>1432.61</v>
      </c>
      <c r="L4201">
        <v>87389.32</v>
      </c>
      <c r="M4201">
        <v>58810.81</v>
      </c>
      <c r="N4201">
        <v>7908.77</v>
      </c>
      <c r="O4201">
        <v>2332.2800000000002</v>
      </c>
      <c r="P4201">
        <v>3272.35</v>
      </c>
      <c r="Q4201">
        <v>1258.1199999999999</v>
      </c>
      <c r="R4201">
        <v>3644.64</v>
      </c>
      <c r="S4201">
        <v>1281.47</v>
      </c>
      <c r="T4201">
        <v>78508.44</v>
      </c>
      <c r="U4201">
        <v>28578.51</v>
      </c>
      <c r="V4201">
        <v>8880.8700000000008</v>
      </c>
      <c r="W4201">
        <v>8850.4</v>
      </c>
      <c r="X4201">
        <v>80460.479999999996</v>
      </c>
      <c r="Y4201">
        <v>83956.21</v>
      </c>
    </row>
    <row r="4202" spans="1:25" x14ac:dyDescent="0.25">
      <c r="A4202" t="s">
        <v>4258</v>
      </c>
      <c r="B4202" s="1">
        <v>46077</v>
      </c>
      <c r="C4202">
        <v>2026</v>
      </c>
      <c r="D4202">
        <v>2</v>
      </c>
      <c r="E4202" t="s">
        <v>161</v>
      </c>
      <c r="F4202" t="s">
        <v>27</v>
      </c>
      <c r="G4202" t="s">
        <v>28</v>
      </c>
      <c r="H4202" t="s">
        <v>36</v>
      </c>
      <c r="I4202" t="s">
        <v>45</v>
      </c>
      <c r="J4202">
        <v>33</v>
      </c>
      <c r="K4202">
        <v>1544.36</v>
      </c>
      <c r="L4202">
        <v>50963.76</v>
      </c>
      <c r="M4202">
        <v>31161.040000000001</v>
      </c>
      <c r="N4202">
        <v>5950.02</v>
      </c>
      <c r="O4202">
        <v>2725.16</v>
      </c>
      <c r="P4202">
        <v>1344.48</v>
      </c>
      <c r="Q4202">
        <v>607.71</v>
      </c>
      <c r="R4202">
        <v>1858.48</v>
      </c>
      <c r="S4202">
        <v>1127.97</v>
      </c>
      <c r="T4202">
        <v>44774.86</v>
      </c>
      <c r="U4202">
        <v>19802.72</v>
      </c>
      <c r="V4202">
        <v>6188.9</v>
      </c>
      <c r="W4202">
        <v>6084.51</v>
      </c>
      <c r="X4202">
        <v>50285.42</v>
      </c>
      <c r="Y4202">
        <v>48139.38</v>
      </c>
    </row>
    <row r="4203" spans="1:25" x14ac:dyDescent="0.25">
      <c r="A4203" t="s">
        <v>4259</v>
      </c>
      <c r="B4203" s="1">
        <v>46078</v>
      </c>
      <c r="C4203">
        <v>2026</v>
      </c>
      <c r="D4203">
        <v>2</v>
      </c>
      <c r="E4203" t="s">
        <v>161</v>
      </c>
      <c r="F4203" t="s">
        <v>27</v>
      </c>
      <c r="G4203" t="s">
        <v>55</v>
      </c>
      <c r="H4203" t="s">
        <v>32</v>
      </c>
      <c r="I4203" t="s">
        <v>30</v>
      </c>
      <c r="J4203">
        <v>95</v>
      </c>
      <c r="K4203">
        <v>992.26</v>
      </c>
      <c r="L4203">
        <v>94264.49</v>
      </c>
      <c r="M4203">
        <v>57407.86</v>
      </c>
      <c r="N4203">
        <v>6707.99</v>
      </c>
      <c r="O4203">
        <v>5978.54</v>
      </c>
      <c r="P4203">
        <v>2599.92</v>
      </c>
      <c r="Q4203">
        <v>1443.54</v>
      </c>
      <c r="R4203">
        <v>3113.24</v>
      </c>
      <c r="S4203">
        <v>1578.53</v>
      </c>
      <c r="T4203">
        <v>78829.62</v>
      </c>
      <c r="U4203">
        <v>36856.620000000003</v>
      </c>
      <c r="V4203">
        <v>15434.86</v>
      </c>
      <c r="W4203">
        <v>14663.46</v>
      </c>
      <c r="X4203">
        <v>105348.27</v>
      </c>
      <c r="Y4203">
        <v>84534.64</v>
      </c>
    </row>
    <row r="4204" spans="1:25" x14ac:dyDescent="0.25">
      <c r="A4204" t="s">
        <v>4260</v>
      </c>
      <c r="B4204" s="1">
        <v>46078</v>
      </c>
      <c r="C4204">
        <v>2026</v>
      </c>
      <c r="D4204">
        <v>2</v>
      </c>
      <c r="E4204" t="s">
        <v>161</v>
      </c>
      <c r="F4204" t="s">
        <v>27</v>
      </c>
      <c r="G4204" t="s">
        <v>44</v>
      </c>
      <c r="H4204" t="s">
        <v>32</v>
      </c>
      <c r="I4204" t="s">
        <v>50</v>
      </c>
      <c r="J4204">
        <v>63</v>
      </c>
      <c r="K4204">
        <v>892.43</v>
      </c>
      <c r="L4204">
        <v>56222.89</v>
      </c>
      <c r="M4204">
        <v>33879.32</v>
      </c>
      <c r="N4204">
        <v>7036.43</v>
      </c>
      <c r="O4204">
        <v>2086.31</v>
      </c>
      <c r="P4204">
        <v>1465.01</v>
      </c>
      <c r="Q4204">
        <v>968.02</v>
      </c>
      <c r="R4204">
        <v>2892.39</v>
      </c>
      <c r="S4204">
        <v>700.86</v>
      </c>
      <c r="T4204">
        <v>49028.35</v>
      </c>
      <c r="U4204">
        <v>22343.57</v>
      </c>
      <c r="V4204">
        <v>7194.54</v>
      </c>
      <c r="W4204">
        <v>6345.47</v>
      </c>
      <c r="X4204">
        <v>61743.13</v>
      </c>
      <c r="Y4204">
        <v>47607.11</v>
      </c>
    </row>
    <row r="4205" spans="1:25" x14ac:dyDescent="0.25">
      <c r="A4205" t="s">
        <v>4261</v>
      </c>
      <c r="B4205" s="1">
        <v>46078</v>
      </c>
      <c r="C4205">
        <v>2026</v>
      </c>
      <c r="D4205">
        <v>2</v>
      </c>
      <c r="E4205" t="s">
        <v>161</v>
      </c>
      <c r="F4205" t="s">
        <v>27</v>
      </c>
      <c r="G4205" t="s">
        <v>55</v>
      </c>
      <c r="H4205" t="s">
        <v>29</v>
      </c>
      <c r="I4205" t="s">
        <v>65</v>
      </c>
      <c r="J4205">
        <v>39</v>
      </c>
      <c r="K4205">
        <v>1475.9</v>
      </c>
      <c r="L4205">
        <v>57560.22</v>
      </c>
      <c r="M4205">
        <v>28317.42</v>
      </c>
      <c r="N4205">
        <v>4529.1899999999996</v>
      </c>
      <c r="O4205">
        <v>3116.11</v>
      </c>
      <c r="P4205">
        <v>1366.76</v>
      </c>
      <c r="Q4205">
        <v>862.46</v>
      </c>
      <c r="R4205">
        <v>2420.4699999999998</v>
      </c>
      <c r="S4205">
        <v>1314.99</v>
      </c>
      <c r="T4205">
        <v>41927.39</v>
      </c>
      <c r="U4205">
        <v>29242.79</v>
      </c>
      <c r="V4205">
        <v>15632.83</v>
      </c>
      <c r="W4205">
        <v>15398.05</v>
      </c>
      <c r="X4205">
        <v>55396.5</v>
      </c>
      <c r="Y4205">
        <v>42262.04</v>
      </c>
    </row>
    <row r="4206" spans="1:25" x14ac:dyDescent="0.25">
      <c r="A4206" t="s">
        <v>4262</v>
      </c>
      <c r="B4206" s="1">
        <v>46078</v>
      </c>
      <c r="C4206">
        <v>2026</v>
      </c>
      <c r="D4206">
        <v>2</v>
      </c>
      <c r="E4206" t="s">
        <v>161</v>
      </c>
      <c r="F4206" t="s">
        <v>27</v>
      </c>
      <c r="G4206" t="s">
        <v>44</v>
      </c>
      <c r="H4206" t="s">
        <v>29</v>
      </c>
      <c r="I4206" t="s">
        <v>50</v>
      </c>
      <c r="J4206">
        <v>48</v>
      </c>
      <c r="K4206">
        <v>1243.06</v>
      </c>
      <c r="L4206">
        <v>59666.86</v>
      </c>
      <c r="M4206">
        <v>37351.03</v>
      </c>
      <c r="N4206">
        <v>6073.46</v>
      </c>
      <c r="O4206">
        <v>1847.92</v>
      </c>
      <c r="P4206">
        <v>1421.06</v>
      </c>
      <c r="Q4206">
        <v>1024.51</v>
      </c>
      <c r="R4206">
        <v>3071.09</v>
      </c>
      <c r="S4206">
        <v>711.74</v>
      </c>
      <c r="T4206">
        <v>51500.81</v>
      </c>
      <c r="U4206">
        <v>22315.83</v>
      </c>
      <c r="V4206">
        <v>8166.05</v>
      </c>
      <c r="W4206">
        <v>7511.19</v>
      </c>
      <c r="X4206">
        <v>62167.99</v>
      </c>
      <c r="Y4206">
        <v>53152.13</v>
      </c>
    </row>
    <row r="4207" spans="1:25" x14ac:dyDescent="0.25">
      <c r="A4207" t="s">
        <v>4263</v>
      </c>
      <c r="B4207" s="1">
        <v>46079</v>
      </c>
      <c r="C4207">
        <v>2026</v>
      </c>
      <c r="D4207">
        <v>2</v>
      </c>
      <c r="E4207" t="s">
        <v>161</v>
      </c>
      <c r="F4207" t="s">
        <v>27</v>
      </c>
      <c r="G4207" t="s">
        <v>55</v>
      </c>
      <c r="H4207" t="s">
        <v>32</v>
      </c>
      <c r="I4207" t="s">
        <v>37</v>
      </c>
      <c r="J4207">
        <v>67</v>
      </c>
      <c r="K4207">
        <v>1058.17</v>
      </c>
      <c r="L4207">
        <v>70897.7</v>
      </c>
      <c r="M4207">
        <v>36666.980000000003</v>
      </c>
      <c r="N4207">
        <v>8402.9</v>
      </c>
      <c r="O4207">
        <v>4495.1899999999996</v>
      </c>
      <c r="P4207">
        <v>1497.09</v>
      </c>
      <c r="Q4207">
        <v>384.73</v>
      </c>
      <c r="R4207">
        <v>2883.62</v>
      </c>
      <c r="S4207">
        <v>1172.56</v>
      </c>
      <c r="T4207">
        <v>55503.07</v>
      </c>
      <c r="U4207">
        <v>34230.71</v>
      </c>
      <c r="V4207">
        <v>15394.62</v>
      </c>
      <c r="W4207">
        <v>13975.76</v>
      </c>
      <c r="X4207">
        <v>73060.570000000007</v>
      </c>
      <c r="Y4207">
        <v>55862.89</v>
      </c>
    </row>
    <row r="4208" spans="1:25" x14ac:dyDescent="0.25">
      <c r="A4208" t="s">
        <v>4264</v>
      </c>
      <c r="B4208" s="1">
        <v>46079</v>
      </c>
      <c r="C4208">
        <v>2026</v>
      </c>
      <c r="D4208">
        <v>2</v>
      </c>
      <c r="E4208" t="s">
        <v>161</v>
      </c>
      <c r="F4208" t="s">
        <v>27</v>
      </c>
      <c r="G4208" t="s">
        <v>35</v>
      </c>
      <c r="H4208" t="s">
        <v>32</v>
      </c>
      <c r="I4208" t="s">
        <v>39</v>
      </c>
      <c r="J4208">
        <v>61</v>
      </c>
      <c r="K4208">
        <v>920.43</v>
      </c>
      <c r="L4208">
        <v>56146.19</v>
      </c>
      <c r="M4208">
        <v>27210.83</v>
      </c>
      <c r="N4208">
        <v>4034.1</v>
      </c>
      <c r="O4208">
        <v>2867.93</v>
      </c>
      <c r="P4208">
        <v>1010.84</v>
      </c>
      <c r="Q4208">
        <v>320.93</v>
      </c>
      <c r="R4208">
        <v>1464.64</v>
      </c>
      <c r="S4208">
        <v>643.9</v>
      </c>
      <c r="T4208">
        <v>37553.18</v>
      </c>
      <c r="U4208">
        <v>28935.360000000001</v>
      </c>
      <c r="V4208">
        <v>18593.02</v>
      </c>
      <c r="W4208">
        <v>17860.96</v>
      </c>
      <c r="X4208">
        <v>58182.37</v>
      </c>
      <c r="Y4208">
        <v>38621.019999999997</v>
      </c>
    </row>
    <row r="4209" spans="1:25" x14ac:dyDescent="0.25">
      <c r="A4209" t="s">
        <v>4265</v>
      </c>
      <c r="B4209" s="1">
        <v>46079</v>
      </c>
      <c r="C4209">
        <v>2026</v>
      </c>
      <c r="D4209">
        <v>2</v>
      </c>
      <c r="E4209" t="s">
        <v>161</v>
      </c>
      <c r="F4209" t="s">
        <v>27</v>
      </c>
      <c r="G4209" t="s">
        <v>28</v>
      </c>
      <c r="H4209" t="s">
        <v>53</v>
      </c>
      <c r="I4209" t="s">
        <v>30</v>
      </c>
      <c r="J4209">
        <v>66</v>
      </c>
      <c r="K4209">
        <v>993.97</v>
      </c>
      <c r="L4209">
        <v>65602.16</v>
      </c>
      <c r="M4209">
        <v>39277.370000000003</v>
      </c>
      <c r="N4209">
        <v>7355.41</v>
      </c>
      <c r="O4209">
        <v>2344.96</v>
      </c>
      <c r="P4209">
        <v>2911.06</v>
      </c>
      <c r="Q4209">
        <v>491.48</v>
      </c>
      <c r="R4209">
        <v>2152.16</v>
      </c>
      <c r="S4209">
        <v>1182.93</v>
      </c>
      <c r="T4209">
        <v>55715.360000000001</v>
      </c>
      <c r="U4209">
        <v>26324.79</v>
      </c>
      <c r="V4209">
        <v>9886.7999999999993</v>
      </c>
      <c r="W4209">
        <v>8952.36</v>
      </c>
      <c r="X4209">
        <v>65578.67</v>
      </c>
      <c r="Y4209">
        <v>59776.14</v>
      </c>
    </row>
    <row r="4210" spans="1:25" x14ac:dyDescent="0.25">
      <c r="A4210" t="s">
        <v>4266</v>
      </c>
      <c r="B4210" s="1">
        <v>46079</v>
      </c>
      <c r="C4210">
        <v>2026</v>
      </c>
      <c r="D4210">
        <v>2</v>
      </c>
      <c r="E4210" t="s">
        <v>161</v>
      </c>
      <c r="F4210" t="s">
        <v>27</v>
      </c>
      <c r="G4210" t="s">
        <v>44</v>
      </c>
      <c r="H4210" t="s">
        <v>53</v>
      </c>
      <c r="I4210" t="s">
        <v>65</v>
      </c>
      <c r="J4210">
        <v>26</v>
      </c>
      <c r="K4210">
        <v>1787.17</v>
      </c>
      <c r="L4210">
        <v>46466.37</v>
      </c>
      <c r="M4210">
        <v>23682.85</v>
      </c>
      <c r="N4210">
        <v>3494.45</v>
      </c>
      <c r="O4210">
        <v>1372.37</v>
      </c>
      <c r="P4210">
        <v>1218.3599999999999</v>
      </c>
      <c r="Q4210">
        <v>686.99</v>
      </c>
      <c r="R4210">
        <v>2948.23</v>
      </c>
      <c r="S4210">
        <v>485.37</v>
      </c>
      <c r="T4210">
        <v>33888.61</v>
      </c>
      <c r="U4210">
        <v>22783.53</v>
      </c>
      <c r="V4210">
        <v>12577.76</v>
      </c>
      <c r="W4210">
        <v>11219.42</v>
      </c>
      <c r="X4210">
        <v>50963.12</v>
      </c>
      <c r="Y4210">
        <v>34134.36</v>
      </c>
    </row>
    <row r="4211" spans="1:25" x14ac:dyDescent="0.25">
      <c r="A4211" t="s">
        <v>4267</v>
      </c>
      <c r="B4211" s="1">
        <v>46079</v>
      </c>
      <c r="C4211">
        <v>2026</v>
      </c>
      <c r="D4211">
        <v>2</v>
      </c>
      <c r="E4211" t="s">
        <v>161</v>
      </c>
      <c r="F4211" t="s">
        <v>27</v>
      </c>
      <c r="G4211" t="s">
        <v>35</v>
      </c>
      <c r="H4211" t="s">
        <v>53</v>
      </c>
      <c r="I4211" t="s">
        <v>37</v>
      </c>
      <c r="J4211">
        <v>32</v>
      </c>
      <c r="K4211">
        <v>1322.82</v>
      </c>
      <c r="L4211">
        <v>42330.1</v>
      </c>
      <c r="M4211">
        <v>23028.42</v>
      </c>
      <c r="N4211">
        <v>4002.03</v>
      </c>
      <c r="O4211">
        <v>3028.65</v>
      </c>
      <c r="P4211">
        <v>1792.12</v>
      </c>
      <c r="Q4211">
        <v>580.24</v>
      </c>
      <c r="R4211">
        <v>1849.55</v>
      </c>
      <c r="S4211">
        <v>947.14</v>
      </c>
      <c r="T4211">
        <v>35228.15</v>
      </c>
      <c r="U4211">
        <v>19301.68</v>
      </c>
      <c r="V4211">
        <v>7101.95</v>
      </c>
      <c r="W4211">
        <v>6497.18</v>
      </c>
      <c r="X4211">
        <v>42786.04</v>
      </c>
      <c r="Y4211">
        <v>36119.519999999997</v>
      </c>
    </row>
    <row r="4212" spans="1:25" x14ac:dyDescent="0.25">
      <c r="A4212" t="s">
        <v>4268</v>
      </c>
      <c r="B4212" s="1">
        <v>46079</v>
      </c>
      <c r="C4212">
        <v>2026</v>
      </c>
      <c r="D4212">
        <v>2</v>
      </c>
      <c r="E4212" t="s">
        <v>161</v>
      </c>
      <c r="F4212" t="s">
        <v>27</v>
      </c>
      <c r="G4212" t="s">
        <v>28</v>
      </c>
      <c r="H4212" t="s">
        <v>32</v>
      </c>
      <c r="I4212" t="s">
        <v>65</v>
      </c>
      <c r="J4212">
        <v>52</v>
      </c>
      <c r="K4212">
        <v>1801.44</v>
      </c>
      <c r="L4212">
        <v>93674.82</v>
      </c>
      <c r="M4212">
        <v>56179.98</v>
      </c>
      <c r="N4212">
        <v>10438.81</v>
      </c>
      <c r="O4212">
        <v>4368.72</v>
      </c>
      <c r="P4212">
        <v>1467.35</v>
      </c>
      <c r="Q4212">
        <v>594.37</v>
      </c>
      <c r="R4212">
        <v>3017.72</v>
      </c>
      <c r="S4212">
        <v>1488.94</v>
      </c>
      <c r="T4212">
        <v>77555.89</v>
      </c>
      <c r="U4212">
        <v>37494.839999999997</v>
      </c>
      <c r="V4212">
        <v>16118.93</v>
      </c>
      <c r="W4212">
        <v>15349.44</v>
      </c>
      <c r="X4212">
        <v>92952.8</v>
      </c>
      <c r="Y4212">
        <v>73031.78</v>
      </c>
    </row>
    <row r="4213" spans="1:25" x14ac:dyDescent="0.25">
      <c r="A4213" t="s">
        <v>4269</v>
      </c>
      <c r="B4213" s="1">
        <v>46080</v>
      </c>
      <c r="C4213">
        <v>2026</v>
      </c>
      <c r="D4213">
        <v>2</v>
      </c>
      <c r="E4213" t="s">
        <v>161</v>
      </c>
      <c r="F4213" t="s">
        <v>27</v>
      </c>
      <c r="G4213" t="s">
        <v>35</v>
      </c>
      <c r="H4213" t="s">
        <v>29</v>
      </c>
      <c r="I4213" t="s">
        <v>50</v>
      </c>
      <c r="J4213">
        <v>41</v>
      </c>
      <c r="K4213">
        <v>980.52</v>
      </c>
      <c r="L4213">
        <v>40201.31</v>
      </c>
      <c r="M4213">
        <v>23721.05</v>
      </c>
      <c r="N4213">
        <v>3179.83</v>
      </c>
      <c r="O4213">
        <v>2938.94</v>
      </c>
      <c r="P4213">
        <v>1631.14</v>
      </c>
      <c r="Q4213">
        <v>283.44</v>
      </c>
      <c r="R4213">
        <v>1187.1300000000001</v>
      </c>
      <c r="S4213">
        <v>1002.92</v>
      </c>
      <c r="T4213">
        <v>33944.449999999997</v>
      </c>
      <c r="U4213">
        <v>16480.25</v>
      </c>
      <c r="V4213">
        <v>6256.86</v>
      </c>
      <c r="W4213">
        <v>5537.7</v>
      </c>
      <c r="X4213">
        <v>40616.89</v>
      </c>
      <c r="Y4213">
        <v>32113.37</v>
      </c>
    </row>
    <row r="4214" spans="1:25" x14ac:dyDescent="0.25">
      <c r="A4214" t="s">
        <v>4270</v>
      </c>
      <c r="B4214" s="1">
        <v>46080</v>
      </c>
      <c r="C4214">
        <v>2026</v>
      </c>
      <c r="D4214">
        <v>2</v>
      </c>
      <c r="E4214" t="s">
        <v>161</v>
      </c>
      <c r="F4214" t="s">
        <v>27</v>
      </c>
      <c r="G4214" t="s">
        <v>44</v>
      </c>
      <c r="H4214" t="s">
        <v>53</v>
      </c>
      <c r="I4214" t="s">
        <v>39</v>
      </c>
      <c r="J4214">
        <v>39</v>
      </c>
      <c r="K4214">
        <v>1100.75</v>
      </c>
      <c r="L4214">
        <v>42929.120000000003</v>
      </c>
      <c r="M4214">
        <v>29027.02</v>
      </c>
      <c r="N4214">
        <v>3359.45</v>
      </c>
      <c r="O4214">
        <v>2683.15</v>
      </c>
      <c r="P4214">
        <v>1625.7</v>
      </c>
      <c r="Q4214">
        <v>529.21</v>
      </c>
      <c r="R4214">
        <v>2550.94</v>
      </c>
      <c r="S4214">
        <v>1011.83</v>
      </c>
      <c r="T4214">
        <v>40787.31</v>
      </c>
      <c r="U4214">
        <v>13902.1</v>
      </c>
      <c r="V4214">
        <v>2141.81</v>
      </c>
      <c r="W4214">
        <v>2087.2600000000002</v>
      </c>
      <c r="X4214">
        <v>45384.800000000003</v>
      </c>
      <c r="Y4214">
        <v>43121.599999999999</v>
      </c>
    </row>
    <row r="4215" spans="1:25" x14ac:dyDescent="0.25">
      <c r="A4215" t="s">
        <v>4271</v>
      </c>
      <c r="B4215" s="1">
        <v>46080</v>
      </c>
      <c r="C4215">
        <v>2026</v>
      </c>
      <c r="D4215">
        <v>2</v>
      </c>
      <c r="E4215" t="s">
        <v>161</v>
      </c>
      <c r="F4215" t="s">
        <v>27</v>
      </c>
      <c r="G4215" t="s">
        <v>55</v>
      </c>
      <c r="H4215" t="s">
        <v>29</v>
      </c>
      <c r="I4215" t="s">
        <v>45</v>
      </c>
      <c r="J4215">
        <v>54</v>
      </c>
      <c r="K4215">
        <v>1179.6199999999999</v>
      </c>
      <c r="L4215">
        <v>63699.63</v>
      </c>
      <c r="M4215">
        <v>30984.92</v>
      </c>
      <c r="N4215">
        <v>5825.25</v>
      </c>
      <c r="O4215">
        <v>3742.46</v>
      </c>
      <c r="P4215">
        <v>1311.19</v>
      </c>
      <c r="Q4215">
        <v>865.93</v>
      </c>
      <c r="R4215">
        <v>3122.18</v>
      </c>
      <c r="S4215">
        <v>1112.3800000000001</v>
      </c>
      <c r="T4215">
        <v>46964.32</v>
      </c>
      <c r="U4215">
        <v>32714.7</v>
      </c>
      <c r="V4215">
        <v>16735.310000000001</v>
      </c>
      <c r="W4215">
        <v>17068.490000000002</v>
      </c>
      <c r="X4215">
        <v>65273.120000000003</v>
      </c>
      <c r="Y4215">
        <v>48860.65</v>
      </c>
    </row>
    <row r="4216" spans="1:25" x14ac:dyDescent="0.25">
      <c r="A4216" t="s">
        <v>4272</v>
      </c>
      <c r="B4216" s="1">
        <v>46080</v>
      </c>
      <c r="C4216">
        <v>2026</v>
      </c>
      <c r="D4216">
        <v>2</v>
      </c>
      <c r="E4216" t="s">
        <v>161</v>
      </c>
      <c r="F4216" t="s">
        <v>27</v>
      </c>
      <c r="G4216" t="s">
        <v>55</v>
      </c>
      <c r="H4216" t="s">
        <v>32</v>
      </c>
      <c r="I4216" t="s">
        <v>45</v>
      </c>
      <c r="J4216">
        <v>38</v>
      </c>
      <c r="K4216">
        <v>1463.38</v>
      </c>
      <c r="L4216">
        <v>55608.62</v>
      </c>
      <c r="M4216">
        <v>34996.339999999997</v>
      </c>
      <c r="N4216">
        <v>5892.56</v>
      </c>
      <c r="O4216">
        <v>2980.65</v>
      </c>
      <c r="P4216">
        <v>1446.05</v>
      </c>
      <c r="Q4216">
        <v>771.83</v>
      </c>
      <c r="R4216">
        <v>2968.91</v>
      </c>
      <c r="S4216">
        <v>509.66</v>
      </c>
      <c r="T4216">
        <v>49566.01</v>
      </c>
      <c r="U4216">
        <v>20612.28</v>
      </c>
      <c r="V4216">
        <v>6042.61</v>
      </c>
      <c r="W4216">
        <v>5618.42</v>
      </c>
      <c r="X4216">
        <v>61623.9</v>
      </c>
      <c r="Y4216">
        <v>50026.15</v>
      </c>
    </row>
    <row r="4217" spans="1:25" x14ac:dyDescent="0.25">
      <c r="A4217" t="s">
        <v>4273</v>
      </c>
      <c r="B4217" s="1">
        <v>46080</v>
      </c>
      <c r="C4217">
        <v>2026</v>
      </c>
      <c r="D4217">
        <v>2</v>
      </c>
      <c r="E4217" t="s">
        <v>161</v>
      </c>
      <c r="F4217" t="s">
        <v>27</v>
      </c>
      <c r="G4217" t="s">
        <v>55</v>
      </c>
      <c r="H4217" t="s">
        <v>32</v>
      </c>
      <c r="I4217" t="s">
        <v>45</v>
      </c>
      <c r="J4217">
        <v>30</v>
      </c>
      <c r="K4217">
        <v>1459.34</v>
      </c>
      <c r="L4217">
        <v>43780.2</v>
      </c>
      <c r="M4217">
        <v>29467.55</v>
      </c>
      <c r="N4217">
        <v>5323.24</v>
      </c>
      <c r="O4217">
        <v>2729</v>
      </c>
      <c r="P4217">
        <v>1753.68</v>
      </c>
      <c r="Q4217">
        <v>728.77</v>
      </c>
      <c r="R4217">
        <v>2135.27</v>
      </c>
      <c r="S4217">
        <v>1086.95</v>
      </c>
      <c r="T4217">
        <v>43224.46</v>
      </c>
      <c r="U4217">
        <v>14312.66</v>
      </c>
      <c r="V4217">
        <v>555.75</v>
      </c>
      <c r="W4217">
        <v>525.51</v>
      </c>
      <c r="X4217">
        <v>44725.71</v>
      </c>
      <c r="Y4217">
        <v>40672.239999999998</v>
      </c>
    </row>
    <row r="4218" spans="1:25" x14ac:dyDescent="0.25">
      <c r="A4218" t="s">
        <v>4274</v>
      </c>
      <c r="B4218" s="1">
        <v>46081</v>
      </c>
      <c r="C4218">
        <v>2026</v>
      </c>
      <c r="D4218">
        <v>2</v>
      </c>
      <c r="E4218" t="s">
        <v>161</v>
      </c>
      <c r="F4218" t="s">
        <v>27</v>
      </c>
      <c r="G4218" t="s">
        <v>55</v>
      </c>
      <c r="H4218" t="s">
        <v>53</v>
      </c>
      <c r="I4218" t="s">
        <v>37</v>
      </c>
      <c r="J4218">
        <v>60</v>
      </c>
      <c r="K4218">
        <v>1385.28</v>
      </c>
      <c r="L4218">
        <v>83117.070000000007</v>
      </c>
      <c r="M4218">
        <v>54437.88</v>
      </c>
      <c r="N4218">
        <v>6649.31</v>
      </c>
      <c r="O4218">
        <v>4355.07</v>
      </c>
      <c r="P4218">
        <v>3655.42</v>
      </c>
      <c r="Q4218">
        <v>792.48</v>
      </c>
      <c r="R4218">
        <v>4649.03</v>
      </c>
      <c r="S4218">
        <v>1458.82</v>
      </c>
      <c r="T4218">
        <v>75998.009999999995</v>
      </c>
      <c r="U4218">
        <v>28679.19</v>
      </c>
      <c r="V4218">
        <v>7119.06</v>
      </c>
      <c r="W4218">
        <v>6322.52</v>
      </c>
      <c r="X4218">
        <v>90197.4</v>
      </c>
      <c r="Y4218">
        <v>74509.649999999994</v>
      </c>
    </row>
    <row r="4219" spans="1:25" x14ac:dyDescent="0.25">
      <c r="A4219" t="s">
        <v>4275</v>
      </c>
      <c r="B4219" s="1">
        <v>46081</v>
      </c>
      <c r="C4219">
        <v>2026</v>
      </c>
      <c r="D4219">
        <v>2</v>
      </c>
      <c r="E4219" t="s">
        <v>161</v>
      </c>
      <c r="F4219" t="s">
        <v>27</v>
      </c>
      <c r="G4219" t="s">
        <v>44</v>
      </c>
      <c r="H4219" t="s">
        <v>36</v>
      </c>
      <c r="I4219" t="s">
        <v>45</v>
      </c>
      <c r="J4219">
        <v>27</v>
      </c>
      <c r="K4219">
        <v>1437.62</v>
      </c>
      <c r="L4219">
        <v>38815.71</v>
      </c>
      <c r="M4219">
        <v>18694.22</v>
      </c>
      <c r="N4219">
        <v>3561.74</v>
      </c>
      <c r="O4219">
        <v>1525.12</v>
      </c>
      <c r="P4219">
        <v>659.52</v>
      </c>
      <c r="Q4219">
        <v>490.08</v>
      </c>
      <c r="R4219">
        <v>2410.09</v>
      </c>
      <c r="S4219">
        <v>588.15</v>
      </c>
      <c r="T4219">
        <v>27928.91</v>
      </c>
      <c r="U4219">
        <v>20121.5</v>
      </c>
      <c r="V4219">
        <v>10886.8</v>
      </c>
      <c r="W4219">
        <v>10246.31</v>
      </c>
      <c r="X4219">
        <v>41924.660000000003</v>
      </c>
      <c r="Y4219">
        <v>26670.68</v>
      </c>
    </row>
    <row r="4220" spans="1:25" x14ac:dyDescent="0.25">
      <c r="A4220" t="s">
        <v>4276</v>
      </c>
      <c r="B4220" s="1">
        <v>46081</v>
      </c>
      <c r="C4220">
        <v>2026</v>
      </c>
      <c r="D4220">
        <v>2</v>
      </c>
      <c r="E4220" t="s">
        <v>161</v>
      </c>
      <c r="F4220" t="s">
        <v>27</v>
      </c>
      <c r="G4220" t="s">
        <v>35</v>
      </c>
      <c r="H4220" t="s">
        <v>36</v>
      </c>
      <c r="I4220" t="s">
        <v>56</v>
      </c>
      <c r="J4220">
        <v>26</v>
      </c>
      <c r="K4220">
        <v>1069.3599999999999</v>
      </c>
      <c r="L4220">
        <v>27803.46</v>
      </c>
      <c r="M4220">
        <v>16685.400000000001</v>
      </c>
      <c r="N4220">
        <v>2170.9499999999998</v>
      </c>
      <c r="O4220">
        <v>2009.22</v>
      </c>
      <c r="P4220">
        <v>1072.5999999999999</v>
      </c>
      <c r="Q4220">
        <v>350.03</v>
      </c>
      <c r="R4220">
        <v>1619.93</v>
      </c>
      <c r="S4220">
        <v>680.93</v>
      </c>
      <c r="T4220">
        <v>24589.06</v>
      </c>
      <c r="U4220">
        <v>11118.05</v>
      </c>
      <c r="V4220">
        <v>3214.39</v>
      </c>
      <c r="W4220">
        <v>3193.75</v>
      </c>
      <c r="X4220">
        <v>28696.66</v>
      </c>
      <c r="Y4220">
        <v>23224.95</v>
      </c>
    </row>
    <row r="4221" spans="1:25" x14ac:dyDescent="0.25">
      <c r="A4221" t="s">
        <v>4277</v>
      </c>
      <c r="B4221" s="1">
        <v>46081</v>
      </c>
      <c r="C4221">
        <v>2026</v>
      </c>
      <c r="D4221">
        <v>2</v>
      </c>
      <c r="E4221" t="s">
        <v>161</v>
      </c>
      <c r="F4221" t="s">
        <v>27</v>
      </c>
      <c r="G4221" t="s">
        <v>44</v>
      </c>
      <c r="H4221" t="s">
        <v>36</v>
      </c>
      <c r="I4221" t="s">
        <v>37</v>
      </c>
      <c r="J4221">
        <v>75</v>
      </c>
      <c r="K4221">
        <v>805.95</v>
      </c>
      <c r="L4221">
        <v>60446.36</v>
      </c>
      <c r="M4221">
        <v>35086.29</v>
      </c>
      <c r="N4221">
        <v>4399.6400000000003</v>
      </c>
      <c r="O4221">
        <v>1711.88</v>
      </c>
      <c r="P4221">
        <v>1979.15</v>
      </c>
      <c r="Q4221">
        <v>397.62</v>
      </c>
      <c r="R4221">
        <v>3573.52</v>
      </c>
      <c r="S4221">
        <v>809.18</v>
      </c>
      <c r="T4221">
        <v>47957.29</v>
      </c>
      <c r="U4221">
        <v>25360.07</v>
      </c>
      <c r="V4221">
        <v>12489.07</v>
      </c>
      <c r="W4221">
        <v>11313.49</v>
      </c>
      <c r="X4221">
        <v>57274.44</v>
      </c>
      <c r="Y4221">
        <v>49991.58</v>
      </c>
    </row>
    <row r="4222" spans="1:25" x14ac:dyDescent="0.25">
      <c r="A4222" t="s">
        <v>4278</v>
      </c>
      <c r="B4222" s="1">
        <v>46082</v>
      </c>
      <c r="C4222">
        <v>2026</v>
      </c>
      <c r="D4222">
        <v>3</v>
      </c>
      <c r="E4222" t="s">
        <v>260</v>
      </c>
      <c r="F4222" t="s">
        <v>27</v>
      </c>
      <c r="G4222" t="s">
        <v>55</v>
      </c>
      <c r="H4222" t="s">
        <v>58</v>
      </c>
      <c r="I4222" t="s">
        <v>50</v>
      </c>
      <c r="J4222">
        <v>53</v>
      </c>
      <c r="K4222">
        <v>1102.8399999999999</v>
      </c>
      <c r="L4222">
        <v>58450.44</v>
      </c>
      <c r="M4222">
        <v>28570.560000000001</v>
      </c>
      <c r="N4222">
        <v>4718.2700000000004</v>
      </c>
      <c r="O4222">
        <v>2036.25</v>
      </c>
      <c r="P4222">
        <v>1356.73</v>
      </c>
      <c r="Q4222">
        <v>995.78</v>
      </c>
      <c r="R4222">
        <v>3305.37</v>
      </c>
      <c r="S4222">
        <v>553.1</v>
      </c>
      <c r="T4222">
        <v>41536.07</v>
      </c>
      <c r="U4222">
        <v>29879.87</v>
      </c>
      <c r="V4222">
        <v>16914.37</v>
      </c>
      <c r="W4222">
        <v>14993.56</v>
      </c>
      <c r="X4222">
        <v>57906.6</v>
      </c>
      <c r="Y4222">
        <v>45546.58</v>
      </c>
    </row>
    <row r="4223" spans="1:25" x14ac:dyDescent="0.25">
      <c r="A4223" t="s">
        <v>4279</v>
      </c>
      <c r="B4223" s="1">
        <v>46082</v>
      </c>
      <c r="C4223">
        <v>2026</v>
      </c>
      <c r="D4223">
        <v>3</v>
      </c>
      <c r="E4223" t="s">
        <v>260</v>
      </c>
      <c r="F4223" t="s">
        <v>27</v>
      </c>
      <c r="G4223" t="s">
        <v>35</v>
      </c>
      <c r="H4223" t="s">
        <v>32</v>
      </c>
      <c r="I4223" t="s">
        <v>65</v>
      </c>
      <c r="J4223">
        <v>87</v>
      </c>
      <c r="K4223">
        <v>845.06</v>
      </c>
      <c r="L4223">
        <v>73520.63</v>
      </c>
      <c r="M4223">
        <v>38919.15</v>
      </c>
      <c r="N4223">
        <v>9193.75</v>
      </c>
      <c r="O4223">
        <v>2569.8000000000002</v>
      </c>
      <c r="P4223">
        <v>1716.29</v>
      </c>
      <c r="Q4223">
        <v>1162.6099999999999</v>
      </c>
      <c r="R4223">
        <v>2520.23</v>
      </c>
      <c r="S4223">
        <v>1715.7</v>
      </c>
      <c r="T4223">
        <v>57797.51</v>
      </c>
      <c r="U4223">
        <v>34601.480000000003</v>
      </c>
      <c r="V4223">
        <v>15723.11</v>
      </c>
      <c r="W4223">
        <v>15914.36</v>
      </c>
      <c r="X4223">
        <v>78649.84</v>
      </c>
      <c r="Y4223">
        <v>63401.21</v>
      </c>
    </row>
    <row r="4224" spans="1:25" x14ac:dyDescent="0.25">
      <c r="A4224" t="s">
        <v>4280</v>
      </c>
      <c r="B4224" s="1">
        <v>46082</v>
      </c>
      <c r="C4224">
        <v>2026</v>
      </c>
      <c r="D4224">
        <v>3</v>
      </c>
      <c r="E4224" t="s">
        <v>260</v>
      </c>
      <c r="F4224" t="s">
        <v>27</v>
      </c>
      <c r="G4224" t="s">
        <v>28</v>
      </c>
      <c r="H4224" t="s">
        <v>32</v>
      </c>
      <c r="I4224" t="s">
        <v>30</v>
      </c>
      <c r="J4224">
        <v>107</v>
      </c>
      <c r="K4224">
        <v>1094.6199999999999</v>
      </c>
      <c r="L4224">
        <v>117124.21</v>
      </c>
      <c r="M4224">
        <v>71495.94</v>
      </c>
      <c r="N4224">
        <v>11068.31</v>
      </c>
      <c r="O4224">
        <v>6568.15</v>
      </c>
      <c r="P4224">
        <v>3704.85</v>
      </c>
      <c r="Q4224">
        <v>1580.79</v>
      </c>
      <c r="R4224">
        <v>3267.26</v>
      </c>
      <c r="S4224">
        <v>1948.74</v>
      </c>
      <c r="T4224">
        <v>99634.03</v>
      </c>
      <c r="U4224">
        <v>45628.26</v>
      </c>
      <c r="V4224">
        <v>17490.169999999998</v>
      </c>
      <c r="W4224">
        <v>15467.73</v>
      </c>
      <c r="X4224">
        <v>116918.62</v>
      </c>
      <c r="Y4224">
        <v>93429.86</v>
      </c>
    </row>
    <row r="4225" spans="1:25" x14ac:dyDescent="0.25">
      <c r="A4225" t="s">
        <v>4281</v>
      </c>
      <c r="B4225" s="1">
        <v>46082</v>
      </c>
      <c r="C4225">
        <v>2026</v>
      </c>
      <c r="D4225">
        <v>3</v>
      </c>
      <c r="E4225" t="s">
        <v>260</v>
      </c>
      <c r="F4225" t="s">
        <v>27</v>
      </c>
      <c r="G4225" t="s">
        <v>28</v>
      </c>
      <c r="H4225" t="s">
        <v>58</v>
      </c>
      <c r="I4225" t="s">
        <v>37</v>
      </c>
      <c r="J4225">
        <v>68</v>
      </c>
      <c r="K4225">
        <v>1137</v>
      </c>
      <c r="L4225">
        <v>77316.09</v>
      </c>
      <c r="M4225">
        <v>49369.99</v>
      </c>
      <c r="N4225">
        <v>6723.28</v>
      </c>
      <c r="O4225">
        <v>5135.63</v>
      </c>
      <c r="P4225">
        <v>2339.04</v>
      </c>
      <c r="Q4225">
        <v>1291.74</v>
      </c>
      <c r="R4225">
        <v>3712.72</v>
      </c>
      <c r="S4225">
        <v>994.77</v>
      </c>
      <c r="T4225">
        <v>69567.17</v>
      </c>
      <c r="U4225">
        <v>27946.1</v>
      </c>
      <c r="V4225">
        <v>7748.92</v>
      </c>
      <c r="W4225">
        <v>6886.44</v>
      </c>
      <c r="X4225">
        <v>85376.24</v>
      </c>
      <c r="Y4225">
        <v>64971.13</v>
      </c>
    </row>
    <row r="4226" spans="1:25" x14ac:dyDescent="0.25">
      <c r="A4226" t="s">
        <v>4282</v>
      </c>
      <c r="B4226" s="1">
        <v>46083</v>
      </c>
      <c r="C4226">
        <v>2026</v>
      </c>
      <c r="D4226">
        <v>3</v>
      </c>
      <c r="E4226" t="s">
        <v>260</v>
      </c>
      <c r="F4226" t="s">
        <v>27</v>
      </c>
      <c r="G4226" t="s">
        <v>44</v>
      </c>
      <c r="H4226" t="s">
        <v>29</v>
      </c>
      <c r="I4226" t="s">
        <v>65</v>
      </c>
      <c r="J4226">
        <v>63</v>
      </c>
      <c r="K4226">
        <v>1129.3399999999999</v>
      </c>
      <c r="L4226">
        <v>71148.73</v>
      </c>
      <c r="M4226">
        <v>45505.34</v>
      </c>
      <c r="N4226">
        <v>5416.36</v>
      </c>
      <c r="O4226">
        <v>4470.7299999999996</v>
      </c>
      <c r="P4226">
        <v>1791.81</v>
      </c>
      <c r="Q4226">
        <v>375.34</v>
      </c>
      <c r="R4226">
        <v>2373.54</v>
      </c>
      <c r="S4226">
        <v>1713.37</v>
      </c>
      <c r="T4226">
        <v>61646.49</v>
      </c>
      <c r="U4226">
        <v>25643.39</v>
      </c>
      <c r="V4226">
        <v>9502.24</v>
      </c>
      <c r="W4226">
        <v>9216.44</v>
      </c>
      <c r="X4226">
        <v>73388.89</v>
      </c>
      <c r="Y4226">
        <v>66877.509999999995</v>
      </c>
    </row>
    <row r="4227" spans="1:25" x14ac:dyDescent="0.25">
      <c r="A4227" t="s">
        <v>4283</v>
      </c>
      <c r="B4227" s="1">
        <v>46083</v>
      </c>
      <c r="C4227">
        <v>2026</v>
      </c>
      <c r="D4227">
        <v>3</v>
      </c>
      <c r="E4227" t="s">
        <v>260</v>
      </c>
      <c r="F4227" t="s">
        <v>27</v>
      </c>
      <c r="G4227" t="s">
        <v>28</v>
      </c>
      <c r="H4227" t="s">
        <v>32</v>
      </c>
      <c r="I4227" t="s">
        <v>30</v>
      </c>
      <c r="J4227">
        <v>96</v>
      </c>
      <c r="K4227">
        <v>1334.04</v>
      </c>
      <c r="L4227">
        <v>128067.72</v>
      </c>
      <c r="M4227">
        <v>78098.350000000006</v>
      </c>
      <c r="N4227">
        <v>10448.620000000001</v>
      </c>
      <c r="O4227">
        <v>3452.15</v>
      </c>
      <c r="P4227">
        <v>2917.36</v>
      </c>
      <c r="Q4227">
        <v>1867.36</v>
      </c>
      <c r="R4227">
        <v>4517.6400000000003</v>
      </c>
      <c r="S4227">
        <v>1835.1</v>
      </c>
      <c r="T4227">
        <v>103136.58</v>
      </c>
      <c r="U4227">
        <v>49969.37</v>
      </c>
      <c r="V4227">
        <v>24931.14</v>
      </c>
      <c r="W4227">
        <v>24019.1</v>
      </c>
      <c r="X4227">
        <v>129635.13</v>
      </c>
      <c r="Y4227">
        <v>111358.2</v>
      </c>
    </row>
    <row r="4228" spans="1:25" x14ac:dyDescent="0.25">
      <c r="A4228" t="s">
        <v>4284</v>
      </c>
      <c r="B4228" s="1">
        <v>46083</v>
      </c>
      <c r="C4228">
        <v>2026</v>
      </c>
      <c r="D4228">
        <v>3</v>
      </c>
      <c r="E4228" t="s">
        <v>260</v>
      </c>
      <c r="F4228" t="s">
        <v>27</v>
      </c>
      <c r="G4228" t="s">
        <v>44</v>
      </c>
      <c r="H4228" t="s">
        <v>58</v>
      </c>
      <c r="I4228" t="s">
        <v>39</v>
      </c>
      <c r="J4228">
        <v>31</v>
      </c>
      <c r="K4228">
        <v>1381.18</v>
      </c>
      <c r="L4228">
        <v>42816.52</v>
      </c>
      <c r="M4228">
        <v>23040.38</v>
      </c>
      <c r="N4228">
        <v>4595.68</v>
      </c>
      <c r="O4228">
        <v>2855.79</v>
      </c>
      <c r="P4228">
        <v>826.47</v>
      </c>
      <c r="Q4228">
        <v>583.04999999999995</v>
      </c>
      <c r="R4228">
        <v>2482.86</v>
      </c>
      <c r="S4228">
        <v>715.6</v>
      </c>
      <c r="T4228">
        <v>35099.83</v>
      </c>
      <c r="U4228">
        <v>19776.14</v>
      </c>
      <c r="V4228">
        <v>7716.69</v>
      </c>
      <c r="W4228">
        <v>7631.13</v>
      </c>
      <c r="X4228">
        <v>42191.81</v>
      </c>
      <c r="Y4228">
        <v>35189.629999999997</v>
      </c>
    </row>
    <row r="4229" spans="1:25" x14ac:dyDescent="0.25">
      <c r="A4229" t="s">
        <v>4285</v>
      </c>
      <c r="B4229" s="1">
        <v>46084</v>
      </c>
      <c r="C4229">
        <v>2026</v>
      </c>
      <c r="D4229">
        <v>3</v>
      </c>
      <c r="E4229" t="s">
        <v>260</v>
      </c>
      <c r="F4229" t="s">
        <v>27</v>
      </c>
      <c r="G4229" t="s">
        <v>44</v>
      </c>
      <c r="H4229" t="s">
        <v>36</v>
      </c>
      <c r="I4229" t="s">
        <v>65</v>
      </c>
      <c r="J4229">
        <v>43</v>
      </c>
      <c r="K4229">
        <v>1521.56</v>
      </c>
      <c r="L4229">
        <v>65427.01</v>
      </c>
      <c r="M4229">
        <v>34647.14</v>
      </c>
      <c r="N4229">
        <v>6889.82</v>
      </c>
      <c r="O4229">
        <v>4839.2299999999996</v>
      </c>
      <c r="P4229">
        <v>1242.32</v>
      </c>
      <c r="Q4229">
        <v>940.19</v>
      </c>
      <c r="R4229">
        <v>4152.71</v>
      </c>
      <c r="S4229">
        <v>569.49</v>
      </c>
      <c r="T4229">
        <v>53280.9</v>
      </c>
      <c r="U4229">
        <v>30779.87</v>
      </c>
      <c r="V4229">
        <v>12146.1</v>
      </c>
      <c r="W4229">
        <v>10853.2</v>
      </c>
      <c r="X4229">
        <v>67980.17</v>
      </c>
      <c r="Y4229">
        <v>56116.08</v>
      </c>
    </row>
    <row r="4230" spans="1:25" x14ac:dyDescent="0.25">
      <c r="A4230" t="s">
        <v>4286</v>
      </c>
      <c r="B4230" s="1">
        <v>46084</v>
      </c>
      <c r="C4230">
        <v>2026</v>
      </c>
      <c r="D4230">
        <v>3</v>
      </c>
      <c r="E4230" t="s">
        <v>260</v>
      </c>
      <c r="F4230" t="s">
        <v>27</v>
      </c>
      <c r="G4230" t="s">
        <v>28</v>
      </c>
      <c r="H4230" t="s">
        <v>36</v>
      </c>
      <c r="I4230" t="s">
        <v>45</v>
      </c>
      <c r="J4230">
        <v>28</v>
      </c>
      <c r="K4230">
        <v>1588.42</v>
      </c>
      <c r="L4230">
        <v>44475.63</v>
      </c>
      <c r="M4230">
        <v>24038.01</v>
      </c>
      <c r="N4230">
        <v>5609.36</v>
      </c>
      <c r="O4230">
        <v>1247.42</v>
      </c>
      <c r="P4230">
        <v>1227.3800000000001</v>
      </c>
      <c r="Q4230">
        <v>664.35</v>
      </c>
      <c r="R4230">
        <v>2013.42</v>
      </c>
      <c r="S4230">
        <v>934.97</v>
      </c>
      <c r="T4230">
        <v>35734.92</v>
      </c>
      <c r="U4230">
        <v>20437.62</v>
      </c>
      <c r="V4230">
        <v>8740.7199999999993</v>
      </c>
      <c r="W4230">
        <v>8299.77</v>
      </c>
      <c r="X4230">
        <v>48071.21</v>
      </c>
      <c r="Y4230">
        <v>34342.550000000003</v>
      </c>
    </row>
    <row r="4231" spans="1:25" x14ac:dyDescent="0.25">
      <c r="A4231" t="s">
        <v>4287</v>
      </c>
      <c r="B4231" s="1">
        <v>46084</v>
      </c>
      <c r="C4231">
        <v>2026</v>
      </c>
      <c r="D4231">
        <v>3</v>
      </c>
      <c r="E4231" t="s">
        <v>260</v>
      </c>
      <c r="F4231" t="s">
        <v>27</v>
      </c>
      <c r="G4231" t="s">
        <v>35</v>
      </c>
      <c r="H4231" t="s">
        <v>58</v>
      </c>
      <c r="I4231" t="s">
        <v>45</v>
      </c>
      <c r="J4231">
        <v>25</v>
      </c>
      <c r="K4231">
        <v>1141.3499999999999</v>
      </c>
      <c r="L4231">
        <v>28533.77</v>
      </c>
      <c r="M4231">
        <v>19049.63</v>
      </c>
      <c r="N4231">
        <v>2977.21</v>
      </c>
      <c r="O4231">
        <v>923.2</v>
      </c>
      <c r="P4231">
        <v>763.23</v>
      </c>
      <c r="Q4231">
        <v>184.6</v>
      </c>
      <c r="R4231">
        <v>1312.49</v>
      </c>
      <c r="S4231">
        <v>433.01</v>
      </c>
      <c r="T4231">
        <v>25643.37</v>
      </c>
      <c r="U4231">
        <v>9484.14</v>
      </c>
      <c r="V4231">
        <v>2890.4</v>
      </c>
      <c r="W4231">
        <v>2775.08</v>
      </c>
      <c r="X4231">
        <v>30880.52</v>
      </c>
      <c r="Y4231">
        <v>24956.400000000001</v>
      </c>
    </row>
    <row r="4232" spans="1:25" x14ac:dyDescent="0.25">
      <c r="A4232" t="s">
        <v>4288</v>
      </c>
      <c r="B4232" s="1">
        <v>46085</v>
      </c>
      <c r="C4232">
        <v>2026</v>
      </c>
      <c r="D4232">
        <v>3</v>
      </c>
      <c r="E4232" t="s">
        <v>260</v>
      </c>
      <c r="F4232" t="s">
        <v>27</v>
      </c>
      <c r="G4232" t="s">
        <v>55</v>
      </c>
      <c r="H4232" t="s">
        <v>53</v>
      </c>
      <c r="I4232" t="s">
        <v>45</v>
      </c>
      <c r="J4232">
        <v>41</v>
      </c>
      <c r="K4232">
        <v>846</v>
      </c>
      <c r="L4232">
        <v>34686.04</v>
      </c>
      <c r="M4232">
        <v>17700.18</v>
      </c>
      <c r="N4232">
        <v>3079.21</v>
      </c>
      <c r="O4232">
        <v>2302.7800000000002</v>
      </c>
      <c r="P4232">
        <v>1261.04</v>
      </c>
      <c r="Q4232">
        <v>531.14</v>
      </c>
      <c r="R4232">
        <v>2128.5100000000002</v>
      </c>
      <c r="S4232">
        <v>574.54999999999995</v>
      </c>
      <c r="T4232">
        <v>27577.41</v>
      </c>
      <c r="U4232">
        <v>16985.86</v>
      </c>
      <c r="V4232">
        <v>7108.62</v>
      </c>
      <c r="W4232">
        <v>7198.02</v>
      </c>
      <c r="X4232">
        <v>37507.46</v>
      </c>
      <c r="Y4232">
        <v>25980.03</v>
      </c>
    </row>
    <row r="4233" spans="1:25" x14ac:dyDescent="0.25">
      <c r="A4233" t="s">
        <v>4289</v>
      </c>
      <c r="B4233" s="1">
        <v>46086</v>
      </c>
      <c r="C4233">
        <v>2026</v>
      </c>
      <c r="D4233">
        <v>3</v>
      </c>
      <c r="E4233" t="s">
        <v>260</v>
      </c>
      <c r="F4233" t="s">
        <v>27</v>
      </c>
      <c r="G4233" t="s">
        <v>28</v>
      </c>
      <c r="H4233" t="s">
        <v>36</v>
      </c>
      <c r="I4233" t="s">
        <v>39</v>
      </c>
      <c r="J4233">
        <v>37</v>
      </c>
      <c r="K4233">
        <v>1273.07</v>
      </c>
      <c r="L4233">
        <v>47103.61</v>
      </c>
      <c r="M4233">
        <v>24985.19</v>
      </c>
      <c r="N4233">
        <v>5533.82</v>
      </c>
      <c r="O4233">
        <v>1559.19</v>
      </c>
      <c r="P4233">
        <v>1581.4</v>
      </c>
      <c r="Q4233">
        <v>536.9</v>
      </c>
      <c r="R4233">
        <v>1183.27</v>
      </c>
      <c r="S4233">
        <v>458.54</v>
      </c>
      <c r="T4233">
        <v>35838.32</v>
      </c>
      <c r="U4233">
        <v>22118.42</v>
      </c>
      <c r="V4233">
        <v>11265.29</v>
      </c>
      <c r="W4233">
        <v>10873.49</v>
      </c>
      <c r="X4233">
        <v>44506.39</v>
      </c>
      <c r="Y4233">
        <v>38561.870000000003</v>
      </c>
    </row>
    <row r="4234" spans="1:25" x14ac:dyDescent="0.25">
      <c r="A4234" t="s">
        <v>4290</v>
      </c>
      <c r="B4234" s="1">
        <v>46086</v>
      </c>
      <c r="C4234">
        <v>2026</v>
      </c>
      <c r="D4234">
        <v>3</v>
      </c>
      <c r="E4234" t="s">
        <v>260</v>
      </c>
      <c r="F4234" t="s">
        <v>27</v>
      </c>
      <c r="G4234" t="s">
        <v>44</v>
      </c>
      <c r="H4234" t="s">
        <v>58</v>
      </c>
      <c r="I4234" t="s">
        <v>45</v>
      </c>
      <c r="J4234">
        <v>47</v>
      </c>
      <c r="K4234">
        <v>1000.96</v>
      </c>
      <c r="L4234">
        <v>47044.95</v>
      </c>
      <c r="M4234">
        <v>25947.14</v>
      </c>
      <c r="N4234">
        <v>3539.86</v>
      </c>
      <c r="O4234">
        <v>2393.27</v>
      </c>
      <c r="P4234">
        <v>1382.06</v>
      </c>
      <c r="Q4234">
        <v>799.01</v>
      </c>
      <c r="R4234">
        <v>1836.14</v>
      </c>
      <c r="S4234">
        <v>627.21</v>
      </c>
      <c r="T4234">
        <v>36524.69</v>
      </c>
      <c r="U4234">
        <v>21097.81</v>
      </c>
      <c r="V4234">
        <v>10520.26</v>
      </c>
      <c r="W4234">
        <v>9439.48</v>
      </c>
      <c r="X4234">
        <v>46581.85</v>
      </c>
      <c r="Y4234">
        <v>34476.269999999997</v>
      </c>
    </row>
    <row r="4235" spans="1:25" x14ac:dyDescent="0.25">
      <c r="A4235" t="s">
        <v>4291</v>
      </c>
      <c r="B4235" s="1">
        <v>46087</v>
      </c>
      <c r="C4235">
        <v>2026</v>
      </c>
      <c r="D4235">
        <v>3</v>
      </c>
      <c r="E4235" t="s">
        <v>260</v>
      </c>
      <c r="F4235" t="s">
        <v>27</v>
      </c>
      <c r="G4235" t="s">
        <v>44</v>
      </c>
      <c r="H4235" t="s">
        <v>36</v>
      </c>
      <c r="I4235" t="s">
        <v>45</v>
      </c>
      <c r="J4235">
        <v>21</v>
      </c>
      <c r="K4235">
        <v>1572.39</v>
      </c>
      <c r="L4235">
        <v>33020.25</v>
      </c>
      <c r="M4235">
        <v>19370.849999999999</v>
      </c>
      <c r="N4235">
        <v>2962.38</v>
      </c>
      <c r="O4235">
        <v>1746.61</v>
      </c>
      <c r="P4235">
        <v>564.24</v>
      </c>
      <c r="Q4235">
        <v>575.70000000000005</v>
      </c>
      <c r="R4235">
        <v>1224.0999999999999</v>
      </c>
      <c r="S4235">
        <v>550.1</v>
      </c>
      <c r="T4235">
        <v>26994</v>
      </c>
      <c r="U4235">
        <v>13649.4</v>
      </c>
      <c r="V4235">
        <v>6026.25</v>
      </c>
      <c r="W4235">
        <v>6121.65</v>
      </c>
      <c r="X4235">
        <v>31748.9</v>
      </c>
      <c r="Y4235">
        <v>25235.38</v>
      </c>
    </row>
    <row r="4236" spans="1:25" x14ac:dyDescent="0.25">
      <c r="A4236" t="s">
        <v>4292</v>
      </c>
      <c r="B4236" s="1">
        <v>46087</v>
      </c>
      <c r="C4236">
        <v>2026</v>
      </c>
      <c r="D4236">
        <v>3</v>
      </c>
      <c r="E4236" t="s">
        <v>260</v>
      </c>
      <c r="F4236" t="s">
        <v>27</v>
      </c>
      <c r="G4236" t="s">
        <v>55</v>
      </c>
      <c r="H4236" t="s">
        <v>32</v>
      </c>
      <c r="I4236" t="s">
        <v>65</v>
      </c>
      <c r="J4236">
        <v>61</v>
      </c>
      <c r="K4236">
        <v>1550.83</v>
      </c>
      <c r="L4236">
        <v>94600.61</v>
      </c>
      <c r="M4236">
        <v>51693.05</v>
      </c>
      <c r="N4236">
        <v>10565.32</v>
      </c>
      <c r="O4236">
        <v>4912.3900000000003</v>
      </c>
      <c r="P4236">
        <v>3605.38</v>
      </c>
      <c r="Q4236">
        <v>1532.78</v>
      </c>
      <c r="R4236">
        <v>5512.41</v>
      </c>
      <c r="S4236">
        <v>1600.4</v>
      </c>
      <c r="T4236">
        <v>79421.740000000005</v>
      </c>
      <c r="U4236">
        <v>42907.56</v>
      </c>
      <c r="V4236">
        <v>15178.87</v>
      </c>
      <c r="W4236">
        <v>13585.46</v>
      </c>
      <c r="X4236">
        <v>100313.4</v>
      </c>
      <c r="Y4236">
        <v>77777.61</v>
      </c>
    </row>
    <row r="4237" spans="1:25" x14ac:dyDescent="0.25">
      <c r="A4237" t="s">
        <v>4293</v>
      </c>
      <c r="B4237" s="1">
        <v>46087</v>
      </c>
      <c r="C4237">
        <v>2026</v>
      </c>
      <c r="D4237">
        <v>3</v>
      </c>
      <c r="E4237" t="s">
        <v>260</v>
      </c>
      <c r="F4237" t="s">
        <v>27</v>
      </c>
      <c r="G4237" t="s">
        <v>44</v>
      </c>
      <c r="H4237" t="s">
        <v>36</v>
      </c>
      <c r="I4237" t="s">
        <v>30</v>
      </c>
      <c r="J4237">
        <v>64</v>
      </c>
      <c r="K4237">
        <v>1185.01</v>
      </c>
      <c r="L4237">
        <v>75840.44</v>
      </c>
      <c r="M4237">
        <v>48519.839999999997</v>
      </c>
      <c r="N4237">
        <v>9727.7900000000009</v>
      </c>
      <c r="O4237">
        <v>4307.95</v>
      </c>
      <c r="P4237">
        <v>2699.4</v>
      </c>
      <c r="Q4237">
        <v>397.05</v>
      </c>
      <c r="R4237">
        <v>3328.34</v>
      </c>
      <c r="S4237">
        <v>1443.84</v>
      </c>
      <c r="T4237">
        <v>70424.19</v>
      </c>
      <c r="U4237">
        <v>27320.6</v>
      </c>
      <c r="V4237">
        <v>5416.24</v>
      </c>
      <c r="W4237">
        <v>4880.46</v>
      </c>
      <c r="X4237">
        <v>75500.160000000003</v>
      </c>
      <c r="Y4237">
        <v>65546.27</v>
      </c>
    </row>
    <row r="4238" spans="1:25" x14ac:dyDescent="0.25">
      <c r="A4238" t="s">
        <v>4294</v>
      </c>
      <c r="B4238" s="1">
        <v>46087</v>
      </c>
      <c r="C4238">
        <v>2026</v>
      </c>
      <c r="D4238">
        <v>3</v>
      </c>
      <c r="E4238" t="s">
        <v>260</v>
      </c>
      <c r="F4238" t="s">
        <v>27</v>
      </c>
      <c r="G4238" t="s">
        <v>55</v>
      </c>
      <c r="H4238" t="s">
        <v>36</v>
      </c>
      <c r="I4238" t="s">
        <v>50</v>
      </c>
      <c r="J4238">
        <v>62</v>
      </c>
      <c r="K4238">
        <v>1055.71</v>
      </c>
      <c r="L4238">
        <v>65453.97</v>
      </c>
      <c r="M4238">
        <v>38101.74</v>
      </c>
      <c r="N4238">
        <v>5856.75</v>
      </c>
      <c r="O4238">
        <v>2585.2399999999998</v>
      </c>
      <c r="P4238">
        <v>2011.62</v>
      </c>
      <c r="Q4238">
        <v>1001.25</v>
      </c>
      <c r="R4238">
        <v>3800.46</v>
      </c>
      <c r="S4238">
        <v>835.45</v>
      </c>
      <c r="T4238">
        <v>54192.52</v>
      </c>
      <c r="U4238">
        <v>27352.23</v>
      </c>
      <c r="V4238">
        <v>11261.45</v>
      </c>
      <c r="W4238">
        <v>11120.38</v>
      </c>
      <c r="X4238">
        <v>71087.039999999994</v>
      </c>
      <c r="Y4238">
        <v>55946.44</v>
      </c>
    </row>
    <row r="4239" spans="1:25" x14ac:dyDescent="0.25">
      <c r="A4239" t="s">
        <v>4295</v>
      </c>
      <c r="B4239" s="1">
        <v>46088</v>
      </c>
      <c r="C4239">
        <v>2026</v>
      </c>
      <c r="D4239">
        <v>3</v>
      </c>
      <c r="E4239" t="s">
        <v>260</v>
      </c>
      <c r="F4239" t="s">
        <v>27</v>
      </c>
      <c r="G4239" t="s">
        <v>44</v>
      </c>
      <c r="H4239" t="s">
        <v>29</v>
      </c>
      <c r="I4239" t="s">
        <v>65</v>
      </c>
      <c r="J4239">
        <v>35</v>
      </c>
      <c r="K4239">
        <v>1706.07</v>
      </c>
      <c r="L4239">
        <v>59712.57</v>
      </c>
      <c r="M4239">
        <v>32884.06</v>
      </c>
      <c r="N4239">
        <v>6808.01</v>
      </c>
      <c r="O4239">
        <v>4075.86</v>
      </c>
      <c r="P4239">
        <v>1760.57</v>
      </c>
      <c r="Q4239">
        <v>437.73</v>
      </c>
      <c r="R4239">
        <v>2240.6999999999998</v>
      </c>
      <c r="S4239">
        <v>680.13</v>
      </c>
      <c r="T4239">
        <v>48887.05</v>
      </c>
      <c r="U4239">
        <v>26828.52</v>
      </c>
      <c r="V4239">
        <v>10825.52</v>
      </c>
      <c r="W4239">
        <v>10432.209999999999</v>
      </c>
      <c r="X4239">
        <v>57655.37</v>
      </c>
      <c r="Y4239">
        <v>47384.84</v>
      </c>
    </row>
    <row r="4240" spans="1:25" x14ac:dyDescent="0.25">
      <c r="A4240" t="s">
        <v>4296</v>
      </c>
      <c r="B4240" s="1">
        <v>46089</v>
      </c>
      <c r="C4240">
        <v>2026</v>
      </c>
      <c r="D4240">
        <v>3</v>
      </c>
      <c r="E4240" t="s">
        <v>260</v>
      </c>
      <c r="F4240" t="s">
        <v>27</v>
      </c>
      <c r="G4240" t="s">
        <v>55</v>
      </c>
      <c r="H4240" t="s">
        <v>29</v>
      </c>
      <c r="I4240" t="s">
        <v>33</v>
      </c>
      <c r="J4240">
        <v>106</v>
      </c>
      <c r="K4240">
        <v>1012.32</v>
      </c>
      <c r="L4240">
        <v>107306.19</v>
      </c>
      <c r="M4240">
        <v>65063.98</v>
      </c>
      <c r="N4240">
        <v>11984.93</v>
      </c>
      <c r="O4240">
        <v>6652.24</v>
      </c>
      <c r="P4240">
        <v>4157.8999999999996</v>
      </c>
      <c r="Q4240">
        <v>1870.7</v>
      </c>
      <c r="R4240">
        <v>4327.38</v>
      </c>
      <c r="S4240">
        <v>1423.75</v>
      </c>
      <c r="T4240">
        <v>95480.88</v>
      </c>
      <c r="U4240">
        <v>42242.21</v>
      </c>
      <c r="V4240">
        <v>11825.31</v>
      </c>
      <c r="W4240">
        <v>10493.42</v>
      </c>
      <c r="X4240">
        <v>110980.16</v>
      </c>
      <c r="Y4240">
        <v>103171.61</v>
      </c>
    </row>
    <row r="4241" spans="1:25" x14ac:dyDescent="0.25">
      <c r="A4241" t="s">
        <v>4297</v>
      </c>
      <c r="B4241" s="1">
        <v>46089</v>
      </c>
      <c r="C4241">
        <v>2026</v>
      </c>
      <c r="D4241">
        <v>3</v>
      </c>
      <c r="E4241" t="s">
        <v>260</v>
      </c>
      <c r="F4241" t="s">
        <v>27</v>
      </c>
      <c r="G4241" t="s">
        <v>28</v>
      </c>
      <c r="H4241" t="s">
        <v>58</v>
      </c>
      <c r="I4241" t="s">
        <v>37</v>
      </c>
      <c r="J4241">
        <v>48</v>
      </c>
      <c r="K4241">
        <v>1754.36</v>
      </c>
      <c r="L4241">
        <v>84209.11</v>
      </c>
      <c r="M4241">
        <v>45835.519999999997</v>
      </c>
      <c r="N4241">
        <v>7449.3</v>
      </c>
      <c r="O4241">
        <v>5246.62</v>
      </c>
      <c r="P4241">
        <v>2017.57</v>
      </c>
      <c r="Q4241">
        <v>1196.07</v>
      </c>
      <c r="R4241">
        <v>5073.7</v>
      </c>
      <c r="S4241">
        <v>926.12</v>
      </c>
      <c r="T4241">
        <v>67744.91</v>
      </c>
      <c r="U4241">
        <v>38373.589999999997</v>
      </c>
      <c r="V4241">
        <v>16464.21</v>
      </c>
      <c r="W4241">
        <v>14979.79</v>
      </c>
      <c r="X4241">
        <v>88055.2</v>
      </c>
      <c r="Y4241">
        <v>65270.73</v>
      </c>
    </row>
    <row r="4242" spans="1:25" x14ac:dyDescent="0.25">
      <c r="A4242" t="s">
        <v>4298</v>
      </c>
      <c r="B4242" s="1">
        <v>46089</v>
      </c>
      <c r="C4242">
        <v>2026</v>
      </c>
      <c r="D4242">
        <v>3</v>
      </c>
      <c r="E4242" t="s">
        <v>260</v>
      </c>
      <c r="F4242" t="s">
        <v>27</v>
      </c>
      <c r="G4242" t="s">
        <v>35</v>
      </c>
      <c r="H4242" t="s">
        <v>32</v>
      </c>
      <c r="I4242" t="s">
        <v>56</v>
      </c>
      <c r="J4242">
        <v>41</v>
      </c>
      <c r="K4242">
        <v>1067.8900000000001</v>
      </c>
      <c r="L4242">
        <v>43783.33</v>
      </c>
      <c r="M4242">
        <v>27848.01</v>
      </c>
      <c r="N4242">
        <v>4625.2299999999996</v>
      </c>
      <c r="O4242">
        <v>1416.28</v>
      </c>
      <c r="P4242">
        <v>1811.16</v>
      </c>
      <c r="Q4242">
        <v>285.38</v>
      </c>
      <c r="R4242">
        <v>2049.27</v>
      </c>
      <c r="S4242">
        <v>823.81</v>
      </c>
      <c r="T4242">
        <v>38859.129999999997</v>
      </c>
      <c r="U4242">
        <v>15935.33</v>
      </c>
      <c r="V4242">
        <v>4924.2</v>
      </c>
      <c r="W4242">
        <v>5018</v>
      </c>
      <c r="X4242">
        <v>40378.269999999997</v>
      </c>
      <c r="Y4242">
        <v>41930.129999999997</v>
      </c>
    </row>
    <row r="4243" spans="1:25" x14ac:dyDescent="0.25">
      <c r="A4243" t="s">
        <v>4299</v>
      </c>
      <c r="B4243" s="1">
        <v>46090</v>
      </c>
      <c r="C4243">
        <v>2026</v>
      </c>
      <c r="D4243">
        <v>3</v>
      </c>
      <c r="E4243" t="s">
        <v>260</v>
      </c>
      <c r="F4243" t="s">
        <v>27</v>
      </c>
      <c r="G4243" t="s">
        <v>55</v>
      </c>
      <c r="H4243" t="s">
        <v>32</v>
      </c>
      <c r="I4243" t="s">
        <v>56</v>
      </c>
      <c r="J4243">
        <v>60</v>
      </c>
      <c r="K4243">
        <v>810.18</v>
      </c>
      <c r="L4243">
        <v>48610.81</v>
      </c>
      <c r="M4243">
        <v>25526.32</v>
      </c>
      <c r="N4243">
        <v>3508.08</v>
      </c>
      <c r="O4243">
        <v>3558.05</v>
      </c>
      <c r="P4243">
        <v>1222.69</v>
      </c>
      <c r="Q4243">
        <v>744.54</v>
      </c>
      <c r="R4243">
        <v>2711.99</v>
      </c>
      <c r="S4243">
        <v>744.2</v>
      </c>
      <c r="T4243">
        <v>38015.86</v>
      </c>
      <c r="U4243">
        <v>23084.49</v>
      </c>
      <c r="V4243">
        <v>10594.95</v>
      </c>
      <c r="W4243">
        <v>10563.34</v>
      </c>
      <c r="X4243">
        <v>53151.49</v>
      </c>
      <c r="Y4243">
        <v>37069.06</v>
      </c>
    </row>
    <row r="4244" spans="1:25" x14ac:dyDescent="0.25">
      <c r="A4244" t="s">
        <v>4300</v>
      </c>
      <c r="B4244" s="1">
        <v>46090</v>
      </c>
      <c r="C4244">
        <v>2026</v>
      </c>
      <c r="D4244">
        <v>3</v>
      </c>
      <c r="E4244" t="s">
        <v>260</v>
      </c>
      <c r="F4244" t="s">
        <v>27</v>
      </c>
      <c r="G4244" t="s">
        <v>35</v>
      </c>
      <c r="H4244" t="s">
        <v>32</v>
      </c>
      <c r="I4244" t="s">
        <v>33</v>
      </c>
      <c r="J4244">
        <v>51</v>
      </c>
      <c r="K4244">
        <v>1789.95</v>
      </c>
      <c r="L4244">
        <v>91287.63</v>
      </c>
      <c r="M4244">
        <v>46945.87</v>
      </c>
      <c r="N4244">
        <v>8571.0300000000007</v>
      </c>
      <c r="O4244">
        <v>5890.05</v>
      </c>
      <c r="P4244">
        <v>2854.54</v>
      </c>
      <c r="Q4244">
        <v>763.34</v>
      </c>
      <c r="R4244">
        <v>3950.5</v>
      </c>
      <c r="S4244">
        <v>781.18</v>
      </c>
      <c r="T4244">
        <v>69756.509999999995</v>
      </c>
      <c r="U4244">
        <v>44341.77</v>
      </c>
      <c r="V4244">
        <v>21531.119999999999</v>
      </c>
      <c r="W4244">
        <v>19126.400000000001</v>
      </c>
      <c r="X4244">
        <v>94731.43</v>
      </c>
      <c r="Y4244">
        <v>75179.48</v>
      </c>
    </row>
    <row r="4245" spans="1:25" x14ac:dyDescent="0.25">
      <c r="A4245" t="s">
        <v>4301</v>
      </c>
      <c r="B4245" s="1">
        <v>46091</v>
      </c>
      <c r="C4245">
        <v>2026</v>
      </c>
      <c r="D4245">
        <v>3</v>
      </c>
      <c r="E4245" t="s">
        <v>260</v>
      </c>
      <c r="F4245" t="s">
        <v>27</v>
      </c>
      <c r="G4245" t="s">
        <v>55</v>
      </c>
      <c r="H4245" t="s">
        <v>32</v>
      </c>
      <c r="I4245" t="s">
        <v>45</v>
      </c>
      <c r="J4245">
        <v>37</v>
      </c>
      <c r="K4245">
        <v>1648.72</v>
      </c>
      <c r="L4245">
        <v>61002.55</v>
      </c>
      <c r="M4245">
        <v>32390.51</v>
      </c>
      <c r="N4245">
        <v>5794.67</v>
      </c>
      <c r="O4245">
        <v>2524.1999999999998</v>
      </c>
      <c r="P4245">
        <v>1654.24</v>
      </c>
      <c r="Q4245">
        <v>663.72</v>
      </c>
      <c r="R4245">
        <v>2037.19</v>
      </c>
      <c r="S4245">
        <v>520.72</v>
      </c>
      <c r="T4245">
        <v>45585.25</v>
      </c>
      <c r="U4245">
        <v>28612.04</v>
      </c>
      <c r="V4245">
        <v>15417.3</v>
      </c>
      <c r="W4245">
        <v>13674.85</v>
      </c>
      <c r="X4245">
        <v>57702.61</v>
      </c>
      <c r="Y4245">
        <v>49440.72</v>
      </c>
    </row>
    <row r="4246" spans="1:25" x14ac:dyDescent="0.25">
      <c r="A4246" t="s">
        <v>4302</v>
      </c>
      <c r="B4246" s="1">
        <v>46091</v>
      </c>
      <c r="C4246">
        <v>2026</v>
      </c>
      <c r="D4246">
        <v>3</v>
      </c>
      <c r="E4246" t="s">
        <v>260</v>
      </c>
      <c r="F4246" t="s">
        <v>27</v>
      </c>
      <c r="G4246" t="s">
        <v>28</v>
      </c>
      <c r="H4246" t="s">
        <v>29</v>
      </c>
      <c r="I4246" t="s">
        <v>39</v>
      </c>
      <c r="J4246">
        <v>56</v>
      </c>
      <c r="K4246">
        <v>956.63</v>
      </c>
      <c r="L4246">
        <v>53571.09</v>
      </c>
      <c r="M4246">
        <v>35800.29</v>
      </c>
      <c r="N4246">
        <v>6288.01</v>
      </c>
      <c r="O4246">
        <v>2079.48</v>
      </c>
      <c r="P4246">
        <v>1703.55</v>
      </c>
      <c r="Q4246">
        <v>829.81</v>
      </c>
      <c r="R4246">
        <v>2103.54</v>
      </c>
      <c r="S4246">
        <v>862.55</v>
      </c>
      <c r="T4246">
        <v>49667.23</v>
      </c>
      <c r="U4246">
        <v>17770.8</v>
      </c>
      <c r="V4246">
        <v>3903.86</v>
      </c>
      <c r="W4246">
        <v>3459.53</v>
      </c>
      <c r="X4246">
        <v>55395.59</v>
      </c>
      <c r="Y4246">
        <v>53140.72</v>
      </c>
    </row>
    <row r="4247" spans="1:25" x14ac:dyDescent="0.25">
      <c r="A4247" t="s">
        <v>4303</v>
      </c>
      <c r="B4247" s="1">
        <v>46091</v>
      </c>
      <c r="C4247">
        <v>2026</v>
      </c>
      <c r="D4247">
        <v>3</v>
      </c>
      <c r="E4247" t="s">
        <v>260</v>
      </c>
      <c r="F4247" t="s">
        <v>27</v>
      </c>
      <c r="G4247" t="s">
        <v>55</v>
      </c>
      <c r="H4247" t="s">
        <v>36</v>
      </c>
      <c r="I4247" t="s">
        <v>45</v>
      </c>
      <c r="J4247">
        <v>44</v>
      </c>
      <c r="K4247">
        <v>1156.98</v>
      </c>
      <c r="L4247">
        <v>50907</v>
      </c>
      <c r="M4247">
        <v>26483.200000000001</v>
      </c>
      <c r="N4247">
        <v>5508.38</v>
      </c>
      <c r="O4247">
        <v>2946.5</v>
      </c>
      <c r="P4247">
        <v>1892.39</v>
      </c>
      <c r="Q4247">
        <v>443.46</v>
      </c>
      <c r="R4247">
        <v>2897.53</v>
      </c>
      <c r="S4247">
        <v>975.6</v>
      </c>
      <c r="T4247">
        <v>41147.06</v>
      </c>
      <c r="U4247">
        <v>24423.8</v>
      </c>
      <c r="V4247">
        <v>9759.94</v>
      </c>
      <c r="W4247">
        <v>9815.24</v>
      </c>
      <c r="X4247">
        <v>53015.12</v>
      </c>
      <c r="Y4247">
        <v>45169.55</v>
      </c>
    </row>
    <row r="4248" spans="1:25" x14ac:dyDescent="0.25">
      <c r="A4248" t="s">
        <v>4304</v>
      </c>
      <c r="B4248" s="1">
        <v>46091</v>
      </c>
      <c r="C4248">
        <v>2026</v>
      </c>
      <c r="D4248">
        <v>3</v>
      </c>
      <c r="E4248" t="s">
        <v>260</v>
      </c>
      <c r="F4248" t="s">
        <v>27</v>
      </c>
      <c r="G4248" t="s">
        <v>28</v>
      </c>
      <c r="H4248" t="s">
        <v>32</v>
      </c>
      <c r="I4248" t="s">
        <v>39</v>
      </c>
      <c r="J4248">
        <v>77</v>
      </c>
      <c r="K4248">
        <v>823.58</v>
      </c>
      <c r="L4248">
        <v>63415.72</v>
      </c>
      <c r="M4248">
        <v>34358.94</v>
      </c>
      <c r="N4248">
        <v>7921.18</v>
      </c>
      <c r="O4248">
        <v>1768.37</v>
      </c>
      <c r="P4248">
        <v>1986.18</v>
      </c>
      <c r="Q4248">
        <v>1110.3</v>
      </c>
      <c r="R4248">
        <v>3177.85</v>
      </c>
      <c r="S4248">
        <v>1574.41</v>
      </c>
      <c r="T4248">
        <v>51897.22</v>
      </c>
      <c r="U4248">
        <v>29056.78</v>
      </c>
      <c r="V4248">
        <v>11518.5</v>
      </c>
      <c r="W4248">
        <v>10636.21</v>
      </c>
      <c r="X4248">
        <v>67749.48</v>
      </c>
      <c r="Y4248">
        <v>52340.08</v>
      </c>
    </row>
    <row r="4249" spans="1:25" x14ac:dyDescent="0.25">
      <c r="A4249" t="s">
        <v>4305</v>
      </c>
      <c r="B4249" s="1">
        <v>46091</v>
      </c>
      <c r="C4249">
        <v>2026</v>
      </c>
      <c r="D4249">
        <v>3</v>
      </c>
      <c r="E4249" t="s">
        <v>260</v>
      </c>
      <c r="F4249" t="s">
        <v>27</v>
      </c>
      <c r="G4249" t="s">
        <v>44</v>
      </c>
      <c r="H4249" t="s">
        <v>32</v>
      </c>
      <c r="I4249" t="s">
        <v>33</v>
      </c>
      <c r="J4249">
        <v>60</v>
      </c>
      <c r="K4249">
        <v>1405.64</v>
      </c>
      <c r="L4249">
        <v>84338.35</v>
      </c>
      <c r="M4249">
        <v>56580.6</v>
      </c>
      <c r="N4249">
        <v>6640.89</v>
      </c>
      <c r="O4249">
        <v>4483.82</v>
      </c>
      <c r="P4249">
        <v>1436.44</v>
      </c>
      <c r="Q4249">
        <v>501.06</v>
      </c>
      <c r="R4249">
        <v>4296.01</v>
      </c>
      <c r="S4249">
        <v>1697.97</v>
      </c>
      <c r="T4249">
        <v>75636.789999999994</v>
      </c>
      <c r="U4249">
        <v>27757.75</v>
      </c>
      <c r="V4249">
        <v>8701.56</v>
      </c>
      <c r="W4249">
        <v>8535.9699999999993</v>
      </c>
      <c r="X4249">
        <v>85867.04</v>
      </c>
      <c r="Y4249">
        <v>70932.87</v>
      </c>
    </row>
    <row r="4250" spans="1:25" x14ac:dyDescent="0.25">
      <c r="A4250" t="s">
        <v>4306</v>
      </c>
      <c r="B4250" s="1">
        <v>46092</v>
      </c>
      <c r="C4250">
        <v>2026</v>
      </c>
      <c r="D4250">
        <v>3</v>
      </c>
      <c r="E4250" t="s">
        <v>260</v>
      </c>
      <c r="F4250" t="s">
        <v>27</v>
      </c>
      <c r="G4250" t="s">
        <v>28</v>
      </c>
      <c r="H4250" t="s">
        <v>29</v>
      </c>
      <c r="I4250" t="s">
        <v>65</v>
      </c>
      <c r="J4250">
        <v>38</v>
      </c>
      <c r="K4250">
        <v>1543.39</v>
      </c>
      <c r="L4250">
        <v>58648.99</v>
      </c>
      <c r="M4250">
        <v>36641.730000000003</v>
      </c>
      <c r="N4250">
        <v>5589.94</v>
      </c>
      <c r="O4250">
        <v>3919.81</v>
      </c>
      <c r="P4250">
        <v>1230.8</v>
      </c>
      <c r="Q4250">
        <v>972.96</v>
      </c>
      <c r="R4250">
        <v>3306.91</v>
      </c>
      <c r="S4250">
        <v>1221.45</v>
      </c>
      <c r="T4250">
        <v>52883.6</v>
      </c>
      <c r="U4250">
        <v>22007.27</v>
      </c>
      <c r="V4250">
        <v>5765.4</v>
      </c>
      <c r="W4250">
        <v>5092.04</v>
      </c>
      <c r="X4250">
        <v>57851.199999999997</v>
      </c>
      <c r="Y4250">
        <v>55252.04</v>
      </c>
    </row>
    <row r="4251" spans="1:25" x14ac:dyDescent="0.25">
      <c r="A4251" t="s">
        <v>4307</v>
      </c>
      <c r="B4251" s="1">
        <v>46093</v>
      </c>
      <c r="C4251">
        <v>2026</v>
      </c>
      <c r="D4251">
        <v>3</v>
      </c>
      <c r="E4251" t="s">
        <v>260</v>
      </c>
      <c r="F4251" t="s">
        <v>27</v>
      </c>
      <c r="G4251" t="s">
        <v>55</v>
      </c>
      <c r="H4251" t="s">
        <v>29</v>
      </c>
      <c r="I4251" t="s">
        <v>56</v>
      </c>
      <c r="J4251">
        <v>29</v>
      </c>
      <c r="K4251">
        <v>1149.06</v>
      </c>
      <c r="L4251">
        <v>33322.660000000003</v>
      </c>
      <c r="M4251">
        <v>20752.3</v>
      </c>
      <c r="N4251">
        <v>3273.97</v>
      </c>
      <c r="O4251">
        <v>2475.98</v>
      </c>
      <c r="P4251">
        <v>1206.53</v>
      </c>
      <c r="Q4251">
        <v>330.51</v>
      </c>
      <c r="R4251">
        <v>923.04</v>
      </c>
      <c r="S4251">
        <v>634.91999999999996</v>
      </c>
      <c r="T4251">
        <v>29597.25</v>
      </c>
      <c r="U4251">
        <v>12570.36</v>
      </c>
      <c r="V4251">
        <v>3725.41</v>
      </c>
      <c r="W4251">
        <v>3568.54</v>
      </c>
      <c r="X4251">
        <v>34729.17</v>
      </c>
      <c r="Y4251">
        <v>32361.200000000001</v>
      </c>
    </row>
    <row r="4252" spans="1:25" x14ac:dyDescent="0.25">
      <c r="A4252" t="s">
        <v>4308</v>
      </c>
      <c r="B4252" s="1">
        <v>46093</v>
      </c>
      <c r="C4252">
        <v>2026</v>
      </c>
      <c r="D4252">
        <v>3</v>
      </c>
      <c r="E4252" t="s">
        <v>260</v>
      </c>
      <c r="F4252" t="s">
        <v>27</v>
      </c>
      <c r="G4252" t="s">
        <v>44</v>
      </c>
      <c r="H4252" t="s">
        <v>53</v>
      </c>
      <c r="I4252" t="s">
        <v>65</v>
      </c>
      <c r="J4252">
        <v>30</v>
      </c>
      <c r="K4252">
        <v>1754.28</v>
      </c>
      <c r="L4252">
        <v>52628.53</v>
      </c>
      <c r="M4252">
        <v>30134.82</v>
      </c>
      <c r="N4252">
        <v>4217.34</v>
      </c>
      <c r="O4252">
        <v>3855.49</v>
      </c>
      <c r="P4252">
        <v>1238.8900000000001</v>
      </c>
      <c r="Q4252">
        <v>274.20999999999998</v>
      </c>
      <c r="R4252">
        <v>2140.27</v>
      </c>
      <c r="S4252">
        <v>425.51</v>
      </c>
      <c r="T4252">
        <v>42286.53</v>
      </c>
      <c r="U4252">
        <v>22493.71</v>
      </c>
      <c r="V4252">
        <v>10342</v>
      </c>
      <c r="W4252">
        <v>9809.99</v>
      </c>
      <c r="X4252">
        <v>49847.88</v>
      </c>
      <c r="Y4252">
        <v>41765.800000000003</v>
      </c>
    </row>
    <row r="4253" spans="1:25" x14ac:dyDescent="0.25">
      <c r="A4253" t="s">
        <v>4309</v>
      </c>
      <c r="B4253" s="1">
        <v>46093</v>
      </c>
      <c r="C4253">
        <v>2026</v>
      </c>
      <c r="D4253">
        <v>3</v>
      </c>
      <c r="E4253" t="s">
        <v>260</v>
      </c>
      <c r="F4253" t="s">
        <v>27</v>
      </c>
      <c r="G4253" t="s">
        <v>35</v>
      </c>
      <c r="H4253" t="s">
        <v>36</v>
      </c>
      <c r="I4253" t="s">
        <v>30</v>
      </c>
      <c r="J4253">
        <v>57</v>
      </c>
      <c r="K4253">
        <v>1140.8499999999999</v>
      </c>
      <c r="L4253">
        <v>65028.39</v>
      </c>
      <c r="M4253">
        <v>44030.96</v>
      </c>
      <c r="N4253">
        <v>7399.64</v>
      </c>
      <c r="O4253">
        <v>2772.2</v>
      </c>
      <c r="P4253">
        <v>2179.39</v>
      </c>
      <c r="Q4253">
        <v>389.62</v>
      </c>
      <c r="R4253">
        <v>2696.19</v>
      </c>
      <c r="S4253">
        <v>637.34</v>
      </c>
      <c r="T4253">
        <v>60105.34</v>
      </c>
      <c r="U4253">
        <v>20997.43</v>
      </c>
      <c r="V4253">
        <v>4923.05</v>
      </c>
      <c r="W4253">
        <v>4451.72</v>
      </c>
      <c r="X4253">
        <v>62865.99</v>
      </c>
      <c r="Y4253">
        <v>61344.93</v>
      </c>
    </row>
    <row r="4254" spans="1:25" x14ac:dyDescent="0.25">
      <c r="A4254" t="s">
        <v>4310</v>
      </c>
      <c r="B4254" s="1">
        <v>46094</v>
      </c>
      <c r="C4254">
        <v>2026</v>
      </c>
      <c r="D4254">
        <v>3</v>
      </c>
      <c r="E4254" t="s">
        <v>260</v>
      </c>
      <c r="F4254" t="s">
        <v>27</v>
      </c>
      <c r="G4254" t="s">
        <v>55</v>
      </c>
      <c r="H4254" t="s">
        <v>58</v>
      </c>
      <c r="I4254" t="s">
        <v>56</v>
      </c>
      <c r="J4254">
        <v>34</v>
      </c>
      <c r="K4254">
        <v>1250.8399999999999</v>
      </c>
      <c r="L4254">
        <v>42528.62</v>
      </c>
      <c r="M4254">
        <v>28872.37</v>
      </c>
      <c r="N4254">
        <v>4016.46</v>
      </c>
      <c r="O4254">
        <v>2097.0700000000002</v>
      </c>
      <c r="P4254">
        <v>1240.43</v>
      </c>
      <c r="Q4254">
        <v>723.9</v>
      </c>
      <c r="R4254">
        <v>1578.49</v>
      </c>
      <c r="S4254">
        <v>374.51</v>
      </c>
      <c r="T4254">
        <v>38903.230000000003</v>
      </c>
      <c r="U4254">
        <v>13656.25</v>
      </c>
      <c r="V4254">
        <v>3625.39</v>
      </c>
      <c r="W4254">
        <v>3625.29</v>
      </c>
      <c r="X4254">
        <v>46643.48</v>
      </c>
      <c r="Y4254">
        <v>39106.58</v>
      </c>
    </row>
    <row r="4255" spans="1:25" x14ac:dyDescent="0.25">
      <c r="A4255" t="s">
        <v>4311</v>
      </c>
      <c r="B4255" s="1">
        <v>46094</v>
      </c>
      <c r="C4255">
        <v>2026</v>
      </c>
      <c r="D4255">
        <v>3</v>
      </c>
      <c r="E4255" t="s">
        <v>260</v>
      </c>
      <c r="F4255" t="s">
        <v>27</v>
      </c>
      <c r="G4255" t="s">
        <v>28</v>
      </c>
      <c r="H4255" t="s">
        <v>29</v>
      </c>
      <c r="I4255" t="s">
        <v>37</v>
      </c>
      <c r="J4255">
        <v>50</v>
      </c>
      <c r="K4255">
        <v>1185.8399999999999</v>
      </c>
      <c r="L4255">
        <v>59291.99</v>
      </c>
      <c r="M4255">
        <v>37460.230000000003</v>
      </c>
      <c r="N4255">
        <v>7149.4</v>
      </c>
      <c r="O4255">
        <v>2395.39</v>
      </c>
      <c r="P4255">
        <v>1547.53</v>
      </c>
      <c r="Q4255">
        <v>857.62</v>
      </c>
      <c r="R4255">
        <v>2252.08</v>
      </c>
      <c r="S4255">
        <v>896.11</v>
      </c>
      <c r="T4255">
        <v>52558.37</v>
      </c>
      <c r="U4255">
        <v>21831.759999999998</v>
      </c>
      <c r="V4255">
        <v>6733.62</v>
      </c>
      <c r="W4255">
        <v>6352.43</v>
      </c>
      <c r="X4255">
        <v>59106.6</v>
      </c>
      <c r="Y4255">
        <v>54785.49</v>
      </c>
    </row>
    <row r="4256" spans="1:25" x14ac:dyDescent="0.25">
      <c r="A4256" t="s">
        <v>4312</v>
      </c>
      <c r="B4256" s="1">
        <v>46094</v>
      </c>
      <c r="C4256">
        <v>2026</v>
      </c>
      <c r="D4256">
        <v>3</v>
      </c>
      <c r="E4256" t="s">
        <v>260</v>
      </c>
      <c r="F4256" t="s">
        <v>27</v>
      </c>
      <c r="G4256" t="s">
        <v>55</v>
      </c>
      <c r="H4256" t="s">
        <v>32</v>
      </c>
      <c r="I4256" t="s">
        <v>30</v>
      </c>
      <c r="J4256">
        <v>97</v>
      </c>
      <c r="K4256">
        <v>1353.05</v>
      </c>
      <c r="L4256">
        <v>131245.75</v>
      </c>
      <c r="M4256">
        <v>69519.94</v>
      </c>
      <c r="N4256">
        <v>13792.26</v>
      </c>
      <c r="O4256">
        <v>3411.57</v>
      </c>
      <c r="P4256">
        <v>5167.1000000000004</v>
      </c>
      <c r="Q4256">
        <v>1076.17</v>
      </c>
      <c r="R4256">
        <v>7764.16</v>
      </c>
      <c r="S4256">
        <v>2779.24</v>
      </c>
      <c r="T4256">
        <v>103510.44</v>
      </c>
      <c r="U4256">
        <v>61725.8</v>
      </c>
      <c r="V4256">
        <v>27735.3</v>
      </c>
      <c r="W4256">
        <v>27241.06</v>
      </c>
      <c r="X4256">
        <v>129340.93</v>
      </c>
      <c r="Y4256">
        <v>96600.1</v>
      </c>
    </row>
    <row r="4257" spans="1:25" x14ac:dyDescent="0.25">
      <c r="A4257" t="s">
        <v>4313</v>
      </c>
      <c r="B4257" s="1">
        <v>46094</v>
      </c>
      <c r="C4257">
        <v>2026</v>
      </c>
      <c r="D4257">
        <v>3</v>
      </c>
      <c r="E4257" t="s">
        <v>260</v>
      </c>
      <c r="F4257" t="s">
        <v>27</v>
      </c>
      <c r="G4257" t="s">
        <v>55</v>
      </c>
      <c r="H4257" t="s">
        <v>53</v>
      </c>
      <c r="I4257" t="s">
        <v>50</v>
      </c>
      <c r="J4257">
        <v>32</v>
      </c>
      <c r="K4257">
        <v>1261.77</v>
      </c>
      <c r="L4257">
        <v>40376.58</v>
      </c>
      <c r="M4257">
        <v>23380.75</v>
      </c>
      <c r="N4257">
        <v>4277.88</v>
      </c>
      <c r="O4257">
        <v>1131.22</v>
      </c>
      <c r="P4257">
        <v>1491.31</v>
      </c>
      <c r="Q4257">
        <v>312.89</v>
      </c>
      <c r="R4257">
        <v>2336.38</v>
      </c>
      <c r="S4257">
        <v>861.4</v>
      </c>
      <c r="T4257">
        <v>33791.83</v>
      </c>
      <c r="U4257">
        <v>16995.830000000002</v>
      </c>
      <c r="V4257">
        <v>6584.75</v>
      </c>
      <c r="W4257">
        <v>6509.88</v>
      </c>
      <c r="X4257">
        <v>44825.87</v>
      </c>
      <c r="Y4257">
        <v>33952.54</v>
      </c>
    </row>
    <row r="4258" spans="1:25" x14ac:dyDescent="0.25">
      <c r="A4258" t="s">
        <v>4314</v>
      </c>
      <c r="B4258" s="1">
        <v>46094</v>
      </c>
      <c r="C4258">
        <v>2026</v>
      </c>
      <c r="D4258">
        <v>3</v>
      </c>
      <c r="E4258" t="s">
        <v>260</v>
      </c>
      <c r="F4258" t="s">
        <v>27</v>
      </c>
      <c r="G4258" t="s">
        <v>55</v>
      </c>
      <c r="H4258" t="s">
        <v>58</v>
      </c>
      <c r="I4258" t="s">
        <v>56</v>
      </c>
      <c r="J4258">
        <v>22</v>
      </c>
      <c r="K4258">
        <v>1460.19</v>
      </c>
      <c r="L4258">
        <v>32124.21</v>
      </c>
      <c r="M4258">
        <v>19009.3</v>
      </c>
      <c r="N4258">
        <v>3406.84</v>
      </c>
      <c r="O4258">
        <v>2340.0100000000002</v>
      </c>
      <c r="P4258">
        <v>937.18</v>
      </c>
      <c r="Q4258">
        <v>384.5</v>
      </c>
      <c r="R4258">
        <v>2022.24</v>
      </c>
      <c r="S4258">
        <v>588.1</v>
      </c>
      <c r="T4258">
        <v>28688.17</v>
      </c>
      <c r="U4258">
        <v>13114.92</v>
      </c>
      <c r="V4258">
        <v>3436.04</v>
      </c>
      <c r="W4258">
        <v>3110.81</v>
      </c>
      <c r="X4258">
        <v>34018.82</v>
      </c>
      <c r="Y4258">
        <v>27802.74</v>
      </c>
    </row>
    <row r="4259" spans="1:25" x14ac:dyDescent="0.25">
      <c r="A4259" t="s">
        <v>4315</v>
      </c>
      <c r="B4259" s="1">
        <v>46094</v>
      </c>
      <c r="C4259">
        <v>2026</v>
      </c>
      <c r="D4259">
        <v>3</v>
      </c>
      <c r="E4259" t="s">
        <v>260</v>
      </c>
      <c r="F4259" t="s">
        <v>27</v>
      </c>
      <c r="G4259" t="s">
        <v>55</v>
      </c>
      <c r="H4259" t="s">
        <v>32</v>
      </c>
      <c r="I4259" t="s">
        <v>33</v>
      </c>
      <c r="J4259">
        <v>105</v>
      </c>
      <c r="K4259">
        <v>814.23</v>
      </c>
      <c r="L4259">
        <v>85494.34</v>
      </c>
      <c r="M4259">
        <v>52675.05</v>
      </c>
      <c r="N4259">
        <v>8611.49</v>
      </c>
      <c r="O4259">
        <v>4896.7</v>
      </c>
      <c r="P4259">
        <v>3215.14</v>
      </c>
      <c r="Q4259">
        <v>1515.09</v>
      </c>
      <c r="R4259">
        <v>2459.06</v>
      </c>
      <c r="S4259">
        <v>1131.3900000000001</v>
      </c>
      <c r="T4259">
        <v>74503.91</v>
      </c>
      <c r="U4259">
        <v>32819.29</v>
      </c>
      <c r="V4259">
        <v>10990.42</v>
      </c>
      <c r="W4259">
        <v>9996.64</v>
      </c>
      <c r="X4259">
        <v>81570.649999999994</v>
      </c>
      <c r="Y4259">
        <v>76469.72</v>
      </c>
    </row>
    <row r="4260" spans="1:25" x14ac:dyDescent="0.25">
      <c r="A4260" t="s">
        <v>4316</v>
      </c>
      <c r="B4260" s="1">
        <v>46095</v>
      </c>
      <c r="C4260">
        <v>2026</v>
      </c>
      <c r="D4260">
        <v>3</v>
      </c>
      <c r="E4260" t="s">
        <v>260</v>
      </c>
      <c r="F4260" t="s">
        <v>27</v>
      </c>
      <c r="G4260" t="s">
        <v>55</v>
      </c>
      <c r="H4260" t="s">
        <v>58</v>
      </c>
      <c r="I4260" t="s">
        <v>37</v>
      </c>
      <c r="J4260">
        <v>49</v>
      </c>
      <c r="K4260">
        <v>1751.6</v>
      </c>
      <c r="L4260">
        <v>85828.62</v>
      </c>
      <c r="M4260">
        <v>45712.93</v>
      </c>
      <c r="N4260">
        <v>9931.41</v>
      </c>
      <c r="O4260">
        <v>2477.1</v>
      </c>
      <c r="P4260">
        <v>3819.43</v>
      </c>
      <c r="Q4260">
        <v>545.41</v>
      </c>
      <c r="R4260">
        <v>3524.88</v>
      </c>
      <c r="S4260">
        <v>955.49</v>
      </c>
      <c r="T4260">
        <v>66966.649999999994</v>
      </c>
      <c r="U4260">
        <v>40115.69</v>
      </c>
      <c r="V4260">
        <v>18861.96</v>
      </c>
      <c r="W4260">
        <v>19010.990000000002</v>
      </c>
      <c r="X4260">
        <v>87818.68</v>
      </c>
      <c r="Y4260">
        <v>68571.17</v>
      </c>
    </row>
    <row r="4261" spans="1:25" x14ac:dyDescent="0.25">
      <c r="A4261" t="s">
        <v>4317</v>
      </c>
      <c r="B4261" s="1">
        <v>46095</v>
      </c>
      <c r="C4261">
        <v>2026</v>
      </c>
      <c r="D4261">
        <v>3</v>
      </c>
      <c r="E4261" t="s">
        <v>260</v>
      </c>
      <c r="F4261" t="s">
        <v>27</v>
      </c>
      <c r="G4261" t="s">
        <v>44</v>
      </c>
      <c r="H4261" t="s">
        <v>36</v>
      </c>
      <c r="I4261" t="s">
        <v>50</v>
      </c>
      <c r="J4261">
        <v>43</v>
      </c>
      <c r="K4261">
        <v>950.21</v>
      </c>
      <c r="L4261">
        <v>40858.910000000003</v>
      </c>
      <c r="M4261">
        <v>22225.62</v>
      </c>
      <c r="N4261">
        <v>3081.29</v>
      </c>
      <c r="O4261">
        <v>2763.14</v>
      </c>
      <c r="P4261">
        <v>1799.85</v>
      </c>
      <c r="Q4261">
        <v>599.30999999999995</v>
      </c>
      <c r="R4261">
        <v>2000.69</v>
      </c>
      <c r="S4261">
        <v>786.36</v>
      </c>
      <c r="T4261">
        <v>33256.26</v>
      </c>
      <c r="U4261">
        <v>18633.29</v>
      </c>
      <c r="V4261">
        <v>7602.65</v>
      </c>
      <c r="W4261">
        <v>7498.94</v>
      </c>
      <c r="X4261">
        <v>44959.54</v>
      </c>
      <c r="Y4261">
        <v>36186.239999999998</v>
      </c>
    </row>
    <row r="4262" spans="1:25" x14ac:dyDescent="0.25">
      <c r="A4262" t="s">
        <v>4318</v>
      </c>
      <c r="B4262" s="1">
        <v>46095</v>
      </c>
      <c r="C4262">
        <v>2026</v>
      </c>
      <c r="D4262">
        <v>3</v>
      </c>
      <c r="E4262" t="s">
        <v>260</v>
      </c>
      <c r="F4262" t="s">
        <v>27</v>
      </c>
      <c r="G4262" t="s">
        <v>55</v>
      </c>
      <c r="H4262" t="s">
        <v>36</v>
      </c>
      <c r="I4262" t="s">
        <v>50</v>
      </c>
      <c r="J4262">
        <v>36</v>
      </c>
      <c r="K4262">
        <v>1493.13</v>
      </c>
      <c r="L4262">
        <v>53752.79</v>
      </c>
      <c r="M4262">
        <v>29587.13</v>
      </c>
      <c r="N4262">
        <v>5228.79</v>
      </c>
      <c r="O4262">
        <v>2647.62</v>
      </c>
      <c r="P4262">
        <v>1323.26</v>
      </c>
      <c r="Q4262">
        <v>624.09</v>
      </c>
      <c r="R4262">
        <v>2665.74</v>
      </c>
      <c r="S4262">
        <v>1000.81</v>
      </c>
      <c r="T4262">
        <v>43077.43</v>
      </c>
      <c r="U4262">
        <v>24165.67</v>
      </c>
      <c r="V4262">
        <v>10675.36</v>
      </c>
      <c r="W4262">
        <v>9729.2999999999993</v>
      </c>
      <c r="X4262">
        <v>56467.48</v>
      </c>
      <c r="Y4262">
        <v>45686.21</v>
      </c>
    </row>
    <row r="4263" spans="1:25" x14ac:dyDescent="0.25">
      <c r="A4263" t="s">
        <v>4319</v>
      </c>
      <c r="B4263" s="1">
        <v>46095</v>
      </c>
      <c r="C4263">
        <v>2026</v>
      </c>
      <c r="D4263">
        <v>3</v>
      </c>
      <c r="E4263" t="s">
        <v>260</v>
      </c>
      <c r="F4263" t="s">
        <v>27</v>
      </c>
      <c r="G4263" t="s">
        <v>55</v>
      </c>
      <c r="H4263" t="s">
        <v>36</v>
      </c>
      <c r="I4263" t="s">
        <v>30</v>
      </c>
      <c r="J4263">
        <v>88</v>
      </c>
      <c r="K4263">
        <v>873.22</v>
      </c>
      <c r="L4263">
        <v>76843.149999999994</v>
      </c>
      <c r="M4263">
        <v>42988.31</v>
      </c>
      <c r="N4263">
        <v>6621.39</v>
      </c>
      <c r="O4263">
        <v>3207.57</v>
      </c>
      <c r="P4263">
        <v>1198.32</v>
      </c>
      <c r="Q4263">
        <v>738.7</v>
      </c>
      <c r="R4263">
        <v>2682.23</v>
      </c>
      <c r="S4263">
        <v>920.53</v>
      </c>
      <c r="T4263">
        <v>58357.05</v>
      </c>
      <c r="U4263">
        <v>33854.83</v>
      </c>
      <c r="V4263">
        <v>18486.09</v>
      </c>
      <c r="W4263">
        <v>18420.46</v>
      </c>
      <c r="X4263">
        <v>82660.960000000006</v>
      </c>
      <c r="Y4263">
        <v>62131.99</v>
      </c>
    </row>
    <row r="4264" spans="1:25" x14ac:dyDescent="0.25">
      <c r="A4264" t="s">
        <v>4320</v>
      </c>
      <c r="B4264" s="1">
        <v>46095</v>
      </c>
      <c r="C4264">
        <v>2026</v>
      </c>
      <c r="D4264">
        <v>3</v>
      </c>
      <c r="E4264" t="s">
        <v>260</v>
      </c>
      <c r="F4264" t="s">
        <v>27</v>
      </c>
      <c r="G4264" t="s">
        <v>28</v>
      </c>
      <c r="H4264" t="s">
        <v>36</v>
      </c>
      <c r="I4264" t="s">
        <v>50</v>
      </c>
      <c r="J4264">
        <v>42</v>
      </c>
      <c r="K4264">
        <v>1559.41</v>
      </c>
      <c r="L4264">
        <v>65495.28</v>
      </c>
      <c r="M4264">
        <v>42042.47</v>
      </c>
      <c r="N4264">
        <v>4974.01</v>
      </c>
      <c r="O4264">
        <v>1676.67</v>
      </c>
      <c r="P4264">
        <v>1359.57</v>
      </c>
      <c r="Q4264">
        <v>758.37</v>
      </c>
      <c r="R4264">
        <v>3978.47</v>
      </c>
      <c r="S4264">
        <v>1620.26</v>
      </c>
      <c r="T4264">
        <v>56409.83</v>
      </c>
      <c r="U4264">
        <v>23452.81</v>
      </c>
      <c r="V4264">
        <v>9085.4500000000007</v>
      </c>
      <c r="W4264">
        <v>8828.35</v>
      </c>
      <c r="X4264">
        <v>70809.679999999993</v>
      </c>
      <c r="Y4264">
        <v>60439.51</v>
      </c>
    </row>
    <row r="4265" spans="1:25" x14ac:dyDescent="0.25">
      <c r="A4265" t="s">
        <v>4321</v>
      </c>
      <c r="B4265" s="1">
        <v>46095</v>
      </c>
      <c r="C4265">
        <v>2026</v>
      </c>
      <c r="D4265">
        <v>3</v>
      </c>
      <c r="E4265" t="s">
        <v>260</v>
      </c>
      <c r="F4265" t="s">
        <v>27</v>
      </c>
      <c r="G4265" t="s">
        <v>55</v>
      </c>
      <c r="H4265" t="s">
        <v>36</v>
      </c>
      <c r="I4265" t="s">
        <v>30</v>
      </c>
      <c r="J4265">
        <v>64</v>
      </c>
      <c r="K4265">
        <v>1460.33</v>
      </c>
      <c r="L4265">
        <v>93461.39</v>
      </c>
      <c r="M4265">
        <v>61818.83</v>
      </c>
      <c r="N4265">
        <v>9128.41</v>
      </c>
      <c r="O4265">
        <v>4949.84</v>
      </c>
      <c r="P4265">
        <v>3206.29</v>
      </c>
      <c r="Q4265">
        <v>1086.28</v>
      </c>
      <c r="R4265">
        <v>4305.59</v>
      </c>
      <c r="S4265">
        <v>935.91</v>
      </c>
      <c r="T4265">
        <v>85431.13</v>
      </c>
      <c r="U4265">
        <v>31642.560000000001</v>
      </c>
      <c r="V4265">
        <v>8030.26</v>
      </c>
      <c r="W4265">
        <v>8006.14</v>
      </c>
      <c r="X4265">
        <v>95033.29</v>
      </c>
      <c r="Y4265">
        <v>90240.81</v>
      </c>
    </row>
    <row r="4266" spans="1:25" x14ac:dyDescent="0.25">
      <c r="A4266" t="s">
        <v>4322</v>
      </c>
      <c r="B4266" s="1">
        <v>46096</v>
      </c>
      <c r="C4266">
        <v>2026</v>
      </c>
      <c r="D4266">
        <v>3</v>
      </c>
      <c r="E4266" t="s">
        <v>260</v>
      </c>
      <c r="F4266" t="s">
        <v>27</v>
      </c>
      <c r="G4266" t="s">
        <v>28</v>
      </c>
      <c r="H4266" t="s">
        <v>53</v>
      </c>
      <c r="I4266" t="s">
        <v>39</v>
      </c>
      <c r="J4266">
        <v>35</v>
      </c>
      <c r="K4266">
        <v>1396.02</v>
      </c>
      <c r="L4266">
        <v>48860.79</v>
      </c>
      <c r="M4266">
        <v>32130.6</v>
      </c>
      <c r="N4266">
        <v>4387.12</v>
      </c>
      <c r="O4266">
        <v>1978.92</v>
      </c>
      <c r="P4266">
        <v>1139.49</v>
      </c>
      <c r="Q4266">
        <v>329.96</v>
      </c>
      <c r="R4266">
        <v>2398.16</v>
      </c>
      <c r="S4266">
        <v>462</v>
      </c>
      <c r="T4266">
        <v>42826.26</v>
      </c>
      <c r="U4266">
        <v>16730.189999999999</v>
      </c>
      <c r="V4266">
        <v>6034.54</v>
      </c>
      <c r="W4266">
        <v>5878.59</v>
      </c>
      <c r="X4266">
        <v>46354.53</v>
      </c>
      <c r="Y4266">
        <v>45470.94</v>
      </c>
    </row>
    <row r="4267" spans="1:25" x14ac:dyDescent="0.25">
      <c r="A4267" t="s">
        <v>4323</v>
      </c>
      <c r="B4267" s="1">
        <v>46096</v>
      </c>
      <c r="C4267">
        <v>2026</v>
      </c>
      <c r="D4267">
        <v>3</v>
      </c>
      <c r="E4267" t="s">
        <v>260</v>
      </c>
      <c r="F4267" t="s">
        <v>27</v>
      </c>
      <c r="G4267" t="s">
        <v>55</v>
      </c>
      <c r="H4267" t="s">
        <v>32</v>
      </c>
      <c r="I4267" t="s">
        <v>56</v>
      </c>
      <c r="J4267">
        <v>40</v>
      </c>
      <c r="K4267">
        <v>1227.19</v>
      </c>
      <c r="L4267">
        <v>49087.54</v>
      </c>
      <c r="M4267">
        <v>31745.7</v>
      </c>
      <c r="N4267">
        <v>4083.04</v>
      </c>
      <c r="O4267">
        <v>2777.92</v>
      </c>
      <c r="P4267">
        <v>1178.6199999999999</v>
      </c>
      <c r="Q4267">
        <v>785.65</v>
      </c>
      <c r="R4267">
        <v>1552.48</v>
      </c>
      <c r="S4267">
        <v>864.98</v>
      </c>
      <c r="T4267">
        <v>42988.4</v>
      </c>
      <c r="U4267">
        <v>17341.84</v>
      </c>
      <c r="V4267">
        <v>6099.15</v>
      </c>
      <c r="W4267">
        <v>5544.53</v>
      </c>
      <c r="X4267">
        <v>53577.96</v>
      </c>
      <c r="Y4267">
        <v>45444.4</v>
      </c>
    </row>
    <row r="4268" spans="1:25" x14ac:dyDescent="0.25">
      <c r="A4268" t="s">
        <v>4324</v>
      </c>
      <c r="B4268" s="1">
        <v>46096</v>
      </c>
      <c r="C4268">
        <v>2026</v>
      </c>
      <c r="D4268">
        <v>3</v>
      </c>
      <c r="E4268" t="s">
        <v>260</v>
      </c>
      <c r="F4268" t="s">
        <v>27</v>
      </c>
      <c r="G4268" t="s">
        <v>44</v>
      </c>
      <c r="H4268" t="s">
        <v>32</v>
      </c>
      <c r="I4268" t="s">
        <v>45</v>
      </c>
      <c r="J4268">
        <v>50</v>
      </c>
      <c r="K4268">
        <v>1137.26</v>
      </c>
      <c r="L4268">
        <v>56863.06</v>
      </c>
      <c r="M4268">
        <v>30303.46</v>
      </c>
      <c r="N4268">
        <v>6202.35</v>
      </c>
      <c r="O4268">
        <v>1790.13</v>
      </c>
      <c r="P4268">
        <v>2534.44</v>
      </c>
      <c r="Q4268">
        <v>962.72</v>
      </c>
      <c r="R4268">
        <v>2198.27</v>
      </c>
      <c r="S4268">
        <v>1345.87</v>
      </c>
      <c r="T4268">
        <v>45337.24</v>
      </c>
      <c r="U4268">
        <v>26559.61</v>
      </c>
      <c r="V4268">
        <v>11525.82</v>
      </c>
      <c r="W4268">
        <v>10427.68</v>
      </c>
      <c r="X4268">
        <v>56276.19</v>
      </c>
      <c r="Y4268">
        <v>49129.53</v>
      </c>
    </row>
    <row r="4269" spans="1:25" x14ac:dyDescent="0.25">
      <c r="A4269" t="s">
        <v>4325</v>
      </c>
      <c r="B4269" s="1">
        <v>46097</v>
      </c>
      <c r="C4269">
        <v>2026</v>
      </c>
      <c r="D4269">
        <v>3</v>
      </c>
      <c r="E4269" t="s">
        <v>260</v>
      </c>
      <c r="F4269" t="s">
        <v>27</v>
      </c>
      <c r="G4269" t="s">
        <v>55</v>
      </c>
      <c r="H4269" t="s">
        <v>58</v>
      </c>
      <c r="I4269" t="s">
        <v>30</v>
      </c>
      <c r="J4269">
        <v>79</v>
      </c>
      <c r="K4269">
        <v>1391.74</v>
      </c>
      <c r="L4269">
        <v>109947.85</v>
      </c>
      <c r="M4269">
        <v>65857.81</v>
      </c>
      <c r="N4269">
        <v>10686.97</v>
      </c>
      <c r="O4269">
        <v>4259.41</v>
      </c>
      <c r="P4269">
        <v>2958.97</v>
      </c>
      <c r="Q4269">
        <v>1904.15</v>
      </c>
      <c r="R4269">
        <v>6109.26</v>
      </c>
      <c r="S4269">
        <v>1377.63</v>
      </c>
      <c r="T4269">
        <v>93154.19</v>
      </c>
      <c r="U4269">
        <v>44090.04</v>
      </c>
      <c r="V4269">
        <v>16793.66</v>
      </c>
      <c r="W4269">
        <v>16671.48</v>
      </c>
      <c r="X4269">
        <v>111277.02</v>
      </c>
      <c r="Y4269">
        <v>101647.07</v>
      </c>
    </row>
    <row r="4270" spans="1:25" x14ac:dyDescent="0.25">
      <c r="A4270" t="s">
        <v>4326</v>
      </c>
      <c r="B4270" s="1">
        <v>46097</v>
      </c>
      <c r="C4270">
        <v>2026</v>
      </c>
      <c r="D4270">
        <v>3</v>
      </c>
      <c r="E4270" t="s">
        <v>260</v>
      </c>
      <c r="F4270" t="s">
        <v>27</v>
      </c>
      <c r="G4270" t="s">
        <v>55</v>
      </c>
      <c r="H4270" t="s">
        <v>36</v>
      </c>
      <c r="I4270" t="s">
        <v>50</v>
      </c>
      <c r="J4270">
        <v>40</v>
      </c>
      <c r="K4270">
        <v>1662.88</v>
      </c>
      <c r="L4270">
        <v>66515.3</v>
      </c>
      <c r="M4270">
        <v>41115.019999999997</v>
      </c>
      <c r="N4270">
        <v>7301.04</v>
      </c>
      <c r="O4270">
        <v>4569.0200000000004</v>
      </c>
      <c r="P4270">
        <v>1214.8599999999999</v>
      </c>
      <c r="Q4270">
        <v>577.79999999999995</v>
      </c>
      <c r="R4270">
        <v>4143.5600000000004</v>
      </c>
      <c r="S4270">
        <v>1348.78</v>
      </c>
      <c r="T4270">
        <v>60270.07</v>
      </c>
      <c r="U4270">
        <v>25400.28</v>
      </c>
      <c r="V4270">
        <v>6245.23</v>
      </c>
      <c r="W4270">
        <v>6288.41</v>
      </c>
      <c r="X4270">
        <v>66983.94</v>
      </c>
      <c r="Y4270">
        <v>60793.46</v>
      </c>
    </row>
    <row r="4271" spans="1:25" x14ac:dyDescent="0.25">
      <c r="A4271" t="s">
        <v>4327</v>
      </c>
      <c r="B4271" s="1">
        <v>46097</v>
      </c>
      <c r="C4271">
        <v>2026</v>
      </c>
      <c r="D4271">
        <v>3</v>
      </c>
      <c r="E4271" t="s">
        <v>260</v>
      </c>
      <c r="F4271" t="s">
        <v>27</v>
      </c>
      <c r="G4271" t="s">
        <v>55</v>
      </c>
      <c r="H4271" t="s">
        <v>29</v>
      </c>
      <c r="I4271" t="s">
        <v>50</v>
      </c>
      <c r="J4271">
        <v>43</v>
      </c>
      <c r="K4271">
        <v>1186.9100000000001</v>
      </c>
      <c r="L4271">
        <v>51037.06</v>
      </c>
      <c r="M4271">
        <v>25900.26</v>
      </c>
      <c r="N4271">
        <v>5620.18</v>
      </c>
      <c r="O4271">
        <v>2875.64</v>
      </c>
      <c r="P4271">
        <v>2053.1</v>
      </c>
      <c r="Q4271">
        <v>905.31</v>
      </c>
      <c r="R4271">
        <v>2186.4899999999998</v>
      </c>
      <c r="S4271">
        <v>698.49</v>
      </c>
      <c r="T4271">
        <v>40239.46</v>
      </c>
      <c r="U4271">
        <v>25136.799999999999</v>
      </c>
      <c r="V4271">
        <v>10797.59</v>
      </c>
      <c r="W4271">
        <v>10278.59</v>
      </c>
      <c r="X4271">
        <v>54497.52</v>
      </c>
      <c r="Y4271">
        <v>39740.81</v>
      </c>
    </row>
    <row r="4272" spans="1:25" x14ac:dyDescent="0.25">
      <c r="A4272" t="s">
        <v>4328</v>
      </c>
      <c r="B4272" s="1">
        <v>46097</v>
      </c>
      <c r="C4272">
        <v>2026</v>
      </c>
      <c r="D4272">
        <v>3</v>
      </c>
      <c r="E4272" t="s">
        <v>260</v>
      </c>
      <c r="F4272" t="s">
        <v>27</v>
      </c>
      <c r="G4272" t="s">
        <v>44</v>
      </c>
      <c r="H4272" t="s">
        <v>32</v>
      </c>
      <c r="I4272" t="s">
        <v>65</v>
      </c>
      <c r="J4272">
        <v>39</v>
      </c>
      <c r="K4272">
        <v>1766.34</v>
      </c>
      <c r="L4272">
        <v>68887.37</v>
      </c>
      <c r="M4272">
        <v>33384.83</v>
      </c>
      <c r="N4272">
        <v>8597.8700000000008</v>
      </c>
      <c r="O4272">
        <v>4818.99</v>
      </c>
      <c r="P4272">
        <v>1523.3</v>
      </c>
      <c r="Q4272">
        <v>536.55999999999995</v>
      </c>
      <c r="R4272">
        <v>2666.54</v>
      </c>
      <c r="S4272">
        <v>915.82</v>
      </c>
      <c r="T4272">
        <v>52443.91</v>
      </c>
      <c r="U4272">
        <v>35502.53</v>
      </c>
      <c r="V4272">
        <v>16443.46</v>
      </c>
      <c r="W4272">
        <v>15056.76</v>
      </c>
      <c r="X4272">
        <v>69190.570000000007</v>
      </c>
      <c r="Y4272">
        <v>51895.83</v>
      </c>
    </row>
    <row r="4273" spans="1:25" x14ac:dyDescent="0.25">
      <c r="A4273" t="s">
        <v>4329</v>
      </c>
      <c r="B4273" s="1">
        <v>46097</v>
      </c>
      <c r="C4273">
        <v>2026</v>
      </c>
      <c r="D4273">
        <v>3</v>
      </c>
      <c r="E4273" t="s">
        <v>260</v>
      </c>
      <c r="F4273" t="s">
        <v>27</v>
      </c>
      <c r="G4273" t="s">
        <v>44</v>
      </c>
      <c r="H4273" t="s">
        <v>32</v>
      </c>
      <c r="I4273" t="s">
        <v>37</v>
      </c>
      <c r="J4273">
        <v>58</v>
      </c>
      <c r="K4273">
        <v>1455.01</v>
      </c>
      <c r="L4273">
        <v>84390.85</v>
      </c>
      <c r="M4273">
        <v>47762.81</v>
      </c>
      <c r="N4273">
        <v>9308.0499999999993</v>
      </c>
      <c r="O4273">
        <v>4677.97</v>
      </c>
      <c r="P4273">
        <v>3186.56</v>
      </c>
      <c r="Q4273">
        <v>1180.48</v>
      </c>
      <c r="R4273">
        <v>3794.21</v>
      </c>
      <c r="S4273">
        <v>1916.46</v>
      </c>
      <c r="T4273">
        <v>71826.52</v>
      </c>
      <c r="U4273">
        <v>36628.04</v>
      </c>
      <c r="V4273">
        <v>12564.33</v>
      </c>
      <c r="W4273">
        <v>11161.21</v>
      </c>
      <c r="X4273">
        <v>86512.3</v>
      </c>
      <c r="Y4273">
        <v>69224.7</v>
      </c>
    </row>
    <row r="4274" spans="1:25" x14ac:dyDescent="0.25">
      <c r="A4274" t="s">
        <v>4330</v>
      </c>
      <c r="B4274" s="1">
        <v>46098</v>
      </c>
      <c r="C4274">
        <v>2026</v>
      </c>
      <c r="D4274">
        <v>3</v>
      </c>
      <c r="E4274" t="s">
        <v>260</v>
      </c>
      <c r="F4274" t="s">
        <v>27</v>
      </c>
      <c r="G4274" t="s">
        <v>35</v>
      </c>
      <c r="H4274" t="s">
        <v>32</v>
      </c>
      <c r="I4274" t="s">
        <v>56</v>
      </c>
      <c r="J4274">
        <v>20</v>
      </c>
      <c r="K4274">
        <v>1734.98</v>
      </c>
      <c r="L4274">
        <v>34699.69</v>
      </c>
      <c r="M4274">
        <v>22890.2</v>
      </c>
      <c r="N4274">
        <v>4140.96</v>
      </c>
      <c r="O4274">
        <v>1949.99</v>
      </c>
      <c r="P4274">
        <v>1033.4100000000001</v>
      </c>
      <c r="Q4274">
        <v>579.38</v>
      </c>
      <c r="R4274">
        <v>1731.76</v>
      </c>
      <c r="S4274">
        <v>621.4</v>
      </c>
      <c r="T4274">
        <v>32947.089999999997</v>
      </c>
      <c r="U4274">
        <v>11809.5</v>
      </c>
      <c r="V4274">
        <v>1752.6</v>
      </c>
      <c r="W4274">
        <v>1594.51</v>
      </c>
      <c r="X4274">
        <v>32139.67</v>
      </c>
      <c r="Y4274">
        <v>31147.32</v>
      </c>
    </row>
    <row r="4275" spans="1:25" x14ac:dyDescent="0.25">
      <c r="A4275" t="s">
        <v>4331</v>
      </c>
      <c r="B4275" s="1">
        <v>46098</v>
      </c>
      <c r="C4275">
        <v>2026</v>
      </c>
      <c r="D4275">
        <v>3</v>
      </c>
      <c r="E4275" t="s">
        <v>260</v>
      </c>
      <c r="F4275" t="s">
        <v>27</v>
      </c>
      <c r="G4275" t="s">
        <v>28</v>
      </c>
      <c r="H4275" t="s">
        <v>58</v>
      </c>
      <c r="I4275" t="s">
        <v>30</v>
      </c>
      <c r="J4275">
        <v>93</v>
      </c>
      <c r="K4275">
        <v>830.6</v>
      </c>
      <c r="L4275">
        <v>77245.649999999994</v>
      </c>
      <c r="M4275">
        <v>46373.72</v>
      </c>
      <c r="N4275">
        <v>8557.1299999999992</v>
      </c>
      <c r="O4275">
        <v>2952.46</v>
      </c>
      <c r="P4275">
        <v>3223.54</v>
      </c>
      <c r="Q4275">
        <v>1388.35</v>
      </c>
      <c r="R4275">
        <v>3638.96</v>
      </c>
      <c r="S4275">
        <v>1924.47</v>
      </c>
      <c r="T4275">
        <v>68058.63</v>
      </c>
      <c r="U4275">
        <v>30871.93</v>
      </c>
      <c r="V4275">
        <v>9187.02</v>
      </c>
      <c r="W4275">
        <v>8202.83</v>
      </c>
      <c r="X4275">
        <v>80250.58</v>
      </c>
      <c r="Y4275">
        <v>68545.08</v>
      </c>
    </row>
    <row r="4276" spans="1:25" x14ac:dyDescent="0.25">
      <c r="A4276" t="s">
        <v>4332</v>
      </c>
      <c r="B4276" s="1">
        <v>46098</v>
      </c>
      <c r="C4276">
        <v>2026</v>
      </c>
      <c r="D4276">
        <v>3</v>
      </c>
      <c r="E4276" t="s">
        <v>260</v>
      </c>
      <c r="F4276" t="s">
        <v>27</v>
      </c>
      <c r="G4276" t="s">
        <v>35</v>
      </c>
      <c r="H4276" t="s">
        <v>53</v>
      </c>
      <c r="I4276" t="s">
        <v>30</v>
      </c>
      <c r="J4276">
        <v>71</v>
      </c>
      <c r="K4276">
        <v>1092.72</v>
      </c>
      <c r="L4276">
        <v>77582.84</v>
      </c>
      <c r="M4276">
        <v>47059.98</v>
      </c>
      <c r="N4276">
        <v>6011.82</v>
      </c>
      <c r="O4276">
        <v>5045.72</v>
      </c>
      <c r="P4276">
        <v>1657.66</v>
      </c>
      <c r="Q4276">
        <v>1341.19</v>
      </c>
      <c r="R4276">
        <v>4191.03</v>
      </c>
      <c r="S4276">
        <v>1481.81</v>
      </c>
      <c r="T4276">
        <v>66789.210000000006</v>
      </c>
      <c r="U4276">
        <v>30522.86</v>
      </c>
      <c r="V4276">
        <v>10793.63</v>
      </c>
      <c r="W4276">
        <v>10884.92</v>
      </c>
      <c r="X4276">
        <v>84199.21</v>
      </c>
      <c r="Y4276">
        <v>64933.71</v>
      </c>
    </row>
    <row r="4277" spans="1:25" x14ac:dyDescent="0.25">
      <c r="A4277" t="s">
        <v>4333</v>
      </c>
      <c r="B4277" s="1">
        <v>46098</v>
      </c>
      <c r="C4277">
        <v>2026</v>
      </c>
      <c r="D4277">
        <v>3</v>
      </c>
      <c r="E4277" t="s">
        <v>260</v>
      </c>
      <c r="F4277" t="s">
        <v>27</v>
      </c>
      <c r="G4277" t="s">
        <v>55</v>
      </c>
      <c r="H4277" t="s">
        <v>36</v>
      </c>
      <c r="I4277" t="s">
        <v>33</v>
      </c>
      <c r="J4277">
        <v>107</v>
      </c>
      <c r="K4277">
        <v>880.92</v>
      </c>
      <c r="L4277">
        <v>94258.04</v>
      </c>
      <c r="M4277">
        <v>53163.48</v>
      </c>
      <c r="N4277">
        <v>7005.33</v>
      </c>
      <c r="O4277">
        <v>5648.26</v>
      </c>
      <c r="P4277">
        <v>2291.58</v>
      </c>
      <c r="Q4277">
        <v>1083.49</v>
      </c>
      <c r="R4277">
        <v>5344.75</v>
      </c>
      <c r="S4277">
        <v>1190.3800000000001</v>
      </c>
      <c r="T4277">
        <v>75727.27</v>
      </c>
      <c r="U4277">
        <v>41094.559999999998</v>
      </c>
      <c r="V4277">
        <v>18530.77</v>
      </c>
      <c r="W4277">
        <v>17199.34</v>
      </c>
      <c r="X4277">
        <v>101287.32</v>
      </c>
      <c r="Y4277">
        <v>75119.72</v>
      </c>
    </row>
    <row r="4278" spans="1:25" x14ac:dyDescent="0.25">
      <c r="A4278" t="s">
        <v>4334</v>
      </c>
      <c r="B4278" s="1">
        <v>46099</v>
      </c>
      <c r="C4278">
        <v>2026</v>
      </c>
      <c r="D4278">
        <v>3</v>
      </c>
      <c r="E4278" t="s">
        <v>260</v>
      </c>
      <c r="F4278" t="s">
        <v>27</v>
      </c>
      <c r="G4278" t="s">
        <v>28</v>
      </c>
      <c r="H4278" t="s">
        <v>32</v>
      </c>
      <c r="I4278" t="s">
        <v>56</v>
      </c>
      <c r="J4278">
        <v>41</v>
      </c>
      <c r="K4278">
        <v>943.43</v>
      </c>
      <c r="L4278">
        <v>38680.639999999999</v>
      </c>
      <c r="M4278">
        <v>23451.11</v>
      </c>
      <c r="N4278">
        <v>2754.12</v>
      </c>
      <c r="O4278">
        <v>2767.74</v>
      </c>
      <c r="P4278">
        <v>1232.03</v>
      </c>
      <c r="Q4278">
        <v>393.01</v>
      </c>
      <c r="R4278">
        <v>1198.98</v>
      </c>
      <c r="S4278">
        <v>945.55</v>
      </c>
      <c r="T4278">
        <v>32742.53</v>
      </c>
      <c r="U4278">
        <v>15229.53</v>
      </c>
      <c r="V4278">
        <v>5938.11</v>
      </c>
      <c r="W4278">
        <v>5649.86</v>
      </c>
      <c r="X4278">
        <v>36503.89</v>
      </c>
      <c r="Y4278">
        <v>33334.879999999997</v>
      </c>
    </row>
    <row r="4279" spans="1:25" x14ac:dyDescent="0.25">
      <c r="A4279" t="s">
        <v>4335</v>
      </c>
      <c r="B4279" s="1">
        <v>46099</v>
      </c>
      <c r="C4279">
        <v>2026</v>
      </c>
      <c r="D4279">
        <v>3</v>
      </c>
      <c r="E4279" t="s">
        <v>260</v>
      </c>
      <c r="F4279" t="s">
        <v>27</v>
      </c>
      <c r="G4279" t="s">
        <v>44</v>
      </c>
      <c r="H4279" t="s">
        <v>32</v>
      </c>
      <c r="I4279" t="s">
        <v>56</v>
      </c>
      <c r="J4279">
        <v>27</v>
      </c>
      <c r="K4279">
        <v>1534.84</v>
      </c>
      <c r="L4279">
        <v>41440.76</v>
      </c>
      <c r="M4279">
        <v>27339.599999999999</v>
      </c>
      <c r="N4279">
        <v>4357.03</v>
      </c>
      <c r="O4279">
        <v>1876.66</v>
      </c>
      <c r="P4279">
        <v>810.2</v>
      </c>
      <c r="Q4279">
        <v>497.65</v>
      </c>
      <c r="R4279">
        <v>1801.27</v>
      </c>
      <c r="S4279">
        <v>927</v>
      </c>
      <c r="T4279">
        <v>37609.410000000003</v>
      </c>
      <c r="U4279">
        <v>14101.17</v>
      </c>
      <c r="V4279">
        <v>3831.35</v>
      </c>
      <c r="W4279">
        <v>3583.54</v>
      </c>
      <c r="X4279">
        <v>38139.730000000003</v>
      </c>
      <c r="Y4279">
        <v>36258.300000000003</v>
      </c>
    </row>
    <row r="4280" spans="1:25" x14ac:dyDescent="0.25">
      <c r="A4280" t="s">
        <v>4336</v>
      </c>
      <c r="B4280" s="1">
        <v>46099</v>
      </c>
      <c r="C4280">
        <v>2026</v>
      </c>
      <c r="D4280">
        <v>3</v>
      </c>
      <c r="E4280" t="s">
        <v>260</v>
      </c>
      <c r="F4280" t="s">
        <v>27</v>
      </c>
      <c r="G4280" t="s">
        <v>44</v>
      </c>
      <c r="H4280" t="s">
        <v>32</v>
      </c>
      <c r="I4280" t="s">
        <v>37</v>
      </c>
      <c r="J4280">
        <v>42</v>
      </c>
      <c r="K4280">
        <v>1492.84</v>
      </c>
      <c r="L4280">
        <v>62699.18</v>
      </c>
      <c r="M4280">
        <v>34770.629999999997</v>
      </c>
      <c r="N4280">
        <v>7109.75</v>
      </c>
      <c r="O4280">
        <v>1872.63</v>
      </c>
      <c r="P4280">
        <v>2013.78</v>
      </c>
      <c r="Q4280">
        <v>1098.5</v>
      </c>
      <c r="R4280">
        <v>1800.76</v>
      </c>
      <c r="S4280">
        <v>1247.5999999999999</v>
      </c>
      <c r="T4280">
        <v>49913.64</v>
      </c>
      <c r="U4280">
        <v>27928.55</v>
      </c>
      <c r="V4280">
        <v>12785.54</v>
      </c>
      <c r="W4280">
        <v>11399.91</v>
      </c>
      <c r="X4280">
        <v>69247.960000000006</v>
      </c>
      <c r="Y4280">
        <v>52776.86</v>
      </c>
    </row>
    <row r="4281" spans="1:25" x14ac:dyDescent="0.25">
      <c r="A4281" t="s">
        <v>4337</v>
      </c>
      <c r="B4281" s="1">
        <v>46100</v>
      </c>
      <c r="C4281">
        <v>2026</v>
      </c>
      <c r="D4281">
        <v>3</v>
      </c>
      <c r="E4281" t="s">
        <v>260</v>
      </c>
      <c r="F4281" t="s">
        <v>27</v>
      </c>
      <c r="G4281" t="s">
        <v>55</v>
      </c>
      <c r="H4281" t="s">
        <v>36</v>
      </c>
      <c r="I4281" t="s">
        <v>33</v>
      </c>
      <c r="J4281">
        <v>94</v>
      </c>
      <c r="K4281">
        <v>870.81</v>
      </c>
      <c r="L4281">
        <v>81855.91</v>
      </c>
      <c r="M4281">
        <v>44669.35</v>
      </c>
      <c r="N4281">
        <v>7315.8</v>
      </c>
      <c r="O4281">
        <v>2665.61</v>
      </c>
      <c r="P4281">
        <v>2072.64</v>
      </c>
      <c r="Q4281">
        <v>1266.6400000000001</v>
      </c>
      <c r="R4281">
        <v>4322</v>
      </c>
      <c r="S4281">
        <v>957.6</v>
      </c>
      <c r="T4281">
        <v>63269.64</v>
      </c>
      <c r="U4281">
        <v>37186.559999999998</v>
      </c>
      <c r="V4281">
        <v>18586.27</v>
      </c>
      <c r="W4281">
        <v>16980.669999999998</v>
      </c>
      <c r="X4281">
        <v>89287.82</v>
      </c>
      <c r="Y4281">
        <v>63002.96</v>
      </c>
    </row>
    <row r="4282" spans="1:25" x14ac:dyDescent="0.25">
      <c r="A4282" t="s">
        <v>4338</v>
      </c>
      <c r="B4282" s="1">
        <v>46101</v>
      </c>
      <c r="C4282">
        <v>2026</v>
      </c>
      <c r="D4282">
        <v>3</v>
      </c>
      <c r="E4282" t="s">
        <v>260</v>
      </c>
      <c r="F4282" t="s">
        <v>27</v>
      </c>
      <c r="G4282" t="s">
        <v>55</v>
      </c>
      <c r="H4282" t="s">
        <v>32</v>
      </c>
      <c r="I4282" t="s">
        <v>50</v>
      </c>
      <c r="J4282">
        <v>64</v>
      </c>
      <c r="K4282">
        <v>1294.99</v>
      </c>
      <c r="L4282">
        <v>82879.539999999994</v>
      </c>
      <c r="M4282">
        <v>43857.599999999999</v>
      </c>
      <c r="N4282">
        <v>8966.32</v>
      </c>
      <c r="O4282">
        <v>4661.16</v>
      </c>
      <c r="P4282">
        <v>1906.25</v>
      </c>
      <c r="Q4282">
        <v>1352.96</v>
      </c>
      <c r="R4282">
        <v>2444.6999999999998</v>
      </c>
      <c r="S4282">
        <v>1943.48</v>
      </c>
      <c r="T4282">
        <v>65132.47</v>
      </c>
      <c r="U4282">
        <v>39021.94</v>
      </c>
      <c r="V4282">
        <v>17747.07</v>
      </c>
      <c r="W4282">
        <v>17981.18</v>
      </c>
      <c r="X4282">
        <v>78407.429999999993</v>
      </c>
      <c r="Y4282">
        <v>69539.41</v>
      </c>
    </row>
    <row r="4283" spans="1:25" x14ac:dyDescent="0.25">
      <c r="A4283" t="s">
        <v>4339</v>
      </c>
      <c r="B4283" s="1">
        <v>46101</v>
      </c>
      <c r="C4283">
        <v>2026</v>
      </c>
      <c r="D4283">
        <v>3</v>
      </c>
      <c r="E4283" t="s">
        <v>260</v>
      </c>
      <c r="F4283" t="s">
        <v>27</v>
      </c>
      <c r="G4283" t="s">
        <v>55</v>
      </c>
      <c r="H4283" t="s">
        <v>36</v>
      </c>
      <c r="I4283" t="s">
        <v>30</v>
      </c>
      <c r="J4283">
        <v>88</v>
      </c>
      <c r="K4283">
        <v>1235.06</v>
      </c>
      <c r="L4283">
        <v>108685.46</v>
      </c>
      <c r="M4283">
        <v>70207.31</v>
      </c>
      <c r="N4283">
        <v>10469.209999999999</v>
      </c>
      <c r="O4283">
        <v>6515.66</v>
      </c>
      <c r="P4283">
        <v>4344.68</v>
      </c>
      <c r="Q4283">
        <v>831.28</v>
      </c>
      <c r="R4283">
        <v>3273.99</v>
      </c>
      <c r="S4283">
        <v>2012.08</v>
      </c>
      <c r="T4283">
        <v>97654.21</v>
      </c>
      <c r="U4283">
        <v>38478.160000000003</v>
      </c>
      <c r="V4283">
        <v>11031.26</v>
      </c>
      <c r="W4283">
        <v>11238.93</v>
      </c>
      <c r="X4283">
        <v>115727.43</v>
      </c>
      <c r="Y4283">
        <v>101608.54</v>
      </c>
    </row>
    <row r="4284" spans="1:25" x14ac:dyDescent="0.25">
      <c r="A4284" t="s">
        <v>4340</v>
      </c>
      <c r="B4284" s="1">
        <v>46102</v>
      </c>
      <c r="C4284">
        <v>2026</v>
      </c>
      <c r="D4284">
        <v>3</v>
      </c>
      <c r="E4284" t="s">
        <v>260</v>
      </c>
      <c r="F4284" t="s">
        <v>27</v>
      </c>
      <c r="G4284" t="s">
        <v>55</v>
      </c>
      <c r="H4284" t="s">
        <v>36</v>
      </c>
      <c r="I4284" t="s">
        <v>65</v>
      </c>
      <c r="J4284">
        <v>84</v>
      </c>
      <c r="K4284">
        <v>913.87</v>
      </c>
      <c r="L4284">
        <v>76765.009999999995</v>
      </c>
      <c r="M4284">
        <v>50081.35</v>
      </c>
      <c r="N4284">
        <v>9507.2800000000007</v>
      </c>
      <c r="O4284">
        <v>3551.59</v>
      </c>
      <c r="P4284">
        <v>1946.95</v>
      </c>
      <c r="Q4284">
        <v>558.33000000000004</v>
      </c>
      <c r="R4284">
        <v>2751.76</v>
      </c>
      <c r="S4284">
        <v>723.12</v>
      </c>
      <c r="T4284">
        <v>69120.38</v>
      </c>
      <c r="U4284">
        <v>26683.66</v>
      </c>
      <c r="V4284">
        <v>7644.62</v>
      </c>
      <c r="W4284">
        <v>6839.57</v>
      </c>
      <c r="X4284">
        <v>84829.31</v>
      </c>
      <c r="Y4284">
        <v>73049.5</v>
      </c>
    </row>
    <row r="4285" spans="1:25" x14ac:dyDescent="0.25">
      <c r="A4285" t="s">
        <v>4341</v>
      </c>
      <c r="B4285" s="1">
        <v>46103</v>
      </c>
      <c r="C4285">
        <v>2026</v>
      </c>
      <c r="D4285">
        <v>3</v>
      </c>
      <c r="E4285" t="s">
        <v>260</v>
      </c>
      <c r="F4285" t="s">
        <v>27</v>
      </c>
      <c r="G4285" t="s">
        <v>55</v>
      </c>
      <c r="H4285" t="s">
        <v>32</v>
      </c>
      <c r="I4285" t="s">
        <v>56</v>
      </c>
      <c r="J4285">
        <v>46</v>
      </c>
      <c r="K4285">
        <v>1208.8</v>
      </c>
      <c r="L4285">
        <v>55604.72</v>
      </c>
      <c r="M4285">
        <v>29529.919999999998</v>
      </c>
      <c r="N4285">
        <v>5564.62</v>
      </c>
      <c r="O4285">
        <v>3465.67</v>
      </c>
      <c r="P4285">
        <v>1425.68</v>
      </c>
      <c r="Q4285">
        <v>436.04</v>
      </c>
      <c r="R4285">
        <v>3605.33</v>
      </c>
      <c r="S4285">
        <v>925.27</v>
      </c>
      <c r="T4285">
        <v>44952.53</v>
      </c>
      <c r="U4285">
        <v>26074.79</v>
      </c>
      <c r="V4285">
        <v>10652.19</v>
      </c>
      <c r="W4285">
        <v>10167</v>
      </c>
      <c r="X4285">
        <v>58153.01</v>
      </c>
      <c r="Y4285">
        <v>49138.74</v>
      </c>
    </row>
    <row r="4286" spans="1:25" x14ac:dyDescent="0.25">
      <c r="A4286" t="s">
        <v>4342</v>
      </c>
      <c r="B4286" s="1">
        <v>46103</v>
      </c>
      <c r="C4286">
        <v>2026</v>
      </c>
      <c r="D4286">
        <v>3</v>
      </c>
      <c r="E4286" t="s">
        <v>260</v>
      </c>
      <c r="F4286" t="s">
        <v>27</v>
      </c>
      <c r="G4286" t="s">
        <v>35</v>
      </c>
      <c r="H4286" t="s">
        <v>32</v>
      </c>
      <c r="I4286" t="s">
        <v>56</v>
      </c>
      <c r="J4286">
        <v>36</v>
      </c>
      <c r="K4286">
        <v>1218.74</v>
      </c>
      <c r="L4286">
        <v>43874.47</v>
      </c>
      <c r="M4286">
        <v>26718.63</v>
      </c>
      <c r="N4286">
        <v>5074.8100000000004</v>
      </c>
      <c r="O4286">
        <v>2846.69</v>
      </c>
      <c r="P4286">
        <v>1281.04</v>
      </c>
      <c r="Q4286">
        <v>415.47</v>
      </c>
      <c r="R4286">
        <v>2481.48</v>
      </c>
      <c r="S4286">
        <v>715.39</v>
      </c>
      <c r="T4286">
        <v>39533.51</v>
      </c>
      <c r="U4286">
        <v>17155.84</v>
      </c>
      <c r="V4286">
        <v>4340.96</v>
      </c>
      <c r="W4286">
        <v>4105.67</v>
      </c>
      <c r="X4286">
        <v>42027.519999999997</v>
      </c>
      <c r="Y4286">
        <v>37100.75</v>
      </c>
    </row>
    <row r="4287" spans="1:25" x14ac:dyDescent="0.25">
      <c r="A4287" t="s">
        <v>4343</v>
      </c>
      <c r="B4287" s="1">
        <v>46103</v>
      </c>
      <c r="C4287">
        <v>2026</v>
      </c>
      <c r="D4287">
        <v>3</v>
      </c>
      <c r="E4287" t="s">
        <v>260</v>
      </c>
      <c r="F4287" t="s">
        <v>27</v>
      </c>
      <c r="G4287" t="s">
        <v>35</v>
      </c>
      <c r="H4287" t="s">
        <v>32</v>
      </c>
      <c r="I4287" t="s">
        <v>56</v>
      </c>
      <c r="J4287">
        <v>40</v>
      </c>
      <c r="K4287">
        <v>844.04</v>
      </c>
      <c r="L4287">
        <v>33761.760000000002</v>
      </c>
      <c r="M4287">
        <v>20451.34</v>
      </c>
      <c r="N4287">
        <v>2887.28</v>
      </c>
      <c r="O4287">
        <v>1617.81</v>
      </c>
      <c r="P4287">
        <v>1306.46</v>
      </c>
      <c r="Q4287">
        <v>198.46</v>
      </c>
      <c r="R4287">
        <v>1912.82</v>
      </c>
      <c r="S4287">
        <v>555.29</v>
      </c>
      <c r="T4287">
        <v>28929.46</v>
      </c>
      <c r="U4287">
        <v>13310.42</v>
      </c>
      <c r="V4287">
        <v>4832.29</v>
      </c>
      <c r="W4287">
        <v>4712.84</v>
      </c>
      <c r="X4287">
        <v>37042.519999999997</v>
      </c>
      <c r="Y4287">
        <v>28385.78</v>
      </c>
    </row>
    <row r="4288" spans="1:25" x14ac:dyDescent="0.25">
      <c r="A4288" t="s">
        <v>4344</v>
      </c>
      <c r="B4288" s="1">
        <v>46103</v>
      </c>
      <c r="C4288">
        <v>2026</v>
      </c>
      <c r="D4288">
        <v>3</v>
      </c>
      <c r="E4288" t="s">
        <v>260</v>
      </c>
      <c r="F4288" t="s">
        <v>27</v>
      </c>
      <c r="G4288" t="s">
        <v>35</v>
      </c>
      <c r="H4288" t="s">
        <v>58</v>
      </c>
      <c r="I4288" t="s">
        <v>50</v>
      </c>
      <c r="J4288">
        <v>43</v>
      </c>
      <c r="K4288">
        <v>888.38</v>
      </c>
      <c r="L4288">
        <v>38200.550000000003</v>
      </c>
      <c r="M4288">
        <v>19396.580000000002</v>
      </c>
      <c r="N4288">
        <v>3615.45</v>
      </c>
      <c r="O4288">
        <v>1328.21</v>
      </c>
      <c r="P4288">
        <v>1448.1</v>
      </c>
      <c r="Q4288">
        <v>332.02</v>
      </c>
      <c r="R4288">
        <v>1929.93</v>
      </c>
      <c r="S4288">
        <v>412.81</v>
      </c>
      <c r="T4288">
        <v>28463.11</v>
      </c>
      <c r="U4288">
        <v>18803.97</v>
      </c>
      <c r="V4288">
        <v>9737.4500000000007</v>
      </c>
      <c r="W4288">
        <v>8923.14</v>
      </c>
      <c r="X4288">
        <v>39962.050000000003</v>
      </c>
      <c r="Y4288">
        <v>29906.57</v>
      </c>
    </row>
    <row r="4289" spans="1:25" x14ac:dyDescent="0.25">
      <c r="A4289" t="s">
        <v>4345</v>
      </c>
      <c r="B4289" s="1">
        <v>46104</v>
      </c>
      <c r="C4289">
        <v>2026</v>
      </c>
      <c r="D4289">
        <v>3</v>
      </c>
      <c r="E4289" t="s">
        <v>260</v>
      </c>
      <c r="F4289" t="s">
        <v>27</v>
      </c>
      <c r="G4289" t="s">
        <v>35</v>
      </c>
      <c r="H4289" t="s">
        <v>29</v>
      </c>
      <c r="I4289" t="s">
        <v>39</v>
      </c>
      <c r="J4289">
        <v>17</v>
      </c>
      <c r="K4289">
        <v>1824.28</v>
      </c>
      <c r="L4289">
        <v>31012.75</v>
      </c>
      <c r="M4289">
        <v>20799.09</v>
      </c>
      <c r="N4289">
        <v>2194.0700000000002</v>
      </c>
      <c r="O4289">
        <v>1038.1600000000001</v>
      </c>
      <c r="P4289">
        <v>847.29</v>
      </c>
      <c r="Q4289">
        <v>172.38</v>
      </c>
      <c r="R4289">
        <v>1131.77</v>
      </c>
      <c r="S4289">
        <v>395.14</v>
      </c>
      <c r="T4289">
        <v>26577.91</v>
      </c>
      <c r="U4289">
        <v>10213.66</v>
      </c>
      <c r="V4289">
        <v>4434.84</v>
      </c>
      <c r="W4289">
        <v>3924.86</v>
      </c>
      <c r="X4289">
        <v>29167.15</v>
      </c>
      <c r="Y4289">
        <v>26503.16</v>
      </c>
    </row>
    <row r="4290" spans="1:25" x14ac:dyDescent="0.25">
      <c r="A4290" t="s">
        <v>4346</v>
      </c>
      <c r="B4290" s="1">
        <v>46104</v>
      </c>
      <c r="C4290">
        <v>2026</v>
      </c>
      <c r="D4290">
        <v>3</v>
      </c>
      <c r="E4290" t="s">
        <v>260</v>
      </c>
      <c r="F4290" t="s">
        <v>27</v>
      </c>
      <c r="G4290" t="s">
        <v>28</v>
      </c>
      <c r="H4290" t="s">
        <v>36</v>
      </c>
      <c r="I4290" t="s">
        <v>65</v>
      </c>
      <c r="J4290">
        <v>45</v>
      </c>
      <c r="K4290">
        <v>1213.8399999999999</v>
      </c>
      <c r="L4290">
        <v>54622.65</v>
      </c>
      <c r="M4290">
        <v>26605.37</v>
      </c>
      <c r="N4290">
        <v>6654.29</v>
      </c>
      <c r="O4290">
        <v>3246.78</v>
      </c>
      <c r="P4290">
        <v>1400.32</v>
      </c>
      <c r="Q4290">
        <v>759.66</v>
      </c>
      <c r="R4290">
        <v>2836.58</v>
      </c>
      <c r="S4290">
        <v>1028.06</v>
      </c>
      <c r="T4290">
        <v>42531.08</v>
      </c>
      <c r="U4290">
        <v>28017.279999999999</v>
      </c>
      <c r="V4290">
        <v>12091.58</v>
      </c>
      <c r="W4290">
        <v>10717.78</v>
      </c>
      <c r="X4290">
        <v>58114.22</v>
      </c>
      <c r="Y4290">
        <v>40993.96</v>
      </c>
    </row>
    <row r="4291" spans="1:25" x14ac:dyDescent="0.25">
      <c r="A4291" t="s">
        <v>4347</v>
      </c>
      <c r="B4291" s="1">
        <v>46104</v>
      </c>
      <c r="C4291">
        <v>2026</v>
      </c>
      <c r="D4291">
        <v>3</v>
      </c>
      <c r="E4291" t="s">
        <v>260</v>
      </c>
      <c r="F4291" t="s">
        <v>27</v>
      </c>
      <c r="G4291" t="s">
        <v>35</v>
      </c>
      <c r="H4291" t="s">
        <v>53</v>
      </c>
      <c r="I4291" t="s">
        <v>37</v>
      </c>
      <c r="J4291">
        <v>67</v>
      </c>
      <c r="K4291">
        <v>883.81</v>
      </c>
      <c r="L4291">
        <v>59215.54</v>
      </c>
      <c r="M4291">
        <v>34892.31</v>
      </c>
      <c r="N4291">
        <v>4472.74</v>
      </c>
      <c r="O4291">
        <v>3333.43</v>
      </c>
      <c r="P4291">
        <v>1347.97</v>
      </c>
      <c r="Q4291">
        <v>308.37</v>
      </c>
      <c r="R4291">
        <v>2825.28</v>
      </c>
      <c r="S4291">
        <v>947.9</v>
      </c>
      <c r="T4291">
        <v>48127.99</v>
      </c>
      <c r="U4291">
        <v>24323.23</v>
      </c>
      <c r="V4291">
        <v>11087.55</v>
      </c>
      <c r="W4291">
        <v>11208.71</v>
      </c>
      <c r="X4291">
        <v>63848.7</v>
      </c>
      <c r="Y4291">
        <v>45766.18</v>
      </c>
    </row>
    <row r="4292" spans="1:25" x14ac:dyDescent="0.25">
      <c r="A4292" t="s">
        <v>4348</v>
      </c>
      <c r="B4292" s="1">
        <v>46104</v>
      </c>
      <c r="C4292">
        <v>2026</v>
      </c>
      <c r="D4292">
        <v>3</v>
      </c>
      <c r="E4292" t="s">
        <v>260</v>
      </c>
      <c r="F4292" t="s">
        <v>27</v>
      </c>
      <c r="G4292" t="s">
        <v>55</v>
      </c>
      <c r="H4292" t="s">
        <v>29</v>
      </c>
      <c r="I4292" t="s">
        <v>56</v>
      </c>
      <c r="J4292">
        <v>38</v>
      </c>
      <c r="K4292">
        <v>1283.56</v>
      </c>
      <c r="L4292">
        <v>48775.38</v>
      </c>
      <c r="M4292">
        <v>23481.52</v>
      </c>
      <c r="N4292">
        <v>6299.58</v>
      </c>
      <c r="O4292">
        <v>3229.69</v>
      </c>
      <c r="P4292">
        <v>1406.24</v>
      </c>
      <c r="Q4292">
        <v>314.52999999999997</v>
      </c>
      <c r="R4292">
        <v>1577.65</v>
      </c>
      <c r="S4292">
        <v>474.86</v>
      </c>
      <c r="T4292">
        <v>36784.080000000002</v>
      </c>
      <c r="U4292">
        <v>25293.86</v>
      </c>
      <c r="V4292">
        <v>11991.31</v>
      </c>
      <c r="W4292">
        <v>11287.22</v>
      </c>
      <c r="X4292">
        <v>49740.66</v>
      </c>
      <c r="Y4292">
        <v>38482.85</v>
      </c>
    </row>
    <row r="4293" spans="1:25" x14ac:dyDescent="0.25">
      <c r="A4293" t="s">
        <v>4349</v>
      </c>
      <c r="B4293" s="1">
        <v>46104</v>
      </c>
      <c r="C4293">
        <v>2026</v>
      </c>
      <c r="D4293">
        <v>3</v>
      </c>
      <c r="E4293" t="s">
        <v>260</v>
      </c>
      <c r="F4293" t="s">
        <v>27</v>
      </c>
      <c r="G4293" t="s">
        <v>35</v>
      </c>
      <c r="H4293" t="s">
        <v>36</v>
      </c>
      <c r="I4293" t="s">
        <v>37</v>
      </c>
      <c r="J4293">
        <v>57</v>
      </c>
      <c r="K4293">
        <v>824.32</v>
      </c>
      <c r="L4293">
        <v>46986.1</v>
      </c>
      <c r="M4293">
        <v>30690.91</v>
      </c>
      <c r="N4293">
        <v>4021.27</v>
      </c>
      <c r="O4293">
        <v>2025.57</v>
      </c>
      <c r="P4293">
        <v>1925.8</v>
      </c>
      <c r="Q4293">
        <v>446.69</v>
      </c>
      <c r="R4293">
        <v>1803.66</v>
      </c>
      <c r="S4293">
        <v>638.51</v>
      </c>
      <c r="T4293">
        <v>41552.400000000001</v>
      </c>
      <c r="U4293">
        <v>16295.19</v>
      </c>
      <c r="V4293">
        <v>5433.7</v>
      </c>
      <c r="W4293">
        <v>4892.6899999999996</v>
      </c>
      <c r="X4293">
        <v>48245.38</v>
      </c>
      <c r="Y4293">
        <v>43936.44</v>
      </c>
    </row>
    <row r="4294" spans="1:25" x14ac:dyDescent="0.25">
      <c r="A4294" t="s">
        <v>4350</v>
      </c>
      <c r="B4294" s="1">
        <v>46104</v>
      </c>
      <c r="C4294">
        <v>2026</v>
      </c>
      <c r="D4294">
        <v>3</v>
      </c>
      <c r="E4294" t="s">
        <v>260</v>
      </c>
      <c r="F4294" t="s">
        <v>27</v>
      </c>
      <c r="G4294" t="s">
        <v>35</v>
      </c>
      <c r="H4294" t="s">
        <v>32</v>
      </c>
      <c r="I4294" t="s">
        <v>39</v>
      </c>
      <c r="J4294">
        <v>37</v>
      </c>
      <c r="K4294">
        <v>977.46</v>
      </c>
      <c r="L4294">
        <v>36165.879999999997</v>
      </c>
      <c r="M4294">
        <v>21845.18</v>
      </c>
      <c r="N4294">
        <v>4520.05</v>
      </c>
      <c r="O4294">
        <v>2283.1</v>
      </c>
      <c r="P4294">
        <v>910.73</v>
      </c>
      <c r="Q4294">
        <v>454.79</v>
      </c>
      <c r="R4294">
        <v>1857.8</v>
      </c>
      <c r="S4294">
        <v>861.81</v>
      </c>
      <c r="T4294">
        <v>32733.46</v>
      </c>
      <c r="U4294">
        <v>14320.69</v>
      </c>
      <c r="V4294">
        <v>3432.41</v>
      </c>
      <c r="W4294">
        <v>3486.43</v>
      </c>
      <c r="X4294">
        <v>35226.21</v>
      </c>
      <c r="Y4294">
        <v>31973.02</v>
      </c>
    </row>
    <row r="4295" spans="1:25" x14ac:dyDescent="0.25">
      <c r="A4295" t="s">
        <v>4351</v>
      </c>
      <c r="B4295" s="1">
        <v>46105</v>
      </c>
      <c r="C4295">
        <v>2026</v>
      </c>
      <c r="D4295">
        <v>3</v>
      </c>
      <c r="E4295" t="s">
        <v>260</v>
      </c>
      <c r="F4295" t="s">
        <v>27</v>
      </c>
      <c r="G4295" t="s">
        <v>55</v>
      </c>
      <c r="H4295" t="s">
        <v>36</v>
      </c>
      <c r="I4295" t="s">
        <v>45</v>
      </c>
      <c r="J4295">
        <v>35</v>
      </c>
      <c r="K4295">
        <v>1183.03</v>
      </c>
      <c r="L4295">
        <v>41405.919999999998</v>
      </c>
      <c r="M4295">
        <v>26886.02</v>
      </c>
      <c r="N4295">
        <v>5205.5200000000004</v>
      </c>
      <c r="O4295">
        <v>1459.94</v>
      </c>
      <c r="P4295">
        <v>1442.95</v>
      </c>
      <c r="Q4295">
        <v>406.84</v>
      </c>
      <c r="R4295">
        <v>1295.74</v>
      </c>
      <c r="S4295">
        <v>1012.25</v>
      </c>
      <c r="T4295">
        <v>37709.26</v>
      </c>
      <c r="U4295">
        <v>14519.9</v>
      </c>
      <c r="V4295">
        <v>3696.66</v>
      </c>
      <c r="W4295">
        <v>3649.74</v>
      </c>
      <c r="X4295">
        <v>40012.35</v>
      </c>
      <c r="Y4295">
        <v>40347.42</v>
      </c>
    </row>
    <row r="4296" spans="1:25" x14ac:dyDescent="0.25">
      <c r="A4296" t="s">
        <v>4352</v>
      </c>
      <c r="B4296" s="1">
        <v>46105</v>
      </c>
      <c r="C4296">
        <v>2026</v>
      </c>
      <c r="D4296">
        <v>3</v>
      </c>
      <c r="E4296" t="s">
        <v>260</v>
      </c>
      <c r="F4296" t="s">
        <v>27</v>
      </c>
      <c r="G4296" t="s">
        <v>44</v>
      </c>
      <c r="H4296" t="s">
        <v>58</v>
      </c>
      <c r="I4296" t="s">
        <v>56</v>
      </c>
      <c r="J4296">
        <v>21</v>
      </c>
      <c r="K4296">
        <v>1416.2</v>
      </c>
      <c r="L4296">
        <v>29740.240000000002</v>
      </c>
      <c r="M4296">
        <v>16660.509999999998</v>
      </c>
      <c r="N4296">
        <v>3808.36</v>
      </c>
      <c r="O4296">
        <v>1389.34</v>
      </c>
      <c r="P4296">
        <v>702.01</v>
      </c>
      <c r="Q4296">
        <v>350.14</v>
      </c>
      <c r="R4296">
        <v>1516.57</v>
      </c>
      <c r="S4296">
        <v>443.88</v>
      </c>
      <c r="T4296">
        <v>24870.81</v>
      </c>
      <c r="U4296">
        <v>13079.73</v>
      </c>
      <c r="V4296">
        <v>4869.43</v>
      </c>
      <c r="W4296">
        <v>4672.9799999999996</v>
      </c>
      <c r="X4296">
        <v>28553.4</v>
      </c>
      <c r="Y4296">
        <v>27183.71</v>
      </c>
    </row>
    <row r="4297" spans="1:25" x14ac:dyDescent="0.25">
      <c r="A4297" t="s">
        <v>4353</v>
      </c>
      <c r="B4297" s="1">
        <v>46105</v>
      </c>
      <c r="C4297">
        <v>2026</v>
      </c>
      <c r="D4297">
        <v>3</v>
      </c>
      <c r="E4297" t="s">
        <v>260</v>
      </c>
      <c r="F4297" t="s">
        <v>27</v>
      </c>
      <c r="G4297" t="s">
        <v>28</v>
      </c>
      <c r="H4297" t="s">
        <v>53</v>
      </c>
      <c r="I4297" t="s">
        <v>56</v>
      </c>
      <c r="J4297">
        <v>20</v>
      </c>
      <c r="K4297">
        <v>1270.8599999999999</v>
      </c>
      <c r="L4297">
        <v>25417.200000000001</v>
      </c>
      <c r="M4297">
        <v>16361.77</v>
      </c>
      <c r="N4297">
        <v>2112.5</v>
      </c>
      <c r="O4297">
        <v>1216.08</v>
      </c>
      <c r="P4297">
        <v>1068.94</v>
      </c>
      <c r="Q4297">
        <v>228.2</v>
      </c>
      <c r="R4297">
        <v>1002.01</v>
      </c>
      <c r="S4297">
        <v>423.95</v>
      </c>
      <c r="T4297">
        <v>22413.45</v>
      </c>
      <c r="U4297">
        <v>9055.42</v>
      </c>
      <c r="V4297">
        <v>3003.75</v>
      </c>
      <c r="W4297">
        <v>2707.04</v>
      </c>
      <c r="X4297">
        <v>23463.26</v>
      </c>
      <c r="Y4297">
        <v>21859.55</v>
      </c>
    </row>
    <row r="4298" spans="1:25" x14ac:dyDescent="0.25">
      <c r="A4298" t="s">
        <v>4354</v>
      </c>
      <c r="B4298" s="1">
        <v>46106</v>
      </c>
      <c r="C4298">
        <v>2026</v>
      </c>
      <c r="D4298">
        <v>3</v>
      </c>
      <c r="E4298" t="s">
        <v>260</v>
      </c>
      <c r="F4298" t="s">
        <v>27</v>
      </c>
      <c r="G4298" t="s">
        <v>55</v>
      </c>
      <c r="H4298" t="s">
        <v>36</v>
      </c>
      <c r="I4298" t="s">
        <v>30</v>
      </c>
      <c r="J4298">
        <v>89</v>
      </c>
      <c r="K4298">
        <v>1076.33</v>
      </c>
      <c r="L4298">
        <v>95793.7</v>
      </c>
      <c r="M4298">
        <v>49913.39</v>
      </c>
      <c r="N4298">
        <v>9541.19</v>
      </c>
      <c r="O4298">
        <v>3924.75</v>
      </c>
      <c r="P4298">
        <v>1471.5</v>
      </c>
      <c r="Q4298">
        <v>791.64</v>
      </c>
      <c r="R4298">
        <v>5825.93</v>
      </c>
      <c r="S4298">
        <v>2350.0700000000002</v>
      </c>
      <c r="T4298">
        <v>73818.47</v>
      </c>
      <c r="U4298">
        <v>45880.31</v>
      </c>
      <c r="V4298">
        <v>21975.24</v>
      </c>
      <c r="W4298">
        <v>20111.669999999998</v>
      </c>
      <c r="X4298">
        <v>103493.84</v>
      </c>
      <c r="Y4298">
        <v>77963.69</v>
      </c>
    </row>
    <row r="4299" spans="1:25" x14ac:dyDescent="0.25">
      <c r="A4299" t="s">
        <v>4355</v>
      </c>
      <c r="B4299" s="1">
        <v>46106</v>
      </c>
      <c r="C4299">
        <v>2026</v>
      </c>
      <c r="D4299">
        <v>3</v>
      </c>
      <c r="E4299" t="s">
        <v>260</v>
      </c>
      <c r="F4299" t="s">
        <v>27</v>
      </c>
      <c r="G4299" t="s">
        <v>44</v>
      </c>
      <c r="H4299" t="s">
        <v>53</v>
      </c>
      <c r="I4299" t="s">
        <v>45</v>
      </c>
      <c r="J4299">
        <v>19</v>
      </c>
      <c r="K4299">
        <v>1492.93</v>
      </c>
      <c r="L4299">
        <v>28365.65</v>
      </c>
      <c r="M4299">
        <v>17454.95</v>
      </c>
      <c r="N4299">
        <v>2518.0100000000002</v>
      </c>
      <c r="O4299">
        <v>1310.1199999999999</v>
      </c>
      <c r="P4299">
        <v>1138.22</v>
      </c>
      <c r="Q4299">
        <v>449.63</v>
      </c>
      <c r="R4299">
        <v>748.43</v>
      </c>
      <c r="S4299">
        <v>544.64</v>
      </c>
      <c r="T4299">
        <v>24164</v>
      </c>
      <c r="U4299">
        <v>10910.7</v>
      </c>
      <c r="V4299">
        <v>4201.6499999999996</v>
      </c>
      <c r="W4299">
        <v>3870.44</v>
      </c>
      <c r="X4299">
        <v>30028.71</v>
      </c>
      <c r="Y4299">
        <v>25698.01</v>
      </c>
    </row>
    <row r="4300" spans="1:25" x14ac:dyDescent="0.25">
      <c r="A4300" t="s">
        <v>4356</v>
      </c>
      <c r="B4300" s="1">
        <v>46106</v>
      </c>
      <c r="C4300">
        <v>2026</v>
      </c>
      <c r="D4300">
        <v>3</v>
      </c>
      <c r="E4300" t="s">
        <v>260</v>
      </c>
      <c r="F4300" t="s">
        <v>27</v>
      </c>
      <c r="G4300" t="s">
        <v>35</v>
      </c>
      <c r="H4300" t="s">
        <v>32</v>
      </c>
      <c r="I4300" t="s">
        <v>33</v>
      </c>
      <c r="J4300">
        <v>41</v>
      </c>
      <c r="K4300">
        <v>1666.39</v>
      </c>
      <c r="L4300">
        <v>68321.95</v>
      </c>
      <c r="M4300">
        <v>39159.49</v>
      </c>
      <c r="N4300">
        <v>6313.68</v>
      </c>
      <c r="O4300">
        <v>4980.8100000000004</v>
      </c>
      <c r="P4300">
        <v>1352.8</v>
      </c>
      <c r="Q4300">
        <v>467.63</v>
      </c>
      <c r="R4300">
        <v>3907.57</v>
      </c>
      <c r="S4300">
        <v>810.38</v>
      </c>
      <c r="T4300">
        <v>56992.35</v>
      </c>
      <c r="U4300">
        <v>29162.46</v>
      </c>
      <c r="V4300">
        <v>11329.6</v>
      </c>
      <c r="W4300">
        <v>10741.38</v>
      </c>
      <c r="X4300">
        <v>63668.12</v>
      </c>
      <c r="Y4300">
        <v>55057.23</v>
      </c>
    </row>
    <row r="4301" spans="1:25" x14ac:dyDescent="0.25">
      <c r="A4301" t="s">
        <v>4357</v>
      </c>
      <c r="B4301" s="1">
        <v>46106</v>
      </c>
      <c r="C4301">
        <v>2026</v>
      </c>
      <c r="D4301">
        <v>3</v>
      </c>
      <c r="E4301" t="s">
        <v>260</v>
      </c>
      <c r="F4301" t="s">
        <v>27</v>
      </c>
      <c r="G4301" t="s">
        <v>55</v>
      </c>
      <c r="H4301" t="s">
        <v>29</v>
      </c>
      <c r="I4301" t="s">
        <v>65</v>
      </c>
      <c r="J4301">
        <v>45</v>
      </c>
      <c r="K4301">
        <v>1609.38</v>
      </c>
      <c r="L4301">
        <v>72422.06</v>
      </c>
      <c r="M4301">
        <v>45502.19</v>
      </c>
      <c r="N4301">
        <v>6551.75</v>
      </c>
      <c r="O4301">
        <v>2038.79</v>
      </c>
      <c r="P4301">
        <v>1529.93</v>
      </c>
      <c r="Q4301">
        <v>714.44</v>
      </c>
      <c r="R4301">
        <v>2450.73</v>
      </c>
      <c r="S4301">
        <v>797.32</v>
      </c>
      <c r="T4301">
        <v>59585.13</v>
      </c>
      <c r="U4301">
        <v>26919.87</v>
      </c>
      <c r="V4301">
        <v>12836.93</v>
      </c>
      <c r="W4301">
        <v>12243.94</v>
      </c>
      <c r="X4301">
        <v>78532.05</v>
      </c>
      <c r="Y4301">
        <v>57326.75</v>
      </c>
    </row>
    <row r="4302" spans="1:25" x14ac:dyDescent="0.25">
      <c r="A4302" t="s">
        <v>4358</v>
      </c>
      <c r="B4302" s="1">
        <v>46106</v>
      </c>
      <c r="C4302">
        <v>2026</v>
      </c>
      <c r="D4302">
        <v>3</v>
      </c>
      <c r="E4302" t="s">
        <v>260</v>
      </c>
      <c r="F4302" t="s">
        <v>27</v>
      </c>
      <c r="G4302" t="s">
        <v>44</v>
      </c>
      <c r="H4302" t="s">
        <v>29</v>
      </c>
      <c r="I4302" t="s">
        <v>30</v>
      </c>
      <c r="J4302">
        <v>125</v>
      </c>
      <c r="K4302">
        <v>823.98</v>
      </c>
      <c r="L4302">
        <v>102997.61</v>
      </c>
      <c r="M4302">
        <v>55954.85</v>
      </c>
      <c r="N4302">
        <v>11388.09</v>
      </c>
      <c r="O4302">
        <v>7090.17</v>
      </c>
      <c r="P4302">
        <v>2848.03</v>
      </c>
      <c r="Q4302">
        <v>1052.3399999999999</v>
      </c>
      <c r="R4302">
        <v>4623.34</v>
      </c>
      <c r="S4302">
        <v>1758.58</v>
      </c>
      <c r="T4302">
        <v>84715.4</v>
      </c>
      <c r="U4302">
        <v>47042.76</v>
      </c>
      <c r="V4302">
        <v>18282.21</v>
      </c>
      <c r="W4302">
        <v>17117.36</v>
      </c>
      <c r="X4302">
        <v>111684.69</v>
      </c>
      <c r="Y4302">
        <v>88313.12</v>
      </c>
    </row>
    <row r="4303" spans="1:25" x14ac:dyDescent="0.25">
      <c r="A4303" t="s">
        <v>4359</v>
      </c>
      <c r="B4303" s="1">
        <v>46106</v>
      </c>
      <c r="C4303">
        <v>2026</v>
      </c>
      <c r="D4303">
        <v>3</v>
      </c>
      <c r="E4303" t="s">
        <v>260</v>
      </c>
      <c r="F4303" t="s">
        <v>27</v>
      </c>
      <c r="G4303" t="s">
        <v>35</v>
      </c>
      <c r="H4303" t="s">
        <v>32</v>
      </c>
      <c r="I4303" t="s">
        <v>50</v>
      </c>
      <c r="J4303">
        <v>30</v>
      </c>
      <c r="K4303">
        <v>1422.05</v>
      </c>
      <c r="L4303">
        <v>42661.45</v>
      </c>
      <c r="M4303">
        <v>25695.919999999998</v>
      </c>
      <c r="N4303">
        <v>3404.55</v>
      </c>
      <c r="O4303">
        <v>2179.81</v>
      </c>
      <c r="P4303">
        <v>907.91</v>
      </c>
      <c r="Q4303">
        <v>411.55</v>
      </c>
      <c r="R4303">
        <v>2131.3200000000002</v>
      </c>
      <c r="S4303">
        <v>899.72</v>
      </c>
      <c r="T4303">
        <v>35630.78</v>
      </c>
      <c r="U4303">
        <v>16965.53</v>
      </c>
      <c r="V4303">
        <v>7030.67</v>
      </c>
      <c r="W4303">
        <v>6311.22</v>
      </c>
      <c r="X4303">
        <v>39846.99</v>
      </c>
      <c r="Y4303">
        <v>38533.15</v>
      </c>
    </row>
    <row r="4304" spans="1:25" x14ac:dyDescent="0.25">
      <c r="A4304" t="s">
        <v>4360</v>
      </c>
      <c r="B4304" s="1">
        <v>46107</v>
      </c>
      <c r="C4304">
        <v>2026</v>
      </c>
      <c r="D4304">
        <v>3</v>
      </c>
      <c r="E4304" t="s">
        <v>260</v>
      </c>
      <c r="F4304" t="s">
        <v>27</v>
      </c>
      <c r="G4304" t="s">
        <v>35</v>
      </c>
      <c r="H4304" t="s">
        <v>29</v>
      </c>
      <c r="I4304" t="s">
        <v>65</v>
      </c>
      <c r="J4304">
        <v>39</v>
      </c>
      <c r="K4304">
        <v>1436.21</v>
      </c>
      <c r="L4304">
        <v>56012</v>
      </c>
      <c r="M4304">
        <v>28907.14</v>
      </c>
      <c r="N4304">
        <v>4984.91</v>
      </c>
      <c r="O4304">
        <v>1999.08</v>
      </c>
      <c r="P4304">
        <v>1984.16</v>
      </c>
      <c r="Q4304">
        <v>782.84</v>
      </c>
      <c r="R4304">
        <v>2822.46</v>
      </c>
      <c r="S4304">
        <v>602.51</v>
      </c>
      <c r="T4304">
        <v>42083.1</v>
      </c>
      <c r="U4304">
        <v>27104.86</v>
      </c>
      <c r="V4304">
        <v>13928.89</v>
      </c>
      <c r="W4304">
        <v>14116.13</v>
      </c>
      <c r="X4304">
        <v>55326.25</v>
      </c>
      <c r="Y4304">
        <v>43666.8</v>
      </c>
    </row>
    <row r="4305" spans="1:25" x14ac:dyDescent="0.25">
      <c r="A4305" t="s">
        <v>4361</v>
      </c>
      <c r="B4305" s="1">
        <v>46107</v>
      </c>
      <c r="C4305">
        <v>2026</v>
      </c>
      <c r="D4305">
        <v>3</v>
      </c>
      <c r="E4305" t="s">
        <v>260</v>
      </c>
      <c r="F4305" t="s">
        <v>27</v>
      </c>
      <c r="G4305" t="s">
        <v>28</v>
      </c>
      <c r="H4305" t="s">
        <v>32</v>
      </c>
      <c r="I4305" t="s">
        <v>50</v>
      </c>
      <c r="J4305">
        <v>55</v>
      </c>
      <c r="K4305">
        <v>1186.57</v>
      </c>
      <c r="L4305">
        <v>65261.59</v>
      </c>
      <c r="M4305">
        <v>32366.74</v>
      </c>
      <c r="N4305">
        <v>8460.59</v>
      </c>
      <c r="O4305">
        <v>1909.57</v>
      </c>
      <c r="P4305">
        <v>2257.9699999999998</v>
      </c>
      <c r="Q4305">
        <v>1049.98</v>
      </c>
      <c r="R4305">
        <v>2593.8200000000002</v>
      </c>
      <c r="S4305">
        <v>649.1</v>
      </c>
      <c r="T4305">
        <v>49287.77</v>
      </c>
      <c r="U4305">
        <v>32894.839999999997</v>
      </c>
      <c r="V4305">
        <v>15973.82</v>
      </c>
      <c r="W4305">
        <v>14259.67</v>
      </c>
      <c r="X4305">
        <v>71677.179999999993</v>
      </c>
      <c r="Y4305">
        <v>51865.97</v>
      </c>
    </row>
    <row r="4306" spans="1:25" x14ac:dyDescent="0.25">
      <c r="A4306" t="s">
        <v>4362</v>
      </c>
      <c r="B4306" s="1">
        <v>46107</v>
      </c>
      <c r="C4306">
        <v>2026</v>
      </c>
      <c r="D4306">
        <v>3</v>
      </c>
      <c r="E4306" t="s">
        <v>260</v>
      </c>
      <c r="F4306" t="s">
        <v>27</v>
      </c>
      <c r="G4306" t="s">
        <v>55</v>
      </c>
      <c r="H4306" t="s">
        <v>32</v>
      </c>
      <c r="I4306" t="s">
        <v>45</v>
      </c>
      <c r="J4306">
        <v>32</v>
      </c>
      <c r="K4306">
        <v>1484.45</v>
      </c>
      <c r="L4306">
        <v>47502.28</v>
      </c>
      <c r="M4306">
        <v>30262.47</v>
      </c>
      <c r="N4306">
        <v>3642.86</v>
      </c>
      <c r="O4306">
        <v>3306</v>
      </c>
      <c r="P4306">
        <v>1432.53</v>
      </c>
      <c r="Q4306">
        <v>344.23</v>
      </c>
      <c r="R4306">
        <v>2907.56</v>
      </c>
      <c r="S4306">
        <v>553.22</v>
      </c>
      <c r="T4306">
        <v>42448.87</v>
      </c>
      <c r="U4306">
        <v>17239.810000000001</v>
      </c>
      <c r="V4306">
        <v>5053.3999999999996</v>
      </c>
      <c r="W4306">
        <v>4499.46</v>
      </c>
      <c r="X4306">
        <v>49922.79</v>
      </c>
      <c r="Y4306">
        <v>45792.59</v>
      </c>
    </row>
    <row r="4307" spans="1:25" x14ac:dyDescent="0.25">
      <c r="A4307" t="s">
        <v>4363</v>
      </c>
      <c r="B4307" s="1">
        <v>46107</v>
      </c>
      <c r="C4307">
        <v>2026</v>
      </c>
      <c r="D4307">
        <v>3</v>
      </c>
      <c r="E4307" t="s">
        <v>260</v>
      </c>
      <c r="F4307" t="s">
        <v>27</v>
      </c>
      <c r="G4307" t="s">
        <v>55</v>
      </c>
      <c r="H4307" t="s">
        <v>32</v>
      </c>
      <c r="I4307" t="s">
        <v>33</v>
      </c>
      <c r="J4307">
        <v>56</v>
      </c>
      <c r="K4307">
        <v>1514.03</v>
      </c>
      <c r="L4307">
        <v>84785.65</v>
      </c>
      <c r="M4307">
        <v>50832.11</v>
      </c>
      <c r="N4307">
        <v>9571.6299999999992</v>
      </c>
      <c r="O4307">
        <v>4947.47</v>
      </c>
      <c r="P4307">
        <v>3340.59</v>
      </c>
      <c r="Q4307">
        <v>635.41</v>
      </c>
      <c r="R4307">
        <v>3942.03</v>
      </c>
      <c r="S4307">
        <v>999.63</v>
      </c>
      <c r="T4307">
        <v>74268.87</v>
      </c>
      <c r="U4307">
        <v>33953.54</v>
      </c>
      <c r="V4307">
        <v>10516.78</v>
      </c>
      <c r="W4307">
        <v>10098.32</v>
      </c>
      <c r="X4307">
        <v>88814.64</v>
      </c>
      <c r="Y4307">
        <v>69180.89</v>
      </c>
    </row>
    <row r="4308" spans="1:25" x14ac:dyDescent="0.25">
      <c r="A4308" t="s">
        <v>4364</v>
      </c>
      <c r="B4308" s="1">
        <v>46108</v>
      </c>
      <c r="C4308">
        <v>2026</v>
      </c>
      <c r="D4308">
        <v>3</v>
      </c>
      <c r="E4308" t="s">
        <v>260</v>
      </c>
      <c r="F4308" t="s">
        <v>27</v>
      </c>
      <c r="G4308" t="s">
        <v>55</v>
      </c>
      <c r="H4308" t="s">
        <v>36</v>
      </c>
      <c r="I4308" t="s">
        <v>33</v>
      </c>
      <c r="J4308">
        <v>99</v>
      </c>
      <c r="K4308">
        <v>846.51</v>
      </c>
      <c r="L4308">
        <v>83804.160000000003</v>
      </c>
      <c r="M4308">
        <v>48531.62</v>
      </c>
      <c r="N4308">
        <v>7460.6</v>
      </c>
      <c r="O4308">
        <v>4844.21</v>
      </c>
      <c r="P4308">
        <v>2455.64</v>
      </c>
      <c r="Q4308">
        <v>847.07</v>
      </c>
      <c r="R4308">
        <v>2607.87</v>
      </c>
      <c r="S4308">
        <v>1414.69</v>
      </c>
      <c r="T4308">
        <v>68161.69</v>
      </c>
      <c r="U4308">
        <v>35272.54</v>
      </c>
      <c r="V4308">
        <v>15642.47</v>
      </c>
      <c r="W4308">
        <v>14672.96</v>
      </c>
      <c r="X4308">
        <v>92933.2</v>
      </c>
      <c r="Y4308">
        <v>66371.25</v>
      </c>
    </row>
    <row r="4309" spans="1:25" x14ac:dyDescent="0.25">
      <c r="A4309" t="s">
        <v>4365</v>
      </c>
      <c r="B4309" s="1">
        <v>46108</v>
      </c>
      <c r="C4309">
        <v>2026</v>
      </c>
      <c r="D4309">
        <v>3</v>
      </c>
      <c r="E4309" t="s">
        <v>260</v>
      </c>
      <c r="F4309" t="s">
        <v>27</v>
      </c>
      <c r="G4309" t="s">
        <v>55</v>
      </c>
      <c r="H4309" t="s">
        <v>36</v>
      </c>
      <c r="I4309" t="s">
        <v>37</v>
      </c>
      <c r="J4309">
        <v>62</v>
      </c>
      <c r="K4309">
        <v>1471.91</v>
      </c>
      <c r="L4309">
        <v>91258.23</v>
      </c>
      <c r="M4309">
        <v>53225.77</v>
      </c>
      <c r="N4309">
        <v>10645.53</v>
      </c>
      <c r="O4309">
        <v>6061.64</v>
      </c>
      <c r="P4309">
        <v>2456.4899999999998</v>
      </c>
      <c r="Q4309">
        <v>480.24</v>
      </c>
      <c r="R4309">
        <v>5624.36</v>
      </c>
      <c r="S4309">
        <v>1713</v>
      </c>
      <c r="T4309">
        <v>80207.039999999994</v>
      </c>
      <c r="U4309">
        <v>38032.47</v>
      </c>
      <c r="V4309">
        <v>11051.19</v>
      </c>
      <c r="W4309">
        <v>9792.93</v>
      </c>
      <c r="X4309">
        <v>99219.4</v>
      </c>
      <c r="Y4309">
        <v>79020.820000000007</v>
      </c>
    </row>
    <row r="4310" spans="1:25" x14ac:dyDescent="0.25">
      <c r="A4310" t="s">
        <v>4366</v>
      </c>
      <c r="B4310" s="1">
        <v>46109</v>
      </c>
      <c r="C4310">
        <v>2026</v>
      </c>
      <c r="D4310">
        <v>3</v>
      </c>
      <c r="E4310" t="s">
        <v>260</v>
      </c>
      <c r="F4310" t="s">
        <v>27</v>
      </c>
      <c r="G4310" t="s">
        <v>35</v>
      </c>
      <c r="H4310" t="s">
        <v>36</v>
      </c>
      <c r="I4310" t="s">
        <v>37</v>
      </c>
      <c r="J4310">
        <v>53</v>
      </c>
      <c r="K4310">
        <v>1117.48</v>
      </c>
      <c r="L4310">
        <v>59226.2</v>
      </c>
      <c r="M4310">
        <v>38285.57</v>
      </c>
      <c r="N4310">
        <v>6455.02</v>
      </c>
      <c r="O4310">
        <v>2135.0100000000002</v>
      </c>
      <c r="P4310">
        <v>2171.31</v>
      </c>
      <c r="Q4310">
        <v>784.12</v>
      </c>
      <c r="R4310">
        <v>3641.71</v>
      </c>
      <c r="S4310">
        <v>1353.8</v>
      </c>
      <c r="T4310">
        <v>54826.54</v>
      </c>
      <c r="U4310">
        <v>20940.63</v>
      </c>
      <c r="V4310">
        <v>4399.66</v>
      </c>
      <c r="W4310">
        <v>4036.69</v>
      </c>
      <c r="X4310">
        <v>59276.66</v>
      </c>
      <c r="Y4310">
        <v>56491.64</v>
      </c>
    </row>
    <row r="4311" spans="1:25" x14ac:dyDescent="0.25">
      <c r="A4311" t="s">
        <v>4367</v>
      </c>
      <c r="B4311" s="1">
        <v>46109</v>
      </c>
      <c r="C4311">
        <v>2026</v>
      </c>
      <c r="D4311">
        <v>3</v>
      </c>
      <c r="E4311" t="s">
        <v>260</v>
      </c>
      <c r="F4311" t="s">
        <v>27</v>
      </c>
      <c r="G4311" t="s">
        <v>44</v>
      </c>
      <c r="H4311" t="s">
        <v>36</v>
      </c>
      <c r="I4311" t="s">
        <v>50</v>
      </c>
      <c r="J4311">
        <v>35</v>
      </c>
      <c r="K4311">
        <v>1222.53</v>
      </c>
      <c r="L4311">
        <v>42788.39</v>
      </c>
      <c r="M4311">
        <v>23923.279999999999</v>
      </c>
      <c r="N4311">
        <v>3846.2</v>
      </c>
      <c r="O4311">
        <v>3105.9</v>
      </c>
      <c r="P4311">
        <v>1668.51</v>
      </c>
      <c r="Q4311">
        <v>369.49</v>
      </c>
      <c r="R4311">
        <v>1616.96</v>
      </c>
      <c r="S4311">
        <v>1039.24</v>
      </c>
      <c r="T4311">
        <v>35569.589999999997</v>
      </c>
      <c r="U4311">
        <v>18865.11</v>
      </c>
      <c r="V4311">
        <v>7218.8</v>
      </c>
      <c r="W4311">
        <v>6636.05</v>
      </c>
      <c r="X4311">
        <v>44586.879999999997</v>
      </c>
      <c r="Y4311">
        <v>35324.46</v>
      </c>
    </row>
    <row r="4312" spans="1:25" x14ac:dyDescent="0.25">
      <c r="A4312" t="s">
        <v>4368</v>
      </c>
      <c r="B4312" s="1">
        <v>46109</v>
      </c>
      <c r="C4312">
        <v>2026</v>
      </c>
      <c r="D4312">
        <v>3</v>
      </c>
      <c r="E4312" t="s">
        <v>260</v>
      </c>
      <c r="F4312" t="s">
        <v>27</v>
      </c>
      <c r="G4312" t="s">
        <v>35</v>
      </c>
      <c r="H4312" t="s">
        <v>32</v>
      </c>
      <c r="I4312" t="s">
        <v>56</v>
      </c>
      <c r="J4312">
        <v>37</v>
      </c>
      <c r="K4312">
        <v>1120.24</v>
      </c>
      <c r="L4312">
        <v>41449.03</v>
      </c>
      <c r="M4312">
        <v>20674.560000000001</v>
      </c>
      <c r="N4312">
        <v>3767.96</v>
      </c>
      <c r="O4312">
        <v>1134.26</v>
      </c>
      <c r="P4312">
        <v>1432.78</v>
      </c>
      <c r="Q4312">
        <v>665.28</v>
      </c>
      <c r="R4312">
        <v>1591.08</v>
      </c>
      <c r="S4312">
        <v>783.78</v>
      </c>
      <c r="T4312">
        <v>30049.69</v>
      </c>
      <c r="U4312">
        <v>20774.47</v>
      </c>
      <c r="V4312">
        <v>11399.33</v>
      </c>
      <c r="W4312">
        <v>10783.14</v>
      </c>
      <c r="X4312">
        <v>46098.89</v>
      </c>
      <c r="Y4312">
        <v>29514.66</v>
      </c>
    </row>
    <row r="4313" spans="1:25" x14ac:dyDescent="0.25">
      <c r="A4313" t="s">
        <v>4369</v>
      </c>
      <c r="B4313" s="1">
        <v>46110</v>
      </c>
      <c r="C4313">
        <v>2026</v>
      </c>
      <c r="D4313">
        <v>3</v>
      </c>
      <c r="E4313" t="s">
        <v>260</v>
      </c>
      <c r="F4313" t="s">
        <v>27</v>
      </c>
      <c r="G4313" t="s">
        <v>28</v>
      </c>
      <c r="H4313" t="s">
        <v>32</v>
      </c>
      <c r="I4313" t="s">
        <v>50</v>
      </c>
      <c r="J4313">
        <v>55</v>
      </c>
      <c r="K4313">
        <v>1056.79</v>
      </c>
      <c r="L4313">
        <v>58123.34</v>
      </c>
      <c r="M4313">
        <v>32333.96</v>
      </c>
      <c r="N4313">
        <v>5755.46</v>
      </c>
      <c r="O4313">
        <v>2651.04</v>
      </c>
      <c r="P4313">
        <v>1278.76</v>
      </c>
      <c r="Q4313">
        <v>837.1</v>
      </c>
      <c r="R4313">
        <v>2458.48</v>
      </c>
      <c r="S4313">
        <v>1092.96</v>
      </c>
      <c r="T4313">
        <v>46407.77</v>
      </c>
      <c r="U4313">
        <v>25789.39</v>
      </c>
      <c r="V4313">
        <v>11715.57</v>
      </c>
      <c r="W4313">
        <v>11531.44</v>
      </c>
      <c r="X4313">
        <v>55660.25</v>
      </c>
      <c r="Y4313">
        <v>50763.19</v>
      </c>
    </row>
    <row r="4314" spans="1:25" x14ac:dyDescent="0.25">
      <c r="A4314" t="s">
        <v>4370</v>
      </c>
      <c r="B4314" s="1">
        <v>46110</v>
      </c>
      <c r="C4314">
        <v>2026</v>
      </c>
      <c r="D4314">
        <v>3</v>
      </c>
      <c r="E4314" t="s">
        <v>260</v>
      </c>
      <c r="F4314" t="s">
        <v>27</v>
      </c>
      <c r="G4314" t="s">
        <v>28</v>
      </c>
      <c r="H4314" t="s">
        <v>29</v>
      </c>
      <c r="I4314" t="s">
        <v>33</v>
      </c>
      <c r="J4314">
        <v>108</v>
      </c>
      <c r="K4314">
        <v>876.84</v>
      </c>
      <c r="L4314">
        <v>94698.81</v>
      </c>
      <c r="M4314">
        <v>49488.26</v>
      </c>
      <c r="N4314">
        <v>8100.29</v>
      </c>
      <c r="O4314">
        <v>3321.62</v>
      </c>
      <c r="P4314">
        <v>2838.36</v>
      </c>
      <c r="Q4314">
        <v>806.84</v>
      </c>
      <c r="R4314">
        <v>2492.9899999999998</v>
      </c>
      <c r="S4314">
        <v>1406.68</v>
      </c>
      <c r="T4314">
        <v>68455.039999999994</v>
      </c>
      <c r="U4314">
        <v>45210.559999999998</v>
      </c>
      <c r="V4314">
        <v>26243.78</v>
      </c>
      <c r="W4314">
        <v>24023.9</v>
      </c>
      <c r="X4314">
        <v>92914.4</v>
      </c>
      <c r="Y4314">
        <v>67243.259999999995</v>
      </c>
    </row>
    <row r="4315" spans="1:25" x14ac:dyDescent="0.25">
      <c r="A4315" t="s">
        <v>4371</v>
      </c>
      <c r="B4315" s="1">
        <v>46110</v>
      </c>
      <c r="C4315">
        <v>2026</v>
      </c>
      <c r="D4315">
        <v>3</v>
      </c>
      <c r="E4315" t="s">
        <v>260</v>
      </c>
      <c r="F4315" t="s">
        <v>27</v>
      </c>
      <c r="G4315" t="s">
        <v>55</v>
      </c>
      <c r="H4315" t="s">
        <v>58</v>
      </c>
      <c r="I4315" t="s">
        <v>30</v>
      </c>
      <c r="J4315">
        <v>100</v>
      </c>
      <c r="K4315">
        <v>895.15</v>
      </c>
      <c r="L4315">
        <v>89514.87</v>
      </c>
      <c r="M4315">
        <v>51887.55</v>
      </c>
      <c r="N4315">
        <v>11397.22</v>
      </c>
      <c r="O4315">
        <v>2318.36</v>
      </c>
      <c r="P4315">
        <v>1874.7</v>
      </c>
      <c r="Q4315">
        <v>670.47</v>
      </c>
      <c r="R4315">
        <v>3211</v>
      </c>
      <c r="S4315">
        <v>1870.27</v>
      </c>
      <c r="T4315">
        <v>73229.58</v>
      </c>
      <c r="U4315">
        <v>37627.32</v>
      </c>
      <c r="V4315">
        <v>16285.29</v>
      </c>
      <c r="W4315">
        <v>16164.64</v>
      </c>
      <c r="X4315">
        <v>92355.93</v>
      </c>
      <c r="Y4315">
        <v>78223.58</v>
      </c>
    </row>
    <row r="4316" spans="1:25" x14ac:dyDescent="0.25">
      <c r="A4316" t="s">
        <v>4372</v>
      </c>
      <c r="B4316" s="1">
        <v>46111</v>
      </c>
      <c r="C4316">
        <v>2026</v>
      </c>
      <c r="D4316">
        <v>3</v>
      </c>
      <c r="E4316" t="s">
        <v>260</v>
      </c>
      <c r="F4316" t="s">
        <v>27</v>
      </c>
      <c r="G4316" t="s">
        <v>35</v>
      </c>
      <c r="H4316" t="s">
        <v>32</v>
      </c>
      <c r="I4316" t="s">
        <v>30</v>
      </c>
      <c r="J4316">
        <v>84</v>
      </c>
      <c r="K4316">
        <v>1431.6</v>
      </c>
      <c r="L4316">
        <v>120254.7</v>
      </c>
      <c r="M4316">
        <v>72555.14</v>
      </c>
      <c r="N4316">
        <v>9312.43</v>
      </c>
      <c r="O4316">
        <v>4346.2700000000004</v>
      </c>
      <c r="P4316">
        <v>3718.66</v>
      </c>
      <c r="Q4316">
        <v>657.49</v>
      </c>
      <c r="R4316">
        <v>4667.76</v>
      </c>
      <c r="S4316">
        <v>2480.25</v>
      </c>
      <c r="T4316">
        <v>97738</v>
      </c>
      <c r="U4316">
        <v>47699.57</v>
      </c>
      <c r="V4316">
        <v>22516.7</v>
      </c>
      <c r="W4316">
        <v>22033.66</v>
      </c>
      <c r="X4316">
        <v>115916.16</v>
      </c>
      <c r="Y4316">
        <v>106741.59</v>
      </c>
    </row>
    <row r="4317" spans="1:25" x14ac:dyDescent="0.25">
      <c r="A4317" t="s">
        <v>4373</v>
      </c>
      <c r="B4317" s="1">
        <v>46111</v>
      </c>
      <c r="C4317">
        <v>2026</v>
      </c>
      <c r="D4317">
        <v>3</v>
      </c>
      <c r="E4317" t="s">
        <v>260</v>
      </c>
      <c r="F4317" t="s">
        <v>27</v>
      </c>
      <c r="G4317" t="s">
        <v>28</v>
      </c>
      <c r="H4317" t="s">
        <v>36</v>
      </c>
      <c r="I4317" t="s">
        <v>37</v>
      </c>
      <c r="J4317">
        <v>38</v>
      </c>
      <c r="K4317">
        <v>1648.3</v>
      </c>
      <c r="L4317">
        <v>62635.43</v>
      </c>
      <c r="M4317">
        <v>30481.41</v>
      </c>
      <c r="N4317">
        <v>7875.63</v>
      </c>
      <c r="O4317">
        <v>2319.71</v>
      </c>
      <c r="P4317">
        <v>2599.52</v>
      </c>
      <c r="Q4317">
        <v>834.43</v>
      </c>
      <c r="R4317">
        <v>3913.92</v>
      </c>
      <c r="S4317">
        <v>1562.42</v>
      </c>
      <c r="T4317">
        <v>49587.03</v>
      </c>
      <c r="U4317">
        <v>32154.02</v>
      </c>
      <c r="V4317">
        <v>13048.39</v>
      </c>
      <c r="W4317">
        <v>13233.21</v>
      </c>
      <c r="X4317">
        <v>61840.37</v>
      </c>
      <c r="Y4317">
        <v>49343.28</v>
      </c>
    </row>
    <row r="4318" spans="1:25" x14ac:dyDescent="0.25">
      <c r="A4318" t="s">
        <v>4374</v>
      </c>
      <c r="B4318" s="1">
        <v>46111</v>
      </c>
      <c r="C4318">
        <v>2026</v>
      </c>
      <c r="D4318">
        <v>3</v>
      </c>
      <c r="E4318" t="s">
        <v>260</v>
      </c>
      <c r="F4318" t="s">
        <v>27</v>
      </c>
      <c r="G4318" t="s">
        <v>55</v>
      </c>
      <c r="H4318" t="s">
        <v>32</v>
      </c>
      <c r="I4318" t="s">
        <v>33</v>
      </c>
      <c r="J4318">
        <v>109</v>
      </c>
      <c r="K4318">
        <v>1112.5999999999999</v>
      </c>
      <c r="L4318">
        <v>121273</v>
      </c>
      <c r="M4318">
        <v>62939.81</v>
      </c>
      <c r="N4318">
        <v>11584.39</v>
      </c>
      <c r="O4318">
        <v>7845.83</v>
      </c>
      <c r="P4318">
        <v>2576.2800000000002</v>
      </c>
      <c r="Q4318">
        <v>841.01</v>
      </c>
      <c r="R4318">
        <v>5571.74</v>
      </c>
      <c r="S4318">
        <v>1554.25</v>
      </c>
      <c r="T4318">
        <v>92913.31</v>
      </c>
      <c r="U4318">
        <v>58333.19</v>
      </c>
      <c r="V4318">
        <v>28359.69</v>
      </c>
      <c r="W4318">
        <v>26314.44</v>
      </c>
      <c r="X4318">
        <v>112157.5</v>
      </c>
      <c r="Y4318">
        <v>94302.59</v>
      </c>
    </row>
    <row r="4319" spans="1:25" x14ac:dyDescent="0.25">
      <c r="A4319" t="s">
        <v>4375</v>
      </c>
      <c r="B4319" s="1">
        <v>46111</v>
      </c>
      <c r="C4319">
        <v>2026</v>
      </c>
      <c r="D4319">
        <v>3</v>
      </c>
      <c r="E4319" t="s">
        <v>260</v>
      </c>
      <c r="F4319" t="s">
        <v>27</v>
      </c>
      <c r="G4319" t="s">
        <v>44</v>
      </c>
      <c r="H4319" t="s">
        <v>29</v>
      </c>
      <c r="I4319" t="s">
        <v>37</v>
      </c>
      <c r="J4319">
        <v>66</v>
      </c>
      <c r="K4319">
        <v>875.09</v>
      </c>
      <c r="L4319">
        <v>57755.66</v>
      </c>
      <c r="M4319">
        <v>35206.550000000003</v>
      </c>
      <c r="N4319">
        <v>5266.67</v>
      </c>
      <c r="O4319">
        <v>2359</v>
      </c>
      <c r="P4319">
        <v>1136.03</v>
      </c>
      <c r="Q4319">
        <v>1001.74</v>
      </c>
      <c r="R4319">
        <v>2652.97</v>
      </c>
      <c r="S4319">
        <v>719.07</v>
      </c>
      <c r="T4319">
        <v>48342.04</v>
      </c>
      <c r="U4319">
        <v>22549.11</v>
      </c>
      <c r="V4319">
        <v>9413.6200000000008</v>
      </c>
      <c r="W4319">
        <v>8444.41</v>
      </c>
      <c r="X4319">
        <v>60650.05</v>
      </c>
      <c r="Y4319">
        <v>46515.15</v>
      </c>
    </row>
    <row r="4320" spans="1:25" x14ac:dyDescent="0.25">
      <c r="A4320" t="s">
        <v>4376</v>
      </c>
      <c r="B4320" s="1">
        <v>46111</v>
      </c>
      <c r="C4320">
        <v>2026</v>
      </c>
      <c r="D4320">
        <v>3</v>
      </c>
      <c r="E4320" t="s">
        <v>260</v>
      </c>
      <c r="F4320" t="s">
        <v>27</v>
      </c>
      <c r="G4320" t="s">
        <v>55</v>
      </c>
      <c r="H4320" t="s">
        <v>29</v>
      </c>
      <c r="I4320" t="s">
        <v>37</v>
      </c>
      <c r="J4320">
        <v>76</v>
      </c>
      <c r="K4320">
        <v>877.34</v>
      </c>
      <c r="L4320">
        <v>66677.47</v>
      </c>
      <c r="M4320">
        <v>35815.26</v>
      </c>
      <c r="N4320">
        <v>5354.39</v>
      </c>
      <c r="O4320">
        <v>2401.9899999999998</v>
      </c>
      <c r="P4320">
        <v>1007.81</v>
      </c>
      <c r="Q4320">
        <v>827.83</v>
      </c>
      <c r="R4320">
        <v>2414.41</v>
      </c>
      <c r="S4320">
        <v>671.41</v>
      </c>
      <c r="T4320">
        <v>48493.1</v>
      </c>
      <c r="U4320">
        <v>30862.21</v>
      </c>
      <c r="V4320">
        <v>18184.38</v>
      </c>
      <c r="W4320">
        <v>18293.189999999999</v>
      </c>
      <c r="X4320">
        <v>71810.850000000006</v>
      </c>
      <c r="Y4320">
        <v>49783.44</v>
      </c>
    </row>
    <row r="4321" spans="1:25" x14ac:dyDescent="0.25">
      <c r="A4321" t="s">
        <v>4377</v>
      </c>
      <c r="B4321" s="1">
        <v>46111</v>
      </c>
      <c r="C4321">
        <v>2026</v>
      </c>
      <c r="D4321">
        <v>3</v>
      </c>
      <c r="E4321" t="s">
        <v>260</v>
      </c>
      <c r="F4321" t="s">
        <v>27</v>
      </c>
      <c r="G4321" t="s">
        <v>35</v>
      </c>
      <c r="H4321" t="s">
        <v>32</v>
      </c>
      <c r="I4321" t="s">
        <v>30</v>
      </c>
      <c r="J4321">
        <v>61</v>
      </c>
      <c r="K4321">
        <v>1732.02</v>
      </c>
      <c r="L4321">
        <v>105653.44</v>
      </c>
      <c r="M4321">
        <v>66275.710000000006</v>
      </c>
      <c r="N4321">
        <v>11976.63</v>
      </c>
      <c r="O4321">
        <v>4007.63</v>
      </c>
      <c r="P4321">
        <v>2606</v>
      </c>
      <c r="Q4321">
        <v>1147.56</v>
      </c>
      <c r="R4321">
        <v>3398.45</v>
      </c>
      <c r="S4321">
        <v>1502.77</v>
      </c>
      <c r="T4321">
        <v>90914.75</v>
      </c>
      <c r="U4321">
        <v>39377.72</v>
      </c>
      <c r="V4321">
        <v>14738.68</v>
      </c>
      <c r="W4321">
        <v>14462.05</v>
      </c>
      <c r="X4321">
        <v>115306.44</v>
      </c>
      <c r="Y4321">
        <v>91699.74</v>
      </c>
    </row>
    <row r="4322" spans="1:25" x14ac:dyDescent="0.25">
      <c r="A4322" t="s">
        <v>4378</v>
      </c>
      <c r="B4322" s="1">
        <v>46111</v>
      </c>
      <c r="C4322">
        <v>2026</v>
      </c>
      <c r="D4322">
        <v>3</v>
      </c>
      <c r="E4322" t="s">
        <v>260</v>
      </c>
      <c r="F4322" t="s">
        <v>27</v>
      </c>
      <c r="G4322" t="s">
        <v>28</v>
      </c>
      <c r="H4322" t="s">
        <v>32</v>
      </c>
      <c r="I4322" t="s">
        <v>56</v>
      </c>
      <c r="J4322">
        <v>31</v>
      </c>
      <c r="K4322">
        <v>1678.02</v>
      </c>
      <c r="L4322">
        <v>52018.7</v>
      </c>
      <c r="M4322">
        <v>34177.43</v>
      </c>
      <c r="N4322">
        <v>6341.76</v>
      </c>
      <c r="O4322">
        <v>1693.62</v>
      </c>
      <c r="P4322">
        <v>1204.5899999999999</v>
      </c>
      <c r="Q4322">
        <v>663.28</v>
      </c>
      <c r="R4322">
        <v>3294.02</v>
      </c>
      <c r="S4322">
        <v>549.79999999999995</v>
      </c>
      <c r="T4322">
        <v>47924.51</v>
      </c>
      <c r="U4322">
        <v>17841.27</v>
      </c>
      <c r="V4322">
        <v>4094.19</v>
      </c>
      <c r="W4322">
        <v>4072.47</v>
      </c>
      <c r="X4322">
        <v>53628.41</v>
      </c>
      <c r="Y4322">
        <v>48902.33</v>
      </c>
    </row>
    <row r="4323" spans="1:25" x14ac:dyDescent="0.25">
      <c r="A4323" t="s">
        <v>4379</v>
      </c>
      <c r="B4323" s="1">
        <v>46111</v>
      </c>
      <c r="C4323">
        <v>2026</v>
      </c>
      <c r="D4323">
        <v>3</v>
      </c>
      <c r="E4323" t="s">
        <v>260</v>
      </c>
      <c r="F4323" t="s">
        <v>27</v>
      </c>
      <c r="G4323" t="s">
        <v>28</v>
      </c>
      <c r="H4323" t="s">
        <v>53</v>
      </c>
      <c r="I4323" t="s">
        <v>39</v>
      </c>
      <c r="J4323">
        <v>27</v>
      </c>
      <c r="K4323">
        <v>1748.02</v>
      </c>
      <c r="L4323">
        <v>47196.54</v>
      </c>
      <c r="M4323">
        <v>29173.88</v>
      </c>
      <c r="N4323">
        <v>3394.73</v>
      </c>
      <c r="O4323">
        <v>2918.05</v>
      </c>
      <c r="P4323">
        <v>1357.3</v>
      </c>
      <c r="Q4323">
        <v>601.91999999999996</v>
      </c>
      <c r="R4323">
        <v>2973.73</v>
      </c>
      <c r="S4323">
        <v>598.16</v>
      </c>
      <c r="T4323">
        <v>41017.769999999997</v>
      </c>
      <c r="U4323">
        <v>18022.66</v>
      </c>
      <c r="V4323">
        <v>6178.77</v>
      </c>
      <c r="W4323">
        <v>5579.66</v>
      </c>
      <c r="X4323">
        <v>51776.6</v>
      </c>
      <c r="Y4323">
        <v>44770.71</v>
      </c>
    </row>
    <row r="4324" spans="1:25" x14ac:dyDescent="0.25">
      <c r="A4324" t="s">
        <v>4380</v>
      </c>
      <c r="B4324" s="1">
        <v>46111</v>
      </c>
      <c r="C4324">
        <v>2026</v>
      </c>
      <c r="D4324">
        <v>3</v>
      </c>
      <c r="E4324" t="s">
        <v>260</v>
      </c>
      <c r="F4324" t="s">
        <v>27</v>
      </c>
      <c r="G4324" t="s">
        <v>55</v>
      </c>
      <c r="H4324" t="s">
        <v>53</v>
      </c>
      <c r="I4324" t="s">
        <v>30</v>
      </c>
      <c r="J4324">
        <v>55</v>
      </c>
      <c r="K4324">
        <v>1349.97</v>
      </c>
      <c r="L4324">
        <v>74248.36</v>
      </c>
      <c r="M4324">
        <v>46357.85</v>
      </c>
      <c r="N4324">
        <v>6633.66</v>
      </c>
      <c r="O4324">
        <v>2923.19</v>
      </c>
      <c r="P4324">
        <v>3011.94</v>
      </c>
      <c r="Q4324">
        <v>1136.03</v>
      </c>
      <c r="R4324">
        <v>3932.15</v>
      </c>
      <c r="S4324">
        <v>761.48</v>
      </c>
      <c r="T4324">
        <v>64756.29</v>
      </c>
      <c r="U4324">
        <v>27890.51</v>
      </c>
      <c r="V4324">
        <v>9492.07</v>
      </c>
      <c r="W4324">
        <v>8923.4500000000007</v>
      </c>
      <c r="X4324">
        <v>78714.649999999994</v>
      </c>
      <c r="Y4324">
        <v>70480.960000000006</v>
      </c>
    </row>
    <row r="4325" spans="1:25" x14ac:dyDescent="0.25">
      <c r="A4325" t="s">
        <v>4381</v>
      </c>
      <c r="B4325" s="1">
        <v>46112</v>
      </c>
      <c r="C4325">
        <v>2026</v>
      </c>
      <c r="D4325">
        <v>3</v>
      </c>
      <c r="E4325" t="s">
        <v>260</v>
      </c>
      <c r="F4325" t="s">
        <v>27</v>
      </c>
      <c r="G4325" t="s">
        <v>55</v>
      </c>
      <c r="H4325" t="s">
        <v>32</v>
      </c>
      <c r="I4325" t="s">
        <v>50</v>
      </c>
      <c r="J4325">
        <v>67</v>
      </c>
      <c r="K4325">
        <v>1012.4</v>
      </c>
      <c r="L4325">
        <v>67830.75</v>
      </c>
      <c r="M4325">
        <v>40057.199999999997</v>
      </c>
      <c r="N4325">
        <v>6240</v>
      </c>
      <c r="O4325">
        <v>4795.4799999999996</v>
      </c>
      <c r="P4325">
        <v>2147.5</v>
      </c>
      <c r="Q4325">
        <v>532.91</v>
      </c>
      <c r="R4325">
        <v>3742.73</v>
      </c>
      <c r="S4325">
        <v>1564.19</v>
      </c>
      <c r="T4325">
        <v>59080.02</v>
      </c>
      <c r="U4325">
        <v>27773.55</v>
      </c>
      <c r="V4325">
        <v>8750.73</v>
      </c>
      <c r="W4325">
        <v>8830.1299999999992</v>
      </c>
      <c r="X4325">
        <v>72211.22</v>
      </c>
      <c r="Y4325">
        <v>56906.58</v>
      </c>
    </row>
    <row r="4326" spans="1:25" x14ac:dyDescent="0.25">
      <c r="A4326" t="s">
        <v>4382</v>
      </c>
      <c r="B4326" s="1">
        <v>46112</v>
      </c>
      <c r="C4326">
        <v>2026</v>
      </c>
      <c r="D4326">
        <v>3</v>
      </c>
      <c r="E4326" t="s">
        <v>260</v>
      </c>
      <c r="F4326" t="s">
        <v>27</v>
      </c>
      <c r="G4326" t="s">
        <v>28</v>
      </c>
      <c r="H4326" t="s">
        <v>58</v>
      </c>
      <c r="I4326" t="s">
        <v>33</v>
      </c>
      <c r="J4326">
        <v>45</v>
      </c>
      <c r="K4326">
        <v>1402.96</v>
      </c>
      <c r="L4326">
        <v>63133.15</v>
      </c>
      <c r="M4326">
        <v>39602.82</v>
      </c>
      <c r="N4326">
        <v>5351.14</v>
      </c>
      <c r="O4326">
        <v>3291.38</v>
      </c>
      <c r="P4326">
        <v>2110.31</v>
      </c>
      <c r="Q4326">
        <v>360.74</v>
      </c>
      <c r="R4326">
        <v>3786.37</v>
      </c>
      <c r="S4326">
        <v>929.53</v>
      </c>
      <c r="T4326">
        <v>55432.29</v>
      </c>
      <c r="U4326">
        <v>23530.33</v>
      </c>
      <c r="V4326">
        <v>7700.86</v>
      </c>
      <c r="W4326">
        <v>7491.98</v>
      </c>
      <c r="X4326">
        <v>66472.75</v>
      </c>
      <c r="Y4326">
        <v>51821.05</v>
      </c>
    </row>
    <row r="4327" spans="1:25" x14ac:dyDescent="0.25">
      <c r="A4327" t="s">
        <v>4383</v>
      </c>
      <c r="B4327" s="1">
        <v>46112</v>
      </c>
      <c r="C4327">
        <v>2026</v>
      </c>
      <c r="D4327">
        <v>3</v>
      </c>
      <c r="E4327" t="s">
        <v>260</v>
      </c>
      <c r="F4327" t="s">
        <v>27</v>
      </c>
      <c r="G4327" t="s">
        <v>55</v>
      </c>
      <c r="H4327" t="s">
        <v>32</v>
      </c>
      <c r="I4327" t="s">
        <v>39</v>
      </c>
      <c r="J4327">
        <v>47</v>
      </c>
      <c r="K4327">
        <v>1396.74</v>
      </c>
      <c r="L4327">
        <v>65646.63</v>
      </c>
      <c r="M4327">
        <v>40689.480000000003</v>
      </c>
      <c r="N4327">
        <v>8128.71</v>
      </c>
      <c r="O4327">
        <v>2171.23</v>
      </c>
      <c r="P4327">
        <v>1678.07</v>
      </c>
      <c r="Q4327">
        <v>404.01</v>
      </c>
      <c r="R4327">
        <v>2820.88</v>
      </c>
      <c r="S4327">
        <v>1458.93</v>
      </c>
      <c r="T4327">
        <v>57351.3</v>
      </c>
      <c r="U4327">
        <v>24957.15</v>
      </c>
      <c r="V4327">
        <v>8295.33</v>
      </c>
      <c r="W4327">
        <v>7552.1</v>
      </c>
      <c r="X4327">
        <v>70259.02</v>
      </c>
      <c r="Y4327">
        <v>56326.8</v>
      </c>
    </row>
    <row r="4328" spans="1:25" x14ac:dyDescent="0.25">
      <c r="A4328" t="s">
        <v>4384</v>
      </c>
      <c r="B4328" s="1">
        <v>46113</v>
      </c>
      <c r="C4328">
        <v>2026</v>
      </c>
      <c r="D4328">
        <v>4</v>
      </c>
      <c r="E4328" t="s">
        <v>357</v>
      </c>
      <c r="F4328" t="s">
        <v>358</v>
      </c>
      <c r="G4328" t="s">
        <v>55</v>
      </c>
      <c r="H4328" t="s">
        <v>36</v>
      </c>
      <c r="I4328" t="s">
        <v>45</v>
      </c>
      <c r="J4328">
        <v>55</v>
      </c>
      <c r="K4328">
        <v>831.47</v>
      </c>
      <c r="L4328">
        <v>45730.79</v>
      </c>
      <c r="M4328">
        <v>22291.65</v>
      </c>
      <c r="N4328">
        <v>3718.92</v>
      </c>
      <c r="O4328">
        <v>3228.08</v>
      </c>
      <c r="P4328">
        <v>1262.24</v>
      </c>
      <c r="Q4328">
        <v>513.11</v>
      </c>
      <c r="R4328">
        <v>2677.53</v>
      </c>
      <c r="S4328">
        <v>1003.32</v>
      </c>
      <c r="T4328">
        <v>34694.85</v>
      </c>
      <c r="U4328">
        <v>23439.15</v>
      </c>
      <c r="V4328">
        <v>11035.95</v>
      </c>
      <c r="W4328">
        <v>10332.120000000001</v>
      </c>
      <c r="X4328">
        <v>43011.89</v>
      </c>
      <c r="Y4328">
        <v>35344.76</v>
      </c>
    </row>
    <row r="4329" spans="1:25" x14ac:dyDescent="0.25">
      <c r="A4329" t="s">
        <v>4385</v>
      </c>
      <c r="B4329" s="1">
        <v>46113</v>
      </c>
      <c r="C4329">
        <v>2026</v>
      </c>
      <c r="D4329">
        <v>4</v>
      </c>
      <c r="E4329" t="s">
        <v>357</v>
      </c>
      <c r="F4329" t="s">
        <v>358</v>
      </c>
      <c r="G4329" t="s">
        <v>28</v>
      </c>
      <c r="H4329" t="s">
        <v>29</v>
      </c>
      <c r="I4329" t="s">
        <v>45</v>
      </c>
      <c r="J4329">
        <v>26</v>
      </c>
      <c r="K4329">
        <v>1782.55</v>
      </c>
      <c r="L4329">
        <v>46346.23</v>
      </c>
      <c r="M4329">
        <v>27523.09</v>
      </c>
      <c r="N4329">
        <v>3420.06</v>
      </c>
      <c r="O4329">
        <v>2081.36</v>
      </c>
      <c r="P4329">
        <v>1639.89</v>
      </c>
      <c r="Q4329">
        <v>651.84</v>
      </c>
      <c r="R4329">
        <v>1161.47</v>
      </c>
      <c r="S4329">
        <v>734.13</v>
      </c>
      <c r="T4329">
        <v>37211.839999999997</v>
      </c>
      <c r="U4329">
        <v>18823.14</v>
      </c>
      <c r="V4329">
        <v>9134.39</v>
      </c>
      <c r="W4329">
        <v>8246.17</v>
      </c>
      <c r="X4329">
        <v>50648.23</v>
      </c>
      <c r="Y4329">
        <v>38270.769999999997</v>
      </c>
    </row>
    <row r="4330" spans="1:25" x14ac:dyDescent="0.25">
      <c r="A4330" t="s">
        <v>4386</v>
      </c>
      <c r="B4330" s="1">
        <v>46113</v>
      </c>
      <c r="C4330">
        <v>2026</v>
      </c>
      <c r="D4330">
        <v>4</v>
      </c>
      <c r="E4330" t="s">
        <v>357</v>
      </c>
      <c r="F4330" t="s">
        <v>358</v>
      </c>
      <c r="G4330" t="s">
        <v>28</v>
      </c>
      <c r="H4330" t="s">
        <v>53</v>
      </c>
      <c r="I4330" t="s">
        <v>45</v>
      </c>
      <c r="J4330">
        <v>27</v>
      </c>
      <c r="K4330">
        <v>1809.86</v>
      </c>
      <c r="L4330">
        <v>48866.33</v>
      </c>
      <c r="M4330">
        <v>29860.93</v>
      </c>
      <c r="N4330">
        <v>4625.09</v>
      </c>
      <c r="O4330">
        <v>1300.08</v>
      </c>
      <c r="P4330">
        <v>1820.97</v>
      </c>
      <c r="Q4330">
        <v>585.57000000000005</v>
      </c>
      <c r="R4330">
        <v>1866.06</v>
      </c>
      <c r="S4330">
        <v>642.38</v>
      </c>
      <c r="T4330">
        <v>40701.07</v>
      </c>
      <c r="U4330">
        <v>19005.400000000001</v>
      </c>
      <c r="V4330">
        <v>8165.26</v>
      </c>
      <c r="W4330">
        <v>8093.81</v>
      </c>
      <c r="X4330">
        <v>52916.68</v>
      </c>
      <c r="Y4330">
        <v>39352.71</v>
      </c>
    </row>
    <row r="4331" spans="1:25" x14ac:dyDescent="0.25">
      <c r="A4331" t="s">
        <v>4387</v>
      </c>
      <c r="B4331" s="1">
        <v>46113</v>
      </c>
      <c r="C4331">
        <v>2026</v>
      </c>
      <c r="D4331">
        <v>4</v>
      </c>
      <c r="E4331" t="s">
        <v>357</v>
      </c>
      <c r="F4331" t="s">
        <v>358</v>
      </c>
      <c r="G4331" t="s">
        <v>28</v>
      </c>
      <c r="H4331" t="s">
        <v>32</v>
      </c>
      <c r="I4331" t="s">
        <v>56</v>
      </c>
      <c r="J4331">
        <v>30</v>
      </c>
      <c r="K4331">
        <v>1397.87</v>
      </c>
      <c r="L4331">
        <v>41936.239999999998</v>
      </c>
      <c r="M4331">
        <v>25406.11</v>
      </c>
      <c r="N4331">
        <v>4558.43</v>
      </c>
      <c r="O4331">
        <v>2653.4</v>
      </c>
      <c r="P4331">
        <v>985.77</v>
      </c>
      <c r="Q4331">
        <v>266.92</v>
      </c>
      <c r="R4331">
        <v>2282.19</v>
      </c>
      <c r="S4331">
        <v>702.82</v>
      </c>
      <c r="T4331">
        <v>36855.629999999997</v>
      </c>
      <c r="U4331">
        <v>16530.14</v>
      </c>
      <c r="V4331">
        <v>5080.6099999999997</v>
      </c>
      <c r="W4331">
        <v>4728.3100000000004</v>
      </c>
      <c r="X4331">
        <v>46182.47</v>
      </c>
      <c r="Y4331">
        <v>38093.370000000003</v>
      </c>
    </row>
    <row r="4332" spans="1:25" x14ac:dyDescent="0.25">
      <c r="A4332" t="s">
        <v>4388</v>
      </c>
      <c r="B4332" s="1">
        <v>46113</v>
      </c>
      <c r="C4332">
        <v>2026</v>
      </c>
      <c r="D4332">
        <v>4</v>
      </c>
      <c r="E4332" t="s">
        <v>357</v>
      </c>
      <c r="F4332" t="s">
        <v>358</v>
      </c>
      <c r="G4332" t="s">
        <v>55</v>
      </c>
      <c r="H4332" t="s">
        <v>36</v>
      </c>
      <c r="I4332" t="s">
        <v>45</v>
      </c>
      <c r="J4332">
        <v>53</v>
      </c>
      <c r="K4332">
        <v>978.58</v>
      </c>
      <c r="L4332">
        <v>51864.53</v>
      </c>
      <c r="M4332">
        <v>27692.74</v>
      </c>
      <c r="N4332">
        <v>5087.72</v>
      </c>
      <c r="O4332">
        <v>1931.9</v>
      </c>
      <c r="P4332">
        <v>2198.8200000000002</v>
      </c>
      <c r="Q4332">
        <v>687.04</v>
      </c>
      <c r="R4332">
        <v>2051</v>
      </c>
      <c r="S4332">
        <v>751.47</v>
      </c>
      <c r="T4332">
        <v>40400.69</v>
      </c>
      <c r="U4332">
        <v>24171.79</v>
      </c>
      <c r="V4332">
        <v>11463.84</v>
      </c>
      <c r="W4332">
        <v>11115.07</v>
      </c>
      <c r="X4332">
        <v>57488.69</v>
      </c>
      <c r="Y4332">
        <v>41121.07</v>
      </c>
    </row>
    <row r="4333" spans="1:25" x14ac:dyDescent="0.25">
      <c r="A4333" t="s">
        <v>4389</v>
      </c>
      <c r="B4333" s="1">
        <v>46113</v>
      </c>
      <c r="C4333">
        <v>2026</v>
      </c>
      <c r="D4333">
        <v>4</v>
      </c>
      <c r="E4333" t="s">
        <v>357</v>
      </c>
      <c r="F4333" t="s">
        <v>358</v>
      </c>
      <c r="G4333" t="s">
        <v>44</v>
      </c>
      <c r="H4333" t="s">
        <v>32</v>
      </c>
      <c r="I4333" t="s">
        <v>30</v>
      </c>
      <c r="J4333">
        <v>82</v>
      </c>
      <c r="K4333">
        <v>1437.21</v>
      </c>
      <c r="L4333">
        <v>117851.24</v>
      </c>
      <c r="M4333">
        <v>72249.440000000002</v>
      </c>
      <c r="N4333">
        <v>13666.09</v>
      </c>
      <c r="O4333">
        <v>7765.15</v>
      </c>
      <c r="P4333">
        <v>4470.75</v>
      </c>
      <c r="Q4333">
        <v>702.21</v>
      </c>
      <c r="R4333">
        <v>3995.85</v>
      </c>
      <c r="S4333">
        <v>1161.79</v>
      </c>
      <c r="T4333">
        <v>104011.27</v>
      </c>
      <c r="U4333">
        <v>45601.8</v>
      </c>
      <c r="V4333">
        <v>13839.97</v>
      </c>
      <c r="W4333">
        <v>13800.77</v>
      </c>
      <c r="X4333">
        <v>116963.47</v>
      </c>
      <c r="Y4333">
        <v>107172.43</v>
      </c>
    </row>
    <row r="4334" spans="1:25" x14ac:dyDescent="0.25">
      <c r="A4334" t="s">
        <v>4390</v>
      </c>
      <c r="B4334" s="1">
        <v>46114</v>
      </c>
      <c r="C4334">
        <v>2026</v>
      </c>
      <c r="D4334">
        <v>4</v>
      </c>
      <c r="E4334" t="s">
        <v>357</v>
      </c>
      <c r="F4334" t="s">
        <v>358</v>
      </c>
      <c r="G4334" t="s">
        <v>35</v>
      </c>
      <c r="H4334" t="s">
        <v>53</v>
      </c>
      <c r="I4334" t="s">
        <v>33</v>
      </c>
      <c r="J4334">
        <v>50</v>
      </c>
      <c r="K4334">
        <v>1325.61</v>
      </c>
      <c r="L4334">
        <v>66280.52</v>
      </c>
      <c r="M4334">
        <v>44141.05</v>
      </c>
      <c r="N4334">
        <v>4808.3900000000003</v>
      </c>
      <c r="O4334">
        <v>4597.25</v>
      </c>
      <c r="P4334">
        <v>1035.02</v>
      </c>
      <c r="Q4334">
        <v>955.05</v>
      </c>
      <c r="R4334">
        <v>1723.7</v>
      </c>
      <c r="S4334">
        <v>1653.7</v>
      </c>
      <c r="T4334">
        <v>58914.18</v>
      </c>
      <c r="U4334">
        <v>22139.46</v>
      </c>
      <c r="V4334">
        <v>7366.34</v>
      </c>
      <c r="W4334">
        <v>6910.77</v>
      </c>
      <c r="X4334">
        <v>63506.71</v>
      </c>
      <c r="Y4334">
        <v>61497.02</v>
      </c>
    </row>
    <row r="4335" spans="1:25" x14ac:dyDescent="0.25">
      <c r="A4335" t="s">
        <v>4391</v>
      </c>
      <c r="B4335" s="1">
        <v>46114</v>
      </c>
      <c r="C4335">
        <v>2026</v>
      </c>
      <c r="D4335">
        <v>4</v>
      </c>
      <c r="E4335" t="s">
        <v>357</v>
      </c>
      <c r="F4335" t="s">
        <v>358</v>
      </c>
      <c r="G4335" t="s">
        <v>35</v>
      </c>
      <c r="H4335" t="s">
        <v>32</v>
      </c>
      <c r="I4335" t="s">
        <v>37</v>
      </c>
      <c r="J4335">
        <v>48</v>
      </c>
      <c r="K4335">
        <v>1432.63</v>
      </c>
      <c r="L4335">
        <v>68766.37</v>
      </c>
      <c r="M4335">
        <v>37582.269999999997</v>
      </c>
      <c r="N4335">
        <v>5949.21</v>
      </c>
      <c r="O4335">
        <v>5037.88</v>
      </c>
      <c r="P4335">
        <v>2947.8</v>
      </c>
      <c r="Q4335">
        <v>1233.05</v>
      </c>
      <c r="R4335">
        <v>3163.16</v>
      </c>
      <c r="S4335">
        <v>1557.7</v>
      </c>
      <c r="T4335">
        <v>57471.07</v>
      </c>
      <c r="U4335">
        <v>31184.1</v>
      </c>
      <c r="V4335">
        <v>11295.3</v>
      </c>
      <c r="W4335">
        <v>10999.63</v>
      </c>
      <c r="X4335">
        <v>69141.259999999995</v>
      </c>
      <c r="Y4335">
        <v>57333.15</v>
      </c>
    </row>
    <row r="4336" spans="1:25" x14ac:dyDescent="0.25">
      <c r="A4336" t="s">
        <v>4392</v>
      </c>
      <c r="B4336" s="1">
        <v>46114</v>
      </c>
      <c r="C4336">
        <v>2026</v>
      </c>
      <c r="D4336">
        <v>4</v>
      </c>
      <c r="E4336" t="s">
        <v>357</v>
      </c>
      <c r="F4336" t="s">
        <v>358</v>
      </c>
      <c r="G4336" t="s">
        <v>35</v>
      </c>
      <c r="H4336" t="s">
        <v>32</v>
      </c>
      <c r="I4336" t="s">
        <v>33</v>
      </c>
      <c r="J4336">
        <v>76</v>
      </c>
      <c r="K4336">
        <v>1085.44</v>
      </c>
      <c r="L4336">
        <v>82493.23</v>
      </c>
      <c r="M4336">
        <v>44424.06</v>
      </c>
      <c r="N4336">
        <v>9890.73</v>
      </c>
      <c r="O4336">
        <v>2978.22</v>
      </c>
      <c r="P4336">
        <v>1461.51</v>
      </c>
      <c r="Q4336">
        <v>453.25</v>
      </c>
      <c r="R4336">
        <v>2937.61</v>
      </c>
      <c r="S4336">
        <v>777.02</v>
      </c>
      <c r="T4336">
        <v>62922.400000000001</v>
      </c>
      <c r="U4336">
        <v>38069.17</v>
      </c>
      <c r="V4336">
        <v>19570.830000000002</v>
      </c>
      <c r="W4336">
        <v>19096.09</v>
      </c>
      <c r="X4336">
        <v>76159.759999999995</v>
      </c>
      <c r="Y4336">
        <v>66497.789999999994</v>
      </c>
    </row>
    <row r="4337" spans="1:25" x14ac:dyDescent="0.25">
      <c r="A4337" t="s">
        <v>4393</v>
      </c>
      <c r="B4337" s="1">
        <v>46115</v>
      </c>
      <c r="C4337">
        <v>2026</v>
      </c>
      <c r="D4337">
        <v>4</v>
      </c>
      <c r="E4337" t="s">
        <v>357</v>
      </c>
      <c r="F4337" t="s">
        <v>358</v>
      </c>
      <c r="G4337" t="s">
        <v>44</v>
      </c>
      <c r="H4337" t="s">
        <v>32</v>
      </c>
      <c r="I4337" t="s">
        <v>33</v>
      </c>
      <c r="J4337">
        <v>71</v>
      </c>
      <c r="K4337">
        <v>923.34</v>
      </c>
      <c r="L4337">
        <v>65557.09</v>
      </c>
      <c r="M4337">
        <v>44543.67</v>
      </c>
      <c r="N4337">
        <v>5636.93</v>
      </c>
      <c r="O4337">
        <v>4465.12</v>
      </c>
      <c r="P4337">
        <v>1699.81</v>
      </c>
      <c r="Q4337">
        <v>979.72</v>
      </c>
      <c r="R4337">
        <v>2198.86</v>
      </c>
      <c r="S4337">
        <v>1572.18</v>
      </c>
      <c r="T4337">
        <v>61096.3</v>
      </c>
      <c r="U4337">
        <v>21013.41</v>
      </c>
      <c r="V4337">
        <v>4460.79</v>
      </c>
      <c r="W4337">
        <v>4084.06</v>
      </c>
      <c r="X4337">
        <v>62354.19</v>
      </c>
      <c r="Y4337">
        <v>61745.78</v>
      </c>
    </row>
    <row r="4338" spans="1:25" x14ac:dyDescent="0.25">
      <c r="A4338" t="s">
        <v>4394</v>
      </c>
      <c r="B4338" s="1">
        <v>46115</v>
      </c>
      <c r="C4338">
        <v>2026</v>
      </c>
      <c r="D4338">
        <v>4</v>
      </c>
      <c r="E4338" t="s">
        <v>357</v>
      </c>
      <c r="F4338" t="s">
        <v>358</v>
      </c>
      <c r="G4338" t="s">
        <v>44</v>
      </c>
      <c r="H4338" t="s">
        <v>32</v>
      </c>
      <c r="I4338" t="s">
        <v>56</v>
      </c>
      <c r="J4338">
        <v>18</v>
      </c>
      <c r="K4338">
        <v>1746.5</v>
      </c>
      <c r="L4338">
        <v>31437.03</v>
      </c>
      <c r="M4338">
        <v>17558.490000000002</v>
      </c>
      <c r="N4338">
        <v>3701.24</v>
      </c>
      <c r="O4338">
        <v>1992.45</v>
      </c>
      <c r="P4338">
        <v>1084.81</v>
      </c>
      <c r="Q4338">
        <v>426.36</v>
      </c>
      <c r="R4338">
        <v>1962.08</v>
      </c>
      <c r="S4338">
        <v>419.03</v>
      </c>
      <c r="T4338">
        <v>27144.47</v>
      </c>
      <c r="U4338">
        <v>13878.54</v>
      </c>
      <c r="V4338">
        <v>4292.5600000000004</v>
      </c>
      <c r="W4338">
        <v>4034.43</v>
      </c>
      <c r="X4338">
        <v>34238.14</v>
      </c>
      <c r="Y4338">
        <v>28098.7</v>
      </c>
    </row>
    <row r="4339" spans="1:25" x14ac:dyDescent="0.25">
      <c r="A4339" t="s">
        <v>4395</v>
      </c>
      <c r="B4339" s="1">
        <v>46115</v>
      </c>
      <c r="C4339">
        <v>2026</v>
      </c>
      <c r="D4339">
        <v>4</v>
      </c>
      <c r="E4339" t="s">
        <v>357</v>
      </c>
      <c r="F4339" t="s">
        <v>358</v>
      </c>
      <c r="G4339" t="s">
        <v>28</v>
      </c>
      <c r="H4339" t="s">
        <v>53</v>
      </c>
      <c r="I4339" t="s">
        <v>56</v>
      </c>
      <c r="J4339">
        <v>26</v>
      </c>
      <c r="K4339">
        <v>927.51</v>
      </c>
      <c r="L4339">
        <v>24115.15</v>
      </c>
      <c r="M4339">
        <v>13316.49</v>
      </c>
      <c r="N4339">
        <v>2831.17</v>
      </c>
      <c r="O4339">
        <v>1630.7</v>
      </c>
      <c r="P4339">
        <v>906.37</v>
      </c>
      <c r="Q4339">
        <v>374.71</v>
      </c>
      <c r="R4339">
        <v>1397.28</v>
      </c>
      <c r="S4339">
        <v>280.39</v>
      </c>
      <c r="T4339">
        <v>20737.12</v>
      </c>
      <c r="U4339">
        <v>10798.66</v>
      </c>
      <c r="V4339">
        <v>3378.04</v>
      </c>
      <c r="W4339">
        <v>3184.54</v>
      </c>
      <c r="X4339">
        <v>26933.439999999999</v>
      </c>
      <c r="Y4339">
        <v>20770.18</v>
      </c>
    </row>
    <row r="4340" spans="1:25" x14ac:dyDescent="0.25">
      <c r="A4340" t="s">
        <v>4396</v>
      </c>
      <c r="B4340" s="1">
        <v>46116</v>
      </c>
      <c r="C4340">
        <v>2026</v>
      </c>
      <c r="D4340">
        <v>4</v>
      </c>
      <c r="E4340" t="s">
        <v>357</v>
      </c>
      <c r="F4340" t="s">
        <v>358</v>
      </c>
      <c r="G4340" t="s">
        <v>44</v>
      </c>
      <c r="H4340" t="s">
        <v>53</v>
      </c>
      <c r="I4340" t="s">
        <v>39</v>
      </c>
      <c r="J4340">
        <v>27</v>
      </c>
      <c r="K4340">
        <v>1371.19</v>
      </c>
      <c r="L4340">
        <v>37022.21</v>
      </c>
      <c r="M4340">
        <v>24932.06</v>
      </c>
      <c r="N4340">
        <v>4592.76</v>
      </c>
      <c r="O4340">
        <v>1568.76</v>
      </c>
      <c r="P4340">
        <v>614.39</v>
      </c>
      <c r="Q4340">
        <v>516.51</v>
      </c>
      <c r="R4340">
        <v>968.77</v>
      </c>
      <c r="S4340">
        <v>726.46</v>
      </c>
      <c r="T4340">
        <v>33919.71</v>
      </c>
      <c r="U4340">
        <v>12090.15</v>
      </c>
      <c r="V4340">
        <v>3102.5</v>
      </c>
      <c r="W4340">
        <v>2955.01</v>
      </c>
      <c r="X4340">
        <v>41295.120000000003</v>
      </c>
      <c r="Y4340">
        <v>31816.17</v>
      </c>
    </row>
    <row r="4341" spans="1:25" x14ac:dyDescent="0.25">
      <c r="A4341" t="s">
        <v>4397</v>
      </c>
      <c r="B4341" s="1">
        <v>46116</v>
      </c>
      <c r="C4341">
        <v>2026</v>
      </c>
      <c r="D4341">
        <v>4</v>
      </c>
      <c r="E4341" t="s">
        <v>357</v>
      </c>
      <c r="F4341" t="s">
        <v>358</v>
      </c>
      <c r="G4341" t="s">
        <v>28</v>
      </c>
      <c r="H4341" t="s">
        <v>32</v>
      </c>
      <c r="I4341" t="s">
        <v>65</v>
      </c>
      <c r="J4341">
        <v>70</v>
      </c>
      <c r="K4341">
        <v>1342.94</v>
      </c>
      <c r="L4341">
        <v>94005.49</v>
      </c>
      <c r="M4341">
        <v>54181.53</v>
      </c>
      <c r="N4341">
        <v>11376.55</v>
      </c>
      <c r="O4341">
        <v>5542.85</v>
      </c>
      <c r="P4341">
        <v>4213.2700000000004</v>
      </c>
      <c r="Q4341">
        <v>1100.58</v>
      </c>
      <c r="R4341">
        <v>3162.16</v>
      </c>
      <c r="S4341">
        <v>1361.35</v>
      </c>
      <c r="T4341">
        <v>80938.289999999994</v>
      </c>
      <c r="U4341">
        <v>39823.96</v>
      </c>
      <c r="V4341">
        <v>13067.2</v>
      </c>
      <c r="W4341">
        <v>12264.1</v>
      </c>
      <c r="X4341">
        <v>91456.38</v>
      </c>
      <c r="Y4341">
        <v>75686.210000000006</v>
      </c>
    </row>
    <row r="4342" spans="1:25" x14ac:dyDescent="0.25">
      <c r="A4342" t="s">
        <v>4398</v>
      </c>
      <c r="B4342" s="1">
        <v>46116</v>
      </c>
      <c r="C4342">
        <v>2026</v>
      </c>
      <c r="D4342">
        <v>4</v>
      </c>
      <c r="E4342" t="s">
        <v>357</v>
      </c>
      <c r="F4342" t="s">
        <v>358</v>
      </c>
      <c r="G4342" t="s">
        <v>35</v>
      </c>
      <c r="H4342" t="s">
        <v>32</v>
      </c>
      <c r="I4342" t="s">
        <v>33</v>
      </c>
      <c r="J4342">
        <v>73</v>
      </c>
      <c r="K4342">
        <v>808.24</v>
      </c>
      <c r="L4342">
        <v>59001.16</v>
      </c>
      <c r="M4342">
        <v>30780.59</v>
      </c>
      <c r="N4342">
        <v>5659.35</v>
      </c>
      <c r="O4342">
        <v>1861.21</v>
      </c>
      <c r="P4342">
        <v>1681.37</v>
      </c>
      <c r="Q4342">
        <v>429.49</v>
      </c>
      <c r="R4342">
        <v>1481.95</v>
      </c>
      <c r="S4342">
        <v>599.4</v>
      </c>
      <c r="T4342">
        <v>42493.36</v>
      </c>
      <c r="U4342">
        <v>28220.58</v>
      </c>
      <c r="V4342">
        <v>16507.8</v>
      </c>
      <c r="W4342">
        <v>14694.91</v>
      </c>
      <c r="X4342">
        <v>58086.55</v>
      </c>
      <c r="Y4342">
        <v>39923.99</v>
      </c>
    </row>
    <row r="4343" spans="1:25" x14ac:dyDescent="0.25">
      <c r="A4343" t="s">
        <v>4399</v>
      </c>
      <c r="B4343" s="1">
        <v>46117</v>
      </c>
      <c r="C4343">
        <v>2026</v>
      </c>
      <c r="D4343">
        <v>4</v>
      </c>
      <c r="E4343" t="s">
        <v>357</v>
      </c>
      <c r="F4343" t="s">
        <v>358</v>
      </c>
      <c r="G4343" t="s">
        <v>55</v>
      </c>
      <c r="H4343" t="s">
        <v>32</v>
      </c>
      <c r="I4343" t="s">
        <v>33</v>
      </c>
      <c r="J4343">
        <v>118</v>
      </c>
      <c r="K4343">
        <v>1037.99</v>
      </c>
      <c r="L4343">
        <v>122482.25</v>
      </c>
      <c r="M4343">
        <v>71231.87</v>
      </c>
      <c r="N4343">
        <v>9144.8700000000008</v>
      </c>
      <c r="O4343">
        <v>8749.8700000000008</v>
      </c>
      <c r="P4343">
        <v>5297.92</v>
      </c>
      <c r="Q4343">
        <v>1868.47</v>
      </c>
      <c r="R4343">
        <v>4361.62</v>
      </c>
      <c r="S4343">
        <v>1705.74</v>
      </c>
      <c r="T4343">
        <v>102360.37</v>
      </c>
      <c r="U4343">
        <v>51250.37</v>
      </c>
      <c r="V4343">
        <v>20121.88</v>
      </c>
      <c r="W4343">
        <v>18873.48</v>
      </c>
      <c r="X4343">
        <v>123905.32</v>
      </c>
      <c r="Y4343">
        <v>106535.05</v>
      </c>
    </row>
    <row r="4344" spans="1:25" x14ac:dyDescent="0.25">
      <c r="A4344" t="s">
        <v>4400</v>
      </c>
      <c r="B4344" s="1">
        <v>46117</v>
      </c>
      <c r="C4344">
        <v>2026</v>
      </c>
      <c r="D4344">
        <v>4</v>
      </c>
      <c r="E4344" t="s">
        <v>357</v>
      </c>
      <c r="F4344" t="s">
        <v>358</v>
      </c>
      <c r="G4344" t="s">
        <v>55</v>
      </c>
      <c r="H4344" t="s">
        <v>32</v>
      </c>
      <c r="I4344" t="s">
        <v>37</v>
      </c>
      <c r="J4344">
        <v>82</v>
      </c>
      <c r="K4344">
        <v>1286.8800000000001</v>
      </c>
      <c r="L4344">
        <v>105524.47</v>
      </c>
      <c r="M4344">
        <v>53712.43</v>
      </c>
      <c r="N4344">
        <v>7532.46</v>
      </c>
      <c r="O4344">
        <v>4798.13</v>
      </c>
      <c r="P4344">
        <v>4016.95</v>
      </c>
      <c r="Q4344">
        <v>1284.1500000000001</v>
      </c>
      <c r="R4344">
        <v>5051.1400000000003</v>
      </c>
      <c r="S4344">
        <v>1826.75</v>
      </c>
      <c r="T4344">
        <v>78222.009999999995</v>
      </c>
      <c r="U4344">
        <v>51812.04</v>
      </c>
      <c r="V4344">
        <v>27302.46</v>
      </c>
      <c r="W4344">
        <v>26685.93</v>
      </c>
      <c r="X4344">
        <v>97800.31</v>
      </c>
      <c r="Y4344">
        <v>73092.61</v>
      </c>
    </row>
    <row r="4345" spans="1:25" x14ac:dyDescent="0.25">
      <c r="A4345" t="s">
        <v>4401</v>
      </c>
      <c r="B4345" s="1">
        <v>46117</v>
      </c>
      <c r="C4345">
        <v>2026</v>
      </c>
      <c r="D4345">
        <v>4</v>
      </c>
      <c r="E4345" t="s">
        <v>357</v>
      </c>
      <c r="F4345" t="s">
        <v>358</v>
      </c>
      <c r="G4345" t="s">
        <v>28</v>
      </c>
      <c r="H4345" t="s">
        <v>58</v>
      </c>
      <c r="I4345" t="s">
        <v>65</v>
      </c>
      <c r="J4345">
        <v>49</v>
      </c>
      <c r="K4345">
        <v>1119.08</v>
      </c>
      <c r="L4345">
        <v>54834.77</v>
      </c>
      <c r="M4345">
        <v>28893.21</v>
      </c>
      <c r="N4345">
        <v>6919.44</v>
      </c>
      <c r="O4345">
        <v>2097.11</v>
      </c>
      <c r="P4345">
        <v>1672.5</v>
      </c>
      <c r="Q4345">
        <v>872.63</v>
      </c>
      <c r="R4345">
        <v>2176.5500000000002</v>
      </c>
      <c r="S4345">
        <v>1232.55</v>
      </c>
      <c r="T4345">
        <v>43863.99</v>
      </c>
      <c r="U4345">
        <v>25941.56</v>
      </c>
      <c r="V4345">
        <v>10970.78</v>
      </c>
      <c r="W4345">
        <v>10704.79</v>
      </c>
      <c r="X4345">
        <v>59600.28</v>
      </c>
      <c r="Y4345">
        <v>46642.39</v>
      </c>
    </row>
    <row r="4346" spans="1:25" x14ac:dyDescent="0.25">
      <c r="A4346" t="s">
        <v>4402</v>
      </c>
      <c r="B4346" s="1">
        <v>46118</v>
      </c>
      <c r="C4346">
        <v>2026</v>
      </c>
      <c r="D4346">
        <v>4</v>
      </c>
      <c r="E4346" t="s">
        <v>357</v>
      </c>
      <c r="F4346" t="s">
        <v>358</v>
      </c>
      <c r="G4346" t="s">
        <v>35</v>
      </c>
      <c r="H4346" t="s">
        <v>32</v>
      </c>
      <c r="I4346" t="s">
        <v>39</v>
      </c>
      <c r="J4346">
        <v>19</v>
      </c>
      <c r="K4346">
        <v>1782.09</v>
      </c>
      <c r="L4346">
        <v>33859.769999999997</v>
      </c>
      <c r="M4346">
        <v>19408.240000000002</v>
      </c>
      <c r="N4346">
        <v>3526.74</v>
      </c>
      <c r="O4346">
        <v>995.06</v>
      </c>
      <c r="P4346">
        <v>532.38</v>
      </c>
      <c r="Q4346">
        <v>383.81</v>
      </c>
      <c r="R4346">
        <v>1096.6300000000001</v>
      </c>
      <c r="S4346">
        <v>648.23</v>
      </c>
      <c r="T4346">
        <v>26591.1</v>
      </c>
      <c r="U4346">
        <v>14451.53</v>
      </c>
      <c r="V4346">
        <v>7268.68</v>
      </c>
      <c r="W4346">
        <v>6453.47</v>
      </c>
      <c r="X4346">
        <v>31180.84</v>
      </c>
      <c r="Y4346">
        <v>28401.18</v>
      </c>
    </row>
    <row r="4347" spans="1:25" x14ac:dyDescent="0.25">
      <c r="A4347" t="s">
        <v>4403</v>
      </c>
      <c r="B4347" s="1">
        <v>46118</v>
      </c>
      <c r="C4347">
        <v>2026</v>
      </c>
      <c r="D4347">
        <v>4</v>
      </c>
      <c r="E4347" t="s">
        <v>357</v>
      </c>
      <c r="F4347" t="s">
        <v>358</v>
      </c>
      <c r="G4347" t="s">
        <v>28</v>
      </c>
      <c r="H4347" t="s">
        <v>53</v>
      </c>
      <c r="I4347" t="s">
        <v>30</v>
      </c>
      <c r="J4347">
        <v>66</v>
      </c>
      <c r="K4347">
        <v>1247.48</v>
      </c>
      <c r="L4347">
        <v>82333.42</v>
      </c>
      <c r="M4347">
        <v>53524.800000000003</v>
      </c>
      <c r="N4347">
        <v>8642.44</v>
      </c>
      <c r="O4347">
        <v>2688.88</v>
      </c>
      <c r="P4347">
        <v>3634.34</v>
      </c>
      <c r="Q4347">
        <v>520.29</v>
      </c>
      <c r="R4347">
        <v>2836.1</v>
      </c>
      <c r="S4347">
        <v>1242.94</v>
      </c>
      <c r="T4347">
        <v>73089.8</v>
      </c>
      <c r="U4347">
        <v>28808.63</v>
      </c>
      <c r="V4347">
        <v>9243.6299999999992</v>
      </c>
      <c r="W4347">
        <v>8906</v>
      </c>
      <c r="X4347">
        <v>90884.28</v>
      </c>
      <c r="Y4347">
        <v>76935.789999999994</v>
      </c>
    </row>
    <row r="4348" spans="1:25" x14ac:dyDescent="0.25">
      <c r="A4348" t="s">
        <v>4404</v>
      </c>
      <c r="B4348" s="1">
        <v>46118</v>
      </c>
      <c r="C4348">
        <v>2026</v>
      </c>
      <c r="D4348">
        <v>4</v>
      </c>
      <c r="E4348" t="s">
        <v>357</v>
      </c>
      <c r="F4348" t="s">
        <v>358</v>
      </c>
      <c r="G4348" t="s">
        <v>28</v>
      </c>
      <c r="H4348" t="s">
        <v>32</v>
      </c>
      <c r="I4348" t="s">
        <v>37</v>
      </c>
      <c r="J4348">
        <v>101</v>
      </c>
      <c r="K4348">
        <v>868.07</v>
      </c>
      <c r="L4348">
        <v>87675.51</v>
      </c>
      <c r="M4348">
        <v>52827.23</v>
      </c>
      <c r="N4348">
        <v>10588.7</v>
      </c>
      <c r="O4348">
        <v>6039.47</v>
      </c>
      <c r="P4348">
        <v>1696.3</v>
      </c>
      <c r="Q4348">
        <v>855.55</v>
      </c>
      <c r="R4348">
        <v>2331.58</v>
      </c>
      <c r="S4348">
        <v>1106.0999999999999</v>
      </c>
      <c r="T4348">
        <v>75444.929999999993</v>
      </c>
      <c r="U4348">
        <v>34848.28</v>
      </c>
      <c r="V4348">
        <v>12230.58</v>
      </c>
      <c r="W4348">
        <v>11361.8</v>
      </c>
      <c r="X4348">
        <v>92042.32</v>
      </c>
      <c r="Y4348">
        <v>76095.710000000006</v>
      </c>
    </row>
    <row r="4349" spans="1:25" x14ac:dyDescent="0.25">
      <c r="A4349" t="s">
        <v>4405</v>
      </c>
      <c r="B4349" s="1">
        <v>46118</v>
      </c>
      <c r="C4349">
        <v>2026</v>
      </c>
      <c r="D4349">
        <v>4</v>
      </c>
      <c r="E4349" t="s">
        <v>357</v>
      </c>
      <c r="F4349" t="s">
        <v>358</v>
      </c>
      <c r="G4349" t="s">
        <v>28</v>
      </c>
      <c r="H4349" t="s">
        <v>29</v>
      </c>
      <c r="I4349" t="s">
        <v>30</v>
      </c>
      <c r="J4349">
        <v>79</v>
      </c>
      <c r="K4349">
        <v>1021.9</v>
      </c>
      <c r="L4349">
        <v>80730.33</v>
      </c>
      <c r="M4349">
        <v>48786.42</v>
      </c>
      <c r="N4349">
        <v>8498.2000000000007</v>
      </c>
      <c r="O4349">
        <v>4397.01</v>
      </c>
      <c r="P4349">
        <v>1354.45</v>
      </c>
      <c r="Q4349">
        <v>633.91999999999996</v>
      </c>
      <c r="R4349">
        <v>2439.54</v>
      </c>
      <c r="S4349">
        <v>1234.1400000000001</v>
      </c>
      <c r="T4349">
        <v>67343.679999999993</v>
      </c>
      <c r="U4349">
        <v>31943.9</v>
      </c>
      <c r="V4349">
        <v>13386.65</v>
      </c>
      <c r="W4349">
        <v>12681.6</v>
      </c>
      <c r="X4349">
        <v>90146.1</v>
      </c>
      <c r="Y4349">
        <v>70779.87</v>
      </c>
    </row>
    <row r="4350" spans="1:25" x14ac:dyDescent="0.25">
      <c r="A4350" t="s">
        <v>4406</v>
      </c>
      <c r="B4350" s="1">
        <v>46118</v>
      </c>
      <c r="C4350">
        <v>2026</v>
      </c>
      <c r="D4350">
        <v>4</v>
      </c>
      <c r="E4350" t="s">
        <v>357</v>
      </c>
      <c r="F4350" t="s">
        <v>358</v>
      </c>
      <c r="G4350" t="s">
        <v>35</v>
      </c>
      <c r="H4350" t="s">
        <v>36</v>
      </c>
      <c r="I4350" t="s">
        <v>50</v>
      </c>
      <c r="J4350">
        <v>33</v>
      </c>
      <c r="K4350">
        <v>1496.69</v>
      </c>
      <c r="L4350">
        <v>49390.73</v>
      </c>
      <c r="M4350">
        <v>26002.91</v>
      </c>
      <c r="N4350">
        <v>5666.63</v>
      </c>
      <c r="O4350">
        <v>2306.48</v>
      </c>
      <c r="P4350">
        <v>2205.13</v>
      </c>
      <c r="Q4350">
        <v>312.31</v>
      </c>
      <c r="R4350">
        <v>1419.55</v>
      </c>
      <c r="S4350">
        <v>443.36</v>
      </c>
      <c r="T4350">
        <v>38356.370000000003</v>
      </c>
      <c r="U4350">
        <v>23387.82</v>
      </c>
      <c r="V4350">
        <v>11034.36</v>
      </c>
      <c r="W4350">
        <v>9878.32</v>
      </c>
      <c r="X4350">
        <v>47971.49</v>
      </c>
      <c r="Y4350">
        <v>37969.589999999997</v>
      </c>
    </row>
    <row r="4351" spans="1:25" x14ac:dyDescent="0.25">
      <c r="A4351" t="s">
        <v>4407</v>
      </c>
      <c r="B4351" s="1">
        <v>46118</v>
      </c>
      <c r="C4351">
        <v>2026</v>
      </c>
      <c r="D4351">
        <v>4</v>
      </c>
      <c r="E4351" t="s">
        <v>357</v>
      </c>
      <c r="F4351" t="s">
        <v>358</v>
      </c>
      <c r="G4351" t="s">
        <v>44</v>
      </c>
      <c r="H4351" t="s">
        <v>32</v>
      </c>
      <c r="I4351" t="s">
        <v>50</v>
      </c>
      <c r="J4351">
        <v>29</v>
      </c>
      <c r="K4351">
        <v>1523.27</v>
      </c>
      <c r="L4351">
        <v>44174.87</v>
      </c>
      <c r="M4351">
        <v>29986.799999999999</v>
      </c>
      <c r="N4351">
        <v>4460.32</v>
      </c>
      <c r="O4351">
        <v>2022.52</v>
      </c>
      <c r="P4351">
        <v>1432.89</v>
      </c>
      <c r="Q4351">
        <v>354.88</v>
      </c>
      <c r="R4351">
        <v>2387.4499999999998</v>
      </c>
      <c r="S4351">
        <v>380.91</v>
      </c>
      <c r="T4351">
        <v>41025.769999999997</v>
      </c>
      <c r="U4351">
        <v>14188.06</v>
      </c>
      <c r="V4351">
        <v>3149.09</v>
      </c>
      <c r="W4351">
        <v>2998.55</v>
      </c>
      <c r="X4351">
        <v>49451.93</v>
      </c>
      <c r="Y4351">
        <v>40114.620000000003</v>
      </c>
    </row>
    <row r="4352" spans="1:25" x14ac:dyDescent="0.25">
      <c r="A4352" t="s">
        <v>4408</v>
      </c>
      <c r="B4352" s="1">
        <v>46119</v>
      </c>
      <c r="C4352">
        <v>2026</v>
      </c>
      <c r="D4352">
        <v>4</v>
      </c>
      <c r="E4352" t="s">
        <v>357</v>
      </c>
      <c r="F4352" t="s">
        <v>358</v>
      </c>
      <c r="G4352" t="s">
        <v>44</v>
      </c>
      <c r="H4352" t="s">
        <v>32</v>
      </c>
      <c r="I4352" t="s">
        <v>56</v>
      </c>
      <c r="J4352">
        <v>36</v>
      </c>
      <c r="K4352">
        <v>1281.92</v>
      </c>
      <c r="L4352">
        <v>46149.24</v>
      </c>
      <c r="M4352">
        <v>23897.24</v>
      </c>
      <c r="N4352">
        <v>3605.49</v>
      </c>
      <c r="O4352">
        <v>1412.88</v>
      </c>
      <c r="P4352">
        <v>896.21</v>
      </c>
      <c r="Q4352">
        <v>325.07</v>
      </c>
      <c r="R4352">
        <v>2433.77</v>
      </c>
      <c r="S4352">
        <v>1050.0899999999999</v>
      </c>
      <c r="T4352">
        <v>33620.76</v>
      </c>
      <c r="U4352">
        <v>22252.01</v>
      </c>
      <c r="V4352">
        <v>12528.48</v>
      </c>
      <c r="W4352">
        <v>11126.36</v>
      </c>
      <c r="X4352">
        <v>42903.09</v>
      </c>
      <c r="Y4352">
        <v>31637.03</v>
      </c>
    </row>
    <row r="4353" spans="1:25" x14ac:dyDescent="0.25">
      <c r="A4353" t="s">
        <v>4409</v>
      </c>
      <c r="B4353" s="1">
        <v>46120</v>
      </c>
      <c r="C4353">
        <v>2026</v>
      </c>
      <c r="D4353">
        <v>4</v>
      </c>
      <c r="E4353" t="s">
        <v>357</v>
      </c>
      <c r="F4353" t="s">
        <v>358</v>
      </c>
      <c r="G4353" t="s">
        <v>35</v>
      </c>
      <c r="H4353" t="s">
        <v>29</v>
      </c>
      <c r="I4353" t="s">
        <v>50</v>
      </c>
      <c r="J4353">
        <v>34</v>
      </c>
      <c r="K4353">
        <v>1326.5</v>
      </c>
      <c r="L4353">
        <v>45101.06</v>
      </c>
      <c r="M4353">
        <v>24485.97</v>
      </c>
      <c r="N4353">
        <v>3692.83</v>
      </c>
      <c r="O4353">
        <v>1141.96</v>
      </c>
      <c r="P4353">
        <v>1325.69</v>
      </c>
      <c r="Q4353">
        <v>315.43</v>
      </c>
      <c r="R4353">
        <v>2328.19</v>
      </c>
      <c r="S4353">
        <v>778.43</v>
      </c>
      <c r="T4353">
        <v>34068.51</v>
      </c>
      <c r="U4353">
        <v>20615.09</v>
      </c>
      <c r="V4353">
        <v>11032.55</v>
      </c>
      <c r="W4353">
        <v>11163.88</v>
      </c>
      <c r="X4353">
        <v>45387.4</v>
      </c>
      <c r="Y4353">
        <v>34302.910000000003</v>
      </c>
    </row>
    <row r="4354" spans="1:25" x14ac:dyDescent="0.25">
      <c r="A4354" t="s">
        <v>4410</v>
      </c>
      <c r="B4354" s="1">
        <v>46120</v>
      </c>
      <c r="C4354">
        <v>2026</v>
      </c>
      <c r="D4354">
        <v>4</v>
      </c>
      <c r="E4354" t="s">
        <v>357</v>
      </c>
      <c r="F4354" t="s">
        <v>358</v>
      </c>
      <c r="G4354" t="s">
        <v>44</v>
      </c>
      <c r="H4354" t="s">
        <v>53</v>
      </c>
      <c r="I4354" t="s">
        <v>50</v>
      </c>
      <c r="J4354">
        <v>27</v>
      </c>
      <c r="K4354">
        <v>1656.27</v>
      </c>
      <c r="L4354">
        <v>44719.27</v>
      </c>
      <c r="M4354">
        <v>23587.02</v>
      </c>
      <c r="N4354">
        <v>4721.25</v>
      </c>
      <c r="O4354">
        <v>3334.67</v>
      </c>
      <c r="P4354">
        <v>1058.8599999999999</v>
      </c>
      <c r="Q4354">
        <v>677.08</v>
      </c>
      <c r="R4354">
        <v>2713.77</v>
      </c>
      <c r="S4354">
        <v>1110.17</v>
      </c>
      <c r="T4354">
        <v>37202.83</v>
      </c>
      <c r="U4354">
        <v>21132.25</v>
      </c>
      <c r="V4354">
        <v>7516.44</v>
      </c>
      <c r="W4354">
        <v>7348.8</v>
      </c>
      <c r="X4354">
        <v>47128.9</v>
      </c>
      <c r="Y4354">
        <v>35289.81</v>
      </c>
    </row>
    <row r="4355" spans="1:25" x14ac:dyDescent="0.25">
      <c r="A4355" t="s">
        <v>4411</v>
      </c>
      <c r="B4355" s="1">
        <v>46121</v>
      </c>
      <c r="C4355">
        <v>2026</v>
      </c>
      <c r="D4355">
        <v>4</v>
      </c>
      <c r="E4355" t="s">
        <v>357</v>
      </c>
      <c r="F4355" t="s">
        <v>358</v>
      </c>
      <c r="G4355" t="s">
        <v>35</v>
      </c>
      <c r="H4355" t="s">
        <v>58</v>
      </c>
      <c r="I4355" t="s">
        <v>37</v>
      </c>
      <c r="J4355">
        <v>25</v>
      </c>
      <c r="K4355">
        <v>1747.51</v>
      </c>
      <c r="L4355">
        <v>43687.85</v>
      </c>
      <c r="M4355">
        <v>24354.62</v>
      </c>
      <c r="N4355">
        <v>3906.35</v>
      </c>
      <c r="O4355">
        <v>1659.1</v>
      </c>
      <c r="P4355">
        <v>1386.49</v>
      </c>
      <c r="Q4355">
        <v>254.04</v>
      </c>
      <c r="R4355">
        <v>1884.5</v>
      </c>
      <c r="S4355">
        <v>358.41</v>
      </c>
      <c r="T4355">
        <v>33803.5</v>
      </c>
      <c r="U4355">
        <v>19333.23</v>
      </c>
      <c r="V4355">
        <v>9884.35</v>
      </c>
      <c r="W4355">
        <v>9324.5400000000009</v>
      </c>
      <c r="X4355">
        <v>45123.27</v>
      </c>
      <c r="Y4355">
        <v>34196.92</v>
      </c>
    </row>
    <row r="4356" spans="1:25" x14ac:dyDescent="0.25">
      <c r="A4356" t="s">
        <v>4412</v>
      </c>
      <c r="B4356" s="1">
        <v>46121</v>
      </c>
      <c r="C4356">
        <v>2026</v>
      </c>
      <c r="D4356">
        <v>4</v>
      </c>
      <c r="E4356" t="s">
        <v>357</v>
      </c>
      <c r="F4356" t="s">
        <v>358</v>
      </c>
      <c r="G4356" t="s">
        <v>35</v>
      </c>
      <c r="H4356" t="s">
        <v>32</v>
      </c>
      <c r="I4356" t="s">
        <v>33</v>
      </c>
      <c r="J4356">
        <v>37</v>
      </c>
      <c r="K4356">
        <v>1625.99</v>
      </c>
      <c r="L4356">
        <v>60161.5</v>
      </c>
      <c r="M4356">
        <v>36552.25</v>
      </c>
      <c r="N4356">
        <v>4820.92</v>
      </c>
      <c r="O4356">
        <v>3040.32</v>
      </c>
      <c r="P4356">
        <v>1089.3</v>
      </c>
      <c r="Q4356">
        <v>870.11</v>
      </c>
      <c r="R4356">
        <v>3361.93</v>
      </c>
      <c r="S4356">
        <v>841.7</v>
      </c>
      <c r="T4356">
        <v>50576.52</v>
      </c>
      <c r="U4356">
        <v>23609.25</v>
      </c>
      <c r="V4356">
        <v>9584.98</v>
      </c>
      <c r="W4356">
        <v>9083.08</v>
      </c>
      <c r="X4356">
        <v>61122.8</v>
      </c>
      <c r="Y4356">
        <v>48850.01</v>
      </c>
    </row>
    <row r="4357" spans="1:25" x14ac:dyDescent="0.25">
      <c r="A4357" t="s">
        <v>4413</v>
      </c>
      <c r="B4357" s="1">
        <v>46121</v>
      </c>
      <c r="C4357">
        <v>2026</v>
      </c>
      <c r="D4357">
        <v>4</v>
      </c>
      <c r="E4357" t="s">
        <v>357</v>
      </c>
      <c r="F4357" t="s">
        <v>358</v>
      </c>
      <c r="G4357" t="s">
        <v>55</v>
      </c>
      <c r="H4357" t="s">
        <v>29</v>
      </c>
      <c r="I4357" t="s">
        <v>33</v>
      </c>
      <c r="J4357">
        <v>82</v>
      </c>
      <c r="K4357">
        <v>853.17</v>
      </c>
      <c r="L4357">
        <v>69960.240000000005</v>
      </c>
      <c r="M4357">
        <v>44301.45</v>
      </c>
      <c r="N4357">
        <v>7963.2</v>
      </c>
      <c r="O4357">
        <v>3484.84</v>
      </c>
      <c r="P4357">
        <v>1115.5</v>
      </c>
      <c r="Q4357">
        <v>792.1</v>
      </c>
      <c r="R4357">
        <v>4494.22</v>
      </c>
      <c r="S4357">
        <v>947.82</v>
      </c>
      <c r="T4357">
        <v>63099.13</v>
      </c>
      <c r="U4357">
        <v>25658.79</v>
      </c>
      <c r="V4357">
        <v>6861.11</v>
      </c>
      <c r="W4357">
        <v>6848.89</v>
      </c>
      <c r="X4357">
        <v>67617.77</v>
      </c>
      <c r="Y4357">
        <v>66244.960000000006</v>
      </c>
    </row>
    <row r="4358" spans="1:25" x14ac:dyDescent="0.25">
      <c r="A4358" t="s">
        <v>4414</v>
      </c>
      <c r="B4358" s="1">
        <v>46122</v>
      </c>
      <c r="C4358">
        <v>2026</v>
      </c>
      <c r="D4358">
        <v>4</v>
      </c>
      <c r="E4358" t="s">
        <v>357</v>
      </c>
      <c r="F4358" t="s">
        <v>358</v>
      </c>
      <c r="G4358" t="s">
        <v>28</v>
      </c>
      <c r="H4358" t="s">
        <v>53</v>
      </c>
      <c r="I4358" t="s">
        <v>39</v>
      </c>
      <c r="J4358">
        <v>49</v>
      </c>
      <c r="K4358">
        <v>855.43</v>
      </c>
      <c r="L4358">
        <v>41915.86</v>
      </c>
      <c r="M4358">
        <v>20298.68</v>
      </c>
      <c r="N4358">
        <v>3510.64</v>
      </c>
      <c r="O4358">
        <v>1194.72</v>
      </c>
      <c r="P4358">
        <v>809.49</v>
      </c>
      <c r="Q4358">
        <v>656.41</v>
      </c>
      <c r="R4358">
        <v>1388.13</v>
      </c>
      <c r="S4358">
        <v>536.39</v>
      </c>
      <c r="T4358">
        <v>28394.47</v>
      </c>
      <c r="U4358">
        <v>21617.17</v>
      </c>
      <c r="V4358">
        <v>13521.39</v>
      </c>
      <c r="W4358">
        <v>12258.23</v>
      </c>
      <c r="X4358">
        <v>41693.08</v>
      </c>
      <c r="Y4358">
        <v>29498.35</v>
      </c>
    </row>
    <row r="4359" spans="1:25" x14ac:dyDescent="0.25">
      <c r="A4359" t="s">
        <v>4415</v>
      </c>
      <c r="B4359" s="1">
        <v>46122</v>
      </c>
      <c r="C4359">
        <v>2026</v>
      </c>
      <c r="D4359">
        <v>4</v>
      </c>
      <c r="E4359" t="s">
        <v>357</v>
      </c>
      <c r="F4359" t="s">
        <v>358</v>
      </c>
      <c r="G4359" t="s">
        <v>28</v>
      </c>
      <c r="H4359" t="s">
        <v>32</v>
      </c>
      <c r="I4359" t="s">
        <v>50</v>
      </c>
      <c r="J4359">
        <v>81</v>
      </c>
      <c r="K4359">
        <v>901.71</v>
      </c>
      <c r="L4359">
        <v>73038.63</v>
      </c>
      <c r="M4359">
        <v>48662.65</v>
      </c>
      <c r="N4359">
        <v>8673</v>
      </c>
      <c r="O4359">
        <v>1840.2</v>
      </c>
      <c r="P4359">
        <v>2791.21</v>
      </c>
      <c r="Q4359">
        <v>642.47</v>
      </c>
      <c r="R4359">
        <v>2916.75</v>
      </c>
      <c r="S4359">
        <v>1529.53</v>
      </c>
      <c r="T4359">
        <v>67055.81</v>
      </c>
      <c r="U4359">
        <v>24375.98</v>
      </c>
      <c r="V4359">
        <v>5982.82</v>
      </c>
      <c r="W4359">
        <v>5703.88</v>
      </c>
      <c r="X4359">
        <v>77806.490000000005</v>
      </c>
      <c r="Y4359">
        <v>73527.94</v>
      </c>
    </row>
    <row r="4360" spans="1:25" x14ac:dyDescent="0.25">
      <c r="A4360" t="s">
        <v>4416</v>
      </c>
      <c r="B4360" s="1">
        <v>46122</v>
      </c>
      <c r="C4360">
        <v>2026</v>
      </c>
      <c r="D4360">
        <v>4</v>
      </c>
      <c r="E4360" t="s">
        <v>357</v>
      </c>
      <c r="F4360" t="s">
        <v>358</v>
      </c>
      <c r="G4360" t="s">
        <v>44</v>
      </c>
      <c r="H4360" t="s">
        <v>36</v>
      </c>
      <c r="I4360" t="s">
        <v>33</v>
      </c>
      <c r="J4360">
        <v>59</v>
      </c>
      <c r="K4360">
        <v>862.91</v>
      </c>
      <c r="L4360">
        <v>50911.78</v>
      </c>
      <c r="M4360">
        <v>30824.15</v>
      </c>
      <c r="N4360">
        <v>5807.3</v>
      </c>
      <c r="O4360">
        <v>2624.23</v>
      </c>
      <c r="P4360">
        <v>1149.8699999999999</v>
      </c>
      <c r="Q4360">
        <v>757.32</v>
      </c>
      <c r="R4360">
        <v>2173.6</v>
      </c>
      <c r="S4360">
        <v>1036.23</v>
      </c>
      <c r="T4360">
        <v>44372.7</v>
      </c>
      <c r="U4360">
        <v>20087.63</v>
      </c>
      <c r="V4360">
        <v>6539.08</v>
      </c>
      <c r="W4360">
        <v>6464.37</v>
      </c>
      <c r="X4360">
        <v>50549.56</v>
      </c>
      <c r="Y4360">
        <v>47393.82</v>
      </c>
    </row>
    <row r="4361" spans="1:25" x14ac:dyDescent="0.25">
      <c r="A4361" t="s">
        <v>4417</v>
      </c>
      <c r="B4361" s="1">
        <v>46122</v>
      </c>
      <c r="C4361">
        <v>2026</v>
      </c>
      <c r="D4361">
        <v>4</v>
      </c>
      <c r="E4361" t="s">
        <v>357</v>
      </c>
      <c r="F4361" t="s">
        <v>358</v>
      </c>
      <c r="G4361" t="s">
        <v>44</v>
      </c>
      <c r="H4361" t="s">
        <v>32</v>
      </c>
      <c r="I4361" t="s">
        <v>50</v>
      </c>
      <c r="J4361">
        <v>53</v>
      </c>
      <c r="K4361">
        <v>1116.94</v>
      </c>
      <c r="L4361">
        <v>59197.73</v>
      </c>
      <c r="M4361">
        <v>33863.18</v>
      </c>
      <c r="N4361">
        <v>7670.24</v>
      </c>
      <c r="O4361">
        <v>2966.69</v>
      </c>
      <c r="P4361">
        <v>2491.9699999999998</v>
      </c>
      <c r="Q4361">
        <v>933.46</v>
      </c>
      <c r="R4361">
        <v>2851.53</v>
      </c>
      <c r="S4361">
        <v>615.16999999999996</v>
      </c>
      <c r="T4361">
        <v>51392.24</v>
      </c>
      <c r="U4361">
        <v>25334.55</v>
      </c>
      <c r="V4361">
        <v>7805.48</v>
      </c>
      <c r="W4361">
        <v>7380.39</v>
      </c>
      <c r="X4361">
        <v>64690.66</v>
      </c>
      <c r="Y4361">
        <v>52216.73</v>
      </c>
    </row>
    <row r="4362" spans="1:25" x14ac:dyDescent="0.25">
      <c r="A4362" t="s">
        <v>4418</v>
      </c>
      <c r="B4362" s="1">
        <v>46122</v>
      </c>
      <c r="C4362">
        <v>2026</v>
      </c>
      <c r="D4362">
        <v>4</v>
      </c>
      <c r="E4362" t="s">
        <v>357</v>
      </c>
      <c r="F4362" t="s">
        <v>358</v>
      </c>
      <c r="G4362" t="s">
        <v>55</v>
      </c>
      <c r="H4362" t="s">
        <v>32</v>
      </c>
      <c r="I4362" t="s">
        <v>45</v>
      </c>
      <c r="J4362">
        <v>54</v>
      </c>
      <c r="K4362">
        <v>1175.4000000000001</v>
      </c>
      <c r="L4362">
        <v>63471.71</v>
      </c>
      <c r="M4362">
        <v>39186.019999999997</v>
      </c>
      <c r="N4362">
        <v>6198.29</v>
      </c>
      <c r="O4362">
        <v>3896.87</v>
      </c>
      <c r="P4362">
        <v>2181.58</v>
      </c>
      <c r="Q4362">
        <v>1027.19</v>
      </c>
      <c r="R4362">
        <v>3631.41</v>
      </c>
      <c r="S4362">
        <v>1310.83</v>
      </c>
      <c r="T4362">
        <v>57432.19</v>
      </c>
      <c r="U4362">
        <v>24285.69</v>
      </c>
      <c r="V4362">
        <v>6039.52</v>
      </c>
      <c r="W4362">
        <v>5458.58</v>
      </c>
      <c r="X4362">
        <v>67293</v>
      </c>
      <c r="Y4362">
        <v>55543.32</v>
      </c>
    </row>
    <row r="4363" spans="1:25" x14ac:dyDescent="0.25">
      <c r="A4363" t="s">
        <v>4419</v>
      </c>
      <c r="B4363" s="1">
        <v>46123</v>
      </c>
      <c r="C4363">
        <v>2026</v>
      </c>
      <c r="D4363">
        <v>4</v>
      </c>
      <c r="E4363" t="s">
        <v>357</v>
      </c>
      <c r="F4363" t="s">
        <v>358</v>
      </c>
      <c r="G4363" t="s">
        <v>44</v>
      </c>
      <c r="H4363" t="s">
        <v>58</v>
      </c>
      <c r="I4363" t="s">
        <v>39</v>
      </c>
      <c r="J4363">
        <v>26</v>
      </c>
      <c r="K4363">
        <v>1300.51</v>
      </c>
      <c r="L4363">
        <v>33813.339999999997</v>
      </c>
      <c r="M4363">
        <v>16793.330000000002</v>
      </c>
      <c r="N4363">
        <v>2622.71</v>
      </c>
      <c r="O4363">
        <v>1862.63</v>
      </c>
      <c r="P4363">
        <v>990.34</v>
      </c>
      <c r="Q4363">
        <v>563.73</v>
      </c>
      <c r="R4363">
        <v>1412.02</v>
      </c>
      <c r="S4363">
        <v>362.68</v>
      </c>
      <c r="T4363">
        <v>24607.439999999999</v>
      </c>
      <c r="U4363">
        <v>17020.009999999998</v>
      </c>
      <c r="V4363">
        <v>9205.89</v>
      </c>
      <c r="W4363">
        <v>9241.25</v>
      </c>
      <c r="X4363">
        <v>32352.36</v>
      </c>
      <c r="Y4363">
        <v>23939.599999999999</v>
      </c>
    </row>
    <row r="4364" spans="1:25" x14ac:dyDescent="0.25">
      <c r="A4364" t="s">
        <v>4420</v>
      </c>
      <c r="B4364" s="1">
        <v>46123</v>
      </c>
      <c r="C4364">
        <v>2026</v>
      </c>
      <c r="D4364">
        <v>4</v>
      </c>
      <c r="E4364" t="s">
        <v>357</v>
      </c>
      <c r="F4364" t="s">
        <v>358</v>
      </c>
      <c r="G4364" t="s">
        <v>55</v>
      </c>
      <c r="H4364" t="s">
        <v>32</v>
      </c>
      <c r="I4364" t="s">
        <v>56</v>
      </c>
      <c r="J4364">
        <v>45</v>
      </c>
      <c r="K4364">
        <v>853</v>
      </c>
      <c r="L4364">
        <v>38384.79</v>
      </c>
      <c r="M4364">
        <v>21950.67</v>
      </c>
      <c r="N4364">
        <v>2776.53</v>
      </c>
      <c r="O4364">
        <v>1141.5999999999999</v>
      </c>
      <c r="P4364">
        <v>1516.28</v>
      </c>
      <c r="Q4364">
        <v>438.69</v>
      </c>
      <c r="R4364">
        <v>981.69</v>
      </c>
      <c r="S4364">
        <v>882.03</v>
      </c>
      <c r="T4364">
        <v>29687.49</v>
      </c>
      <c r="U4364">
        <v>16434.12</v>
      </c>
      <c r="V4364">
        <v>8697.2999999999993</v>
      </c>
      <c r="W4364">
        <v>8058.5</v>
      </c>
      <c r="X4364">
        <v>41674.400000000001</v>
      </c>
      <c r="Y4364">
        <v>32454.29</v>
      </c>
    </row>
    <row r="4365" spans="1:25" x14ac:dyDescent="0.25">
      <c r="A4365" t="s">
        <v>4421</v>
      </c>
      <c r="B4365" s="1">
        <v>46123</v>
      </c>
      <c r="C4365">
        <v>2026</v>
      </c>
      <c r="D4365">
        <v>4</v>
      </c>
      <c r="E4365" t="s">
        <v>357</v>
      </c>
      <c r="F4365" t="s">
        <v>358</v>
      </c>
      <c r="G4365" t="s">
        <v>28</v>
      </c>
      <c r="H4365" t="s">
        <v>58</v>
      </c>
      <c r="I4365" t="s">
        <v>56</v>
      </c>
      <c r="J4365">
        <v>29</v>
      </c>
      <c r="K4365">
        <v>1253.05</v>
      </c>
      <c r="L4365">
        <v>36338.339999999997</v>
      </c>
      <c r="M4365">
        <v>19776.89</v>
      </c>
      <c r="N4365">
        <v>3687.88</v>
      </c>
      <c r="O4365">
        <v>1374.68</v>
      </c>
      <c r="P4365">
        <v>1421.48</v>
      </c>
      <c r="Q4365">
        <v>592.89</v>
      </c>
      <c r="R4365">
        <v>1834.4</v>
      </c>
      <c r="S4365">
        <v>556.12</v>
      </c>
      <c r="T4365">
        <v>29244.35</v>
      </c>
      <c r="U4365">
        <v>16561.439999999999</v>
      </c>
      <c r="V4365">
        <v>7093.98</v>
      </c>
      <c r="W4365">
        <v>7070.21</v>
      </c>
      <c r="X4365">
        <v>33722.559999999998</v>
      </c>
      <c r="Y4365">
        <v>27357.759999999998</v>
      </c>
    </row>
    <row r="4366" spans="1:25" x14ac:dyDescent="0.25">
      <c r="A4366" t="s">
        <v>4422</v>
      </c>
      <c r="B4366" s="1">
        <v>46123</v>
      </c>
      <c r="C4366">
        <v>2026</v>
      </c>
      <c r="D4366">
        <v>4</v>
      </c>
      <c r="E4366" t="s">
        <v>357</v>
      </c>
      <c r="F4366" t="s">
        <v>358</v>
      </c>
      <c r="G4366" t="s">
        <v>28</v>
      </c>
      <c r="H4366" t="s">
        <v>36</v>
      </c>
      <c r="I4366" t="s">
        <v>33</v>
      </c>
      <c r="J4366">
        <v>43</v>
      </c>
      <c r="K4366">
        <v>1772.91</v>
      </c>
      <c r="L4366">
        <v>76235.039999999994</v>
      </c>
      <c r="M4366">
        <v>45537.23</v>
      </c>
      <c r="N4366">
        <v>7846.09</v>
      </c>
      <c r="O4366">
        <v>4512.1899999999996</v>
      </c>
      <c r="P4366">
        <v>2797.39</v>
      </c>
      <c r="Q4366">
        <v>683.38</v>
      </c>
      <c r="R4366">
        <v>3685.32</v>
      </c>
      <c r="S4366">
        <v>1022.77</v>
      </c>
      <c r="T4366">
        <v>66084.38</v>
      </c>
      <c r="U4366">
        <v>30697.82</v>
      </c>
      <c r="V4366">
        <v>10150.67</v>
      </c>
      <c r="W4366">
        <v>9647.9699999999993</v>
      </c>
      <c r="X4366">
        <v>71049.23</v>
      </c>
      <c r="Y4366">
        <v>64227.81</v>
      </c>
    </row>
    <row r="4367" spans="1:25" x14ac:dyDescent="0.25">
      <c r="A4367" t="s">
        <v>4423</v>
      </c>
      <c r="B4367" s="1">
        <v>46124</v>
      </c>
      <c r="C4367">
        <v>2026</v>
      </c>
      <c r="D4367">
        <v>4</v>
      </c>
      <c r="E4367" t="s">
        <v>357</v>
      </c>
      <c r="F4367" t="s">
        <v>358</v>
      </c>
      <c r="G4367" t="s">
        <v>55</v>
      </c>
      <c r="H4367" t="s">
        <v>32</v>
      </c>
      <c r="I4367" t="s">
        <v>65</v>
      </c>
      <c r="J4367">
        <v>41</v>
      </c>
      <c r="K4367">
        <v>1446.15</v>
      </c>
      <c r="L4367">
        <v>59291.97</v>
      </c>
      <c r="M4367">
        <v>29875.08</v>
      </c>
      <c r="N4367">
        <v>5277.83</v>
      </c>
      <c r="O4367">
        <v>1703.17</v>
      </c>
      <c r="P4367">
        <v>2229.2399999999998</v>
      </c>
      <c r="Q4367">
        <v>984.81</v>
      </c>
      <c r="R4367">
        <v>3069.32</v>
      </c>
      <c r="S4367">
        <v>1279.6199999999999</v>
      </c>
      <c r="T4367">
        <v>44419.06</v>
      </c>
      <c r="U4367">
        <v>29416.89</v>
      </c>
      <c r="V4367">
        <v>14872.91</v>
      </c>
      <c r="W4367">
        <v>13096.96</v>
      </c>
      <c r="X4367">
        <v>59952.53</v>
      </c>
      <c r="Y4367">
        <v>43238.879999999997</v>
      </c>
    </row>
    <row r="4368" spans="1:25" x14ac:dyDescent="0.25">
      <c r="A4368" t="s">
        <v>4424</v>
      </c>
      <c r="B4368" s="1">
        <v>46125</v>
      </c>
      <c r="C4368">
        <v>2026</v>
      </c>
      <c r="D4368">
        <v>4</v>
      </c>
      <c r="E4368" t="s">
        <v>357</v>
      </c>
      <c r="F4368" t="s">
        <v>358</v>
      </c>
      <c r="G4368" t="s">
        <v>55</v>
      </c>
      <c r="H4368" t="s">
        <v>53</v>
      </c>
      <c r="I4368" t="s">
        <v>65</v>
      </c>
      <c r="J4368">
        <v>26</v>
      </c>
      <c r="K4368">
        <v>1701.91</v>
      </c>
      <c r="L4368">
        <v>44249.56</v>
      </c>
      <c r="M4368">
        <v>26015.15</v>
      </c>
      <c r="N4368">
        <v>4547.29</v>
      </c>
      <c r="O4368">
        <v>2171.4699999999998</v>
      </c>
      <c r="P4368">
        <v>722.59</v>
      </c>
      <c r="Q4368">
        <v>681.13</v>
      </c>
      <c r="R4368">
        <v>1877.81</v>
      </c>
      <c r="S4368">
        <v>788.12</v>
      </c>
      <c r="T4368">
        <v>36803.57</v>
      </c>
      <c r="U4368">
        <v>18234.400000000001</v>
      </c>
      <c r="V4368">
        <v>7445.99</v>
      </c>
      <c r="W4368">
        <v>6816.95</v>
      </c>
      <c r="X4368">
        <v>48190.85</v>
      </c>
      <c r="Y4368">
        <v>35859.39</v>
      </c>
    </row>
    <row r="4369" spans="1:25" x14ac:dyDescent="0.25">
      <c r="A4369" t="s">
        <v>4425</v>
      </c>
      <c r="B4369" s="1">
        <v>46125</v>
      </c>
      <c r="C4369">
        <v>2026</v>
      </c>
      <c r="D4369">
        <v>4</v>
      </c>
      <c r="E4369" t="s">
        <v>357</v>
      </c>
      <c r="F4369" t="s">
        <v>358</v>
      </c>
      <c r="G4369" t="s">
        <v>35</v>
      </c>
      <c r="H4369" t="s">
        <v>53</v>
      </c>
      <c r="I4369" t="s">
        <v>39</v>
      </c>
      <c r="J4369">
        <v>34</v>
      </c>
      <c r="K4369">
        <v>890.19</v>
      </c>
      <c r="L4369">
        <v>30266.57</v>
      </c>
      <c r="M4369">
        <v>14785.9</v>
      </c>
      <c r="N4369">
        <v>3106.8</v>
      </c>
      <c r="O4369">
        <v>1351.33</v>
      </c>
      <c r="P4369">
        <v>1253.4100000000001</v>
      </c>
      <c r="Q4369">
        <v>354.6</v>
      </c>
      <c r="R4369">
        <v>1739.88</v>
      </c>
      <c r="S4369">
        <v>284.08999999999997</v>
      </c>
      <c r="T4369">
        <v>22876</v>
      </c>
      <c r="U4369">
        <v>15480.66</v>
      </c>
      <c r="V4369">
        <v>7390.57</v>
      </c>
      <c r="W4369">
        <v>6817.2</v>
      </c>
      <c r="X4369">
        <v>32321.52</v>
      </c>
      <c r="Y4369">
        <v>24420.97</v>
      </c>
    </row>
    <row r="4370" spans="1:25" x14ac:dyDescent="0.25">
      <c r="A4370" t="s">
        <v>4426</v>
      </c>
      <c r="B4370" s="1">
        <v>46125</v>
      </c>
      <c r="C4370">
        <v>2026</v>
      </c>
      <c r="D4370">
        <v>4</v>
      </c>
      <c r="E4370" t="s">
        <v>357</v>
      </c>
      <c r="F4370" t="s">
        <v>358</v>
      </c>
      <c r="G4370" t="s">
        <v>28</v>
      </c>
      <c r="H4370" t="s">
        <v>53</v>
      </c>
      <c r="I4370" t="s">
        <v>56</v>
      </c>
      <c r="J4370">
        <v>35</v>
      </c>
      <c r="K4370">
        <v>1102.2</v>
      </c>
      <c r="L4370">
        <v>38576.99</v>
      </c>
      <c r="M4370">
        <v>24608.65</v>
      </c>
      <c r="N4370">
        <v>4805.51</v>
      </c>
      <c r="O4370">
        <v>1830.72</v>
      </c>
      <c r="P4370">
        <v>1733.46</v>
      </c>
      <c r="Q4370">
        <v>201.92</v>
      </c>
      <c r="R4370">
        <v>1132.99</v>
      </c>
      <c r="S4370">
        <v>340.41</v>
      </c>
      <c r="T4370">
        <v>34653.67</v>
      </c>
      <c r="U4370">
        <v>13968.34</v>
      </c>
      <c r="V4370">
        <v>3923.32</v>
      </c>
      <c r="W4370">
        <v>3815.3</v>
      </c>
      <c r="X4370">
        <v>39517.82</v>
      </c>
      <c r="Y4370">
        <v>35432.74</v>
      </c>
    </row>
    <row r="4371" spans="1:25" x14ac:dyDescent="0.25">
      <c r="A4371" t="s">
        <v>4427</v>
      </c>
      <c r="B4371" s="1">
        <v>46126</v>
      </c>
      <c r="C4371">
        <v>2026</v>
      </c>
      <c r="D4371">
        <v>4</v>
      </c>
      <c r="E4371" t="s">
        <v>357</v>
      </c>
      <c r="F4371" t="s">
        <v>358</v>
      </c>
      <c r="G4371" t="s">
        <v>44</v>
      </c>
      <c r="H4371" t="s">
        <v>36</v>
      </c>
      <c r="I4371" t="s">
        <v>30</v>
      </c>
      <c r="J4371">
        <v>82</v>
      </c>
      <c r="K4371">
        <v>1194.4100000000001</v>
      </c>
      <c r="L4371">
        <v>97941.86</v>
      </c>
      <c r="M4371">
        <v>57092.41</v>
      </c>
      <c r="N4371">
        <v>10705.51</v>
      </c>
      <c r="O4371">
        <v>3739.72</v>
      </c>
      <c r="P4371">
        <v>3285.43</v>
      </c>
      <c r="Q4371">
        <v>813.43</v>
      </c>
      <c r="R4371">
        <v>5474.26</v>
      </c>
      <c r="S4371">
        <v>1654.24</v>
      </c>
      <c r="T4371">
        <v>82765</v>
      </c>
      <c r="U4371">
        <v>40849.449999999997</v>
      </c>
      <c r="V4371">
        <v>15176.86</v>
      </c>
      <c r="W4371">
        <v>13469.96</v>
      </c>
      <c r="X4371">
        <v>99279.82</v>
      </c>
      <c r="Y4371">
        <v>81252.320000000007</v>
      </c>
    </row>
    <row r="4372" spans="1:25" x14ac:dyDescent="0.25">
      <c r="A4372" t="s">
        <v>4428</v>
      </c>
      <c r="B4372" s="1">
        <v>46126</v>
      </c>
      <c r="C4372">
        <v>2026</v>
      </c>
      <c r="D4372">
        <v>4</v>
      </c>
      <c r="E4372" t="s">
        <v>357</v>
      </c>
      <c r="F4372" t="s">
        <v>358</v>
      </c>
      <c r="G4372" t="s">
        <v>28</v>
      </c>
      <c r="H4372" t="s">
        <v>53</v>
      </c>
      <c r="I4372" t="s">
        <v>37</v>
      </c>
      <c r="J4372">
        <v>39</v>
      </c>
      <c r="K4372">
        <v>1765.08</v>
      </c>
      <c r="L4372">
        <v>68838.179999999993</v>
      </c>
      <c r="M4372">
        <v>45688.91</v>
      </c>
      <c r="N4372">
        <v>7118.24</v>
      </c>
      <c r="O4372">
        <v>4558.42</v>
      </c>
      <c r="P4372">
        <v>2512.48</v>
      </c>
      <c r="Q4372">
        <v>859.39</v>
      </c>
      <c r="R4372">
        <v>3457.85</v>
      </c>
      <c r="S4372">
        <v>648.63</v>
      </c>
      <c r="T4372">
        <v>64843.91</v>
      </c>
      <c r="U4372">
        <v>23149.27</v>
      </c>
      <c r="V4372">
        <v>3994.27</v>
      </c>
      <c r="W4372">
        <v>3943.53</v>
      </c>
      <c r="X4372">
        <v>67778.3</v>
      </c>
      <c r="Y4372">
        <v>68818.73</v>
      </c>
    </row>
    <row r="4373" spans="1:25" x14ac:dyDescent="0.25">
      <c r="A4373" t="s">
        <v>4429</v>
      </c>
      <c r="B4373" s="1">
        <v>46126</v>
      </c>
      <c r="C4373">
        <v>2026</v>
      </c>
      <c r="D4373">
        <v>4</v>
      </c>
      <c r="E4373" t="s">
        <v>357</v>
      </c>
      <c r="F4373" t="s">
        <v>358</v>
      </c>
      <c r="G4373" t="s">
        <v>44</v>
      </c>
      <c r="H4373" t="s">
        <v>36</v>
      </c>
      <c r="I4373" t="s">
        <v>45</v>
      </c>
      <c r="J4373">
        <v>19</v>
      </c>
      <c r="K4373">
        <v>1754.87</v>
      </c>
      <c r="L4373">
        <v>33342.480000000003</v>
      </c>
      <c r="M4373">
        <v>16589.45</v>
      </c>
      <c r="N4373">
        <v>2538.2199999999998</v>
      </c>
      <c r="O4373">
        <v>2219.38</v>
      </c>
      <c r="P4373">
        <v>1120.7</v>
      </c>
      <c r="Q4373">
        <v>542.24</v>
      </c>
      <c r="R4373">
        <v>1179.82</v>
      </c>
      <c r="S4373">
        <v>777.01</v>
      </c>
      <c r="T4373">
        <v>24966.82</v>
      </c>
      <c r="U4373">
        <v>16753.03</v>
      </c>
      <c r="V4373">
        <v>8375.65</v>
      </c>
      <c r="W4373">
        <v>8161.47</v>
      </c>
      <c r="X4373">
        <v>34852.89</v>
      </c>
      <c r="Y4373">
        <v>26056.3</v>
      </c>
    </row>
    <row r="4374" spans="1:25" x14ac:dyDescent="0.25">
      <c r="A4374" t="s">
        <v>4430</v>
      </c>
      <c r="B4374" s="1">
        <v>46127</v>
      </c>
      <c r="C4374">
        <v>2026</v>
      </c>
      <c r="D4374">
        <v>4</v>
      </c>
      <c r="E4374" t="s">
        <v>357</v>
      </c>
      <c r="F4374" t="s">
        <v>358</v>
      </c>
      <c r="G4374" t="s">
        <v>35</v>
      </c>
      <c r="H4374" t="s">
        <v>36</v>
      </c>
      <c r="I4374" t="s">
        <v>45</v>
      </c>
      <c r="J4374">
        <v>26</v>
      </c>
      <c r="K4374">
        <v>1582.07</v>
      </c>
      <c r="L4374">
        <v>41133.75</v>
      </c>
      <c r="M4374">
        <v>27882.38</v>
      </c>
      <c r="N4374">
        <v>5247.26</v>
      </c>
      <c r="O4374">
        <v>1795.71</v>
      </c>
      <c r="P4374">
        <v>1221.6199999999999</v>
      </c>
      <c r="Q4374">
        <v>325.87</v>
      </c>
      <c r="R4374">
        <v>1150.8399999999999</v>
      </c>
      <c r="S4374">
        <v>869.54</v>
      </c>
      <c r="T4374">
        <v>38493.21</v>
      </c>
      <c r="U4374">
        <v>13251.37</v>
      </c>
      <c r="V4374">
        <v>2640.53</v>
      </c>
      <c r="W4374">
        <v>2626.39</v>
      </c>
      <c r="X4374">
        <v>42597.69</v>
      </c>
      <c r="Y4374">
        <v>38021.18</v>
      </c>
    </row>
    <row r="4375" spans="1:25" x14ac:dyDescent="0.25">
      <c r="A4375" t="s">
        <v>4431</v>
      </c>
      <c r="B4375" s="1">
        <v>46127</v>
      </c>
      <c r="C4375">
        <v>2026</v>
      </c>
      <c r="D4375">
        <v>4</v>
      </c>
      <c r="E4375" t="s">
        <v>357</v>
      </c>
      <c r="F4375" t="s">
        <v>358</v>
      </c>
      <c r="G4375" t="s">
        <v>55</v>
      </c>
      <c r="H4375" t="s">
        <v>53</v>
      </c>
      <c r="I4375" t="s">
        <v>30</v>
      </c>
      <c r="J4375">
        <v>61</v>
      </c>
      <c r="K4375">
        <v>1315.21</v>
      </c>
      <c r="L4375">
        <v>80227.64</v>
      </c>
      <c r="M4375">
        <v>49956.27</v>
      </c>
      <c r="N4375">
        <v>6141.49</v>
      </c>
      <c r="O4375">
        <v>2234.3200000000002</v>
      </c>
      <c r="P4375">
        <v>2474.04</v>
      </c>
      <c r="Q4375">
        <v>1154.1600000000001</v>
      </c>
      <c r="R4375">
        <v>2940.48</v>
      </c>
      <c r="S4375">
        <v>1513.47</v>
      </c>
      <c r="T4375">
        <v>66414.23</v>
      </c>
      <c r="U4375">
        <v>30271.360000000001</v>
      </c>
      <c r="V4375">
        <v>13813.41</v>
      </c>
      <c r="W4375">
        <v>12231.64</v>
      </c>
      <c r="X4375">
        <v>86338.14</v>
      </c>
      <c r="Y4375">
        <v>63376.37</v>
      </c>
    </row>
    <row r="4376" spans="1:25" x14ac:dyDescent="0.25">
      <c r="A4376" t="s">
        <v>4432</v>
      </c>
      <c r="B4376" s="1">
        <v>46128</v>
      </c>
      <c r="C4376">
        <v>2026</v>
      </c>
      <c r="D4376">
        <v>4</v>
      </c>
      <c r="E4376" t="s">
        <v>357</v>
      </c>
      <c r="F4376" t="s">
        <v>358</v>
      </c>
      <c r="G4376" t="s">
        <v>44</v>
      </c>
      <c r="H4376" t="s">
        <v>32</v>
      </c>
      <c r="I4376" t="s">
        <v>45</v>
      </c>
      <c r="J4376">
        <v>51</v>
      </c>
      <c r="K4376">
        <v>953.94</v>
      </c>
      <c r="L4376">
        <v>48650.76</v>
      </c>
      <c r="M4376">
        <v>29455.200000000001</v>
      </c>
      <c r="N4376">
        <v>5759.25</v>
      </c>
      <c r="O4376">
        <v>1468.92</v>
      </c>
      <c r="P4376">
        <v>1314.75</v>
      </c>
      <c r="Q4376">
        <v>256</v>
      </c>
      <c r="R4376">
        <v>1958.66</v>
      </c>
      <c r="S4376">
        <v>862.8</v>
      </c>
      <c r="T4376">
        <v>41075.589999999997</v>
      </c>
      <c r="U4376">
        <v>19195.560000000001</v>
      </c>
      <c r="V4376">
        <v>7575.17</v>
      </c>
      <c r="W4376">
        <v>7109.06</v>
      </c>
      <c r="X4376">
        <v>46357.06</v>
      </c>
      <c r="Y4376">
        <v>44930.13</v>
      </c>
    </row>
    <row r="4377" spans="1:25" x14ac:dyDescent="0.25">
      <c r="A4377" t="s">
        <v>4433</v>
      </c>
      <c r="B4377" s="1">
        <v>46128</v>
      </c>
      <c r="C4377">
        <v>2026</v>
      </c>
      <c r="D4377">
        <v>4</v>
      </c>
      <c r="E4377" t="s">
        <v>357</v>
      </c>
      <c r="F4377" t="s">
        <v>358</v>
      </c>
      <c r="G4377" t="s">
        <v>44</v>
      </c>
      <c r="H4377" t="s">
        <v>36</v>
      </c>
      <c r="I4377" t="s">
        <v>65</v>
      </c>
      <c r="J4377">
        <v>58</v>
      </c>
      <c r="K4377">
        <v>910.31</v>
      </c>
      <c r="L4377">
        <v>52797.87</v>
      </c>
      <c r="M4377">
        <v>32960.699999999997</v>
      </c>
      <c r="N4377">
        <v>6231.37</v>
      </c>
      <c r="O4377">
        <v>3170.22</v>
      </c>
      <c r="P4377">
        <v>2026.41</v>
      </c>
      <c r="Q4377">
        <v>389.89</v>
      </c>
      <c r="R4377">
        <v>3107.44</v>
      </c>
      <c r="S4377">
        <v>1104.24</v>
      </c>
      <c r="T4377">
        <v>48990.27</v>
      </c>
      <c r="U4377">
        <v>19837.169999999998</v>
      </c>
      <c r="V4377">
        <v>3807.6</v>
      </c>
      <c r="W4377">
        <v>3427.66</v>
      </c>
      <c r="X4377">
        <v>51291.040000000001</v>
      </c>
      <c r="Y4377">
        <v>49890.42</v>
      </c>
    </row>
    <row r="4378" spans="1:25" x14ac:dyDescent="0.25">
      <c r="A4378" t="s">
        <v>4434</v>
      </c>
      <c r="B4378" s="1">
        <v>46128</v>
      </c>
      <c r="C4378">
        <v>2026</v>
      </c>
      <c r="D4378">
        <v>4</v>
      </c>
      <c r="E4378" t="s">
        <v>357</v>
      </c>
      <c r="F4378" t="s">
        <v>358</v>
      </c>
      <c r="G4378" t="s">
        <v>44</v>
      </c>
      <c r="H4378" t="s">
        <v>32</v>
      </c>
      <c r="I4378" t="s">
        <v>39</v>
      </c>
      <c r="J4378">
        <v>42</v>
      </c>
      <c r="K4378">
        <v>1391.87</v>
      </c>
      <c r="L4378">
        <v>58458.46</v>
      </c>
      <c r="M4378">
        <v>37737.410000000003</v>
      </c>
      <c r="N4378">
        <v>7219.33</v>
      </c>
      <c r="O4378">
        <v>3053.87</v>
      </c>
      <c r="P4378">
        <v>2489.64</v>
      </c>
      <c r="Q4378">
        <v>532.42999999999995</v>
      </c>
      <c r="R4378">
        <v>3303.48</v>
      </c>
      <c r="S4378">
        <v>505.77</v>
      </c>
      <c r="T4378">
        <v>54841.94</v>
      </c>
      <c r="U4378">
        <v>20721.060000000001</v>
      </c>
      <c r="V4378">
        <v>3616.53</v>
      </c>
      <c r="W4378">
        <v>3248.1</v>
      </c>
      <c r="X4378">
        <v>61441.05</v>
      </c>
      <c r="Y4378">
        <v>58808.15</v>
      </c>
    </row>
    <row r="4379" spans="1:25" x14ac:dyDescent="0.25">
      <c r="A4379" t="s">
        <v>4435</v>
      </c>
      <c r="B4379" s="1">
        <v>46128</v>
      </c>
      <c r="C4379">
        <v>2026</v>
      </c>
      <c r="D4379">
        <v>4</v>
      </c>
      <c r="E4379" t="s">
        <v>357</v>
      </c>
      <c r="F4379" t="s">
        <v>358</v>
      </c>
      <c r="G4379" t="s">
        <v>44</v>
      </c>
      <c r="H4379" t="s">
        <v>58</v>
      </c>
      <c r="I4379" t="s">
        <v>30</v>
      </c>
      <c r="J4379">
        <v>67</v>
      </c>
      <c r="K4379">
        <v>892.03</v>
      </c>
      <c r="L4379">
        <v>59766.239999999998</v>
      </c>
      <c r="M4379">
        <v>33387.71</v>
      </c>
      <c r="N4379">
        <v>5983.02</v>
      </c>
      <c r="O4379">
        <v>2444.65</v>
      </c>
      <c r="P4379">
        <v>2438.41</v>
      </c>
      <c r="Q4379">
        <v>745.06</v>
      </c>
      <c r="R4379">
        <v>2227.7800000000002</v>
      </c>
      <c r="S4379">
        <v>1082.8399999999999</v>
      </c>
      <c r="T4379">
        <v>48309.46</v>
      </c>
      <c r="U4379">
        <v>26378.53</v>
      </c>
      <c r="V4379">
        <v>11456.78</v>
      </c>
      <c r="W4379">
        <v>11042.53</v>
      </c>
      <c r="X4379">
        <v>61229.49</v>
      </c>
      <c r="Y4379">
        <v>49836.57</v>
      </c>
    </row>
    <row r="4380" spans="1:25" x14ac:dyDescent="0.25">
      <c r="A4380" t="s">
        <v>4436</v>
      </c>
      <c r="B4380" s="1">
        <v>46128</v>
      </c>
      <c r="C4380">
        <v>2026</v>
      </c>
      <c r="D4380">
        <v>4</v>
      </c>
      <c r="E4380" t="s">
        <v>357</v>
      </c>
      <c r="F4380" t="s">
        <v>358</v>
      </c>
      <c r="G4380" t="s">
        <v>28</v>
      </c>
      <c r="H4380" t="s">
        <v>36</v>
      </c>
      <c r="I4380" t="s">
        <v>39</v>
      </c>
      <c r="J4380">
        <v>21</v>
      </c>
      <c r="K4380">
        <v>1613.14</v>
      </c>
      <c r="L4380">
        <v>33875.9</v>
      </c>
      <c r="M4380">
        <v>21549.31</v>
      </c>
      <c r="N4380">
        <v>3550.13</v>
      </c>
      <c r="O4380">
        <v>1116.3900000000001</v>
      </c>
      <c r="P4380">
        <v>1139.1099999999999</v>
      </c>
      <c r="Q4380">
        <v>463.48</v>
      </c>
      <c r="R4380">
        <v>1110.2</v>
      </c>
      <c r="S4380">
        <v>353.83</v>
      </c>
      <c r="T4380">
        <v>29282.44</v>
      </c>
      <c r="U4380">
        <v>12326.6</v>
      </c>
      <c r="V4380">
        <v>4593.46</v>
      </c>
      <c r="W4380">
        <v>4537.3100000000004</v>
      </c>
      <c r="X4380">
        <v>31841.55</v>
      </c>
      <c r="Y4380">
        <v>31889.759999999998</v>
      </c>
    </row>
    <row r="4381" spans="1:25" x14ac:dyDescent="0.25">
      <c r="A4381" t="s">
        <v>4437</v>
      </c>
      <c r="B4381" s="1">
        <v>46128</v>
      </c>
      <c r="C4381">
        <v>2026</v>
      </c>
      <c r="D4381">
        <v>4</v>
      </c>
      <c r="E4381" t="s">
        <v>357</v>
      </c>
      <c r="F4381" t="s">
        <v>358</v>
      </c>
      <c r="G4381" t="s">
        <v>55</v>
      </c>
      <c r="H4381" t="s">
        <v>53</v>
      </c>
      <c r="I4381" t="s">
        <v>39</v>
      </c>
      <c r="J4381">
        <v>33</v>
      </c>
      <c r="K4381">
        <v>1094.57</v>
      </c>
      <c r="L4381">
        <v>36120.699999999997</v>
      </c>
      <c r="M4381">
        <v>17992.87</v>
      </c>
      <c r="N4381">
        <v>3150.79</v>
      </c>
      <c r="O4381">
        <v>1913.58</v>
      </c>
      <c r="P4381">
        <v>1611.29</v>
      </c>
      <c r="Q4381">
        <v>430.57</v>
      </c>
      <c r="R4381">
        <v>1077.73</v>
      </c>
      <c r="S4381">
        <v>810.12</v>
      </c>
      <c r="T4381">
        <v>26986.95</v>
      </c>
      <c r="U4381">
        <v>18127.84</v>
      </c>
      <c r="V4381">
        <v>9133.76</v>
      </c>
      <c r="W4381">
        <v>8053.77</v>
      </c>
      <c r="X4381">
        <v>35142.160000000003</v>
      </c>
      <c r="Y4381">
        <v>28885.56</v>
      </c>
    </row>
    <row r="4382" spans="1:25" x14ac:dyDescent="0.25">
      <c r="A4382" t="s">
        <v>4438</v>
      </c>
      <c r="B4382" s="1">
        <v>46128</v>
      </c>
      <c r="C4382">
        <v>2026</v>
      </c>
      <c r="D4382">
        <v>4</v>
      </c>
      <c r="E4382" t="s">
        <v>357</v>
      </c>
      <c r="F4382" t="s">
        <v>358</v>
      </c>
      <c r="G4382" t="s">
        <v>28</v>
      </c>
      <c r="H4382" t="s">
        <v>36</v>
      </c>
      <c r="I4382" t="s">
        <v>30</v>
      </c>
      <c r="J4382">
        <v>115</v>
      </c>
      <c r="K4382">
        <v>998.92</v>
      </c>
      <c r="L4382">
        <v>114875.59</v>
      </c>
      <c r="M4382">
        <v>57520.01</v>
      </c>
      <c r="N4382">
        <v>12926.92</v>
      </c>
      <c r="O4382">
        <v>7152.95</v>
      </c>
      <c r="P4382">
        <v>3731.41</v>
      </c>
      <c r="Q4382">
        <v>845.72</v>
      </c>
      <c r="R4382">
        <v>3133.68</v>
      </c>
      <c r="S4382">
        <v>2330.94</v>
      </c>
      <c r="T4382">
        <v>87641.65</v>
      </c>
      <c r="U4382">
        <v>57355.58</v>
      </c>
      <c r="V4382">
        <v>27233.95</v>
      </c>
      <c r="W4382">
        <v>26771.4</v>
      </c>
      <c r="X4382">
        <v>115085.49</v>
      </c>
      <c r="Y4382">
        <v>94284.64</v>
      </c>
    </row>
    <row r="4383" spans="1:25" x14ac:dyDescent="0.25">
      <c r="A4383" t="s">
        <v>4439</v>
      </c>
      <c r="B4383" s="1">
        <v>46129</v>
      </c>
      <c r="C4383">
        <v>2026</v>
      </c>
      <c r="D4383">
        <v>4</v>
      </c>
      <c r="E4383" t="s">
        <v>357</v>
      </c>
      <c r="F4383" t="s">
        <v>358</v>
      </c>
      <c r="G4383" t="s">
        <v>35</v>
      </c>
      <c r="H4383" t="s">
        <v>32</v>
      </c>
      <c r="I4383" t="s">
        <v>33</v>
      </c>
      <c r="J4383">
        <v>56</v>
      </c>
      <c r="K4383">
        <v>1602.3</v>
      </c>
      <c r="L4383">
        <v>89728.52</v>
      </c>
      <c r="M4383">
        <v>56005.38</v>
      </c>
      <c r="N4383">
        <v>9300.36</v>
      </c>
      <c r="O4383">
        <v>3921.12</v>
      </c>
      <c r="P4383">
        <v>3586.88</v>
      </c>
      <c r="Q4383">
        <v>935.93</v>
      </c>
      <c r="R4383">
        <v>2657.94</v>
      </c>
      <c r="S4383">
        <v>1529.09</v>
      </c>
      <c r="T4383">
        <v>77936.710000000006</v>
      </c>
      <c r="U4383">
        <v>33723.15</v>
      </c>
      <c r="V4383">
        <v>11791.82</v>
      </c>
      <c r="W4383">
        <v>10854.12</v>
      </c>
      <c r="X4383">
        <v>82592.36</v>
      </c>
      <c r="Y4383">
        <v>83388.86</v>
      </c>
    </row>
    <row r="4384" spans="1:25" x14ac:dyDescent="0.25">
      <c r="A4384" t="s">
        <v>4440</v>
      </c>
      <c r="B4384" s="1">
        <v>46129</v>
      </c>
      <c r="C4384">
        <v>2026</v>
      </c>
      <c r="D4384">
        <v>4</v>
      </c>
      <c r="E4384" t="s">
        <v>357</v>
      </c>
      <c r="F4384" t="s">
        <v>358</v>
      </c>
      <c r="G4384" t="s">
        <v>35</v>
      </c>
      <c r="H4384" t="s">
        <v>53</v>
      </c>
      <c r="I4384" t="s">
        <v>50</v>
      </c>
      <c r="J4384">
        <v>25</v>
      </c>
      <c r="K4384">
        <v>1695.36</v>
      </c>
      <c r="L4384">
        <v>42383.99</v>
      </c>
      <c r="M4384">
        <v>25592.39</v>
      </c>
      <c r="N4384">
        <v>3278.43</v>
      </c>
      <c r="O4384">
        <v>1276.02</v>
      </c>
      <c r="P4384">
        <v>1795.01</v>
      </c>
      <c r="Q4384">
        <v>396.58</v>
      </c>
      <c r="R4384">
        <v>1355.56</v>
      </c>
      <c r="S4384">
        <v>377.38</v>
      </c>
      <c r="T4384">
        <v>34071.360000000001</v>
      </c>
      <c r="U4384">
        <v>16791.599999999999</v>
      </c>
      <c r="V4384">
        <v>8312.6200000000008</v>
      </c>
      <c r="W4384">
        <v>7892.26</v>
      </c>
      <c r="X4384">
        <v>43226.06</v>
      </c>
      <c r="Y4384">
        <v>34685.230000000003</v>
      </c>
    </row>
    <row r="4385" spans="1:25" x14ac:dyDescent="0.25">
      <c r="A4385" t="s">
        <v>4441</v>
      </c>
      <c r="B4385" s="1">
        <v>46129</v>
      </c>
      <c r="C4385">
        <v>2026</v>
      </c>
      <c r="D4385">
        <v>4</v>
      </c>
      <c r="E4385" t="s">
        <v>357</v>
      </c>
      <c r="F4385" t="s">
        <v>358</v>
      </c>
      <c r="G4385" t="s">
        <v>55</v>
      </c>
      <c r="H4385" t="s">
        <v>36</v>
      </c>
      <c r="I4385" t="s">
        <v>30</v>
      </c>
      <c r="J4385">
        <v>71</v>
      </c>
      <c r="K4385">
        <v>1568.76</v>
      </c>
      <c r="L4385">
        <v>111381.75999999999</v>
      </c>
      <c r="M4385">
        <v>61174.89</v>
      </c>
      <c r="N4385">
        <v>12063.93</v>
      </c>
      <c r="O4385">
        <v>5516.42</v>
      </c>
      <c r="P4385">
        <v>3804.49</v>
      </c>
      <c r="Q4385">
        <v>994.04</v>
      </c>
      <c r="R4385">
        <v>5744.76</v>
      </c>
      <c r="S4385">
        <v>1698.01</v>
      </c>
      <c r="T4385">
        <v>90996.54</v>
      </c>
      <c r="U4385">
        <v>50206.87</v>
      </c>
      <c r="V4385">
        <v>20385.23</v>
      </c>
      <c r="W4385">
        <v>19956.259999999998</v>
      </c>
      <c r="X4385">
        <v>105571.77</v>
      </c>
      <c r="Y4385">
        <v>95234.97</v>
      </c>
    </row>
    <row r="4386" spans="1:25" x14ac:dyDescent="0.25">
      <c r="A4386" t="s">
        <v>4442</v>
      </c>
      <c r="B4386" s="1">
        <v>46130</v>
      </c>
      <c r="C4386">
        <v>2026</v>
      </c>
      <c r="D4386">
        <v>4</v>
      </c>
      <c r="E4386" t="s">
        <v>357</v>
      </c>
      <c r="F4386" t="s">
        <v>358</v>
      </c>
      <c r="G4386" t="s">
        <v>44</v>
      </c>
      <c r="H4386" t="s">
        <v>32</v>
      </c>
      <c r="I4386" t="s">
        <v>30</v>
      </c>
      <c r="J4386">
        <v>57</v>
      </c>
      <c r="K4386">
        <v>1300.51</v>
      </c>
      <c r="L4386">
        <v>74129.33</v>
      </c>
      <c r="M4386">
        <v>37709.25</v>
      </c>
      <c r="N4386">
        <v>9580.23</v>
      </c>
      <c r="O4386">
        <v>4415.7299999999996</v>
      </c>
      <c r="P4386">
        <v>2648.38</v>
      </c>
      <c r="Q4386">
        <v>458.52</v>
      </c>
      <c r="R4386">
        <v>3608.35</v>
      </c>
      <c r="S4386">
        <v>1181.68</v>
      </c>
      <c r="T4386">
        <v>59602.14</v>
      </c>
      <c r="U4386">
        <v>36420.080000000002</v>
      </c>
      <c r="V4386">
        <v>14527.19</v>
      </c>
      <c r="W4386">
        <v>13087.99</v>
      </c>
      <c r="X4386">
        <v>69214.710000000006</v>
      </c>
      <c r="Y4386">
        <v>57311.41</v>
      </c>
    </row>
    <row r="4387" spans="1:25" x14ac:dyDescent="0.25">
      <c r="A4387" t="s">
        <v>4443</v>
      </c>
      <c r="B4387" s="1">
        <v>46130</v>
      </c>
      <c r="C4387">
        <v>2026</v>
      </c>
      <c r="D4387">
        <v>4</v>
      </c>
      <c r="E4387" t="s">
        <v>357</v>
      </c>
      <c r="F4387" t="s">
        <v>358</v>
      </c>
      <c r="G4387" t="s">
        <v>44</v>
      </c>
      <c r="H4387" t="s">
        <v>53</v>
      </c>
      <c r="I4387" t="s">
        <v>37</v>
      </c>
      <c r="J4387">
        <v>40</v>
      </c>
      <c r="K4387">
        <v>1589.32</v>
      </c>
      <c r="L4387">
        <v>63573</v>
      </c>
      <c r="M4387">
        <v>38353.32</v>
      </c>
      <c r="N4387">
        <v>5715.96</v>
      </c>
      <c r="O4387">
        <v>4009.38</v>
      </c>
      <c r="P4387">
        <v>2103.11</v>
      </c>
      <c r="Q4387">
        <v>1039.01</v>
      </c>
      <c r="R4387">
        <v>3685.49</v>
      </c>
      <c r="S4387">
        <v>1262.71</v>
      </c>
      <c r="T4387">
        <v>56168.98</v>
      </c>
      <c r="U4387">
        <v>25219.67</v>
      </c>
      <c r="V4387">
        <v>7404.02</v>
      </c>
      <c r="W4387">
        <v>6548.58</v>
      </c>
      <c r="X4387">
        <v>65142.18</v>
      </c>
      <c r="Y4387">
        <v>53630.96</v>
      </c>
    </row>
    <row r="4388" spans="1:25" x14ac:dyDescent="0.25">
      <c r="A4388" t="s">
        <v>4444</v>
      </c>
      <c r="B4388" s="1">
        <v>46130</v>
      </c>
      <c r="C4388">
        <v>2026</v>
      </c>
      <c r="D4388">
        <v>4</v>
      </c>
      <c r="E4388" t="s">
        <v>357</v>
      </c>
      <c r="F4388" t="s">
        <v>358</v>
      </c>
      <c r="G4388" t="s">
        <v>28</v>
      </c>
      <c r="H4388" t="s">
        <v>36</v>
      </c>
      <c r="I4388" t="s">
        <v>39</v>
      </c>
      <c r="J4388">
        <v>39</v>
      </c>
      <c r="K4388">
        <v>1221.8599999999999</v>
      </c>
      <c r="L4388">
        <v>47652.47</v>
      </c>
      <c r="M4388">
        <v>23943.41</v>
      </c>
      <c r="N4388">
        <v>4158.16</v>
      </c>
      <c r="O4388">
        <v>3403.37</v>
      </c>
      <c r="P4388">
        <v>1000.15</v>
      </c>
      <c r="Q4388">
        <v>409.83</v>
      </c>
      <c r="R4388">
        <v>1477.04</v>
      </c>
      <c r="S4388">
        <v>1046.42</v>
      </c>
      <c r="T4388">
        <v>35438.370000000003</v>
      </c>
      <c r="U4388">
        <v>23709.06</v>
      </c>
      <c r="V4388">
        <v>12214.1</v>
      </c>
      <c r="W4388">
        <v>12252.59</v>
      </c>
      <c r="X4388">
        <v>48700.68</v>
      </c>
      <c r="Y4388">
        <v>35404.019999999997</v>
      </c>
    </row>
    <row r="4389" spans="1:25" x14ac:dyDescent="0.25">
      <c r="A4389" t="s">
        <v>4445</v>
      </c>
      <c r="B4389" s="1">
        <v>46130</v>
      </c>
      <c r="C4389">
        <v>2026</v>
      </c>
      <c r="D4389">
        <v>4</v>
      </c>
      <c r="E4389" t="s">
        <v>357</v>
      </c>
      <c r="F4389" t="s">
        <v>358</v>
      </c>
      <c r="G4389" t="s">
        <v>55</v>
      </c>
      <c r="H4389" t="s">
        <v>29</v>
      </c>
      <c r="I4389" t="s">
        <v>45</v>
      </c>
      <c r="J4389">
        <v>49</v>
      </c>
      <c r="K4389">
        <v>1222.57</v>
      </c>
      <c r="L4389">
        <v>59905.72</v>
      </c>
      <c r="M4389">
        <v>33121.51</v>
      </c>
      <c r="N4389">
        <v>6875.67</v>
      </c>
      <c r="O4389">
        <v>1866.57</v>
      </c>
      <c r="P4389">
        <v>2454.09</v>
      </c>
      <c r="Q4389">
        <v>850.74</v>
      </c>
      <c r="R4389">
        <v>3422.87</v>
      </c>
      <c r="S4389">
        <v>1052.3499999999999</v>
      </c>
      <c r="T4389">
        <v>49643.81</v>
      </c>
      <c r="U4389">
        <v>26784.21</v>
      </c>
      <c r="V4389">
        <v>10261.91</v>
      </c>
      <c r="W4389">
        <v>9256.7800000000007</v>
      </c>
      <c r="X4389">
        <v>56078.98</v>
      </c>
      <c r="Y4389">
        <v>51960.58</v>
      </c>
    </row>
    <row r="4390" spans="1:25" x14ac:dyDescent="0.25">
      <c r="A4390" t="s">
        <v>4446</v>
      </c>
      <c r="B4390" s="1">
        <v>46131</v>
      </c>
      <c r="C4390">
        <v>2026</v>
      </c>
      <c r="D4390">
        <v>4</v>
      </c>
      <c r="E4390" t="s">
        <v>357</v>
      </c>
      <c r="F4390" t="s">
        <v>358</v>
      </c>
      <c r="G4390" t="s">
        <v>28</v>
      </c>
      <c r="H4390" t="s">
        <v>32</v>
      </c>
      <c r="I4390" t="s">
        <v>56</v>
      </c>
      <c r="J4390">
        <v>23</v>
      </c>
      <c r="K4390">
        <v>1634.64</v>
      </c>
      <c r="L4390">
        <v>37596.769999999997</v>
      </c>
      <c r="M4390">
        <v>23662.39</v>
      </c>
      <c r="N4390">
        <v>4800.59</v>
      </c>
      <c r="O4390">
        <v>1641.64</v>
      </c>
      <c r="P4390">
        <v>740.82</v>
      </c>
      <c r="Q4390">
        <v>609.04</v>
      </c>
      <c r="R4390">
        <v>1827.81</v>
      </c>
      <c r="S4390">
        <v>408.21</v>
      </c>
      <c r="T4390">
        <v>33690.5</v>
      </c>
      <c r="U4390">
        <v>13934.38</v>
      </c>
      <c r="V4390">
        <v>3906.27</v>
      </c>
      <c r="W4390">
        <v>3599.01</v>
      </c>
      <c r="X4390">
        <v>34733.69</v>
      </c>
      <c r="Y4390">
        <v>35615.21</v>
      </c>
    </row>
    <row r="4391" spans="1:25" x14ac:dyDescent="0.25">
      <c r="A4391" t="s">
        <v>4447</v>
      </c>
      <c r="B4391" s="1">
        <v>46131</v>
      </c>
      <c r="C4391">
        <v>2026</v>
      </c>
      <c r="D4391">
        <v>4</v>
      </c>
      <c r="E4391" t="s">
        <v>357</v>
      </c>
      <c r="F4391" t="s">
        <v>358</v>
      </c>
      <c r="G4391" t="s">
        <v>44</v>
      </c>
      <c r="H4391" t="s">
        <v>32</v>
      </c>
      <c r="I4391" t="s">
        <v>33</v>
      </c>
      <c r="J4391">
        <v>111</v>
      </c>
      <c r="K4391">
        <v>933.47</v>
      </c>
      <c r="L4391">
        <v>103614.97</v>
      </c>
      <c r="M4391">
        <v>65963.22</v>
      </c>
      <c r="N4391">
        <v>7331.87</v>
      </c>
      <c r="O4391">
        <v>3525.69</v>
      </c>
      <c r="P4391">
        <v>4211.57</v>
      </c>
      <c r="Q4391">
        <v>1781.26</v>
      </c>
      <c r="R4391">
        <v>4580.51</v>
      </c>
      <c r="S4391">
        <v>1248.1199999999999</v>
      </c>
      <c r="T4391">
        <v>88642.23</v>
      </c>
      <c r="U4391">
        <v>37651.760000000002</v>
      </c>
      <c r="V4391">
        <v>14972.74</v>
      </c>
      <c r="W4391">
        <v>15044.78</v>
      </c>
      <c r="X4391">
        <v>107133.74</v>
      </c>
      <c r="Y4391">
        <v>89003.69</v>
      </c>
    </row>
    <row r="4392" spans="1:25" x14ac:dyDescent="0.25">
      <c r="A4392" t="s">
        <v>4448</v>
      </c>
      <c r="B4392" s="1">
        <v>46132</v>
      </c>
      <c r="C4392">
        <v>2026</v>
      </c>
      <c r="D4392">
        <v>4</v>
      </c>
      <c r="E4392" t="s">
        <v>357</v>
      </c>
      <c r="F4392" t="s">
        <v>358</v>
      </c>
      <c r="G4392" t="s">
        <v>55</v>
      </c>
      <c r="H4392" t="s">
        <v>36</v>
      </c>
      <c r="I4392" t="s">
        <v>65</v>
      </c>
      <c r="J4392">
        <v>52</v>
      </c>
      <c r="K4392">
        <v>1555.84</v>
      </c>
      <c r="L4392">
        <v>80903.91</v>
      </c>
      <c r="M4392">
        <v>43305.27</v>
      </c>
      <c r="N4392">
        <v>8596.24</v>
      </c>
      <c r="O4392">
        <v>2724.15</v>
      </c>
      <c r="P4392">
        <v>2035.2</v>
      </c>
      <c r="Q4392">
        <v>1189.98</v>
      </c>
      <c r="R4392">
        <v>4020.44</v>
      </c>
      <c r="S4392">
        <v>1882.71</v>
      </c>
      <c r="T4392">
        <v>63754</v>
      </c>
      <c r="U4392">
        <v>37598.65</v>
      </c>
      <c r="V4392">
        <v>17149.919999999998</v>
      </c>
      <c r="W4392">
        <v>16236.6</v>
      </c>
      <c r="X4392">
        <v>80050.3</v>
      </c>
      <c r="Y4392">
        <v>65264.4</v>
      </c>
    </row>
    <row r="4393" spans="1:25" x14ac:dyDescent="0.25">
      <c r="A4393" t="s">
        <v>4449</v>
      </c>
      <c r="B4393" s="1">
        <v>46132</v>
      </c>
      <c r="C4393">
        <v>2026</v>
      </c>
      <c r="D4393">
        <v>4</v>
      </c>
      <c r="E4393" t="s">
        <v>357</v>
      </c>
      <c r="F4393" t="s">
        <v>358</v>
      </c>
      <c r="G4393" t="s">
        <v>55</v>
      </c>
      <c r="H4393" t="s">
        <v>32</v>
      </c>
      <c r="I4393" t="s">
        <v>45</v>
      </c>
      <c r="J4393">
        <v>38</v>
      </c>
      <c r="K4393">
        <v>1326.37</v>
      </c>
      <c r="L4393">
        <v>50402.2</v>
      </c>
      <c r="M4393">
        <v>31507.88</v>
      </c>
      <c r="N4393">
        <v>6217.68</v>
      </c>
      <c r="O4393">
        <v>2959.02</v>
      </c>
      <c r="P4393">
        <v>1765.21</v>
      </c>
      <c r="Q4393">
        <v>427.92</v>
      </c>
      <c r="R4393">
        <v>1624.04</v>
      </c>
      <c r="S4393">
        <v>432.84</v>
      </c>
      <c r="T4393">
        <v>44934.59</v>
      </c>
      <c r="U4393">
        <v>18894.32</v>
      </c>
      <c r="V4393">
        <v>5467.62</v>
      </c>
      <c r="W4393">
        <v>5168.8500000000004</v>
      </c>
      <c r="X4393">
        <v>49773.86</v>
      </c>
      <c r="Y4393">
        <v>45447.15</v>
      </c>
    </row>
    <row r="4394" spans="1:25" x14ac:dyDescent="0.25">
      <c r="A4394" t="s">
        <v>4450</v>
      </c>
      <c r="B4394" s="1">
        <v>46132</v>
      </c>
      <c r="C4394">
        <v>2026</v>
      </c>
      <c r="D4394">
        <v>4</v>
      </c>
      <c r="E4394" t="s">
        <v>357</v>
      </c>
      <c r="F4394" t="s">
        <v>358</v>
      </c>
      <c r="G4394" t="s">
        <v>28</v>
      </c>
      <c r="H4394" t="s">
        <v>32</v>
      </c>
      <c r="I4394" t="s">
        <v>37</v>
      </c>
      <c r="J4394">
        <v>59</v>
      </c>
      <c r="K4394">
        <v>1608.29</v>
      </c>
      <c r="L4394">
        <v>94889.31</v>
      </c>
      <c r="M4394">
        <v>47609.99</v>
      </c>
      <c r="N4394">
        <v>9052.4699999999993</v>
      </c>
      <c r="O4394">
        <v>6075.65</v>
      </c>
      <c r="P4394">
        <v>2659.53</v>
      </c>
      <c r="Q4394">
        <v>1433.17</v>
      </c>
      <c r="R4394">
        <v>2878.15</v>
      </c>
      <c r="S4394">
        <v>2077.81</v>
      </c>
      <c r="T4394">
        <v>71786.759999999995</v>
      </c>
      <c r="U4394">
        <v>47279.33</v>
      </c>
      <c r="V4394">
        <v>23102.55</v>
      </c>
      <c r="W4394">
        <v>23276.11</v>
      </c>
      <c r="X4394">
        <v>103430.8</v>
      </c>
      <c r="Y4394">
        <v>71432.14</v>
      </c>
    </row>
    <row r="4395" spans="1:25" x14ac:dyDescent="0.25">
      <c r="A4395" t="s">
        <v>4451</v>
      </c>
      <c r="B4395" s="1">
        <v>46132</v>
      </c>
      <c r="C4395">
        <v>2026</v>
      </c>
      <c r="D4395">
        <v>4</v>
      </c>
      <c r="E4395" t="s">
        <v>357</v>
      </c>
      <c r="F4395" t="s">
        <v>358</v>
      </c>
      <c r="G4395" t="s">
        <v>44</v>
      </c>
      <c r="H4395" t="s">
        <v>53</v>
      </c>
      <c r="I4395" t="s">
        <v>65</v>
      </c>
      <c r="J4395">
        <v>32</v>
      </c>
      <c r="K4395">
        <v>1459.34</v>
      </c>
      <c r="L4395">
        <v>46699.02</v>
      </c>
      <c r="M4395">
        <v>23703.4</v>
      </c>
      <c r="N4395">
        <v>5305.47</v>
      </c>
      <c r="O4395">
        <v>2563.83</v>
      </c>
      <c r="P4395">
        <v>1998.43</v>
      </c>
      <c r="Q4395">
        <v>536.16999999999996</v>
      </c>
      <c r="R4395">
        <v>1233.53</v>
      </c>
      <c r="S4395">
        <v>708.98</v>
      </c>
      <c r="T4395">
        <v>36049.82</v>
      </c>
      <c r="U4395">
        <v>22995.62</v>
      </c>
      <c r="V4395">
        <v>10649.2</v>
      </c>
      <c r="W4395">
        <v>10335.66</v>
      </c>
      <c r="X4395">
        <v>45750.239999999998</v>
      </c>
      <c r="Y4395">
        <v>37285.230000000003</v>
      </c>
    </row>
    <row r="4396" spans="1:25" x14ac:dyDescent="0.25">
      <c r="A4396" t="s">
        <v>4452</v>
      </c>
      <c r="B4396" s="1">
        <v>46132</v>
      </c>
      <c r="C4396">
        <v>2026</v>
      </c>
      <c r="D4396">
        <v>4</v>
      </c>
      <c r="E4396" t="s">
        <v>357</v>
      </c>
      <c r="F4396" t="s">
        <v>358</v>
      </c>
      <c r="G4396" t="s">
        <v>28</v>
      </c>
      <c r="H4396" t="s">
        <v>36</v>
      </c>
      <c r="I4396" t="s">
        <v>37</v>
      </c>
      <c r="J4396">
        <v>62</v>
      </c>
      <c r="K4396">
        <v>1152.44</v>
      </c>
      <c r="L4396">
        <v>71451.09</v>
      </c>
      <c r="M4396">
        <v>46819.22</v>
      </c>
      <c r="N4396">
        <v>5960.17</v>
      </c>
      <c r="O4396">
        <v>5054.3599999999997</v>
      </c>
      <c r="P4396">
        <v>2399.34</v>
      </c>
      <c r="Q4396">
        <v>587.54</v>
      </c>
      <c r="R4396">
        <v>3550.33</v>
      </c>
      <c r="S4396">
        <v>1248.3</v>
      </c>
      <c r="T4396">
        <v>65619.25</v>
      </c>
      <c r="U4396">
        <v>24631.88</v>
      </c>
      <c r="V4396">
        <v>5831.84</v>
      </c>
      <c r="W4396">
        <v>5346.27</v>
      </c>
      <c r="X4396">
        <v>79813.75</v>
      </c>
      <c r="Y4396">
        <v>67458.42</v>
      </c>
    </row>
    <row r="4397" spans="1:25" x14ac:dyDescent="0.25">
      <c r="A4397" t="s">
        <v>4453</v>
      </c>
      <c r="B4397" s="1">
        <v>46132</v>
      </c>
      <c r="C4397">
        <v>2026</v>
      </c>
      <c r="D4397">
        <v>4</v>
      </c>
      <c r="E4397" t="s">
        <v>357</v>
      </c>
      <c r="F4397" t="s">
        <v>358</v>
      </c>
      <c r="G4397" t="s">
        <v>28</v>
      </c>
      <c r="H4397" t="s">
        <v>29</v>
      </c>
      <c r="I4397" t="s">
        <v>56</v>
      </c>
      <c r="J4397">
        <v>27</v>
      </c>
      <c r="K4397">
        <v>1682.6</v>
      </c>
      <c r="L4397">
        <v>45430.14</v>
      </c>
      <c r="M4397">
        <v>23995.88</v>
      </c>
      <c r="N4397">
        <v>3992.85</v>
      </c>
      <c r="O4397">
        <v>3018.02</v>
      </c>
      <c r="P4397">
        <v>1452.17</v>
      </c>
      <c r="Q4397">
        <v>779.84</v>
      </c>
      <c r="R4397">
        <v>1154.3</v>
      </c>
      <c r="S4397">
        <v>989.7</v>
      </c>
      <c r="T4397">
        <v>35382.76</v>
      </c>
      <c r="U4397">
        <v>21434.26</v>
      </c>
      <c r="V4397">
        <v>10047.39</v>
      </c>
      <c r="W4397">
        <v>9745.51</v>
      </c>
      <c r="X4397">
        <v>45401.11</v>
      </c>
      <c r="Y4397">
        <v>38617.120000000003</v>
      </c>
    </row>
    <row r="4398" spans="1:25" x14ac:dyDescent="0.25">
      <c r="A4398" t="s">
        <v>4454</v>
      </c>
      <c r="B4398" s="1">
        <v>46132</v>
      </c>
      <c r="C4398">
        <v>2026</v>
      </c>
      <c r="D4398">
        <v>4</v>
      </c>
      <c r="E4398" t="s">
        <v>357</v>
      </c>
      <c r="F4398" t="s">
        <v>358</v>
      </c>
      <c r="G4398" t="s">
        <v>28</v>
      </c>
      <c r="H4398" t="s">
        <v>58</v>
      </c>
      <c r="I4398" t="s">
        <v>45</v>
      </c>
      <c r="J4398">
        <v>20</v>
      </c>
      <c r="K4398">
        <v>1657.08</v>
      </c>
      <c r="L4398">
        <v>33141.64</v>
      </c>
      <c r="M4398">
        <v>21186.49</v>
      </c>
      <c r="N4398">
        <v>2741.54</v>
      </c>
      <c r="O4398">
        <v>1278.3399999999999</v>
      </c>
      <c r="P4398">
        <v>1007.24</v>
      </c>
      <c r="Q4398">
        <v>173.6</v>
      </c>
      <c r="R4398">
        <v>1902.94</v>
      </c>
      <c r="S4398">
        <v>691.06</v>
      </c>
      <c r="T4398">
        <v>28981.21</v>
      </c>
      <c r="U4398">
        <v>11955.15</v>
      </c>
      <c r="V4398">
        <v>4160.43</v>
      </c>
      <c r="W4398">
        <v>4203.13</v>
      </c>
      <c r="X4398">
        <v>33571.660000000003</v>
      </c>
      <c r="Y4398">
        <v>27264.3</v>
      </c>
    </row>
    <row r="4399" spans="1:25" x14ac:dyDescent="0.25">
      <c r="A4399" t="s">
        <v>4455</v>
      </c>
      <c r="B4399" s="1">
        <v>46132</v>
      </c>
      <c r="C4399">
        <v>2026</v>
      </c>
      <c r="D4399">
        <v>4</v>
      </c>
      <c r="E4399" t="s">
        <v>357</v>
      </c>
      <c r="F4399" t="s">
        <v>358</v>
      </c>
      <c r="G4399" t="s">
        <v>55</v>
      </c>
      <c r="H4399" t="s">
        <v>29</v>
      </c>
      <c r="I4399" t="s">
        <v>50</v>
      </c>
      <c r="J4399">
        <v>61</v>
      </c>
      <c r="K4399">
        <v>854</v>
      </c>
      <c r="L4399">
        <v>52093.99</v>
      </c>
      <c r="M4399">
        <v>28103.87</v>
      </c>
      <c r="N4399">
        <v>3889.55</v>
      </c>
      <c r="O4399">
        <v>3855.75</v>
      </c>
      <c r="P4399">
        <v>2052.34</v>
      </c>
      <c r="Q4399">
        <v>697.51</v>
      </c>
      <c r="R4399">
        <v>1941.97</v>
      </c>
      <c r="S4399">
        <v>670.08</v>
      </c>
      <c r="T4399">
        <v>41211.07</v>
      </c>
      <c r="U4399">
        <v>23990.13</v>
      </c>
      <c r="V4399">
        <v>10882.92</v>
      </c>
      <c r="W4399">
        <v>9623.31</v>
      </c>
      <c r="X4399">
        <v>52228.4</v>
      </c>
      <c r="Y4399">
        <v>43349.919999999998</v>
      </c>
    </row>
    <row r="4400" spans="1:25" x14ac:dyDescent="0.25">
      <c r="A4400" t="s">
        <v>4456</v>
      </c>
      <c r="B4400" s="1">
        <v>46133</v>
      </c>
      <c r="C4400">
        <v>2026</v>
      </c>
      <c r="D4400">
        <v>4</v>
      </c>
      <c r="E4400" t="s">
        <v>357</v>
      </c>
      <c r="F4400" t="s">
        <v>358</v>
      </c>
      <c r="G4400" t="s">
        <v>35</v>
      </c>
      <c r="H4400" t="s">
        <v>32</v>
      </c>
      <c r="I4400" t="s">
        <v>33</v>
      </c>
      <c r="J4400">
        <v>64</v>
      </c>
      <c r="K4400">
        <v>1143.26</v>
      </c>
      <c r="L4400">
        <v>73168.460000000006</v>
      </c>
      <c r="M4400">
        <v>48465.04</v>
      </c>
      <c r="N4400">
        <v>5823.08</v>
      </c>
      <c r="O4400">
        <v>5477.3</v>
      </c>
      <c r="P4400">
        <v>2696.75</v>
      </c>
      <c r="Q4400">
        <v>694.95</v>
      </c>
      <c r="R4400">
        <v>3646.64</v>
      </c>
      <c r="S4400">
        <v>663.64</v>
      </c>
      <c r="T4400">
        <v>67467.38</v>
      </c>
      <c r="U4400">
        <v>24703.42</v>
      </c>
      <c r="V4400">
        <v>5701.07</v>
      </c>
      <c r="W4400">
        <v>5102.92</v>
      </c>
      <c r="X4400">
        <v>76048.259999999995</v>
      </c>
      <c r="Y4400">
        <v>70281.649999999994</v>
      </c>
    </row>
    <row r="4401" spans="1:25" x14ac:dyDescent="0.25">
      <c r="A4401" t="s">
        <v>4457</v>
      </c>
      <c r="B4401" s="1">
        <v>46133</v>
      </c>
      <c r="C4401">
        <v>2026</v>
      </c>
      <c r="D4401">
        <v>4</v>
      </c>
      <c r="E4401" t="s">
        <v>357</v>
      </c>
      <c r="F4401" t="s">
        <v>358</v>
      </c>
      <c r="G4401" t="s">
        <v>28</v>
      </c>
      <c r="H4401" t="s">
        <v>32</v>
      </c>
      <c r="I4401" t="s">
        <v>45</v>
      </c>
      <c r="J4401">
        <v>29</v>
      </c>
      <c r="K4401">
        <v>1535.3</v>
      </c>
      <c r="L4401">
        <v>44523.61</v>
      </c>
      <c r="M4401">
        <v>27828.09</v>
      </c>
      <c r="N4401">
        <v>5510.85</v>
      </c>
      <c r="O4401">
        <v>1565.18</v>
      </c>
      <c r="P4401">
        <v>822.92</v>
      </c>
      <c r="Q4401">
        <v>745.86</v>
      </c>
      <c r="R4401">
        <v>2241.21</v>
      </c>
      <c r="S4401">
        <v>424.01</v>
      </c>
      <c r="T4401">
        <v>39138.120000000003</v>
      </c>
      <c r="U4401">
        <v>16695.53</v>
      </c>
      <c r="V4401">
        <v>5385.5</v>
      </c>
      <c r="W4401">
        <v>5378.11</v>
      </c>
      <c r="X4401">
        <v>45584.19</v>
      </c>
      <c r="Y4401">
        <v>42131.53</v>
      </c>
    </row>
    <row r="4402" spans="1:25" x14ac:dyDescent="0.25">
      <c r="A4402" t="s">
        <v>4458</v>
      </c>
      <c r="B4402" s="1">
        <v>46133</v>
      </c>
      <c r="C4402">
        <v>2026</v>
      </c>
      <c r="D4402">
        <v>4</v>
      </c>
      <c r="E4402" t="s">
        <v>357</v>
      </c>
      <c r="F4402" t="s">
        <v>358</v>
      </c>
      <c r="G4402" t="s">
        <v>28</v>
      </c>
      <c r="H4402" t="s">
        <v>58</v>
      </c>
      <c r="I4402" t="s">
        <v>30</v>
      </c>
      <c r="J4402">
        <v>60</v>
      </c>
      <c r="K4402">
        <v>1762.29</v>
      </c>
      <c r="L4402">
        <v>105737.41</v>
      </c>
      <c r="M4402">
        <v>55858.13</v>
      </c>
      <c r="N4402">
        <v>11332.71</v>
      </c>
      <c r="O4402">
        <v>6592.42</v>
      </c>
      <c r="P4402">
        <v>2867.71</v>
      </c>
      <c r="Q4402">
        <v>1078.71</v>
      </c>
      <c r="R4402">
        <v>5480.44</v>
      </c>
      <c r="S4402">
        <v>1565.5</v>
      </c>
      <c r="T4402">
        <v>84775.62</v>
      </c>
      <c r="U4402">
        <v>49879.28</v>
      </c>
      <c r="V4402">
        <v>20961.79</v>
      </c>
      <c r="W4402">
        <v>20514.41</v>
      </c>
      <c r="X4402">
        <v>118097.24</v>
      </c>
      <c r="Y4402">
        <v>79584.42</v>
      </c>
    </row>
    <row r="4403" spans="1:25" x14ac:dyDescent="0.25">
      <c r="A4403" t="s">
        <v>4459</v>
      </c>
      <c r="B4403" s="1">
        <v>46134</v>
      </c>
      <c r="C4403">
        <v>2026</v>
      </c>
      <c r="D4403">
        <v>4</v>
      </c>
      <c r="E4403" t="s">
        <v>357</v>
      </c>
      <c r="F4403" t="s">
        <v>358</v>
      </c>
      <c r="G4403" t="s">
        <v>44</v>
      </c>
      <c r="H4403" t="s">
        <v>36</v>
      </c>
      <c r="I4403" t="s">
        <v>33</v>
      </c>
      <c r="J4403">
        <v>82</v>
      </c>
      <c r="K4403">
        <v>844.07</v>
      </c>
      <c r="L4403">
        <v>69213.61</v>
      </c>
      <c r="M4403">
        <v>44603.62</v>
      </c>
      <c r="N4403">
        <v>5451.09</v>
      </c>
      <c r="O4403">
        <v>3557.84</v>
      </c>
      <c r="P4403">
        <v>2426.48</v>
      </c>
      <c r="Q4403">
        <v>510</v>
      </c>
      <c r="R4403">
        <v>4258.78</v>
      </c>
      <c r="S4403">
        <v>695.8</v>
      </c>
      <c r="T4403">
        <v>61503.61</v>
      </c>
      <c r="U4403">
        <v>24609.99</v>
      </c>
      <c r="V4403">
        <v>7710</v>
      </c>
      <c r="W4403">
        <v>6827.02</v>
      </c>
      <c r="X4403">
        <v>65716.17</v>
      </c>
      <c r="Y4403">
        <v>67489.53</v>
      </c>
    </row>
    <row r="4404" spans="1:25" x14ac:dyDescent="0.25">
      <c r="A4404" t="s">
        <v>4460</v>
      </c>
      <c r="B4404" s="1">
        <v>46134</v>
      </c>
      <c r="C4404">
        <v>2026</v>
      </c>
      <c r="D4404">
        <v>4</v>
      </c>
      <c r="E4404" t="s">
        <v>357</v>
      </c>
      <c r="F4404" t="s">
        <v>358</v>
      </c>
      <c r="G4404" t="s">
        <v>35</v>
      </c>
      <c r="H4404" t="s">
        <v>36</v>
      </c>
      <c r="I4404" t="s">
        <v>50</v>
      </c>
      <c r="J4404">
        <v>21</v>
      </c>
      <c r="K4404">
        <v>1542.03</v>
      </c>
      <c r="L4404">
        <v>32382.6</v>
      </c>
      <c r="M4404">
        <v>19330.419999999998</v>
      </c>
      <c r="N4404">
        <v>3075.17</v>
      </c>
      <c r="O4404">
        <v>2293.39</v>
      </c>
      <c r="P4404">
        <v>614.16</v>
      </c>
      <c r="Q4404">
        <v>290.35000000000002</v>
      </c>
      <c r="R4404">
        <v>1380.67</v>
      </c>
      <c r="S4404">
        <v>522.05999999999995</v>
      </c>
      <c r="T4404">
        <v>27506.23</v>
      </c>
      <c r="U4404">
        <v>13052.18</v>
      </c>
      <c r="V4404">
        <v>4876.37</v>
      </c>
      <c r="W4404">
        <v>4505.4799999999996</v>
      </c>
      <c r="X4404">
        <v>29881</v>
      </c>
      <c r="Y4404">
        <v>25818.02</v>
      </c>
    </row>
    <row r="4405" spans="1:25" x14ac:dyDescent="0.25">
      <c r="A4405" t="s">
        <v>4461</v>
      </c>
      <c r="B4405" s="1">
        <v>46134</v>
      </c>
      <c r="C4405">
        <v>2026</v>
      </c>
      <c r="D4405">
        <v>4</v>
      </c>
      <c r="E4405" t="s">
        <v>357</v>
      </c>
      <c r="F4405" t="s">
        <v>358</v>
      </c>
      <c r="G4405" t="s">
        <v>44</v>
      </c>
      <c r="H4405" t="s">
        <v>29</v>
      </c>
      <c r="I4405" t="s">
        <v>37</v>
      </c>
      <c r="J4405">
        <v>57</v>
      </c>
      <c r="K4405">
        <v>979.96</v>
      </c>
      <c r="L4405">
        <v>55857.51</v>
      </c>
      <c r="M4405">
        <v>28238.69</v>
      </c>
      <c r="N4405">
        <v>5522.27</v>
      </c>
      <c r="O4405">
        <v>2474.0700000000002</v>
      </c>
      <c r="P4405">
        <v>2092.89</v>
      </c>
      <c r="Q4405">
        <v>675.91</v>
      </c>
      <c r="R4405">
        <v>1490.25</v>
      </c>
      <c r="S4405">
        <v>486.56</v>
      </c>
      <c r="T4405">
        <v>40980.639999999999</v>
      </c>
      <c r="U4405">
        <v>27618.83</v>
      </c>
      <c r="V4405">
        <v>14876.87</v>
      </c>
      <c r="W4405">
        <v>13907.45</v>
      </c>
      <c r="X4405">
        <v>55682.98</v>
      </c>
      <c r="Y4405">
        <v>41215.82</v>
      </c>
    </row>
    <row r="4406" spans="1:25" x14ac:dyDescent="0.25">
      <c r="A4406" t="s">
        <v>4462</v>
      </c>
      <c r="B4406" s="1">
        <v>46134</v>
      </c>
      <c r="C4406">
        <v>2026</v>
      </c>
      <c r="D4406">
        <v>4</v>
      </c>
      <c r="E4406" t="s">
        <v>357</v>
      </c>
      <c r="F4406" t="s">
        <v>358</v>
      </c>
      <c r="G4406" t="s">
        <v>55</v>
      </c>
      <c r="H4406" t="s">
        <v>58</v>
      </c>
      <c r="I4406" t="s">
        <v>45</v>
      </c>
      <c r="J4406">
        <v>25</v>
      </c>
      <c r="K4406">
        <v>1518.53</v>
      </c>
      <c r="L4406">
        <v>37963.31</v>
      </c>
      <c r="M4406">
        <v>19701.560000000001</v>
      </c>
      <c r="N4406">
        <v>4807.51</v>
      </c>
      <c r="O4406">
        <v>2433.88</v>
      </c>
      <c r="P4406">
        <v>1315.61</v>
      </c>
      <c r="Q4406">
        <v>202.44</v>
      </c>
      <c r="R4406">
        <v>2313.5</v>
      </c>
      <c r="S4406">
        <v>568.53</v>
      </c>
      <c r="T4406">
        <v>31343.040000000001</v>
      </c>
      <c r="U4406">
        <v>18261.75</v>
      </c>
      <c r="V4406">
        <v>6620.28</v>
      </c>
      <c r="W4406">
        <v>6072.61</v>
      </c>
      <c r="X4406">
        <v>39045.47</v>
      </c>
      <c r="Y4406">
        <v>32581.37</v>
      </c>
    </row>
    <row r="4407" spans="1:25" x14ac:dyDescent="0.25">
      <c r="A4407" t="s">
        <v>4463</v>
      </c>
      <c r="B4407" s="1">
        <v>46135</v>
      </c>
      <c r="C4407">
        <v>2026</v>
      </c>
      <c r="D4407">
        <v>4</v>
      </c>
      <c r="E4407" t="s">
        <v>357</v>
      </c>
      <c r="F4407" t="s">
        <v>358</v>
      </c>
      <c r="G4407" t="s">
        <v>28</v>
      </c>
      <c r="H4407" t="s">
        <v>36</v>
      </c>
      <c r="I4407" t="s">
        <v>37</v>
      </c>
      <c r="J4407">
        <v>62</v>
      </c>
      <c r="K4407">
        <v>1386.85</v>
      </c>
      <c r="L4407">
        <v>85984.68</v>
      </c>
      <c r="M4407">
        <v>48357.14</v>
      </c>
      <c r="N4407">
        <v>7235.92</v>
      </c>
      <c r="O4407">
        <v>5176.91</v>
      </c>
      <c r="P4407">
        <v>1691.63</v>
      </c>
      <c r="Q4407">
        <v>1049.5</v>
      </c>
      <c r="R4407">
        <v>4194.1099999999997</v>
      </c>
      <c r="S4407">
        <v>2066.8200000000002</v>
      </c>
      <c r="T4407">
        <v>69772.02</v>
      </c>
      <c r="U4407">
        <v>37627.54</v>
      </c>
      <c r="V4407">
        <v>16212.66</v>
      </c>
      <c r="W4407">
        <v>15277.48</v>
      </c>
      <c r="X4407">
        <v>95784.75</v>
      </c>
      <c r="Y4407">
        <v>68877.02</v>
      </c>
    </row>
    <row r="4408" spans="1:25" x14ac:dyDescent="0.25">
      <c r="A4408" t="s">
        <v>4464</v>
      </c>
      <c r="B4408" s="1">
        <v>46135</v>
      </c>
      <c r="C4408">
        <v>2026</v>
      </c>
      <c r="D4408">
        <v>4</v>
      </c>
      <c r="E4408" t="s">
        <v>357</v>
      </c>
      <c r="F4408" t="s">
        <v>358</v>
      </c>
      <c r="G4408" t="s">
        <v>28</v>
      </c>
      <c r="H4408" t="s">
        <v>29</v>
      </c>
      <c r="I4408" t="s">
        <v>56</v>
      </c>
      <c r="J4408">
        <v>30</v>
      </c>
      <c r="K4408">
        <v>1192.6400000000001</v>
      </c>
      <c r="L4408">
        <v>35779.279999999999</v>
      </c>
      <c r="M4408">
        <v>18413.47</v>
      </c>
      <c r="N4408">
        <v>2614.29</v>
      </c>
      <c r="O4408">
        <v>2608.59</v>
      </c>
      <c r="P4408">
        <v>1243.96</v>
      </c>
      <c r="Q4408">
        <v>279.02999999999997</v>
      </c>
      <c r="R4408">
        <v>1709.32</v>
      </c>
      <c r="S4408">
        <v>337.29</v>
      </c>
      <c r="T4408">
        <v>27205.95</v>
      </c>
      <c r="U4408">
        <v>17365.810000000001</v>
      </c>
      <c r="V4408">
        <v>8573.33</v>
      </c>
      <c r="W4408">
        <v>8707.58</v>
      </c>
      <c r="X4408">
        <v>37257.730000000003</v>
      </c>
      <c r="Y4408">
        <v>27727.81</v>
      </c>
    </row>
    <row r="4409" spans="1:25" x14ac:dyDescent="0.25">
      <c r="A4409" t="s">
        <v>4465</v>
      </c>
      <c r="B4409" s="1">
        <v>46135</v>
      </c>
      <c r="C4409">
        <v>2026</v>
      </c>
      <c r="D4409">
        <v>4</v>
      </c>
      <c r="E4409" t="s">
        <v>357</v>
      </c>
      <c r="F4409" t="s">
        <v>358</v>
      </c>
      <c r="G4409" t="s">
        <v>28</v>
      </c>
      <c r="H4409" t="s">
        <v>32</v>
      </c>
      <c r="I4409" t="s">
        <v>30</v>
      </c>
      <c r="J4409">
        <v>85</v>
      </c>
      <c r="K4409">
        <v>1106.24</v>
      </c>
      <c r="L4409">
        <v>94030.06</v>
      </c>
      <c r="M4409">
        <v>46036.74</v>
      </c>
      <c r="N4409">
        <v>11767.89</v>
      </c>
      <c r="O4409">
        <v>7032.64</v>
      </c>
      <c r="P4409">
        <v>3198.74</v>
      </c>
      <c r="Q4409">
        <v>1682.41</v>
      </c>
      <c r="R4409">
        <v>3986.71</v>
      </c>
      <c r="S4409">
        <v>2305.15</v>
      </c>
      <c r="T4409">
        <v>76010.259999999995</v>
      </c>
      <c r="U4409">
        <v>47993.33</v>
      </c>
      <c r="V4409">
        <v>18019.8</v>
      </c>
      <c r="W4409">
        <v>17621.88</v>
      </c>
      <c r="X4409">
        <v>92588.04</v>
      </c>
      <c r="Y4409">
        <v>75397.399999999994</v>
      </c>
    </row>
    <row r="4410" spans="1:25" x14ac:dyDescent="0.25">
      <c r="A4410" t="s">
        <v>4466</v>
      </c>
      <c r="B4410" s="1">
        <v>46136</v>
      </c>
      <c r="C4410">
        <v>2026</v>
      </c>
      <c r="D4410">
        <v>4</v>
      </c>
      <c r="E4410" t="s">
        <v>357</v>
      </c>
      <c r="F4410" t="s">
        <v>358</v>
      </c>
      <c r="G4410" t="s">
        <v>55</v>
      </c>
      <c r="H4410" t="s">
        <v>53</v>
      </c>
      <c r="I4410" t="s">
        <v>56</v>
      </c>
      <c r="J4410">
        <v>24</v>
      </c>
      <c r="K4410">
        <v>1057.77</v>
      </c>
      <c r="L4410">
        <v>25386.59</v>
      </c>
      <c r="M4410">
        <v>15506.6</v>
      </c>
      <c r="N4410">
        <v>2312.08</v>
      </c>
      <c r="O4410">
        <v>1527.85</v>
      </c>
      <c r="P4410">
        <v>656.25</v>
      </c>
      <c r="Q4410">
        <v>341.23</v>
      </c>
      <c r="R4410">
        <v>1345.96</v>
      </c>
      <c r="S4410">
        <v>365.46</v>
      </c>
      <c r="T4410">
        <v>22055.439999999999</v>
      </c>
      <c r="U4410">
        <v>9879.98</v>
      </c>
      <c r="V4410">
        <v>3331.15</v>
      </c>
      <c r="W4410">
        <v>3199.41</v>
      </c>
      <c r="X4410">
        <v>26071.56</v>
      </c>
      <c r="Y4410">
        <v>22531.97</v>
      </c>
    </row>
    <row r="4411" spans="1:25" x14ac:dyDescent="0.25">
      <c r="A4411" t="s">
        <v>4467</v>
      </c>
      <c r="B4411" s="1">
        <v>46136</v>
      </c>
      <c r="C4411">
        <v>2026</v>
      </c>
      <c r="D4411">
        <v>4</v>
      </c>
      <c r="E4411" t="s">
        <v>357</v>
      </c>
      <c r="F4411" t="s">
        <v>358</v>
      </c>
      <c r="G4411" t="s">
        <v>28</v>
      </c>
      <c r="H4411" t="s">
        <v>32</v>
      </c>
      <c r="I4411" t="s">
        <v>65</v>
      </c>
      <c r="J4411">
        <v>67</v>
      </c>
      <c r="K4411">
        <v>1432.45</v>
      </c>
      <c r="L4411">
        <v>95974.3</v>
      </c>
      <c r="M4411">
        <v>55045.8</v>
      </c>
      <c r="N4411">
        <v>8798.52</v>
      </c>
      <c r="O4411">
        <v>5270.86</v>
      </c>
      <c r="P4411">
        <v>2760.29</v>
      </c>
      <c r="Q4411">
        <v>1387.72</v>
      </c>
      <c r="R4411">
        <v>6170.28</v>
      </c>
      <c r="S4411">
        <v>2216.11</v>
      </c>
      <c r="T4411">
        <v>81649.59</v>
      </c>
      <c r="U4411">
        <v>40928.5</v>
      </c>
      <c r="V4411">
        <v>14324.71</v>
      </c>
      <c r="W4411">
        <v>13056.07</v>
      </c>
      <c r="X4411">
        <v>105307.99</v>
      </c>
      <c r="Y4411">
        <v>89206.54</v>
      </c>
    </row>
    <row r="4412" spans="1:25" x14ac:dyDescent="0.25">
      <c r="A4412" t="s">
        <v>4468</v>
      </c>
      <c r="B4412" s="1">
        <v>46136</v>
      </c>
      <c r="C4412">
        <v>2026</v>
      </c>
      <c r="D4412">
        <v>4</v>
      </c>
      <c r="E4412" t="s">
        <v>357</v>
      </c>
      <c r="F4412" t="s">
        <v>358</v>
      </c>
      <c r="G4412" t="s">
        <v>35</v>
      </c>
      <c r="H4412" t="s">
        <v>29</v>
      </c>
      <c r="I4412" t="s">
        <v>50</v>
      </c>
      <c r="J4412">
        <v>51</v>
      </c>
      <c r="K4412">
        <v>1122.96</v>
      </c>
      <c r="L4412">
        <v>57270.8</v>
      </c>
      <c r="M4412">
        <v>32981.519999999997</v>
      </c>
      <c r="N4412">
        <v>7090.06</v>
      </c>
      <c r="O4412">
        <v>3265.62</v>
      </c>
      <c r="P4412">
        <v>1425.21</v>
      </c>
      <c r="Q4412">
        <v>685.84</v>
      </c>
      <c r="R4412">
        <v>1674.22</v>
      </c>
      <c r="S4412">
        <v>1293.44</v>
      </c>
      <c r="T4412">
        <v>48415.9</v>
      </c>
      <c r="U4412">
        <v>24289.279999999999</v>
      </c>
      <c r="V4412">
        <v>8854.9</v>
      </c>
      <c r="W4412">
        <v>7853.92</v>
      </c>
      <c r="X4412">
        <v>54796.28</v>
      </c>
      <c r="Y4412">
        <v>49995.08</v>
      </c>
    </row>
    <row r="4413" spans="1:25" x14ac:dyDescent="0.25">
      <c r="A4413" t="s">
        <v>4469</v>
      </c>
      <c r="B4413" s="1">
        <v>46137</v>
      </c>
      <c r="C4413">
        <v>2026</v>
      </c>
      <c r="D4413">
        <v>4</v>
      </c>
      <c r="E4413" t="s">
        <v>357</v>
      </c>
      <c r="F4413" t="s">
        <v>358</v>
      </c>
      <c r="G4413" t="s">
        <v>44</v>
      </c>
      <c r="H4413" t="s">
        <v>36</v>
      </c>
      <c r="I4413" t="s">
        <v>50</v>
      </c>
      <c r="J4413">
        <v>29</v>
      </c>
      <c r="K4413">
        <v>1676.34</v>
      </c>
      <c r="L4413">
        <v>48613.81</v>
      </c>
      <c r="M4413">
        <v>24377.79</v>
      </c>
      <c r="N4413">
        <v>5286.43</v>
      </c>
      <c r="O4413">
        <v>2938.66</v>
      </c>
      <c r="P4413">
        <v>814.04</v>
      </c>
      <c r="Q4413">
        <v>601.61</v>
      </c>
      <c r="R4413">
        <v>2197.48</v>
      </c>
      <c r="S4413">
        <v>935.96</v>
      </c>
      <c r="T4413">
        <v>37151.97</v>
      </c>
      <c r="U4413">
        <v>24236.02</v>
      </c>
      <c r="V4413">
        <v>11461.84</v>
      </c>
      <c r="W4413">
        <v>10825.92</v>
      </c>
      <c r="X4413">
        <v>48007.18</v>
      </c>
      <c r="Y4413">
        <v>36817.69</v>
      </c>
    </row>
    <row r="4414" spans="1:25" x14ac:dyDescent="0.25">
      <c r="A4414" t="s">
        <v>4470</v>
      </c>
      <c r="B4414" s="1">
        <v>46137</v>
      </c>
      <c r="C4414">
        <v>2026</v>
      </c>
      <c r="D4414">
        <v>4</v>
      </c>
      <c r="E4414" t="s">
        <v>357</v>
      </c>
      <c r="F4414" t="s">
        <v>358</v>
      </c>
      <c r="G4414" t="s">
        <v>35</v>
      </c>
      <c r="H4414" t="s">
        <v>53</v>
      </c>
      <c r="I4414" t="s">
        <v>45</v>
      </c>
      <c r="J4414">
        <v>39</v>
      </c>
      <c r="K4414">
        <v>942.86</v>
      </c>
      <c r="L4414">
        <v>36771.370000000003</v>
      </c>
      <c r="M4414">
        <v>19349.349999999999</v>
      </c>
      <c r="N4414">
        <v>3706.12</v>
      </c>
      <c r="O4414">
        <v>2706.14</v>
      </c>
      <c r="P4414">
        <v>579.07000000000005</v>
      </c>
      <c r="Q4414">
        <v>326.3</v>
      </c>
      <c r="R4414">
        <v>2201.0500000000002</v>
      </c>
      <c r="S4414">
        <v>668.14</v>
      </c>
      <c r="T4414">
        <v>29536.17</v>
      </c>
      <c r="U4414">
        <v>17422.02</v>
      </c>
      <c r="V4414">
        <v>7235.2</v>
      </c>
      <c r="W4414">
        <v>6530.63</v>
      </c>
      <c r="X4414">
        <v>35145.769999999997</v>
      </c>
      <c r="Y4414">
        <v>31482.29</v>
      </c>
    </row>
    <row r="4415" spans="1:25" x14ac:dyDescent="0.25">
      <c r="A4415" t="s">
        <v>4471</v>
      </c>
      <c r="B4415" s="1">
        <v>46138</v>
      </c>
      <c r="C4415">
        <v>2026</v>
      </c>
      <c r="D4415">
        <v>4</v>
      </c>
      <c r="E4415" t="s">
        <v>357</v>
      </c>
      <c r="F4415" t="s">
        <v>358</v>
      </c>
      <c r="G4415" t="s">
        <v>28</v>
      </c>
      <c r="H4415" t="s">
        <v>36</v>
      </c>
      <c r="I4415" t="s">
        <v>45</v>
      </c>
      <c r="J4415">
        <v>63</v>
      </c>
      <c r="K4415">
        <v>900.1</v>
      </c>
      <c r="L4415">
        <v>56706.11</v>
      </c>
      <c r="M4415">
        <v>31513.3</v>
      </c>
      <c r="N4415">
        <v>6718.38</v>
      </c>
      <c r="O4415">
        <v>3413.3</v>
      </c>
      <c r="P4415">
        <v>1006.92</v>
      </c>
      <c r="Q4415">
        <v>479.96</v>
      </c>
      <c r="R4415">
        <v>2275.27</v>
      </c>
      <c r="S4415">
        <v>659.8</v>
      </c>
      <c r="T4415">
        <v>46066.94</v>
      </c>
      <c r="U4415">
        <v>25192.81</v>
      </c>
      <c r="V4415">
        <v>10639.17</v>
      </c>
      <c r="W4415">
        <v>9473.75</v>
      </c>
      <c r="X4415">
        <v>53647.03</v>
      </c>
      <c r="Y4415">
        <v>49281.18</v>
      </c>
    </row>
    <row r="4416" spans="1:25" x14ac:dyDescent="0.25">
      <c r="A4416" t="s">
        <v>4472</v>
      </c>
      <c r="B4416" s="1">
        <v>46138</v>
      </c>
      <c r="C4416">
        <v>2026</v>
      </c>
      <c r="D4416">
        <v>4</v>
      </c>
      <c r="E4416" t="s">
        <v>357</v>
      </c>
      <c r="F4416" t="s">
        <v>358</v>
      </c>
      <c r="G4416" t="s">
        <v>55</v>
      </c>
      <c r="H4416" t="s">
        <v>29</v>
      </c>
      <c r="I4416" t="s">
        <v>50</v>
      </c>
      <c r="J4416">
        <v>38</v>
      </c>
      <c r="K4416">
        <v>1161.53</v>
      </c>
      <c r="L4416">
        <v>44138.04</v>
      </c>
      <c r="M4416">
        <v>27372.58</v>
      </c>
      <c r="N4416">
        <v>3277.85</v>
      </c>
      <c r="O4416">
        <v>2279.67</v>
      </c>
      <c r="P4416">
        <v>744.06</v>
      </c>
      <c r="Q4416">
        <v>427.86</v>
      </c>
      <c r="R4416">
        <v>2862.72</v>
      </c>
      <c r="S4416">
        <v>855.75</v>
      </c>
      <c r="T4416">
        <v>37820.5</v>
      </c>
      <c r="U4416">
        <v>16765.47</v>
      </c>
      <c r="V4416">
        <v>6317.55</v>
      </c>
      <c r="W4416">
        <v>5593.05</v>
      </c>
      <c r="X4416">
        <v>46740.36</v>
      </c>
      <c r="Y4416">
        <v>36995.120000000003</v>
      </c>
    </row>
    <row r="4417" spans="1:25" x14ac:dyDescent="0.25">
      <c r="A4417" t="s">
        <v>4473</v>
      </c>
      <c r="B4417" s="1">
        <v>46138</v>
      </c>
      <c r="C4417">
        <v>2026</v>
      </c>
      <c r="D4417">
        <v>4</v>
      </c>
      <c r="E4417" t="s">
        <v>357</v>
      </c>
      <c r="F4417" t="s">
        <v>358</v>
      </c>
      <c r="G4417" t="s">
        <v>28</v>
      </c>
      <c r="H4417" t="s">
        <v>32</v>
      </c>
      <c r="I4417" t="s">
        <v>56</v>
      </c>
      <c r="J4417">
        <v>42</v>
      </c>
      <c r="K4417">
        <v>962.67</v>
      </c>
      <c r="L4417">
        <v>40431.97</v>
      </c>
      <c r="M4417">
        <v>21144.69</v>
      </c>
      <c r="N4417">
        <v>4986.46</v>
      </c>
      <c r="O4417">
        <v>1892.79</v>
      </c>
      <c r="P4417">
        <v>790.62</v>
      </c>
      <c r="Q4417">
        <v>382.58</v>
      </c>
      <c r="R4417">
        <v>1954.67</v>
      </c>
      <c r="S4417">
        <v>337.49</v>
      </c>
      <c r="T4417">
        <v>31489.31</v>
      </c>
      <c r="U4417">
        <v>19287.27</v>
      </c>
      <c r="V4417">
        <v>8942.66</v>
      </c>
      <c r="W4417">
        <v>8584.77</v>
      </c>
      <c r="X4417">
        <v>43814.44</v>
      </c>
      <c r="Y4417">
        <v>34546.43</v>
      </c>
    </row>
    <row r="4418" spans="1:25" x14ac:dyDescent="0.25">
      <c r="A4418" t="s">
        <v>4474</v>
      </c>
      <c r="B4418" s="1">
        <v>46138</v>
      </c>
      <c r="C4418">
        <v>2026</v>
      </c>
      <c r="D4418">
        <v>4</v>
      </c>
      <c r="E4418" t="s">
        <v>357</v>
      </c>
      <c r="F4418" t="s">
        <v>358</v>
      </c>
      <c r="G4418" t="s">
        <v>44</v>
      </c>
      <c r="H4418" t="s">
        <v>58</v>
      </c>
      <c r="I4418" t="s">
        <v>30</v>
      </c>
      <c r="J4418">
        <v>56</v>
      </c>
      <c r="K4418">
        <v>1228.01</v>
      </c>
      <c r="L4418">
        <v>68768.58</v>
      </c>
      <c r="M4418">
        <v>40253.980000000003</v>
      </c>
      <c r="N4418">
        <v>8529.09</v>
      </c>
      <c r="O4418">
        <v>2706.46</v>
      </c>
      <c r="P4418">
        <v>2655.48</v>
      </c>
      <c r="Q4418">
        <v>402.95</v>
      </c>
      <c r="R4418">
        <v>1828.65</v>
      </c>
      <c r="S4418">
        <v>1512.27</v>
      </c>
      <c r="T4418">
        <v>57888.89</v>
      </c>
      <c r="U4418">
        <v>28514.6</v>
      </c>
      <c r="V4418">
        <v>10879.7</v>
      </c>
      <c r="W4418">
        <v>10999.39</v>
      </c>
      <c r="X4418">
        <v>69551.929999999993</v>
      </c>
      <c r="Y4418">
        <v>62973.16</v>
      </c>
    </row>
    <row r="4419" spans="1:25" x14ac:dyDescent="0.25">
      <c r="A4419" t="s">
        <v>4475</v>
      </c>
      <c r="B4419" s="1">
        <v>46138</v>
      </c>
      <c r="C4419">
        <v>2026</v>
      </c>
      <c r="D4419">
        <v>4</v>
      </c>
      <c r="E4419" t="s">
        <v>357</v>
      </c>
      <c r="F4419" t="s">
        <v>358</v>
      </c>
      <c r="G4419" t="s">
        <v>28</v>
      </c>
      <c r="H4419" t="s">
        <v>36</v>
      </c>
      <c r="I4419" t="s">
        <v>45</v>
      </c>
      <c r="J4419">
        <v>43</v>
      </c>
      <c r="K4419">
        <v>944.37</v>
      </c>
      <c r="L4419">
        <v>40608.04</v>
      </c>
      <c r="M4419">
        <v>22705.59</v>
      </c>
      <c r="N4419">
        <v>2899.03</v>
      </c>
      <c r="O4419">
        <v>2988.03</v>
      </c>
      <c r="P4419">
        <v>654.97</v>
      </c>
      <c r="Q4419">
        <v>606.5</v>
      </c>
      <c r="R4419">
        <v>2407.29</v>
      </c>
      <c r="S4419">
        <v>363.45</v>
      </c>
      <c r="T4419">
        <v>32624.86</v>
      </c>
      <c r="U4419">
        <v>17902.439999999999</v>
      </c>
      <c r="V4419">
        <v>7983.18</v>
      </c>
      <c r="W4419">
        <v>7199.49</v>
      </c>
      <c r="X4419">
        <v>39298.39</v>
      </c>
      <c r="Y4419">
        <v>32672.7</v>
      </c>
    </row>
    <row r="4420" spans="1:25" x14ac:dyDescent="0.25">
      <c r="A4420" t="s">
        <v>4476</v>
      </c>
      <c r="B4420" s="1">
        <v>46139</v>
      </c>
      <c r="C4420">
        <v>2026</v>
      </c>
      <c r="D4420">
        <v>4</v>
      </c>
      <c r="E4420" t="s">
        <v>357</v>
      </c>
      <c r="F4420" t="s">
        <v>358</v>
      </c>
      <c r="G4420" t="s">
        <v>35</v>
      </c>
      <c r="H4420" t="s">
        <v>32</v>
      </c>
      <c r="I4420" t="s">
        <v>45</v>
      </c>
      <c r="J4420">
        <v>58</v>
      </c>
      <c r="K4420">
        <v>875.28</v>
      </c>
      <c r="L4420">
        <v>50765.99</v>
      </c>
      <c r="M4420">
        <v>31274.09</v>
      </c>
      <c r="N4420">
        <v>4721.05</v>
      </c>
      <c r="O4420">
        <v>1284.6400000000001</v>
      </c>
      <c r="P4420">
        <v>2041.15</v>
      </c>
      <c r="Q4420">
        <v>780.07</v>
      </c>
      <c r="R4420">
        <v>1731.46</v>
      </c>
      <c r="S4420">
        <v>894.16</v>
      </c>
      <c r="T4420">
        <v>42726.61</v>
      </c>
      <c r="U4420">
        <v>19491.900000000001</v>
      </c>
      <c r="V4420">
        <v>8039.38</v>
      </c>
      <c r="W4420">
        <v>7532.71</v>
      </c>
      <c r="X4420">
        <v>46786.27</v>
      </c>
      <c r="Y4420">
        <v>45996.12</v>
      </c>
    </row>
    <row r="4421" spans="1:25" x14ac:dyDescent="0.25">
      <c r="A4421" t="s">
        <v>4477</v>
      </c>
      <c r="B4421" s="1">
        <v>46140</v>
      </c>
      <c r="C4421">
        <v>2026</v>
      </c>
      <c r="D4421">
        <v>4</v>
      </c>
      <c r="E4421" t="s">
        <v>357</v>
      </c>
      <c r="F4421" t="s">
        <v>358</v>
      </c>
      <c r="G4421" t="s">
        <v>55</v>
      </c>
      <c r="H4421" t="s">
        <v>36</v>
      </c>
      <c r="I4421" t="s">
        <v>33</v>
      </c>
      <c r="J4421">
        <v>57</v>
      </c>
      <c r="K4421">
        <v>1117.83</v>
      </c>
      <c r="L4421">
        <v>63716.4</v>
      </c>
      <c r="M4421">
        <v>39013.19</v>
      </c>
      <c r="N4421">
        <v>7926.95</v>
      </c>
      <c r="O4421">
        <v>3860.27</v>
      </c>
      <c r="P4421">
        <v>1177.8599999999999</v>
      </c>
      <c r="Q4421">
        <v>878.56</v>
      </c>
      <c r="R4421">
        <v>1655.46</v>
      </c>
      <c r="S4421">
        <v>1366.83</v>
      </c>
      <c r="T4421">
        <v>55879.13</v>
      </c>
      <c r="U4421">
        <v>24703.200000000001</v>
      </c>
      <c r="V4421">
        <v>7837.27</v>
      </c>
      <c r="W4421">
        <v>7602.41</v>
      </c>
      <c r="X4421">
        <v>66995.39</v>
      </c>
      <c r="Y4421">
        <v>57105</v>
      </c>
    </row>
    <row r="4422" spans="1:25" x14ac:dyDescent="0.25">
      <c r="A4422" t="s">
        <v>4478</v>
      </c>
      <c r="B4422" s="1">
        <v>46140</v>
      </c>
      <c r="C4422">
        <v>2026</v>
      </c>
      <c r="D4422">
        <v>4</v>
      </c>
      <c r="E4422" t="s">
        <v>357</v>
      </c>
      <c r="F4422" t="s">
        <v>358</v>
      </c>
      <c r="G4422" t="s">
        <v>35</v>
      </c>
      <c r="H4422" t="s">
        <v>32</v>
      </c>
      <c r="I4422" t="s">
        <v>33</v>
      </c>
      <c r="J4422">
        <v>41</v>
      </c>
      <c r="K4422">
        <v>1806.93</v>
      </c>
      <c r="L4422">
        <v>74083.97</v>
      </c>
      <c r="M4422">
        <v>46350.93</v>
      </c>
      <c r="N4422">
        <v>7170.7</v>
      </c>
      <c r="O4422">
        <v>3327.23</v>
      </c>
      <c r="P4422">
        <v>2923.25</v>
      </c>
      <c r="Q4422">
        <v>1133.25</v>
      </c>
      <c r="R4422">
        <v>4113.0600000000004</v>
      </c>
      <c r="S4422">
        <v>749</v>
      </c>
      <c r="T4422">
        <v>65767.42</v>
      </c>
      <c r="U4422">
        <v>27733.040000000001</v>
      </c>
      <c r="V4422">
        <v>8316.5499999999993</v>
      </c>
      <c r="W4422">
        <v>7666.88</v>
      </c>
      <c r="X4422">
        <v>76075.62</v>
      </c>
      <c r="Y4422">
        <v>70107.8</v>
      </c>
    </row>
    <row r="4423" spans="1:25" x14ac:dyDescent="0.25">
      <c r="A4423" t="s">
        <v>4479</v>
      </c>
      <c r="B4423" s="1">
        <v>46140</v>
      </c>
      <c r="C4423">
        <v>2026</v>
      </c>
      <c r="D4423">
        <v>4</v>
      </c>
      <c r="E4423" t="s">
        <v>357</v>
      </c>
      <c r="F4423" t="s">
        <v>358</v>
      </c>
      <c r="G4423" t="s">
        <v>55</v>
      </c>
      <c r="H4423" t="s">
        <v>53</v>
      </c>
      <c r="I4423" t="s">
        <v>45</v>
      </c>
      <c r="J4423">
        <v>39</v>
      </c>
      <c r="K4423">
        <v>1369.59</v>
      </c>
      <c r="L4423">
        <v>53413.9</v>
      </c>
      <c r="M4423">
        <v>26648.85</v>
      </c>
      <c r="N4423">
        <v>5812.17</v>
      </c>
      <c r="O4423">
        <v>3443.28</v>
      </c>
      <c r="P4423">
        <v>1247.76</v>
      </c>
      <c r="Q4423">
        <v>854.65</v>
      </c>
      <c r="R4423">
        <v>1866.06</v>
      </c>
      <c r="S4423">
        <v>1269.49</v>
      </c>
      <c r="T4423">
        <v>41142.239999999998</v>
      </c>
      <c r="U4423">
        <v>26765.05</v>
      </c>
      <c r="V4423">
        <v>12271.66</v>
      </c>
      <c r="W4423">
        <v>11177.4</v>
      </c>
      <c r="X4423">
        <v>51874.9</v>
      </c>
      <c r="Y4423">
        <v>41467.5</v>
      </c>
    </row>
    <row r="4424" spans="1:25" x14ac:dyDescent="0.25">
      <c r="A4424" t="s">
        <v>4480</v>
      </c>
      <c r="B4424" s="1">
        <v>46140</v>
      </c>
      <c r="C4424">
        <v>2026</v>
      </c>
      <c r="D4424">
        <v>4</v>
      </c>
      <c r="E4424" t="s">
        <v>357</v>
      </c>
      <c r="F4424" t="s">
        <v>358</v>
      </c>
      <c r="G4424" t="s">
        <v>28</v>
      </c>
      <c r="H4424" t="s">
        <v>29</v>
      </c>
      <c r="I4424" t="s">
        <v>56</v>
      </c>
      <c r="J4424">
        <v>48</v>
      </c>
      <c r="K4424">
        <v>888.13</v>
      </c>
      <c r="L4424">
        <v>42630.38</v>
      </c>
      <c r="M4424">
        <v>20679.150000000001</v>
      </c>
      <c r="N4424">
        <v>5108.1099999999997</v>
      </c>
      <c r="O4424">
        <v>1631.14</v>
      </c>
      <c r="P4424">
        <v>1174.47</v>
      </c>
      <c r="Q4424">
        <v>557.04999999999995</v>
      </c>
      <c r="R4424">
        <v>1690.04</v>
      </c>
      <c r="S4424">
        <v>832.61</v>
      </c>
      <c r="T4424">
        <v>31672.57</v>
      </c>
      <c r="U4424">
        <v>21951.23</v>
      </c>
      <c r="V4424">
        <v>10957.82</v>
      </c>
      <c r="W4424">
        <v>11081.12</v>
      </c>
      <c r="X4424">
        <v>44828.68</v>
      </c>
      <c r="Y4424">
        <v>33644.97</v>
      </c>
    </row>
    <row r="4425" spans="1:25" x14ac:dyDescent="0.25">
      <c r="A4425" t="s">
        <v>4481</v>
      </c>
      <c r="B4425" s="1">
        <v>46140</v>
      </c>
      <c r="C4425">
        <v>2026</v>
      </c>
      <c r="D4425">
        <v>4</v>
      </c>
      <c r="E4425" t="s">
        <v>357</v>
      </c>
      <c r="F4425" t="s">
        <v>358</v>
      </c>
      <c r="G4425" t="s">
        <v>55</v>
      </c>
      <c r="H4425" t="s">
        <v>32</v>
      </c>
      <c r="I4425" t="s">
        <v>65</v>
      </c>
      <c r="J4425">
        <v>63</v>
      </c>
      <c r="K4425">
        <v>1300.74</v>
      </c>
      <c r="L4425">
        <v>81946.759999999995</v>
      </c>
      <c r="M4425">
        <v>50098.76</v>
      </c>
      <c r="N4425">
        <v>9343.08</v>
      </c>
      <c r="O4425">
        <v>2398.52</v>
      </c>
      <c r="P4425">
        <v>1263.9100000000001</v>
      </c>
      <c r="Q4425">
        <v>1161.3499999999999</v>
      </c>
      <c r="R4425">
        <v>3515.68</v>
      </c>
      <c r="S4425">
        <v>1999.66</v>
      </c>
      <c r="T4425">
        <v>69780.960000000006</v>
      </c>
      <c r="U4425">
        <v>31848</v>
      </c>
      <c r="V4425">
        <v>12165.8</v>
      </c>
      <c r="W4425">
        <v>11289.63</v>
      </c>
      <c r="X4425">
        <v>82928.55</v>
      </c>
      <c r="Y4425">
        <v>66845.070000000007</v>
      </c>
    </row>
    <row r="4426" spans="1:25" x14ac:dyDescent="0.25">
      <c r="A4426" t="s">
        <v>4482</v>
      </c>
      <c r="B4426" s="1">
        <v>46141</v>
      </c>
      <c r="C4426">
        <v>2026</v>
      </c>
      <c r="D4426">
        <v>4</v>
      </c>
      <c r="E4426" t="s">
        <v>357</v>
      </c>
      <c r="F4426" t="s">
        <v>358</v>
      </c>
      <c r="G4426" t="s">
        <v>44</v>
      </c>
      <c r="H4426" t="s">
        <v>29</v>
      </c>
      <c r="I4426" t="s">
        <v>33</v>
      </c>
      <c r="J4426">
        <v>54</v>
      </c>
      <c r="K4426">
        <v>1438.75</v>
      </c>
      <c r="L4426">
        <v>77692.47</v>
      </c>
      <c r="M4426">
        <v>44945.53</v>
      </c>
      <c r="N4426">
        <v>5806.78</v>
      </c>
      <c r="O4426">
        <v>4900.01</v>
      </c>
      <c r="P4426">
        <v>2775.66</v>
      </c>
      <c r="Q4426">
        <v>1286.07</v>
      </c>
      <c r="R4426">
        <v>3096.44</v>
      </c>
      <c r="S4426">
        <v>1149.8499999999999</v>
      </c>
      <c r="T4426">
        <v>63960.34</v>
      </c>
      <c r="U4426">
        <v>32746.93</v>
      </c>
      <c r="V4426">
        <v>13732.12</v>
      </c>
      <c r="W4426">
        <v>12852.63</v>
      </c>
      <c r="X4426">
        <v>85415.61</v>
      </c>
      <c r="Y4426">
        <v>60680.4</v>
      </c>
    </row>
    <row r="4427" spans="1:25" x14ac:dyDescent="0.25">
      <c r="A4427" t="s">
        <v>4483</v>
      </c>
      <c r="B4427" s="1">
        <v>46141</v>
      </c>
      <c r="C4427">
        <v>2026</v>
      </c>
      <c r="D4427">
        <v>4</v>
      </c>
      <c r="E4427" t="s">
        <v>357</v>
      </c>
      <c r="F4427" t="s">
        <v>358</v>
      </c>
      <c r="G4427" t="s">
        <v>35</v>
      </c>
      <c r="H4427" t="s">
        <v>53</v>
      </c>
      <c r="I4427" t="s">
        <v>56</v>
      </c>
      <c r="J4427">
        <v>23</v>
      </c>
      <c r="K4427">
        <v>1513.31</v>
      </c>
      <c r="L4427">
        <v>34806.04</v>
      </c>
      <c r="M4427">
        <v>21302.52</v>
      </c>
      <c r="N4427">
        <v>2650.15</v>
      </c>
      <c r="O4427">
        <v>1644.32</v>
      </c>
      <c r="P4427">
        <v>739.36</v>
      </c>
      <c r="Q4427">
        <v>302.86</v>
      </c>
      <c r="R4427">
        <v>1945.72</v>
      </c>
      <c r="S4427">
        <v>507.55</v>
      </c>
      <c r="T4427">
        <v>29092.49</v>
      </c>
      <c r="U4427">
        <v>13503.52</v>
      </c>
      <c r="V4427">
        <v>5713.55</v>
      </c>
      <c r="W4427">
        <v>5807.18</v>
      </c>
      <c r="X4427">
        <v>33291.24</v>
      </c>
      <c r="Y4427">
        <v>29661.46</v>
      </c>
    </row>
    <row r="4428" spans="1:25" x14ac:dyDescent="0.25">
      <c r="A4428" t="s">
        <v>4484</v>
      </c>
      <c r="B4428" s="1">
        <v>46141</v>
      </c>
      <c r="C4428">
        <v>2026</v>
      </c>
      <c r="D4428">
        <v>4</v>
      </c>
      <c r="E4428" t="s">
        <v>357</v>
      </c>
      <c r="F4428" t="s">
        <v>358</v>
      </c>
      <c r="G4428" t="s">
        <v>28</v>
      </c>
      <c r="H4428" t="s">
        <v>32</v>
      </c>
      <c r="I4428" t="s">
        <v>50</v>
      </c>
      <c r="J4428">
        <v>88</v>
      </c>
      <c r="K4428">
        <v>844.56</v>
      </c>
      <c r="L4428">
        <v>74321.460000000006</v>
      </c>
      <c r="M4428">
        <v>42680.39</v>
      </c>
      <c r="N4428">
        <v>7303.31</v>
      </c>
      <c r="O4428">
        <v>2941.21</v>
      </c>
      <c r="P4428">
        <v>2639.33</v>
      </c>
      <c r="Q4428">
        <v>656.03</v>
      </c>
      <c r="R4428">
        <v>2427.4</v>
      </c>
      <c r="S4428">
        <v>1217.92</v>
      </c>
      <c r="T4428">
        <v>59865.59</v>
      </c>
      <c r="U4428">
        <v>31641.06</v>
      </c>
      <c r="V4428">
        <v>14455.87</v>
      </c>
      <c r="W4428">
        <v>12806.56</v>
      </c>
      <c r="X4428">
        <v>70351.33</v>
      </c>
      <c r="Y4428">
        <v>61306.27</v>
      </c>
    </row>
    <row r="4429" spans="1:25" x14ac:dyDescent="0.25">
      <c r="A4429" t="s">
        <v>4485</v>
      </c>
      <c r="B4429" s="1">
        <v>46141</v>
      </c>
      <c r="C4429">
        <v>2026</v>
      </c>
      <c r="D4429">
        <v>4</v>
      </c>
      <c r="E4429" t="s">
        <v>357</v>
      </c>
      <c r="F4429" t="s">
        <v>358</v>
      </c>
      <c r="G4429" t="s">
        <v>44</v>
      </c>
      <c r="H4429" t="s">
        <v>58</v>
      </c>
      <c r="I4429" t="s">
        <v>65</v>
      </c>
      <c r="J4429">
        <v>35</v>
      </c>
      <c r="K4429">
        <v>1271.58</v>
      </c>
      <c r="L4429">
        <v>44505.14</v>
      </c>
      <c r="M4429">
        <v>26571.55</v>
      </c>
      <c r="N4429">
        <v>3350.73</v>
      </c>
      <c r="O4429">
        <v>1364.32</v>
      </c>
      <c r="P4429">
        <v>1050.18</v>
      </c>
      <c r="Q4429">
        <v>310.17</v>
      </c>
      <c r="R4429">
        <v>1788.18</v>
      </c>
      <c r="S4429">
        <v>365.12</v>
      </c>
      <c r="T4429">
        <v>34800.239999999998</v>
      </c>
      <c r="U4429">
        <v>17933.59</v>
      </c>
      <c r="V4429">
        <v>9704.9</v>
      </c>
      <c r="W4429">
        <v>8677.8700000000008</v>
      </c>
      <c r="X4429">
        <v>47665.78</v>
      </c>
      <c r="Y4429">
        <v>37543.1</v>
      </c>
    </row>
    <row r="4430" spans="1:25" x14ac:dyDescent="0.25">
      <c r="A4430" t="s">
        <v>4486</v>
      </c>
      <c r="B4430" s="1">
        <v>46141</v>
      </c>
      <c r="C4430">
        <v>2026</v>
      </c>
      <c r="D4430">
        <v>4</v>
      </c>
      <c r="E4430" t="s">
        <v>357</v>
      </c>
      <c r="F4430" t="s">
        <v>358</v>
      </c>
      <c r="G4430" t="s">
        <v>35</v>
      </c>
      <c r="H4430" t="s">
        <v>53</v>
      </c>
      <c r="I4430" t="s">
        <v>37</v>
      </c>
      <c r="J4430">
        <v>77</v>
      </c>
      <c r="K4430">
        <v>835.15</v>
      </c>
      <c r="L4430">
        <v>64306.91</v>
      </c>
      <c r="M4430">
        <v>32440.44</v>
      </c>
      <c r="N4430">
        <v>5597.86</v>
      </c>
      <c r="O4430">
        <v>3595.03</v>
      </c>
      <c r="P4430">
        <v>2839.72</v>
      </c>
      <c r="Q4430">
        <v>333.34</v>
      </c>
      <c r="R4430">
        <v>3642.52</v>
      </c>
      <c r="S4430">
        <v>939.54</v>
      </c>
      <c r="T4430">
        <v>49388.45</v>
      </c>
      <c r="U4430">
        <v>31866.47</v>
      </c>
      <c r="V4430">
        <v>14918.46</v>
      </c>
      <c r="W4430">
        <v>15180.36</v>
      </c>
      <c r="X4430">
        <v>61743.93</v>
      </c>
      <c r="Y4430">
        <v>50961.31</v>
      </c>
    </row>
    <row r="4431" spans="1:25" x14ac:dyDescent="0.25">
      <c r="A4431" t="s">
        <v>4487</v>
      </c>
      <c r="B4431" s="1">
        <v>46142</v>
      </c>
      <c r="C4431">
        <v>2026</v>
      </c>
      <c r="D4431">
        <v>4</v>
      </c>
      <c r="E4431" t="s">
        <v>357</v>
      </c>
      <c r="F4431" t="s">
        <v>358</v>
      </c>
      <c r="G4431" t="s">
        <v>55</v>
      </c>
      <c r="H4431" t="s">
        <v>53</v>
      </c>
      <c r="I4431" t="s">
        <v>37</v>
      </c>
      <c r="J4431">
        <v>77</v>
      </c>
      <c r="K4431">
        <v>926.36</v>
      </c>
      <c r="L4431">
        <v>71330.09</v>
      </c>
      <c r="M4431">
        <v>46623</v>
      </c>
      <c r="N4431">
        <v>7785.98</v>
      </c>
      <c r="O4431">
        <v>5037.9799999999996</v>
      </c>
      <c r="P4431">
        <v>2407.77</v>
      </c>
      <c r="Q4431">
        <v>565.75</v>
      </c>
      <c r="R4431">
        <v>4155.08</v>
      </c>
      <c r="S4431">
        <v>608.04999999999995</v>
      </c>
      <c r="T4431">
        <v>67183.61</v>
      </c>
      <c r="U4431">
        <v>24707.09</v>
      </c>
      <c r="V4431">
        <v>4146.4799999999996</v>
      </c>
      <c r="W4431">
        <v>4142.3599999999997</v>
      </c>
      <c r="X4431">
        <v>69025.490000000005</v>
      </c>
      <c r="Y4431">
        <v>64847.77</v>
      </c>
    </row>
    <row r="4432" spans="1:25" x14ac:dyDescent="0.25">
      <c r="A4432" t="s">
        <v>4488</v>
      </c>
      <c r="B4432" s="1">
        <v>46142</v>
      </c>
      <c r="C4432">
        <v>2026</v>
      </c>
      <c r="D4432">
        <v>4</v>
      </c>
      <c r="E4432" t="s">
        <v>357</v>
      </c>
      <c r="F4432" t="s">
        <v>358</v>
      </c>
      <c r="G4432" t="s">
        <v>55</v>
      </c>
      <c r="H4432" t="s">
        <v>36</v>
      </c>
      <c r="I4432" t="s">
        <v>45</v>
      </c>
      <c r="J4432">
        <v>38</v>
      </c>
      <c r="K4432">
        <v>1380.89</v>
      </c>
      <c r="L4432">
        <v>52473.78</v>
      </c>
      <c r="M4432">
        <v>26426.76</v>
      </c>
      <c r="N4432">
        <v>4322.12</v>
      </c>
      <c r="O4432">
        <v>2769.41</v>
      </c>
      <c r="P4432">
        <v>1366.56</v>
      </c>
      <c r="Q4432">
        <v>702.02</v>
      </c>
      <c r="R4432">
        <v>2446.59</v>
      </c>
      <c r="S4432">
        <v>892.34</v>
      </c>
      <c r="T4432">
        <v>38925.79</v>
      </c>
      <c r="U4432">
        <v>26047.02</v>
      </c>
      <c r="V4432">
        <v>13547.99</v>
      </c>
      <c r="W4432">
        <v>12408.49</v>
      </c>
      <c r="X4432">
        <v>49295.040000000001</v>
      </c>
      <c r="Y4432">
        <v>40595.949999999997</v>
      </c>
    </row>
    <row r="4433" spans="1:25" x14ac:dyDescent="0.25">
      <c r="A4433" t="s">
        <v>4489</v>
      </c>
      <c r="B4433" s="1">
        <v>46142</v>
      </c>
      <c r="C4433">
        <v>2026</v>
      </c>
      <c r="D4433">
        <v>4</v>
      </c>
      <c r="E4433" t="s">
        <v>357</v>
      </c>
      <c r="F4433" t="s">
        <v>358</v>
      </c>
      <c r="G4433" t="s">
        <v>28</v>
      </c>
      <c r="H4433" t="s">
        <v>53</v>
      </c>
      <c r="I4433" t="s">
        <v>39</v>
      </c>
      <c r="J4433">
        <v>21</v>
      </c>
      <c r="K4433">
        <v>1779.26</v>
      </c>
      <c r="L4433">
        <v>37364.44</v>
      </c>
      <c r="M4433">
        <v>20957.560000000001</v>
      </c>
      <c r="N4433">
        <v>4410.1099999999997</v>
      </c>
      <c r="O4433">
        <v>1182.6099999999999</v>
      </c>
      <c r="P4433">
        <v>854.89</v>
      </c>
      <c r="Q4433">
        <v>485.27</v>
      </c>
      <c r="R4433">
        <v>1614.56</v>
      </c>
      <c r="S4433">
        <v>333.46</v>
      </c>
      <c r="T4433">
        <v>29838.47</v>
      </c>
      <c r="U4433">
        <v>16406.88</v>
      </c>
      <c r="V4433">
        <v>7525.98</v>
      </c>
      <c r="W4433">
        <v>7299.32</v>
      </c>
      <c r="X4433">
        <v>37849.519999999997</v>
      </c>
      <c r="Y4433">
        <v>29609.14</v>
      </c>
    </row>
    <row r="4434" spans="1:25" x14ac:dyDescent="0.25">
      <c r="A4434" t="s">
        <v>4490</v>
      </c>
      <c r="B4434" s="1">
        <v>46143</v>
      </c>
      <c r="C4434">
        <v>2026</v>
      </c>
      <c r="D4434">
        <v>5</v>
      </c>
      <c r="E4434" t="s">
        <v>468</v>
      </c>
      <c r="F4434" t="s">
        <v>358</v>
      </c>
      <c r="G4434" t="s">
        <v>44</v>
      </c>
      <c r="H4434" t="s">
        <v>29</v>
      </c>
      <c r="I4434" t="s">
        <v>37</v>
      </c>
      <c r="J4434">
        <v>52</v>
      </c>
      <c r="K4434">
        <v>1199.8800000000001</v>
      </c>
      <c r="L4434">
        <v>62393.57</v>
      </c>
      <c r="M4434">
        <v>33186.06</v>
      </c>
      <c r="N4434">
        <v>4798.0600000000004</v>
      </c>
      <c r="O4434">
        <v>3573.46</v>
      </c>
      <c r="P4434">
        <v>1738.61</v>
      </c>
      <c r="Q4434">
        <v>401.69</v>
      </c>
      <c r="R4434">
        <v>3996.09</v>
      </c>
      <c r="S4434">
        <v>910.04</v>
      </c>
      <c r="T4434">
        <v>48604.01</v>
      </c>
      <c r="U4434">
        <v>29207.5</v>
      </c>
      <c r="V4434">
        <v>13789.55</v>
      </c>
      <c r="W4434">
        <v>12742.69</v>
      </c>
      <c r="X4434">
        <v>64465.67</v>
      </c>
      <c r="Y4434">
        <v>48840.35</v>
      </c>
    </row>
    <row r="4435" spans="1:25" x14ac:dyDescent="0.25">
      <c r="A4435" t="s">
        <v>4491</v>
      </c>
      <c r="B4435" s="1">
        <v>46143</v>
      </c>
      <c r="C4435">
        <v>2026</v>
      </c>
      <c r="D4435">
        <v>5</v>
      </c>
      <c r="E4435" t="s">
        <v>468</v>
      </c>
      <c r="F4435" t="s">
        <v>358</v>
      </c>
      <c r="G4435" t="s">
        <v>55</v>
      </c>
      <c r="H4435" t="s">
        <v>32</v>
      </c>
      <c r="I4435" t="s">
        <v>30</v>
      </c>
      <c r="J4435">
        <v>59</v>
      </c>
      <c r="K4435">
        <v>1521.44</v>
      </c>
      <c r="L4435">
        <v>89765.02</v>
      </c>
      <c r="M4435">
        <v>47745.79</v>
      </c>
      <c r="N4435">
        <v>6318.59</v>
      </c>
      <c r="O4435">
        <v>6368.18</v>
      </c>
      <c r="P4435">
        <v>1737.88</v>
      </c>
      <c r="Q4435">
        <v>1386.19</v>
      </c>
      <c r="R4435">
        <v>3504.81</v>
      </c>
      <c r="S4435">
        <v>1409.25</v>
      </c>
      <c r="T4435">
        <v>68470.69</v>
      </c>
      <c r="U4435">
        <v>42019.22</v>
      </c>
      <c r="V4435">
        <v>21294.32</v>
      </c>
      <c r="W4435">
        <v>20284.87</v>
      </c>
      <c r="X4435">
        <v>90718.6</v>
      </c>
      <c r="Y4435">
        <v>74632.210000000006</v>
      </c>
    </row>
    <row r="4436" spans="1:25" x14ac:dyDescent="0.25">
      <c r="A4436" t="s">
        <v>4492</v>
      </c>
      <c r="B4436" s="1">
        <v>46143</v>
      </c>
      <c r="C4436">
        <v>2026</v>
      </c>
      <c r="D4436">
        <v>5</v>
      </c>
      <c r="E4436" t="s">
        <v>468</v>
      </c>
      <c r="F4436" t="s">
        <v>358</v>
      </c>
      <c r="G4436" t="s">
        <v>28</v>
      </c>
      <c r="H4436" t="s">
        <v>32</v>
      </c>
      <c r="I4436" t="s">
        <v>39</v>
      </c>
      <c r="J4436">
        <v>29</v>
      </c>
      <c r="K4436">
        <v>1730.61</v>
      </c>
      <c r="L4436">
        <v>50187.62</v>
      </c>
      <c r="M4436">
        <v>30437.759999999998</v>
      </c>
      <c r="N4436">
        <v>4718.01</v>
      </c>
      <c r="O4436">
        <v>2746.81</v>
      </c>
      <c r="P4436">
        <v>1487.62</v>
      </c>
      <c r="Q4436">
        <v>682.35</v>
      </c>
      <c r="R4436">
        <v>2845.63</v>
      </c>
      <c r="S4436">
        <v>846.58</v>
      </c>
      <c r="T4436">
        <v>43764.76</v>
      </c>
      <c r="U4436">
        <v>19749.86</v>
      </c>
      <c r="V4436">
        <v>6422.87</v>
      </c>
      <c r="W4436">
        <v>5677.73</v>
      </c>
      <c r="X4436">
        <v>47567.73</v>
      </c>
      <c r="Y4436">
        <v>42274.84</v>
      </c>
    </row>
    <row r="4437" spans="1:25" x14ac:dyDescent="0.25">
      <c r="A4437" t="s">
        <v>4493</v>
      </c>
      <c r="B4437" s="1">
        <v>46144</v>
      </c>
      <c r="C4437">
        <v>2026</v>
      </c>
      <c r="D4437">
        <v>5</v>
      </c>
      <c r="E4437" t="s">
        <v>468</v>
      </c>
      <c r="F4437" t="s">
        <v>358</v>
      </c>
      <c r="G4437" t="s">
        <v>55</v>
      </c>
      <c r="H4437" t="s">
        <v>32</v>
      </c>
      <c r="I4437" t="s">
        <v>65</v>
      </c>
      <c r="J4437">
        <v>38</v>
      </c>
      <c r="K4437">
        <v>1738.05</v>
      </c>
      <c r="L4437">
        <v>66045.960000000006</v>
      </c>
      <c r="M4437">
        <v>42189.63</v>
      </c>
      <c r="N4437">
        <v>8002.67</v>
      </c>
      <c r="O4437">
        <v>2710.87</v>
      </c>
      <c r="P4437">
        <v>2415.1799999999998</v>
      </c>
      <c r="Q4437">
        <v>521.83000000000004</v>
      </c>
      <c r="R4437">
        <v>2979.23</v>
      </c>
      <c r="S4437">
        <v>1090.24</v>
      </c>
      <c r="T4437">
        <v>59909.65</v>
      </c>
      <c r="U4437">
        <v>23856.32</v>
      </c>
      <c r="V4437">
        <v>6136.31</v>
      </c>
      <c r="W4437">
        <v>5411.82</v>
      </c>
      <c r="X4437">
        <v>62454.879999999997</v>
      </c>
      <c r="Y4437">
        <v>60100.73</v>
      </c>
    </row>
    <row r="4438" spans="1:25" x14ac:dyDescent="0.25">
      <c r="A4438" t="s">
        <v>4494</v>
      </c>
      <c r="B4438" s="1">
        <v>46144</v>
      </c>
      <c r="C4438">
        <v>2026</v>
      </c>
      <c r="D4438">
        <v>5</v>
      </c>
      <c r="E4438" t="s">
        <v>468</v>
      </c>
      <c r="F4438" t="s">
        <v>358</v>
      </c>
      <c r="G4438" t="s">
        <v>35</v>
      </c>
      <c r="H4438" t="s">
        <v>29</v>
      </c>
      <c r="I4438" t="s">
        <v>45</v>
      </c>
      <c r="J4438">
        <v>27</v>
      </c>
      <c r="K4438">
        <v>1816.76</v>
      </c>
      <c r="L4438">
        <v>49052.639999999999</v>
      </c>
      <c r="M4438">
        <v>29736.19</v>
      </c>
      <c r="N4438">
        <v>5362.51</v>
      </c>
      <c r="O4438">
        <v>3149.79</v>
      </c>
      <c r="P4438">
        <v>1878.02</v>
      </c>
      <c r="Q4438">
        <v>504.06</v>
      </c>
      <c r="R4438">
        <v>1458.8</v>
      </c>
      <c r="S4438">
        <v>427.21</v>
      </c>
      <c r="T4438">
        <v>42516.57</v>
      </c>
      <c r="U4438">
        <v>19316.45</v>
      </c>
      <c r="V4438">
        <v>6536.07</v>
      </c>
      <c r="W4438">
        <v>6246.96</v>
      </c>
      <c r="X4438">
        <v>49566.42</v>
      </c>
      <c r="Y4438">
        <v>41437.26</v>
      </c>
    </row>
    <row r="4439" spans="1:25" x14ac:dyDescent="0.25">
      <c r="A4439" t="s">
        <v>4495</v>
      </c>
      <c r="B4439" s="1">
        <v>46145</v>
      </c>
      <c r="C4439">
        <v>2026</v>
      </c>
      <c r="D4439">
        <v>5</v>
      </c>
      <c r="E4439" t="s">
        <v>468</v>
      </c>
      <c r="F4439" t="s">
        <v>358</v>
      </c>
      <c r="G4439" t="s">
        <v>28</v>
      </c>
      <c r="H4439" t="s">
        <v>32</v>
      </c>
      <c r="I4439" t="s">
        <v>50</v>
      </c>
      <c r="J4439">
        <v>39</v>
      </c>
      <c r="K4439">
        <v>1483.49</v>
      </c>
      <c r="L4439">
        <v>57855.95</v>
      </c>
      <c r="M4439">
        <v>27899.73</v>
      </c>
      <c r="N4439">
        <v>4403.58</v>
      </c>
      <c r="O4439">
        <v>1978.42</v>
      </c>
      <c r="P4439">
        <v>2559.4699999999998</v>
      </c>
      <c r="Q4439">
        <v>565.16999999999996</v>
      </c>
      <c r="R4439">
        <v>1607.25</v>
      </c>
      <c r="S4439">
        <v>1300.31</v>
      </c>
      <c r="T4439">
        <v>40313.93</v>
      </c>
      <c r="U4439">
        <v>29956.22</v>
      </c>
      <c r="V4439">
        <v>17542.02</v>
      </c>
      <c r="W4439">
        <v>16485.45</v>
      </c>
      <c r="X4439">
        <v>64381.17</v>
      </c>
      <c r="Y4439">
        <v>43678.97</v>
      </c>
    </row>
    <row r="4440" spans="1:25" x14ac:dyDescent="0.25">
      <c r="A4440" t="s">
        <v>4496</v>
      </c>
      <c r="B4440" s="1">
        <v>46145</v>
      </c>
      <c r="C4440">
        <v>2026</v>
      </c>
      <c r="D4440">
        <v>5</v>
      </c>
      <c r="E4440" t="s">
        <v>468</v>
      </c>
      <c r="F4440" t="s">
        <v>358</v>
      </c>
      <c r="G4440" t="s">
        <v>28</v>
      </c>
      <c r="H4440" t="s">
        <v>36</v>
      </c>
      <c r="I4440" t="s">
        <v>30</v>
      </c>
      <c r="J4440">
        <v>74</v>
      </c>
      <c r="K4440">
        <v>1595.61</v>
      </c>
      <c r="L4440">
        <v>118075.49</v>
      </c>
      <c r="M4440">
        <v>65757.990000000005</v>
      </c>
      <c r="N4440">
        <v>9422.59</v>
      </c>
      <c r="O4440">
        <v>5459.05</v>
      </c>
      <c r="P4440">
        <v>4330.71</v>
      </c>
      <c r="Q4440">
        <v>1049.25</v>
      </c>
      <c r="R4440">
        <v>6718.58</v>
      </c>
      <c r="S4440">
        <v>2002.19</v>
      </c>
      <c r="T4440">
        <v>94740.34</v>
      </c>
      <c r="U4440">
        <v>52317.5</v>
      </c>
      <c r="V4440">
        <v>23335.15</v>
      </c>
      <c r="W4440">
        <v>23512.880000000001</v>
      </c>
      <c r="X4440">
        <v>123625.5</v>
      </c>
      <c r="Y4440">
        <v>91164.71</v>
      </c>
    </row>
    <row r="4441" spans="1:25" x14ac:dyDescent="0.25">
      <c r="A4441" t="s">
        <v>4497</v>
      </c>
      <c r="B4441" s="1">
        <v>46145</v>
      </c>
      <c r="C4441">
        <v>2026</v>
      </c>
      <c r="D4441">
        <v>5</v>
      </c>
      <c r="E4441" t="s">
        <v>468</v>
      </c>
      <c r="F4441" t="s">
        <v>358</v>
      </c>
      <c r="G4441" t="s">
        <v>28</v>
      </c>
      <c r="H4441" t="s">
        <v>53</v>
      </c>
      <c r="I4441" t="s">
        <v>30</v>
      </c>
      <c r="J4441">
        <v>115</v>
      </c>
      <c r="K4441">
        <v>811.38</v>
      </c>
      <c r="L4441">
        <v>93309.09</v>
      </c>
      <c r="M4441">
        <v>50395.19</v>
      </c>
      <c r="N4441">
        <v>8671.25</v>
      </c>
      <c r="O4441">
        <v>3295.6</v>
      </c>
      <c r="P4441">
        <v>2563.11</v>
      </c>
      <c r="Q4441">
        <v>686.43</v>
      </c>
      <c r="R4441">
        <v>4701.5</v>
      </c>
      <c r="S4441">
        <v>1940.57</v>
      </c>
      <c r="T4441">
        <v>72253.63</v>
      </c>
      <c r="U4441">
        <v>42913.9</v>
      </c>
      <c r="V4441">
        <v>21055.45</v>
      </c>
      <c r="W4441">
        <v>20243.96</v>
      </c>
      <c r="X4441">
        <v>91742.48</v>
      </c>
      <c r="Y4441">
        <v>76127.22</v>
      </c>
    </row>
    <row r="4442" spans="1:25" x14ac:dyDescent="0.25">
      <c r="A4442" t="s">
        <v>4498</v>
      </c>
      <c r="B4442" s="1">
        <v>46145</v>
      </c>
      <c r="C4442">
        <v>2026</v>
      </c>
      <c r="D4442">
        <v>5</v>
      </c>
      <c r="E4442" t="s">
        <v>468</v>
      </c>
      <c r="F4442" t="s">
        <v>358</v>
      </c>
      <c r="G4442" t="s">
        <v>44</v>
      </c>
      <c r="H4442" t="s">
        <v>29</v>
      </c>
      <c r="I4442" t="s">
        <v>45</v>
      </c>
      <c r="J4442">
        <v>29</v>
      </c>
      <c r="K4442">
        <v>1270.83</v>
      </c>
      <c r="L4442">
        <v>36854.199999999997</v>
      </c>
      <c r="M4442">
        <v>20613.63</v>
      </c>
      <c r="N4442">
        <v>4010.91</v>
      </c>
      <c r="O4442">
        <v>2588.39</v>
      </c>
      <c r="P4442">
        <v>1391.13</v>
      </c>
      <c r="Q4442">
        <v>312.29000000000002</v>
      </c>
      <c r="R4442">
        <v>1431.45</v>
      </c>
      <c r="S4442">
        <v>467.81</v>
      </c>
      <c r="T4442">
        <v>30815.61</v>
      </c>
      <c r="U4442">
        <v>16240.57</v>
      </c>
      <c r="V4442">
        <v>6038.59</v>
      </c>
      <c r="W4442">
        <v>5484.53</v>
      </c>
      <c r="X4442">
        <v>36958.85</v>
      </c>
      <c r="Y4442">
        <v>33766.11</v>
      </c>
    </row>
    <row r="4443" spans="1:25" x14ac:dyDescent="0.25">
      <c r="A4443" t="s">
        <v>4499</v>
      </c>
      <c r="B4443" s="1">
        <v>46145</v>
      </c>
      <c r="C4443">
        <v>2026</v>
      </c>
      <c r="D4443">
        <v>5</v>
      </c>
      <c r="E4443" t="s">
        <v>468</v>
      </c>
      <c r="F4443" t="s">
        <v>358</v>
      </c>
      <c r="G4443" t="s">
        <v>44</v>
      </c>
      <c r="H4443" t="s">
        <v>53</v>
      </c>
      <c r="I4443" t="s">
        <v>65</v>
      </c>
      <c r="J4443">
        <v>38</v>
      </c>
      <c r="K4443">
        <v>1020.29</v>
      </c>
      <c r="L4443">
        <v>38771.15</v>
      </c>
      <c r="M4443">
        <v>19015.75</v>
      </c>
      <c r="N4443">
        <v>3676.28</v>
      </c>
      <c r="O4443">
        <v>2472.5300000000002</v>
      </c>
      <c r="P4443">
        <v>1063.3499999999999</v>
      </c>
      <c r="Q4443">
        <v>556.61</v>
      </c>
      <c r="R4443">
        <v>2122.3000000000002</v>
      </c>
      <c r="S4443">
        <v>451.42</v>
      </c>
      <c r="T4443">
        <v>29358.240000000002</v>
      </c>
      <c r="U4443">
        <v>19755.400000000001</v>
      </c>
      <c r="V4443">
        <v>9412.92</v>
      </c>
      <c r="W4443">
        <v>8377.76</v>
      </c>
      <c r="X4443">
        <v>36465.06</v>
      </c>
      <c r="Y4443">
        <v>28654.16</v>
      </c>
    </row>
    <row r="4444" spans="1:25" x14ac:dyDescent="0.25">
      <c r="A4444" t="s">
        <v>4500</v>
      </c>
      <c r="B4444" s="1">
        <v>46146</v>
      </c>
      <c r="C4444">
        <v>2026</v>
      </c>
      <c r="D4444">
        <v>5</v>
      </c>
      <c r="E4444" t="s">
        <v>468</v>
      </c>
      <c r="F4444" t="s">
        <v>358</v>
      </c>
      <c r="G4444" t="s">
        <v>44</v>
      </c>
      <c r="H4444" t="s">
        <v>29</v>
      </c>
      <c r="I4444" t="s">
        <v>65</v>
      </c>
      <c r="J4444">
        <v>46</v>
      </c>
      <c r="K4444">
        <v>1346.44</v>
      </c>
      <c r="L4444">
        <v>61936.23</v>
      </c>
      <c r="M4444">
        <v>36439.67</v>
      </c>
      <c r="N4444">
        <v>5463.53</v>
      </c>
      <c r="O4444">
        <v>2651.27</v>
      </c>
      <c r="P4444">
        <v>1370.91</v>
      </c>
      <c r="Q4444">
        <v>789.75</v>
      </c>
      <c r="R4444">
        <v>2410.3000000000002</v>
      </c>
      <c r="S4444">
        <v>1049.31</v>
      </c>
      <c r="T4444">
        <v>50174.74</v>
      </c>
      <c r="U4444">
        <v>25496.560000000001</v>
      </c>
      <c r="V4444">
        <v>11761.49</v>
      </c>
      <c r="W4444">
        <v>11992.23</v>
      </c>
      <c r="X4444">
        <v>62796.62</v>
      </c>
      <c r="Y4444">
        <v>51329.96</v>
      </c>
    </row>
    <row r="4445" spans="1:25" x14ac:dyDescent="0.25">
      <c r="A4445" t="s">
        <v>4501</v>
      </c>
      <c r="B4445" s="1">
        <v>46146</v>
      </c>
      <c r="C4445">
        <v>2026</v>
      </c>
      <c r="D4445">
        <v>5</v>
      </c>
      <c r="E4445" t="s">
        <v>468</v>
      </c>
      <c r="F4445" t="s">
        <v>358</v>
      </c>
      <c r="G4445" t="s">
        <v>28</v>
      </c>
      <c r="H4445" t="s">
        <v>32</v>
      </c>
      <c r="I4445" t="s">
        <v>39</v>
      </c>
      <c r="J4445">
        <v>52</v>
      </c>
      <c r="K4445">
        <v>1090.8599999999999</v>
      </c>
      <c r="L4445">
        <v>56724.86</v>
      </c>
      <c r="M4445">
        <v>34884.75</v>
      </c>
      <c r="N4445">
        <v>5113.1499999999996</v>
      </c>
      <c r="O4445">
        <v>3057.08</v>
      </c>
      <c r="P4445">
        <v>1349.72</v>
      </c>
      <c r="Q4445">
        <v>428</v>
      </c>
      <c r="R4445">
        <v>1952.73</v>
      </c>
      <c r="S4445">
        <v>987.23</v>
      </c>
      <c r="T4445">
        <v>47772.639999999999</v>
      </c>
      <c r="U4445">
        <v>21840.11</v>
      </c>
      <c r="V4445">
        <v>8952.2099999999991</v>
      </c>
      <c r="W4445">
        <v>8501.27</v>
      </c>
      <c r="X4445">
        <v>58410.29</v>
      </c>
      <c r="Y4445">
        <v>44484.800000000003</v>
      </c>
    </row>
    <row r="4446" spans="1:25" x14ac:dyDescent="0.25">
      <c r="A4446" t="s">
        <v>4502</v>
      </c>
      <c r="B4446" s="1">
        <v>46146</v>
      </c>
      <c r="C4446">
        <v>2026</v>
      </c>
      <c r="D4446">
        <v>5</v>
      </c>
      <c r="E4446" t="s">
        <v>468</v>
      </c>
      <c r="F4446" t="s">
        <v>358</v>
      </c>
      <c r="G4446" t="s">
        <v>44</v>
      </c>
      <c r="H4446" t="s">
        <v>53</v>
      </c>
      <c r="I4446" t="s">
        <v>39</v>
      </c>
      <c r="J4446">
        <v>40</v>
      </c>
      <c r="K4446">
        <v>1030.1099999999999</v>
      </c>
      <c r="L4446">
        <v>41204.5</v>
      </c>
      <c r="M4446">
        <v>27693.97</v>
      </c>
      <c r="N4446">
        <v>3692.24</v>
      </c>
      <c r="O4446">
        <v>2572.7199999999998</v>
      </c>
      <c r="P4446">
        <v>1404.85</v>
      </c>
      <c r="Q4446">
        <v>463.12</v>
      </c>
      <c r="R4446">
        <v>1477.99</v>
      </c>
      <c r="S4446">
        <v>667.24</v>
      </c>
      <c r="T4446">
        <v>37972.120000000003</v>
      </c>
      <c r="U4446">
        <v>13510.53</v>
      </c>
      <c r="V4446">
        <v>3232.38</v>
      </c>
      <c r="W4446">
        <v>2968.68</v>
      </c>
      <c r="X4446">
        <v>41205.99</v>
      </c>
      <c r="Y4446">
        <v>37249.089999999997</v>
      </c>
    </row>
    <row r="4447" spans="1:25" x14ac:dyDescent="0.25">
      <c r="A4447" t="s">
        <v>4503</v>
      </c>
      <c r="B4447" s="1">
        <v>46146</v>
      </c>
      <c r="C4447">
        <v>2026</v>
      </c>
      <c r="D4447">
        <v>5</v>
      </c>
      <c r="E4447" t="s">
        <v>468</v>
      </c>
      <c r="F4447" t="s">
        <v>358</v>
      </c>
      <c r="G4447" t="s">
        <v>44</v>
      </c>
      <c r="H4447" t="s">
        <v>53</v>
      </c>
      <c r="I4447" t="s">
        <v>45</v>
      </c>
      <c r="J4447">
        <v>21</v>
      </c>
      <c r="K4447">
        <v>1789.65</v>
      </c>
      <c r="L4447">
        <v>37582.660000000003</v>
      </c>
      <c r="M4447">
        <v>20988.31</v>
      </c>
      <c r="N4447">
        <v>2922.36</v>
      </c>
      <c r="O4447">
        <v>2489.02</v>
      </c>
      <c r="P4447">
        <v>1350.05</v>
      </c>
      <c r="Q4447">
        <v>560.28</v>
      </c>
      <c r="R4447">
        <v>2342.2399999999998</v>
      </c>
      <c r="S4447">
        <v>333.36</v>
      </c>
      <c r="T4447">
        <v>30985.62</v>
      </c>
      <c r="U4447">
        <v>16594.36</v>
      </c>
      <c r="V4447">
        <v>6597.04</v>
      </c>
      <c r="W4447">
        <v>6322.25</v>
      </c>
      <c r="X4447">
        <v>39395.29</v>
      </c>
      <c r="Y4447">
        <v>30146.77</v>
      </c>
    </row>
    <row r="4448" spans="1:25" x14ac:dyDescent="0.25">
      <c r="A4448" t="s">
        <v>4504</v>
      </c>
      <c r="B4448" s="1">
        <v>46146</v>
      </c>
      <c r="C4448">
        <v>2026</v>
      </c>
      <c r="D4448">
        <v>5</v>
      </c>
      <c r="E4448" t="s">
        <v>468</v>
      </c>
      <c r="F4448" t="s">
        <v>358</v>
      </c>
      <c r="G4448" t="s">
        <v>55</v>
      </c>
      <c r="H4448" t="s">
        <v>53</v>
      </c>
      <c r="I4448" t="s">
        <v>50</v>
      </c>
      <c r="J4448">
        <v>29</v>
      </c>
      <c r="K4448">
        <v>1577.71</v>
      </c>
      <c r="L4448">
        <v>45753.51</v>
      </c>
      <c r="M4448">
        <v>25851.34</v>
      </c>
      <c r="N4448">
        <v>5601.36</v>
      </c>
      <c r="O4448">
        <v>1335.08</v>
      </c>
      <c r="P4448">
        <v>1174.5899999999999</v>
      </c>
      <c r="Q4448">
        <v>613.26</v>
      </c>
      <c r="R4448">
        <v>1446.24</v>
      </c>
      <c r="S4448">
        <v>717.08</v>
      </c>
      <c r="T4448">
        <v>36738.97</v>
      </c>
      <c r="U4448">
        <v>19902.169999999998</v>
      </c>
      <c r="V4448">
        <v>9014.5499999999993</v>
      </c>
      <c r="W4448">
        <v>8138.12</v>
      </c>
      <c r="X4448">
        <v>48710.58</v>
      </c>
      <c r="Y4448">
        <v>35790.89</v>
      </c>
    </row>
    <row r="4449" spans="1:25" x14ac:dyDescent="0.25">
      <c r="A4449" t="s">
        <v>4505</v>
      </c>
      <c r="B4449" s="1">
        <v>46148</v>
      </c>
      <c r="C4449">
        <v>2026</v>
      </c>
      <c r="D4449">
        <v>5</v>
      </c>
      <c r="E4449" t="s">
        <v>468</v>
      </c>
      <c r="F4449" t="s">
        <v>358</v>
      </c>
      <c r="G4449" t="s">
        <v>28</v>
      </c>
      <c r="H4449" t="s">
        <v>36</v>
      </c>
      <c r="I4449" t="s">
        <v>45</v>
      </c>
      <c r="J4449">
        <v>24</v>
      </c>
      <c r="K4449">
        <v>1705.8</v>
      </c>
      <c r="L4449">
        <v>40939.25</v>
      </c>
      <c r="M4449">
        <v>21508.63</v>
      </c>
      <c r="N4449">
        <v>4122.3900000000003</v>
      </c>
      <c r="O4449">
        <v>1654.5</v>
      </c>
      <c r="P4449">
        <v>980</v>
      </c>
      <c r="Q4449">
        <v>371.19</v>
      </c>
      <c r="R4449">
        <v>2621.2600000000002</v>
      </c>
      <c r="S4449">
        <v>619.83000000000004</v>
      </c>
      <c r="T4449">
        <v>31877.81</v>
      </c>
      <c r="U4449">
        <v>19430.62</v>
      </c>
      <c r="V4449">
        <v>9061.44</v>
      </c>
      <c r="W4449">
        <v>8528.39</v>
      </c>
      <c r="X4449">
        <v>39640.75</v>
      </c>
      <c r="Y4449">
        <v>34102.269999999997</v>
      </c>
    </row>
    <row r="4450" spans="1:25" x14ac:dyDescent="0.25">
      <c r="A4450" t="s">
        <v>4506</v>
      </c>
      <c r="B4450" s="1">
        <v>46149</v>
      </c>
      <c r="C4450">
        <v>2026</v>
      </c>
      <c r="D4450">
        <v>5</v>
      </c>
      <c r="E4450" t="s">
        <v>468</v>
      </c>
      <c r="F4450" t="s">
        <v>358</v>
      </c>
      <c r="G4450" t="s">
        <v>28</v>
      </c>
      <c r="H4450" t="s">
        <v>53</v>
      </c>
      <c r="I4450" t="s">
        <v>39</v>
      </c>
      <c r="J4450">
        <v>23</v>
      </c>
      <c r="K4450">
        <v>1788.11</v>
      </c>
      <c r="L4450">
        <v>41126.49</v>
      </c>
      <c r="M4450">
        <v>26296.13</v>
      </c>
      <c r="N4450">
        <v>3260.38</v>
      </c>
      <c r="O4450">
        <v>1164.78</v>
      </c>
      <c r="P4450">
        <v>1182</v>
      </c>
      <c r="Q4450">
        <v>265.13</v>
      </c>
      <c r="R4450">
        <v>2152.12</v>
      </c>
      <c r="S4450">
        <v>623.95000000000005</v>
      </c>
      <c r="T4450">
        <v>34944.49</v>
      </c>
      <c r="U4450">
        <v>14830.37</v>
      </c>
      <c r="V4450">
        <v>6182</v>
      </c>
      <c r="W4450">
        <v>5883.74</v>
      </c>
      <c r="X4450">
        <v>40154.51</v>
      </c>
      <c r="Y4450">
        <v>35656.080000000002</v>
      </c>
    </row>
    <row r="4451" spans="1:25" x14ac:dyDescent="0.25">
      <c r="A4451" t="s">
        <v>4507</v>
      </c>
      <c r="B4451" s="1">
        <v>46149</v>
      </c>
      <c r="C4451">
        <v>2026</v>
      </c>
      <c r="D4451">
        <v>5</v>
      </c>
      <c r="E4451" t="s">
        <v>468</v>
      </c>
      <c r="F4451" t="s">
        <v>358</v>
      </c>
      <c r="G4451" t="s">
        <v>28</v>
      </c>
      <c r="H4451" t="s">
        <v>53</v>
      </c>
      <c r="I4451" t="s">
        <v>56</v>
      </c>
      <c r="J4451">
        <v>19</v>
      </c>
      <c r="K4451">
        <v>1404.22</v>
      </c>
      <c r="L4451">
        <v>26680.27</v>
      </c>
      <c r="M4451">
        <v>16354.73</v>
      </c>
      <c r="N4451">
        <v>2292.3000000000002</v>
      </c>
      <c r="O4451">
        <v>1259.46</v>
      </c>
      <c r="P4451">
        <v>485.47</v>
      </c>
      <c r="Q4451">
        <v>265.8</v>
      </c>
      <c r="R4451">
        <v>1654.62</v>
      </c>
      <c r="S4451">
        <v>484.81</v>
      </c>
      <c r="T4451">
        <v>22797.19</v>
      </c>
      <c r="U4451">
        <v>10325.540000000001</v>
      </c>
      <c r="V4451">
        <v>3883.08</v>
      </c>
      <c r="W4451">
        <v>3676.16</v>
      </c>
      <c r="X4451">
        <v>28289.200000000001</v>
      </c>
      <c r="Y4451">
        <v>21699.58</v>
      </c>
    </row>
    <row r="4452" spans="1:25" x14ac:dyDescent="0.25">
      <c r="A4452" t="s">
        <v>4508</v>
      </c>
      <c r="B4452" s="1">
        <v>46150</v>
      </c>
      <c r="C4452">
        <v>2026</v>
      </c>
      <c r="D4452">
        <v>5</v>
      </c>
      <c r="E4452" t="s">
        <v>468</v>
      </c>
      <c r="F4452" t="s">
        <v>358</v>
      </c>
      <c r="G4452" t="s">
        <v>44</v>
      </c>
      <c r="H4452" t="s">
        <v>36</v>
      </c>
      <c r="I4452" t="s">
        <v>65</v>
      </c>
      <c r="J4452">
        <v>30</v>
      </c>
      <c r="K4452">
        <v>1825.45</v>
      </c>
      <c r="L4452">
        <v>54763.57</v>
      </c>
      <c r="M4452">
        <v>33904.47</v>
      </c>
      <c r="N4452">
        <v>5059.26</v>
      </c>
      <c r="O4452">
        <v>1732.86</v>
      </c>
      <c r="P4452">
        <v>1888.94</v>
      </c>
      <c r="Q4452">
        <v>717.57</v>
      </c>
      <c r="R4452">
        <v>2661.06</v>
      </c>
      <c r="S4452">
        <v>1025.78</v>
      </c>
      <c r="T4452">
        <v>46989.95</v>
      </c>
      <c r="U4452">
        <v>20859.099999999999</v>
      </c>
      <c r="V4452">
        <v>7773.62</v>
      </c>
      <c r="W4452">
        <v>7163.51</v>
      </c>
      <c r="X4452">
        <v>58838.7</v>
      </c>
      <c r="Y4452">
        <v>47899.88</v>
      </c>
    </row>
    <row r="4453" spans="1:25" x14ac:dyDescent="0.25">
      <c r="A4453" t="s">
        <v>4509</v>
      </c>
      <c r="B4453" s="1">
        <v>46150</v>
      </c>
      <c r="C4453">
        <v>2026</v>
      </c>
      <c r="D4453">
        <v>5</v>
      </c>
      <c r="E4453" t="s">
        <v>468</v>
      </c>
      <c r="F4453" t="s">
        <v>358</v>
      </c>
      <c r="G4453" t="s">
        <v>28</v>
      </c>
      <c r="H4453" t="s">
        <v>32</v>
      </c>
      <c r="I4453" t="s">
        <v>56</v>
      </c>
      <c r="J4453">
        <v>61</v>
      </c>
      <c r="K4453">
        <v>847.16</v>
      </c>
      <c r="L4453">
        <v>51677.04</v>
      </c>
      <c r="M4453">
        <v>26605.75</v>
      </c>
      <c r="N4453">
        <v>3944.94</v>
      </c>
      <c r="O4453">
        <v>2653.1</v>
      </c>
      <c r="P4453">
        <v>1133.46</v>
      </c>
      <c r="Q4453">
        <v>363.6</v>
      </c>
      <c r="R4453">
        <v>2294.9</v>
      </c>
      <c r="S4453">
        <v>495.71</v>
      </c>
      <c r="T4453">
        <v>37491.46</v>
      </c>
      <c r="U4453">
        <v>25071.29</v>
      </c>
      <c r="V4453">
        <v>14185.58</v>
      </c>
      <c r="W4453">
        <v>13112.57</v>
      </c>
      <c r="X4453">
        <v>47620.74</v>
      </c>
      <c r="Y4453">
        <v>36663.83</v>
      </c>
    </row>
    <row r="4454" spans="1:25" x14ac:dyDescent="0.25">
      <c r="A4454" t="s">
        <v>4510</v>
      </c>
      <c r="B4454" s="1">
        <v>46151</v>
      </c>
      <c r="C4454">
        <v>2026</v>
      </c>
      <c r="D4454">
        <v>5</v>
      </c>
      <c r="E4454" t="s">
        <v>468</v>
      </c>
      <c r="F4454" t="s">
        <v>358</v>
      </c>
      <c r="G4454" t="s">
        <v>35</v>
      </c>
      <c r="H4454" t="s">
        <v>32</v>
      </c>
      <c r="I4454" t="s">
        <v>33</v>
      </c>
      <c r="J4454">
        <v>64</v>
      </c>
      <c r="K4454">
        <v>1374.87</v>
      </c>
      <c r="L4454">
        <v>87991.58</v>
      </c>
      <c r="M4454">
        <v>48388.06</v>
      </c>
      <c r="N4454">
        <v>8921.2099999999991</v>
      </c>
      <c r="O4454">
        <v>2628.01</v>
      </c>
      <c r="P4454">
        <v>2849.4</v>
      </c>
      <c r="Q4454">
        <v>1516.39</v>
      </c>
      <c r="R4454">
        <v>5324.38</v>
      </c>
      <c r="S4454">
        <v>1349.89</v>
      </c>
      <c r="T4454">
        <v>70977.34</v>
      </c>
      <c r="U4454">
        <v>39603.519999999997</v>
      </c>
      <c r="V4454">
        <v>17014.240000000002</v>
      </c>
      <c r="W4454">
        <v>14985.01</v>
      </c>
      <c r="X4454">
        <v>82196.25</v>
      </c>
      <c r="Y4454">
        <v>68109.440000000002</v>
      </c>
    </row>
    <row r="4455" spans="1:25" x14ac:dyDescent="0.25">
      <c r="A4455" t="s">
        <v>4511</v>
      </c>
      <c r="B4455" s="1">
        <v>46151</v>
      </c>
      <c r="C4455">
        <v>2026</v>
      </c>
      <c r="D4455">
        <v>5</v>
      </c>
      <c r="E4455" t="s">
        <v>468</v>
      </c>
      <c r="F4455" t="s">
        <v>358</v>
      </c>
      <c r="G4455" t="s">
        <v>28</v>
      </c>
      <c r="H4455" t="s">
        <v>29</v>
      </c>
      <c r="I4455" t="s">
        <v>50</v>
      </c>
      <c r="J4455">
        <v>25</v>
      </c>
      <c r="K4455">
        <v>1711.17</v>
      </c>
      <c r="L4455">
        <v>42779.16</v>
      </c>
      <c r="M4455">
        <v>23346.38</v>
      </c>
      <c r="N4455">
        <v>3157.97</v>
      </c>
      <c r="O4455">
        <v>2224.2399999999998</v>
      </c>
      <c r="P4455">
        <v>1759.76</v>
      </c>
      <c r="Q4455">
        <v>559.05999999999995</v>
      </c>
      <c r="R4455">
        <v>1619.86</v>
      </c>
      <c r="S4455">
        <v>882.31</v>
      </c>
      <c r="T4455">
        <v>33549.58</v>
      </c>
      <c r="U4455">
        <v>19432.78</v>
      </c>
      <c r="V4455">
        <v>9229.58</v>
      </c>
      <c r="W4455">
        <v>9279.73</v>
      </c>
      <c r="X4455">
        <v>39642.71</v>
      </c>
      <c r="Y4455">
        <v>31400</v>
      </c>
    </row>
    <row r="4456" spans="1:25" x14ac:dyDescent="0.25">
      <c r="A4456" t="s">
        <v>4512</v>
      </c>
      <c r="B4456" s="1">
        <v>46151</v>
      </c>
      <c r="C4456">
        <v>2026</v>
      </c>
      <c r="D4456">
        <v>5</v>
      </c>
      <c r="E4456" t="s">
        <v>468</v>
      </c>
      <c r="F4456" t="s">
        <v>358</v>
      </c>
      <c r="G4456" t="s">
        <v>44</v>
      </c>
      <c r="H4456" t="s">
        <v>36</v>
      </c>
      <c r="I4456" t="s">
        <v>50</v>
      </c>
      <c r="J4456">
        <v>44</v>
      </c>
      <c r="K4456">
        <v>1233.1600000000001</v>
      </c>
      <c r="L4456">
        <v>54259.25</v>
      </c>
      <c r="M4456">
        <v>34298.199999999997</v>
      </c>
      <c r="N4456">
        <v>6915.23</v>
      </c>
      <c r="O4456">
        <v>3985.72</v>
      </c>
      <c r="P4456">
        <v>1050.4100000000001</v>
      </c>
      <c r="Q4456">
        <v>450.26</v>
      </c>
      <c r="R4456">
        <v>3289.61</v>
      </c>
      <c r="S4456">
        <v>1041.74</v>
      </c>
      <c r="T4456">
        <v>51031.15</v>
      </c>
      <c r="U4456">
        <v>19961.05</v>
      </c>
      <c r="V4456">
        <v>3228.1</v>
      </c>
      <c r="W4456">
        <v>3158.52</v>
      </c>
      <c r="X4456">
        <v>51253.41</v>
      </c>
      <c r="Y4456">
        <v>50068.82</v>
      </c>
    </row>
    <row r="4457" spans="1:25" x14ac:dyDescent="0.25">
      <c r="A4457" t="s">
        <v>4513</v>
      </c>
      <c r="B4457" s="1">
        <v>46151</v>
      </c>
      <c r="C4457">
        <v>2026</v>
      </c>
      <c r="D4457">
        <v>5</v>
      </c>
      <c r="E4457" t="s">
        <v>468</v>
      </c>
      <c r="F4457" t="s">
        <v>358</v>
      </c>
      <c r="G4457" t="s">
        <v>28</v>
      </c>
      <c r="H4457" t="s">
        <v>58</v>
      </c>
      <c r="I4457" t="s">
        <v>39</v>
      </c>
      <c r="J4457">
        <v>31</v>
      </c>
      <c r="K4457">
        <v>1360.14</v>
      </c>
      <c r="L4457">
        <v>42164.49</v>
      </c>
      <c r="M4457">
        <v>28551.15</v>
      </c>
      <c r="N4457">
        <v>5449</v>
      </c>
      <c r="O4457">
        <v>2302.5500000000002</v>
      </c>
      <c r="P4457">
        <v>1801.3</v>
      </c>
      <c r="Q4457">
        <v>587.21</v>
      </c>
      <c r="R4457">
        <v>2216.54</v>
      </c>
      <c r="S4457">
        <v>396.41</v>
      </c>
      <c r="T4457">
        <v>41304.160000000003</v>
      </c>
      <c r="U4457">
        <v>13613.35</v>
      </c>
      <c r="V4457">
        <v>860.33</v>
      </c>
      <c r="W4457">
        <v>797.26</v>
      </c>
      <c r="X4457">
        <v>47105.29</v>
      </c>
      <c r="Y4457">
        <v>42749.47</v>
      </c>
    </row>
    <row r="4458" spans="1:25" x14ac:dyDescent="0.25">
      <c r="A4458" t="s">
        <v>4514</v>
      </c>
      <c r="B4458" s="1">
        <v>46151</v>
      </c>
      <c r="C4458">
        <v>2026</v>
      </c>
      <c r="D4458">
        <v>5</v>
      </c>
      <c r="E4458" t="s">
        <v>468</v>
      </c>
      <c r="F4458" t="s">
        <v>358</v>
      </c>
      <c r="G4458" t="s">
        <v>44</v>
      </c>
      <c r="H4458" t="s">
        <v>29</v>
      </c>
      <c r="I4458" t="s">
        <v>65</v>
      </c>
      <c r="J4458">
        <v>42</v>
      </c>
      <c r="K4458">
        <v>1299.0899999999999</v>
      </c>
      <c r="L4458">
        <v>54561.67</v>
      </c>
      <c r="M4458">
        <v>28861.07</v>
      </c>
      <c r="N4458">
        <v>5986.39</v>
      </c>
      <c r="O4458">
        <v>3371.84</v>
      </c>
      <c r="P4458">
        <v>1747.35</v>
      </c>
      <c r="Q4458">
        <v>877.29</v>
      </c>
      <c r="R4458">
        <v>1509.53</v>
      </c>
      <c r="S4458">
        <v>439.26</v>
      </c>
      <c r="T4458">
        <v>42792.72</v>
      </c>
      <c r="U4458">
        <v>25700.6</v>
      </c>
      <c r="V4458">
        <v>11768.94</v>
      </c>
      <c r="W4458">
        <v>11432.7</v>
      </c>
      <c r="X4458">
        <v>58735.03</v>
      </c>
      <c r="Y4458">
        <v>40391.550000000003</v>
      </c>
    </row>
    <row r="4459" spans="1:25" x14ac:dyDescent="0.25">
      <c r="A4459" t="s">
        <v>4515</v>
      </c>
      <c r="B4459" s="1">
        <v>46151</v>
      </c>
      <c r="C4459">
        <v>2026</v>
      </c>
      <c r="D4459">
        <v>5</v>
      </c>
      <c r="E4459" t="s">
        <v>468</v>
      </c>
      <c r="F4459" t="s">
        <v>358</v>
      </c>
      <c r="G4459" t="s">
        <v>35</v>
      </c>
      <c r="H4459" t="s">
        <v>32</v>
      </c>
      <c r="I4459" t="s">
        <v>65</v>
      </c>
      <c r="J4459">
        <v>38</v>
      </c>
      <c r="K4459">
        <v>1265.07</v>
      </c>
      <c r="L4459">
        <v>48072.59</v>
      </c>
      <c r="M4459">
        <v>23186.12</v>
      </c>
      <c r="N4459">
        <v>6209.53</v>
      </c>
      <c r="O4459">
        <v>2927.63</v>
      </c>
      <c r="P4459">
        <v>1910.42</v>
      </c>
      <c r="Q4459">
        <v>435.71</v>
      </c>
      <c r="R4459">
        <v>2821.69</v>
      </c>
      <c r="S4459">
        <v>673.87</v>
      </c>
      <c r="T4459">
        <v>38164.959999999999</v>
      </c>
      <c r="U4459">
        <v>24886.48</v>
      </c>
      <c r="V4459">
        <v>9907.6299999999992</v>
      </c>
      <c r="W4459">
        <v>10104.15</v>
      </c>
      <c r="X4459">
        <v>49616.58</v>
      </c>
      <c r="Y4459">
        <v>41379</v>
      </c>
    </row>
    <row r="4460" spans="1:25" x14ac:dyDescent="0.25">
      <c r="A4460" t="s">
        <v>4516</v>
      </c>
      <c r="B4460" s="1">
        <v>46152</v>
      </c>
      <c r="C4460">
        <v>2026</v>
      </c>
      <c r="D4460">
        <v>5</v>
      </c>
      <c r="E4460" t="s">
        <v>468</v>
      </c>
      <c r="F4460" t="s">
        <v>358</v>
      </c>
      <c r="G4460" t="s">
        <v>28</v>
      </c>
      <c r="H4460" t="s">
        <v>58</v>
      </c>
      <c r="I4460" t="s">
        <v>30</v>
      </c>
      <c r="J4460">
        <v>99</v>
      </c>
      <c r="K4460">
        <v>818.25</v>
      </c>
      <c r="L4460">
        <v>81006.720000000001</v>
      </c>
      <c r="M4460">
        <v>46621.8</v>
      </c>
      <c r="N4460">
        <v>9180.5499999999993</v>
      </c>
      <c r="O4460">
        <v>3223.35</v>
      </c>
      <c r="P4460">
        <v>2527.2199999999998</v>
      </c>
      <c r="Q4460">
        <v>626.76</v>
      </c>
      <c r="R4460">
        <v>2575.65</v>
      </c>
      <c r="S4460">
        <v>903.25</v>
      </c>
      <c r="T4460">
        <v>65658.570000000007</v>
      </c>
      <c r="U4460">
        <v>34384.910000000003</v>
      </c>
      <c r="V4460">
        <v>15348.15</v>
      </c>
      <c r="W4460">
        <v>13770.39</v>
      </c>
      <c r="X4460">
        <v>84569.75</v>
      </c>
      <c r="Y4460">
        <v>69860.59</v>
      </c>
    </row>
    <row r="4461" spans="1:25" x14ac:dyDescent="0.25">
      <c r="A4461" t="s">
        <v>4517</v>
      </c>
      <c r="B4461" s="1">
        <v>46152</v>
      </c>
      <c r="C4461">
        <v>2026</v>
      </c>
      <c r="D4461">
        <v>5</v>
      </c>
      <c r="E4461" t="s">
        <v>468</v>
      </c>
      <c r="F4461" t="s">
        <v>358</v>
      </c>
      <c r="G4461" t="s">
        <v>28</v>
      </c>
      <c r="H4461" t="s">
        <v>36</v>
      </c>
      <c r="I4461" t="s">
        <v>33</v>
      </c>
      <c r="J4461">
        <v>55</v>
      </c>
      <c r="K4461">
        <v>1288.0999999999999</v>
      </c>
      <c r="L4461">
        <v>70845.600000000006</v>
      </c>
      <c r="M4461">
        <v>35768.660000000003</v>
      </c>
      <c r="N4461">
        <v>8598.5499999999993</v>
      </c>
      <c r="O4461">
        <v>2578.48</v>
      </c>
      <c r="P4461">
        <v>1988.35</v>
      </c>
      <c r="Q4461">
        <v>890.13</v>
      </c>
      <c r="R4461">
        <v>2570.35</v>
      </c>
      <c r="S4461">
        <v>1569.05</v>
      </c>
      <c r="T4461">
        <v>53963.57</v>
      </c>
      <c r="U4461">
        <v>35076.94</v>
      </c>
      <c r="V4461">
        <v>16882.03</v>
      </c>
      <c r="W4461">
        <v>14924.25</v>
      </c>
      <c r="X4461">
        <v>69902.28</v>
      </c>
      <c r="Y4461">
        <v>52601.43</v>
      </c>
    </row>
    <row r="4462" spans="1:25" x14ac:dyDescent="0.25">
      <c r="A4462" t="s">
        <v>4518</v>
      </c>
      <c r="B4462" s="1">
        <v>46152</v>
      </c>
      <c r="C4462">
        <v>2026</v>
      </c>
      <c r="D4462">
        <v>5</v>
      </c>
      <c r="E4462" t="s">
        <v>468</v>
      </c>
      <c r="F4462" t="s">
        <v>358</v>
      </c>
      <c r="G4462" t="s">
        <v>35</v>
      </c>
      <c r="H4462" t="s">
        <v>29</v>
      </c>
      <c r="I4462" t="s">
        <v>30</v>
      </c>
      <c r="J4462">
        <v>45</v>
      </c>
      <c r="K4462">
        <v>1428.11</v>
      </c>
      <c r="L4462">
        <v>64265.14</v>
      </c>
      <c r="M4462">
        <v>32995.61</v>
      </c>
      <c r="N4462">
        <v>7127.71</v>
      </c>
      <c r="O4462">
        <v>1995.44</v>
      </c>
      <c r="P4462">
        <v>2102.6</v>
      </c>
      <c r="Q4462">
        <v>897.18</v>
      </c>
      <c r="R4462">
        <v>3635.59</v>
      </c>
      <c r="S4462">
        <v>547.41</v>
      </c>
      <c r="T4462">
        <v>49301.54</v>
      </c>
      <c r="U4462">
        <v>31269.53</v>
      </c>
      <c r="V4462">
        <v>14963.6</v>
      </c>
      <c r="W4462">
        <v>13684.79</v>
      </c>
      <c r="X4462">
        <v>71170.14</v>
      </c>
      <c r="Y4462">
        <v>53081.09</v>
      </c>
    </row>
    <row r="4463" spans="1:25" x14ac:dyDescent="0.25">
      <c r="A4463" t="s">
        <v>4519</v>
      </c>
      <c r="B4463" s="1">
        <v>46153</v>
      </c>
      <c r="C4463">
        <v>2026</v>
      </c>
      <c r="D4463">
        <v>5</v>
      </c>
      <c r="E4463" t="s">
        <v>468</v>
      </c>
      <c r="F4463" t="s">
        <v>358</v>
      </c>
      <c r="G4463" t="s">
        <v>55</v>
      </c>
      <c r="H4463" t="s">
        <v>32</v>
      </c>
      <c r="I4463" t="s">
        <v>33</v>
      </c>
      <c r="J4463">
        <v>64</v>
      </c>
      <c r="K4463">
        <v>1337.65</v>
      </c>
      <c r="L4463">
        <v>85609.600000000006</v>
      </c>
      <c r="M4463">
        <v>54173.78</v>
      </c>
      <c r="N4463">
        <v>6681.52</v>
      </c>
      <c r="O4463">
        <v>3488.45</v>
      </c>
      <c r="P4463">
        <v>2440.85</v>
      </c>
      <c r="Q4463">
        <v>1155.0899999999999</v>
      </c>
      <c r="R4463">
        <v>5456.02</v>
      </c>
      <c r="S4463">
        <v>1154.28</v>
      </c>
      <c r="T4463">
        <v>74550.009999999995</v>
      </c>
      <c r="U4463">
        <v>31435.82</v>
      </c>
      <c r="V4463">
        <v>11059.6</v>
      </c>
      <c r="W4463">
        <v>10330.33</v>
      </c>
      <c r="X4463">
        <v>89891.17</v>
      </c>
      <c r="Y4463">
        <v>71630.14</v>
      </c>
    </row>
    <row r="4464" spans="1:25" x14ac:dyDescent="0.25">
      <c r="A4464" t="s">
        <v>4520</v>
      </c>
      <c r="B4464" s="1">
        <v>46153</v>
      </c>
      <c r="C4464">
        <v>2026</v>
      </c>
      <c r="D4464">
        <v>5</v>
      </c>
      <c r="E4464" t="s">
        <v>468</v>
      </c>
      <c r="F4464" t="s">
        <v>358</v>
      </c>
      <c r="G4464" t="s">
        <v>35</v>
      </c>
      <c r="H4464" t="s">
        <v>32</v>
      </c>
      <c r="I4464" t="s">
        <v>37</v>
      </c>
      <c r="J4464">
        <v>65</v>
      </c>
      <c r="K4464">
        <v>1322.8</v>
      </c>
      <c r="L4464">
        <v>85982.27</v>
      </c>
      <c r="M4464">
        <v>51871.040000000001</v>
      </c>
      <c r="N4464">
        <v>9335.7000000000007</v>
      </c>
      <c r="O4464">
        <v>4485.32</v>
      </c>
      <c r="P4464">
        <v>2273.42</v>
      </c>
      <c r="Q4464">
        <v>1362.3</v>
      </c>
      <c r="R4464">
        <v>3515.44</v>
      </c>
      <c r="S4464">
        <v>1986.92</v>
      </c>
      <c r="T4464">
        <v>74830.14</v>
      </c>
      <c r="U4464">
        <v>34111.24</v>
      </c>
      <c r="V4464">
        <v>11152.14</v>
      </c>
      <c r="W4464">
        <v>10296.73</v>
      </c>
      <c r="X4464">
        <v>83310.39</v>
      </c>
      <c r="Y4464">
        <v>73004.86</v>
      </c>
    </row>
    <row r="4465" spans="1:25" x14ac:dyDescent="0.25">
      <c r="A4465" t="s">
        <v>4521</v>
      </c>
      <c r="B4465" s="1">
        <v>46154</v>
      </c>
      <c r="C4465">
        <v>2026</v>
      </c>
      <c r="D4465">
        <v>5</v>
      </c>
      <c r="E4465" t="s">
        <v>468</v>
      </c>
      <c r="F4465" t="s">
        <v>358</v>
      </c>
      <c r="G4465" t="s">
        <v>55</v>
      </c>
      <c r="H4465" t="s">
        <v>32</v>
      </c>
      <c r="I4465" t="s">
        <v>39</v>
      </c>
      <c r="J4465">
        <v>29</v>
      </c>
      <c r="K4465">
        <v>1453.39</v>
      </c>
      <c r="L4465">
        <v>42148.27</v>
      </c>
      <c r="M4465">
        <v>24620.41</v>
      </c>
      <c r="N4465">
        <v>4648.3100000000004</v>
      </c>
      <c r="O4465">
        <v>2189.73</v>
      </c>
      <c r="P4465">
        <v>1472.06</v>
      </c>
      <c r="Q4465">
        <v>310.27999999999997</v>
      </c>
      <c r="R4465">
        <v>2568.25</v>
      </c>
      <c r="S4465">
        <v>938.82</v>
      </c>
      <c r="T4465">
        <v>36747.86</v>
      </c>
      <c r="U4465">
        <v>17527.86</v>
      </c>
      <c r="V4465">
        <v>5400.41</v>
      </c>
      <c r="W4465">
        <v>5047.22</v>
      </c>
      <c r="X4465">
        <v>38900.769999999997</v>
      </c>
      <c r="Y4465">
        <v>35811.68</v>
      </c>
    </row>
    <row r="4466" spans="1:25" x14ac:dyDescent="0.25">
      <c r="A4466" t="s">
        <v>4522</v>
      </c>
      <c r="B4466" s="1">
        <v>46154</v>
      </c>
      <c r="C4466">
        <v>2026</v>
      </c>
      <c r="D4466">
        <v>5</v>
      </c>
      <c r="E4466" t="s">
        <v>468</v>
      </c>
      <c r="F4466" t="s">
        <v>358</v>
      </c>
      <c r="G4466" t="s">
        <v>55</v>
      </c>
      <c r="H4466" t="s">
        <v>53</v>
      </c>
      <c r="I4466" t="s">
        <v>33</v>
      </c>
      <c r="J4466">
        <v>64</v>
      </c>
      <c r="K4466">
        <v>1379.78</v>
      </c>
      <c r="L4466">
        <v>88306.06</v>
      </c>
      <c r="M4466">
        <v>45049.08</v>
      </c>
      <c r="N4466">
        <v>9835.19</v>
      </c>
      <c r="O4466">
        <v>5650.53</v>
      </c>
      <c r="P4466">
        <v>3670.02</v>
      </c>
      <c r="Q4466">
        <v>1029.73</v>
      </c>
      <c r="R4466">
        <v>4121.3500000000004</v>
      </c>
      <c r="S4466">
        <v>1760.34</v>
      </c>
      <c r="T4466">
        <v>71116.240000000005</v>
      </c>
      <c r="U4466">
        <v>43256.98</v>
      </c>
      <c r="V4466">
        <v>17189.82</v>
      </c>
      <c r="W4466">
        <v>17186.07</v>
      </c>
      <c r="X4466">
        <v>93411.59</v>
      </c>
      <c r="Y4466">
        <v>76170.84</v>
      </c>
    </row>
    <row r="4467" spans="1:25" x14ac:dyDescent="0.25">
      <c r="A4467" t="s">
        <v>4523</v>
      </c>
      <c r="B4467" s="1">
        <v>46154</v>
      </c>
      <c r="C4467">
        <v>2026</v>
      </c>
      <c r="D4467">
        <v>5</v>
      </c>
      <c r="E4467" t="s">
        <v>468</v>
      </c>
      <c r="F4467" t="s">
        <v>358</v>
      </c>
      <c r="G4467" t="s">
        <v>44</v>
      </c>
      <c r="H4467" t="s">
        <v>29</v>
      </c>
      <c r="I4467" t="s">
        <v>65</v>
      </c>
      <c r="J4467">
        <v>49</v>
      </c>
      <c r="K4467">
        <v>1309.56</v>
      </c>
      <c r="L4467">
        <v>64168.58</v>
      </c>
      <c r="M4467">
        <v>31801.01</v>
      </c>
      <c r="N4467">
        <v>5779.49</v>
      </c>
      <c r="O4467">
        <v>1740.49</v>
      </c>
      <c r="P4467">
        <v>1528.5</v>
      </c>
      <c r="Q4467">
        <v>1060.8599999999999</v>
      </c>
      <c r="R4467">
        <v>3153.68</v>
      </c>
      <c r="S4467">
        <v>729.49</v>
      </c>
      <c r="T4467">
        <v>45793.52</v>
      </c>
      <c r="U4467">
        <v>32367.57</v>
      </c>
      <c r="V4467">
        <v>18375.07</v>
      </c>
      <c r="W4467">
        <v>18555.88</v>
      </c>
      <c r="X4467">
        <v>64137.08</v>
      </c>
      <c r="Y4467">
        <v>47150.15</v>
      </c>
    </row>
    <row r="4468" spans="1:25" x14ac:dyDescent="0.25">
      <c r="A4468" t="s">
        <v>4524</v>
      </c>
      <c r="B4468" s="1">
        <v>46154</v>
      </c>
      <c r="C4468">
        <v>2026</v>
      </c>
      <c r="D4468">
        <v>5</v>
      </c>
      <c r="E4468" t="s">
        <v>468</v>
      </c>
      <c r="F4468" t="s">
        <v>358</v>
      </c>
      <c r="G4468" t="s">
        <v>28</v>
      </c>
      <c r="H4468" t="s">
        <v>32</v>
      </c>
      <c r="I4468" t="s">
        <v>37</v>
      </c>
      <c r="J4468">
        <v>59</v>
      </c>
      <c r="K4468">
        <v>1367.74</v>
      </c>
      <c r="L4468">
        <v>80696.84</v>
      </c>
      <c r="M4468">
        <v>40820.83</v>
      </c>
      <c r="N4468">
        <v>5652.72</v>
      </c>
      <c r="O4468">
        <v>6015.82</v>
      </c>
      <c r="P4468">
        <v>2143.1799999999998</v>
      </c>
      <c r="Q4468">
        <v>790.68</v>
      </c>
      <c r="R4468">
        <v>4592.13</v>
      </c>
      <c r="S4468">
        <v>1441.88</v>
      </c>
      <c r="T4468">
        <v>61457.24</v>
      </c>
      <c r="U4468">
        <v>39876.01</v>
      </c>
      <c r="V4468">
        <v>19239.599999999999</v>
      </c>
      <c r="W4468">
        <v>18447.240000000002</v>
      </c>
      <c r="X4468">
        <v>89307.38</v>
      </c>
      <c r="Y4468">
        <v>65212.83</v>
      </c>
    </row>
    <row r="4469" spans="1:25" x14ac:dyDescent="0.25">
      <c r="A4469" t="s">
        <v>4525</v>
      </c>
      <c r="B4469" s="1">
        <v>46154</v>
      </c>
      <c r="C4469">
        <v>2026</v>
      </c>
      <c r="D4469">
        <v>5</v>
      </c>
      <c r="E4469" t="s">
        <v>468</v>
      </c>
      <c r="F4469" t="s">
        <v>358</v>
      </c>
      <c r="G4469" t="s">
        <v>44</v>
      </c>
      <c r="H4469" t="s">
        <v>32</v>
      </c>
      <c r="I4469" t="s">
        <v>37</v>
      </c>
      <c r="J4469">
        <v>60</v>
      </c>
      <c r="K4469">
        <v>1083.1099999999999</v>
      </c>
      <c r="L4469">
        <v>64986.36</v>
      </c>
      <c r="M4469">
        <v>36958</v>
      </c>
      <c r="N4469">
        <v>8270.6200000000008</v>
      </c>
      <c r="O4469">
        <v>1729.86</v>
      </c>
      <c r="P4469">
        <v>2781.46</v>
      </c>
      <c r="Q4469">
        <v>1108.94</v>
      </c>
      <c r="R4469">
        <v>3135.6</v>
      </c>
      <c r="S4469">
        <v>853.62</v>
      </c>
      <c r="T4469">
        <v>54838.09</v>
      </c>
      <c r="U4469">
        <v>28028.36</v>
      </c>
      <c r="V4469">
        <v>10148.27</v>
      </c>
      <c r="W4469">
        <v>9093.08</v>
      </c>
      <c r="X4469">
        <v>68834.350000000006</v>
      </c>
      <c r="Y4469">
        <v>58718.7</v>
      </c>
    </row>
    <row r="4470" spans="1:25" x14ac:dyDescent="0.25">
      <c r="A4470" t="s">
        <v>4526</v>
      </c>
      <c r="B4470" s="1">
        <v>46155</v>
      </c>
      <c r="C4470">
        <v>2026</v>
      </c>
      <c r="D4470">
        <v>5</v>
      </c>
      <c r="E4470" t="s">
        <v>468</v>
      </c>
      <c r="F4470" t="s">
        <v>358</v>
      </c>
      <c r="G4470" t="s">
        <v>44</v>
      </c>
      <c r="H4470" t="s">
        <v>58</v>
      </c>
      <c r="I4470" t="s">
        <v>50</v>
      </c>
      <c r="J4470">
        <v>30</v>
      </c>
      <c r="K4470">
        <v>1554.01</v>
      </c>
      <c r="L4470">
        <v>46620.3</v>
      </c>
      <c r="M4470">
        <v>30191.64</v>
      </c>
      <c r="N4470">
        <v>5581.08</v>
      </c>
      <c r="O4470">
        <v>1475.79</v>
      </c>
      <c r="P4470">
        <v>1763.93</v>
      </c>
      <c r="Q4470">
        <v>376.47</v>
      </c>
      <c r="R4470">
        <v>2936.15</v>
      </c>
      <c r="S4470">
        <v>1122.24</v>
      </c>
      <c r="T4470">
        <v>43447.3</v>
      </c>
      <c r="U4470">
        <v>16428.66</v>
      </c>
      <c r="V4470">
        <v>3173</v>
      </c>
      <c r="W4470">
        <v>3225.75</v>
      </c>
      <c r="X4470">
        <v>44478.31</v>
      </c>
      <c r="Y4470">
        <v>46610.2</v>
      </c>
    </row>
    <row r="4471" spans="1:25" x14ac:dyDescent="0.25">
      <c r="A4471" t="s">
        <v>4527</v>
      </c>
      <c r="B4471" s="1">
        <v>46155</v>
      </c>
      <c r="C4471">
        <v>2026</v>
      </c>
      <c r="D4471">
        <v>5</v>
      </c>
      <c r="E4471" t="s">
        <v>468</v>
      </c>
      <c r="F4471" t="s">
        <v>358</v>
      </c>
      <c r="G4471" t="s">
        <v>35</v>
      </c>
      <c r="H4471" t="s">
        <v>32</v>
      </c>
      <c r="I4471" t="s">
        <v>50</v>
      </c>
      <c r="J4471">
        <v>39</v>
      </c>
      <c r="K4471">
        <v>1509.7</v>
      </c>
      <c r="L4471">
        <v>58878.13</v>
      </c>
      <c r="M4471">
        <v>36570.379999999997</v>
      </c>
      <c r="N4471">
        <v>5479.26</v>
      </c>
      <c r="O4471">
        <v>2124.1799999999998</v>
      </c>
      <c r="P4471">
        <v>2326.9</v>
      </c>
      <c r="Q4471">
        <v>504.04</v>
      </c>
      <c r="R4471">
        <v>2742.9</v>
      </c>
      <c r="S4471">
        <v>791.37</v>
      </c>
      <c r="T4471">
        <v>50539.040000000001</v>
      </c>
      <c r="U4471">
        <v>22307.75</v>
      </c>
      <c r="V4471">
        <v>8339.09</v>
      </c>
      <c r="W4471">
        <v>7377.09</v>
      </c>
      <c r="X4471">
        <v>60333.26</v>
      </c>
      <c r="Y4471">
        <v>53005.46</v>
      </c>
    </row>
    <row r="4472" spans="1:25" x14ac:dyDescent="0.25">
      <c r="A4472" t="s">
        <v>4528</v>
      </c>
      <c r="B4472" s="1">
        <v>46155</v>
      </c>
      <c r="C4472">
        <v>2026</v>
      </c>
      <c r="D4472">
        <v>5</v>
      </c>
      <c r="E4472" t="s">
        <v>468</v>
      </c>
      <c r="F4472" t="s">
        <v>358</v>
      </c>
      <c r="G4472" t="s">
        <v>28</v>
      </c>
      <c r="H4472" t="s">
        <v>32</v>
      </c>
      <c r="I4472" t="s">
        <v>56</v>
      </c>
      <c r="J4472">
        <v>24</v>
      </c>
      <c r="K4472">
        <v>1411.38</v>
      </c>
      <c r="L4472">
        <v>33873.230000000003</v>
      </c>
      <c r="M4472">
        <v>18190.32</v>
      </c>
      <c r="N4472">
        <v>4301.26</v>
      </c>
      <c r="O4472">
        <v>2089.21</v>
      </c>
      <c r="P4472">
        <v>569.74</v>
      </c>
      <c r="Q4472">
        <v>592.17999999999995</v>
      </c>
      <c r="R4472">
        <v>1865.75</v>
      </c>
      <c r="S4472">
        <v>517.62</v>
      </c>
      <c r="T4472">
        <v>28126.080000000002</v>
      </c>
      <c r="U4472">
        <v>15682.91</v>
      </c>
      <c r="V4472">
        <v>5747.15</v>
      </c>
      <c r="W4472">
        <v>5400.32</v>
      </c>
      <c r="X4472">
        <v>37644.53</v>
      </c>
      <c r="Y4472">
        <v>29234.63</v>
      </c>
    </row>
    <row r="4473" spans="1:25" x14ac:dyDescent="0.25">
      <c r="A4473" t="s">
        <v>4529</v>
      </c>
      <c r="B4473" s="1">
        <v>46156</v>
      </c>
      <c r="C4473">
        <v>2026</v>
      </c>
      <c r="D4473">
        <v>5</v>
      </c>
      <c r="E4473" t="s">
        <v>468</v>
      </c>
      <c r="F4473" t="s">
        <v>358</v>
      </c>
      <c r="G4473" t="s">
        <v>44</v>
      </c>
      <c r="H4473" t="s">
        <v>53</v>
      </c>
      <c r="I4473" t="s">
        <v>39</v>
      </c>
      <c r="J4473">
        <v>19</v>
      </c>
      <c r="K4473">
        <v>1754.96</v>
      </c>
      <c r="L4473">
        <v>33344.29</v>
      </c>
      <c r="M4473">
        <v>18164.47</v>
      </c>
      <c r="N4473">
        <v>3096.89</v>
      </c>
      <c r="O4473">
        <v>936.42</v>
      </c>
      <c r="P4473">
        <v>581.41999999999996</v>
      </c>
      <c r="Q4473">
        <v>343.32</v>
      </c>
      <c r="R4473">
        <v>2157.54</v>
      </c>
      <c r="S4473">
        <v>819.48</v>
      </c>
      <c r="T4473">
        <v>26099.54</v>
      </c>
      <c r="U4473">
        <v>15179.82</v>
      </c>
      <c r="V4473">
        <v>7244.75</v>
      </c>
      <c r="W4473">
        <v>7154.74</v>
      </c>
      <c r="X4473">
        <v>32510.59</v>
      </c>
      <c r="Y4473">
        <v>26558.36</v>
      </c>
    </row>
    <row r="4474" spans="1:25" x14ac:dyDescent="0.25">
      <c r="A4474" t="s">
        <v>4530</v>
      </c>
      <c r="B4474" s="1">
        <v>46156</v>
      </c>
      <c r="C4474">
        <v>2026</v>
      </c>
      <c r="D4474">
        <v>5</v>
      </c>
      <c r="E4474" t="s">
        <v>468</v>
      </c>
      <c r="F4474" t="s">
        <v>358</v>
      </c>
      <c r="G4474" t="s">
        <v>55</v>
      </c>
      <c r="H4474" t="s">
        <v>53</v>
      </c>
      <c r="I4474" t="s">
        <v>56</v>
      </c>
      <c r="J4474">
        <v>19</v>
      </c>
      <c r="K4474">
        <v>1759.66</v>
      </c>
      <c r="L4474">
        <v>33433.56</v>
      </c>
      <c r="M4474">
        <v>20796.73</v>
      </c>
      <c r="N4474">
        <v>3159.03</v>
      </c>
      <c r="O4474">
        <v>935.1</v>
      </c>
      <c r="P4474">
        <v>959.66</v>
      </c>
      <c r="Q4474">
        <v>438.1</v>
      </c>
      <c r="R4474">
        <v>1760.15</v>
      </c>
      <c r="S4474">
        <v>583.39</v>
      </c>
      <c r="T4474">
        <v>28632.15</v>
      </c>
      <c r="U4474">
        <v>12636.83</v>
      </c>
      <c r="V4474">
        <v>4801.41</v>
      </c>
      <c r="W4474">
        <v>4651.2700000000004</v>
      </c>
      <c r="X4474">
        <v>34487.85</v>
      </c>
      <c r="Y4474">
        <v>31474.81</v>
      </c>
    </row>
    <row r="4475" spans="1:25" x14ac:dyDescent="0.25">
      <c r="A4475" t="s">
        <v>4531</v>
      </c>
      <c r="B4475" s="1">
        <v>46156</v>
      </c>
      <c r="C4475">
        <v>2026</v>
      </c>
      <c r="D4475">
        <v>5</v>
      </c>
      <c r="E4475" t="s">
        <v>468</v>
      </c>
      <c r="F4475" t="s">
        <v>358</v>
      </c>
      <c r="G4475" t="s">
        <v>44</v>
      </c>
      <c r="H4475" t="s">
        <v>32</v>
      </c>
      <c r="I4475" t="s">
        <v>30</v>
      </c>
      <c r="J4475">
        <v>77</v>
      </c>
      <c r="K4475">
        <v>1265.4000000000001</v>
      </c>
      <c r="L4475">
        <v>97435.69</v>
      </c>
      <c r="M4475">
        <v>54296.66</v>
      </c>
      <c r="N4475">
        <v>10515.25</v>
      </c>
      <c r="O4475">
        <v>2501.4899999999998</v>
      </c>
      <c r="P4475">
        <v>3201.09</v>
      </c>
      <c r="Q4475">
        <v>1737.01</v>
      </c>
      <c r="R4475">
        <v>5023.54</v>
      </c>
      <c r="S4475">
        <v>1131.73</v>
      </c>
      <c r="T4475">
        <v>78406.759999999995</v>
      </c>
      <c r="U4475">
        <v>43139.03</v>
      </c>
      <c r="V4475">
        <v>19028.93</v>
      </c>
      <c r="W4475">
        <v>18218.55</v>
      </c>
      <c r="X4475">
        <v>93427.47</v>
      </c>
      <c r="Y4475">
        <v>84412.3</v>
      </c>
    </row>
    <row r="4476" spans="1:25" x14ac:dyDescent="0.25">
      <c r="A4476" t="s">
        <v>4532</v>
      </c>
      <c r="B4476" s="1">
        <v>46156</v>
      </c>
      <c r="C4476">
        <v>2026</v>
      </c>
      <c r="D4476">
        <v>5</v>
      </c>
      <c r="E4476" t="s">
        <v>468</v>
      </c>
      <c r="F4476" t="s">
        <v>358</v>
      </c>
      <c r="G4476" t="s">
        <v>55</v>
      </c>
      <c r="H4476" t="s">
        <v>32</v>
      </c>
      <c r="I4476" t="s">
        <v>50</v>
      </c>
      <c r="J4476">
        <v>41</v>
      </c>
      <c r="K4476">
        <v>1431.01</v>
      </c>
      <c r="L4476">
        <v>58671.43</v>
      </c>
      <c r="M4476">
        <v>28887.64</v>
      </c>
      <c r="N4476">
        <v>4187.84</v>
      </c>
      <c r="O4476">
        <v>1744.04</v>
      </c>
      <c r="P4476">
        <v>1635.68</v>
      </c>
      <c r="Q4476">
        <v>627.98</v>
      </c>
      <c r="R4476">
        <v>3187.99</v>
      </c>
      <c r="S4476">
        <v>485.41</v>
      </c>
      <c r="T4476">
        <v>40756.589999999997</v>
      </c>
      <c r="U4476">
        <v>29783.79</v>
      </c>
      <c r="V4476">
        <v>17914.84</v>
      </c>
      <c r="W4476">
        <v>17808.689999999999</v>
      </c>
      <c r="X4476">
        <v>56401.93</v>
      </c>
      <c r="Y4476">
        <v>39499.949999999997</v>
      </c>
    </row>
    <row r="4477" spans="1:25" x14ac:dyDescent="0.25">
      <c r="A4477" t="s">
        <v>4533</v>
      </c>
      <c r="B4477" s="1">
        <v>46157</v>
      </c>
      <c r="C4477">
        <v>2026</v>
      </c>
      <c r="D4477">
        <v>5</v>
      </c>
      <c r="E4477" t="s">
        <v>468</v>
      </c>
      <c r="F4477" t="s">
        <v>358</v>
      </c>
      <c r="G4477" t="s">
        <v>28</v>
      </c>
      <c r="H4477" t="s">
        <v>32</v>
      </c>
      <c r="I4477" t="s">
        <v>37</v>
      </c>
      <c r="J4477">
        <v>81</v>
      </c>
      <c r="K4477">
        <v>1019.14</v>
      </c>
      <c r="L4477">
        <v>82550.19</v>
      </c>
      <c r="M4477">
        <v>41179.74</v>
      </c>
      <c r="N4477">
        <v>7284.08</v>
      </c>
      <c r="O4477">
        <v>5907.96</v>
      </c>
      <c r="P4477">
        <v>1922.8</v>
      </c>
      <c r="Q4477">
        <v>702.13</v>
      </c>
      <c r="R4477">
        <v>4879.7</v>
      </c>
      <c r="S4477">
        <v>1496.5</v>
      </c>
      <c r="T4477">
        <v>63372.9</v>
      </c>
      <c r="U4477">
        <v>41370.449999999997</v>
      </c>
      <c r="V4477">
        <v>19177.29</v>
      </c>
      <c r="W4477">
        <v>18865.37</v>
      </c>
      <c r="X4477">
        <v>86214.12</v>
      </c>
      <c r="Y4477">
        <v>63844.63</v>
      </c>
    </row>
    <row r="4478" spans="1:25" x14ac:dyDescent="0.25">
      <c r="A4478" t="s">
        <v>4534</v>
      </c>
      <c r="B4478" s="1">
        <v>46157</v>
      </c>
      <c r="C4478">
        <v>2026</v>
      </c>
      <c r="D4478">
        <v>5</v>
      </c>
      <c r="E4478" t="s">
        <v>468</v>
      </c>
      <c r="F4478" t="s">
        <v>358</v>
      </c>
      <c r="G4478" t="s">
        <v>28</v>
      </c>
      <c r="H4478" t="s">
        <v>29</v>
      </c>
      <c r="I4478" t="s">
        <v>39</v>
      </c>
      <c r="J4478">
        <v>63</v>
      </c>
      <c r="K4478">
        <v>808.7</v>
      </c>
      <c r="L4478">
        <v>50948.27</v>
      </c>
      <c r="M4478">
        <v>24723.05</v>
      </c>
      <c r="N4478">
        <v>3590.71</v>
      </c>
      <c r="O4478">
        <v>1965.63</v>
      </c>
      <c r="P4478">
        <v>2134.35</v>
      </c>
      <c r="Q4478">
        <v>461.75</v>
      </c>
      <c r="R4478">
        <v>3205.06</v>
      </c>
      <c r="S4478">
        <v>547.20000000000005</v>
      </c>
      <c r="T4478">
        <v>36627.760000000002</v>
      </c>
      <c r="U4478">
        <v>26225.21</v>
      </c>
      <c r="V4478">
        <v>14320.51</v>
      </c>
      <c r="W4478">
        <v>14482.11</v>
      </c>
      <c r="X4478">
        <v>54235.12</v>
      </c>
      <c r="Y4478">
        <v>40152.42</v>
      </c>
    </row>
    <row r="4479" spans="1:25" x14ac:dyDescent="0.25">
      <c r="A4479" t="s">
        <v>4535</v>
      </c>
      <c r="B4479" s="1">
        <v>46157</v>
      </c>
      <c r="C4479">
        <v>2026</v>
      </c>
      <c r="D4479">
        <v>5</v>
      </c>
      <c r="E4479" t="s">
        <v>468</v>
      </c>
      <c r="F4479" t="s">
        <v>358</v>
      </c>
      <c r="G4479" t="s">
        <v>28</v>
      </c>
      <c r="H4479" t="s">
        <v>36</v>
      </c>
      <c r="I4479" t="s">
        <v>37</v>
      </c>
      <c r="J4479">
        <v>54</v>
      </c>
      <c r="K4479">
        <v>1580.69</v>
      </c>
      <c r="L4479">
        <v>85357.01</v>
      </c>
      <c r="M4479">
        <v>44961.56</v>
      </c>
      <c r="N4479">
        <v>7989.63</v>
      </c>
      <c r="O4479">
        <v>2992.66</v>
      </c>
      <c r="P4479">
        <v>3072.51</v>
      </c>
      <c r="Q4479">
        <v>1218.47</v>
      </c>
      <c r="R4479">
        <v>2552.4299999999998</v>
      </c>
      <c r="S4479">
        <v>909.46</v>
      </c>
      <c r="T4479">
        <v>63696.72</v>
      </c>
      <c r="U4479">
        <v>40395.449999999997</v>
      </c>
      <c r="V4479">
        <v>21660.29</v>
      </c>
      <c r="W4479">
        <v>21360</v>
      </c>
      <c r="X4479">
        <v>88777.91</v>
      </c>
      <c r="Y4479">
        <v>61086.39</v>
      </c>
    </row>
    <row r="4480" spans="1:25" x14ac:dyDescent="0.25">
      <c r="A4480" t="s">
        <v>4536</v>
      </c>
      <c r="B4480" s="1">
        <v>46157</v>
      </c>
      <c r="C4480">
        <v>2026</v>
      </c>
      <c r="D4480">
        <v>5</v>
      </c>
      <c r="E4480" t="s">
        <v>468</v>
      </c>
      <c r="F4480" t="s">
        <v>358</v>
      </c>
      <c r="G4480" t="s">
        <v>28</v>
      </c>
      <c r="H4480" t="s">
        <v>32</v>
      </c>
      <c r="I4480" t="s">
        <v>50</v>
      </c>
      <c r="J4480">
        <v>53</v>
      </c>
      <c r="K4480">
        <v>1221.01</v>
      </c>
      <c r="L4480">
        <v>64713.63</v>
      </c>
      <c r="M4480">
        <v>38252.449999999997</v>
      </c>
      <c r="N4480">
        <v>8230.9500000000007</v>
      </c>
      <c r="O4480">
        <v>2518.38</v>
      </c>
      <c r="P4480">
        <v>2728.6</v>
      </c>
      <c r="Q4480">
        <v>1024.55</v>
      </c>
      <c r="R4480">
        <v>3194.69</v>
      </c>
      <c r="S4480">
        <v>967.41</v>
      </c>
      <c r="T4480">
        <v>56917.03</v>
      </c>
      <c r="U4480">
        <v>26461.18</v>
      </c>
      <c r="V4480">
        <v>7796.59</v>
      </c>
      <c r="W4480">
        <v>7443.62</v>
      </c>
      <c r="X4480">
        <v>69104.320000000007</v>
      </c>
      <c r="Y4480">
        <v>62097.22</v>
      </c>
    </row>
    <row r="4481" spans="1:25" x14ac:dyDescent="0.25">
      <c r="A4481" t="s">
        <v>4537</v>
      </c>
      <c r="B4481" s="1">
        <v>46157</v>
      </c>
      <c r="C4481">
        <v>2026</v>
      </c>
      <c r="D4481">
        <v>5</v>
      </c>
      <c r="E4481" t="s">
        <v>468</v>
      </c>
      <c r="F4481" t="s">
        <v>358</v>
      </c>
      <c r="G4481" t="s">
        <v>55</v>
      </c>
      <c r="H4481" t="s">
        <v>53</v>
      </c>
      <c r="I4481" t="s">
        <v>65</v>
      </c>
      <c r="J4481">
        <v>73</v>
      </c>
      <c r="K4481">
        <v>805.82</v>
      </c>
      <c r="L4481">
        <v>58825.13</v>
      </c>
      <c r="M4481">
        <v>29126.12</v>
      </c>
      <c r="N4481">
        <v>6141.83</v>
      </c>
      <c r="O4481">
        <v>4252.46</v>
      </c>
      <c r="P4481">
        <v>2042.56</v>
      </c>
      <c r="Q4481">
        <v>355.07</v>
      </c>
      <c r="R4481">
        <v>3482.17</v>
      </c>
      <c r="S4481">
        <v>1268.6600000000001</v>
      </c>
      <c r="T4481">
        <v>46668.87</v>
      </c>
      <c r="U4481">
        <v>29699.02</v>
      </c>
      <c r="V4481">
        <v>12156.26</v>
      </c>
      <c r="W4481">
        <v>12019.44</v>
      </c>
      <c r="X4481">
        <v>55925.59</v>
      </c>
      <c r="Y4481">
        <v>50269.08</v>
      </c>
    </row>
    <row r="4482" spans="1:25" x14ac:dyDescent="0.25">
      <c r="A4482" t="s">
        <v>4538</v>
      </c>
      <c r="B4482" s="1">
        <v>46157</v>
      </c>
      <c r="C4482">
        <v>2026</v>
      </c>
      <c r="D4482">
        <v>5</v>
      </c>
      <c r="E4482" t="s">
        <v>468</v>
      </c>
      <c r="F4482" t="s">
        <v>358</v>
      </c>
      <c r="G4482" t="s">
        <v>35</v>
      </c>
      <c r="H4482" t="s">
        <v>36</v>
      </c>
      <c r="I4482" t="s">
        <v>33</v>
      </c>
      <c r="J4482">
        <v>37</v>
      </c>
      <c r="K4482">
        <v>1468.75</v>
      </c>
      <c r="L4482">
        <v>54343.86</v>
      </c>
      <c r="M4482">
        <v>35578.42</v>
      </c>
      <c r="N4482">
        <v>5195.17</v>
      </c>
      <c r="O4482">
        <v>1524.66</v>
      </c>
      <c r="P4482">
        <v>886.89</v>
      </c>
      <c r="Q4482">
        <v>774.82</v>
      </c>
      <c r="R4482">
        <v>1930.23</v>
      </c>
      <c r="S4482">
        <v>564.15</v>
      </c>
      <c r="T4482">
        <v>46454.33</v>
      </c>
      <c r="U4482">
        <v>18765.45</v>
      </c>
      <c r="V4482">
        <v>7889.53</v>
      </c>
      <c r="W4482">
        <v>7981</v>
      </c>
      <c r="X4482">
        <v>55884.6</v>
      </c>
      <c r="Y4482">
        <v>47610.48</v>
      </c>
    </row>
    <row r="4483" spans="1:25" x14ac:dyDescent="0.25">
      <c r="A4483" t="s">
        <v>4539</v>
      </c>
      <c r="B4483" s="1">
        <v>46157</v>
      </c>
      <c r="C4483">
        <v>2026</v>
      </c>
      <c r="D4483">
        <v>5</v>
      </c>
      <c r="E4483" t="s">
        <v>468</v>
      </c>
      <c r="F4483" t="s">
        <v>358</v>
      </c>
      <c r="G4483" t="s">
        <v>55</v>
      </c>
      <c r="H4483" t="s">
        <v>29</v>
      </c>
      <c r="I4483" t="s">
        <v>39</v>
      </c>
      <c r="J4483">
        <v>38</v>
      </c>
      <c r="K4483">
        <v>953.44</v>
      </c>
      <c r="L4483">
        <v>36230.720000000001</v>
      </c>
      <c r="M4483">
        <v>19617.919999999998</v>
      </c>
      <c r="N4483">
        <v>3546.73</v>
      </c>
      <c r="O4483">
        <v>1299.52</v>
      </c>
      <c r="P4483">
        <v>894.91</v>
      </c>
      <c r="Q4483">
        <v>518.65</v>
      </c>
      <c r="R4483">
        <v>1213.3399999999999</v>
      </c>
      <c r="S4483">
        <v>350.7</v>
      </c>
      <c r="T4483">
        <v>27441.759999999998</v>
      </c>
      <c r="U4483">
        <v>16612.79</v>
      </c>
      <c r="V4483">
        <v>8788.9599999999991</v>
      </c>
      <c r="W4483">
        <v>8767.24</v>
      </c>
      <c r="X4483">
        <v>40061.96</v>
      </c>
      <c r="Y4483">
        <v>28408.35</v>
      </c>
    </row>
    <row r="4484" spans="1:25" x14ac:dyDescent="0.25">
      <c r="A4484" t="s">
        <v>4540</v>
      </c>
      <c r="B4484" s="1">
        <v>46157</v>
      </c>
      <c r="C4484">
        <v>2026</v>
      </c>
      <c r="D4484">
        <v>5</v>
      </c>
      <c r="E4484" t="s">
        <v>468</v>
      </c>
      <c r="F4484" t="s">
        <v>358</v>
      </c>
      <c r="G4484" t="s">
        <v>44</v>
      </c>
      <c r="H4484" t="s">
        <v>58</v>
      </c>
      <c r="I4484" t="s">
        <v>65</v>
      </c>
      <c r="J4484">
        <v>33</v>
      </c>
      <c r="K4484">
        <v>1356.88</v>
      </c>
      <c r="L4484">
        <v>44777.11</v>
      </c>
      <c r="M4484">
        <v>30373.87</v>
      </c>
      <c r="N4484">
        <v>3410.2</v>
      </c>
      <c r="O4484">
        <v>2297.6799999999998</v>
      </c>
      <c r="P4484">
        <v>737.24</v>
      </c>
      <c r="Q4484">
        <v>433.42</v>
      </c>
      <c r="R4484">
        <v>2899.57</v>
      </c>
      <c r="S4484">
        <v>489.38</v>
      </c>
      <c r="T4484">
        <v>40641.360000000001</v>
      </c>
      <c r="U4484">
        <v>14403.24</v>
      </c>
      <c r="V4484">
        <v>4135.76</v>
      </c>
      <c r="W4484">
        <v>3804.15</v>
      </c>
      <c r="X4484">
        <v>47719.87</v>
      </c>
      <c r="Y4484">
        <v>42358.89</v>
      </c>
    </row>
    <row r="4485" spans="1:25" x14ac:dyDescent="0.25">
      <c r="A4485" t="s">
        <v>4541</v>
      </c>
      <c r="B4485" s="1">
        <v>46158</v>
      </c>
      <c r="C4485">
        <v>2026</v>
      </c>
      <c r="D4485">
        <v>5</v>
      </c>
      <c r="E4485" t="s">
        <v>468</v>
      </c>
      <c r="F4485" t="s">
        <v>358</v>
      </c>
      <c r="G4485" t="s">
        <v>44</v>
      </c>
      <c r="H4485" t="s">
        <v>58</v>
      </c>
      <c r="I4485" t="s">
        <v>37</v>
      </c>
      <c r="J4485">
        <v>35</v>
      </c>
      <c r="K4485">
        <v>1503.6</v>
      </c>
      <c r="L4485">
        <v>52626.080000000002</v>
      </c>
      <c r="M4485">
        <v>30218.18</v>
      </c>
      <c r="N4485">
        <v>5700.32</v>
      </c>
      <c r="O4485">
        <v>1392.87</v>
      </c>
      <c r="P4485">
        <v>1547.07</v>
      </c>
      <c r="Q4485">
        <v>719.92</v>
      </c>
      <c r="R4485">
        <v>1864.12</v>
      </c>
      <c r="S4485">
        <v>573.95000000000005</v>
      </c>
      <c r="T4485">
        <v>42016.44</v>
      </c>
      <c r="U4485">
        <v>22407.9</v>
      </c>
      <c r="V4485">
        <v>10609.64</v>
      </c>
      <c r="W4485">
        <v>9451.86</v>
      </c>
      <c r="X4485">
        <v>49195.3</v>
      </c>
      <c r="Y4485">
        <v>43093.99</v>
      </c>
    </row>
    <row r="4486" spans="1:25" x14ac:dyDescent="0.25">
      <c r="A4486" t="s">
        <v>4542</v>
      </c>
      <c r="B4486" s="1">
        <v>46159</v>
      </c>
      <c r="C4486">
        <v>2026</v>
      </c>
      <c r="D4486">
        <v>5</v>
      </c>
      <c r="E4486" t="s">
        <v>468</v>
      </c>
      <c r="F4486" t="s">
        <v>358</v>
      </c>
      <c r="G4486" t="s">
        <v>28</v>
      </c>
      <c r="H4486" t="s">
        <v>53</v>
      </c>
      <c r="I4486" t="s">
        <v>50</v>
      </c>
      <c r="J4486">
        <v>28</v>
      </c>
      <c r="K4486">
        <v>1774.67</v>
      </c>
      <c r="L4486">
        <v>49690.9</v>
      </c>
      <c r="M4486">
        <v>27309.06</v>
      </c>
      <c r="N4486">
        <v>3642.38</v>
      </c>
      <c r="O4486">
        <v>2160.2600000000002</v>
      </c>
      <c r="P4486">
        <v>748.68</v>
      </c>
      <c r="Q4486">
        <v>780.01</v>
      </c>
      <c r="R4486">
        <v>1436.45</v>
      </c>
      <c r="S4486">
        <v>569.69000000000005</v>
      </c>
      <c r="T4486">
        <v>36646.53</v>
      </c>
      <c r="U4486">
        <v>22381.83</v>
      </c>
      <c r="V4486">
        <v>13044.37</v>
      </c>
      <c r="W4486">
        <v>13135.39</v>
      </c>
      <c r="X4486">
        <v>50125.09</v>
      </c>
      <c r="Y4486">
        <v>34658.080000000002</v>
      </c>
    </row>
    <row r="4487" spans="1:25" x14ac:dyDescent="0.25">
      <c r="A4487" t="s">
        <v>4543</v>
      </c>
      <c r="B4487" s="1">
        <v>46159</v>
      </c>
      <c r="C4487">
        <v>2026</v>
      </c>
      <c r="D4487">
        <v>5</v>
      </c>
      <c r="E4487" t="s">
        <v>468</v>
      </c>
      <c r="F4487" t="s">
        <v>358</v>
      </c>
      <c r="G4487" t="s">
        <v>28</v>
      </c>
      <c r="H4487" t="s">
        <v>29</v>
      </c>
      <c r="I4487" t="s">
        <v>50</v>
      </c>
      <c r="J4487">
        <v>30</v>
      </c>
      <c r="K4487">
        <v>1771.2</v>
      </c>
      <c r="L4487">
        <v>53136.11</v>
      </c>
      <c r="M4487">
        <v>34134.26</v>
      </c>
      <c r="N4487">
        <v>5878.99</v>
      </c>
      <c r="O4487">
        <v>3136.1</v>
      </c>
      <c r="P4487">
        <v>1706.23</v>
      </c>
      <c r="Q4487">
        <v>870.77</v>
      </c>
      <c r="R4487">
        <v>3282.12</v>
      </c>
      <c r="S4487">
        <v>630.34</v>
      </c>
      <c r="T4487">
        <v>49638.82</v>
      </c>
      <c r="U4487">
        <v>19001.849999999999</v>
      </c>
      <c r="V4487">
        <v>3497.29</v>
      </c>
      <c r="W4487">
        <v>3297.31</v>
      </c>
      <c r="X4487">
        <v>53015.41</v>
      </c>
      <c r="Y4487">
        <v>50350.87</v>
      </c>
    </row>
    <row r="4488" spans="1:25" x14ac:dyDescent="0.25">
      <c r="A4488" t="s">
        <v>4544</v>
      </c>
      <c r="B4488" s="1">
        <v>46160</v>
      </c>
      <c r="C4488">
        <v>2026</v>
      </c>
      <c r="D4488">
        <v>5</v>
      </c>
      <c r="E4488" t="s">
        <v>468</v>
      </c>
      <c r="F4488" t="s">
        <v>358</v>
      </c>
      <c r="G4488" t="s">
        <v>55</v>
      </c>
      <c r="H4488" t="s">
        <v>53</v>
      </c>
      <c r="I4488" t="s">
        <v>65</v>
      </c>
      <c r="J4488">
        <v>59</v>
      </c>
      <c r="K4488">
        <v>840.81</v>
      </c>
      <c r="L4488">
        <v>49607.69</v>
      </c>
      <c r="M4488">
        <v>32257.35</v>
      </c>
      <c r="N4488">
        <v>5160.0600000000004</v>
      </c>
      <c r="O4488">
        <v>1629.6</v>
      </c>
      <c r="P4488">
        <v>1400.94</v>
      </c>
      <c r="Q4488">
        <v>477.14</v>
      </c>
      <c r="R4488">
        <v>2687.19</v>
      </c>
      <c r="S4488">
        <v>1092.76</v>
      </c>
      <c r="T4488">
        <v>44705.03</v>
      </c>
      <c r="U4488">
        <v>17350.349999999999</v>
      </c>
      <c r="V4488">
        <v>4902.66</v>
      </c>
      <c r="W4488">
        <v>4794.8</v>
      </c>
      <c r="X4488">
        <v>47618.44</v>
      </c>
      <c r="Y4488">
        <v>43468.2</v>
      </c>
    </row>
    <row r="4489" spans="1:25" x14ac:dyDescent="0.25">
      <c r="A4489" t="s">
        <v>4545</v>
      </c>
      <c r="B4489" s="1">
        <v>46160</v>
      </c>
      <c r="C4489">
        <v>2026</v>
      </c>
      <c r="D4489">
        <v>5</v>
      </c>
      <c r="E4489" t="s">
        <v>468</v>
      </c>
      <c r="F4489" t="s">
        <v>358</v>
      </c>
      <c r="G4489" t="s">
        <v>55</v>
      </c>
      <c r="H4489" t="s">
        <v>32</v>
      </c>
      <c r="I4489" t="s">
        <v>56</v>
      </c>
      <c r="J4489">
        <v>44</v>
      </c>
      <c r="K4489">
        <v>1128.05</v>
      </c>
      <c r="L4489">
        <v>49634.33</v>
      </c>
      <c r="M4489">
        <v>30239.71</v>
      </c>
      <c r="N4489">
        <v>6066.14</v>
      </c>
      <c r="O4489">
        <v>3138.09</v>
      </c>
      <c r="P4489">
        <v>1672.75</v>
      </c>
      <c r="Q4489">
        <v>697.08</v>
      </c>
      <c r="R4489">
        <v>2355.67</v>
      </c>
      <c r="S4489">
        <v>1103.4100000000001</v>
      </c>
      <c r="T4489">
        <v>45272.85</v>
      </c>
      <c r="U4489">
        <v>19394.62</v>
      </c>
      <c r="V4489">
        <v>4361.4799999999996</v>
      </c>
      <c r="W4489">
        <v>4406.9399999999996</v>
      </c>
      <c r="X4489">
        <v>46178.1</v>
      </c>
      <c r="Y4489">
        <v>42399.6</v>
      </c>
    </row>
    <row r="4490" spans="1:25" x14ac:dyDescent="0.25">
      <c r="A4490" t="s">
        <v>4546</v>
      </c>
      <c r="B4490" s="1">
        <v>46160</v>
      </c>
      <c r="C4490">
        <v>2026</v>
      </c>
      <c r="D4490">
        <v>5</v>
      </c>
      <c r="E4490" t="s">
        <v>468</v>
      </c>
      <c r="F4490" t="s">
        <v>358</v>
      </c>
      <c r="G4490" t="s">
        <v>55</v>
      </c>
      <c r="H4490" t="s">
        <v>36</v>
      </c>
      <c r="I4490" t="s">
        <v>37</v>
      </c>
      <c r="J4490">
        <v>49</v>
      </c>
      <c r="K4490">
        <v>1512.37</v>
      </c>
      <c r="L4490">
        <v>74106.06</v>
      </c>
      <c r="M4490">
        <v>49202.67</v>
      </c>
      <c r="N4490">
        <v>5782.9</v>
      </c>
      <c r="O4490">
        <v>4622.04</v>
      </c>
      <c r="P4490">
        <v>1495.48</v>
      </c>
      <c r="Q4490">
        <v>990.08</v>
      </c>
      <c r="R4490">
        <v>4396.74</v>
      </c>
      <c r="S4490">
        <v>894.16</v>
      </c>
      <c r="T4490">
        <v>67384.070000000007</v>
      </c>
      <c r="U4490">
        <v>24903.4</v>
      </c>
      <c r="V4490">
        <v>6722</v>
      </c>
      <c r="W4490">
        <v>6631.33</v>
      </c>
      <c r="X4490">
        <v>76744.28</v>
      </c>
      <c r="Y4490">
        <v>68388.87</v>
      </c>
    </row>
    <row r="4491" spans="1:25" x14ac:dyDescent="0.25">
      <c r="A4491" t="s">
        <v>4547</v>
      </c>
      <c r="B4491" s="1">
        <v>46160</v>
      </c>
      <c r="C4491">
        <v>2026</v>
      </c>
      <c r="D4491">
        <v>5</v>
      </c>
      <c r="E4491" t="s">
        <v>468</v>
      </c>
      <c r="F4491" t="s">
        <v>358</v>
      </c>
      <c r="G4491" t="s">
        <v>44</v>
      </c>
      <c r="H4491" t="s">
        <v>32</v>
      </c>
      <c r="I4491" t="s">
        <v>39</v>
      </c>
      <c r="J4491">
        <v>40</v>
      </c>
      <c r="K4491">
        <v>1066.8699999999999</v>
      </c>
      <c r="L4491">
        <v>42674.89</v>
      </c>
      <c r="M4491">
        <v>25092.91</v>
      </c>
      <c r="N4491">
        <v>3394.79</v>
      </c>
      <c r="O4491">
        <v>1243.6400000000001</v>
      </c>
      <c r="P4491">
        <v>1511.99</v>
      </c>
      <c r="Q4491">
        <v>258.87</v>
      </c>
      <c r="R4491">
        <v>2035.99</v>
      </c>
      <c r="S4491">
        <v>829.38</v>
      </c>
      <c r="T4491">
        <v>34367.56</v>
      </c>
      <c r="U4491">
        <v>17581.98</v>
      </c>
      <c r="V4491">
        <v>8307.33</v>
      </c>
      <c r="W4491">
        <v>7356.02</v>
      </c>
      <c r="X4491">
        <v>42793.69</v>
      </c>
      <c r="Y4491">
        <v>37561.199999999997</v>
      </c>
    </row>
    <row r="4492" spans="1:25" x14ac:dyDescent="0.25">
      <c r="A4492" t="s">
        <v>4548</v>
      </c>
      <c r="B4492" s="1">
        <v>46161</v>
      </c>
      <c r="C4492">
        <v>2026</v>
      </c>
      <c r="D4492">
        <v>5</v>
      </c>
      <c r="E4492" t="s">
        <v>468</v>
      </c>
      <c r="F4492" t="s">
        <v>358</v>
      </c>
      <c r="G4492" t="s">
        <v>28</v>
      </c>
      <c r="H4492" t="s">
        <v>58</v>
      </c>
      <c r="I4492" t="s">
        <v>50</v>
      </c>
      <c r="J4492">
        <v>33</v>
      </c>
      <c r="K4492">
        <v>1752</v>
      </c>
      <c r="L4492">
        <v>57815.96</v>
      </c>
      <c r="M4492">
        <v>38615.75</v>
      </c>
      <c r="N4492">
        <v>4438.04</v>
      </c>
      <c r="O4492">
        <v>3144.14</v>
      </c>
      <c r="P4492">
        <v>1859.21</v>
      </c>
      <c r="Q4492">
        <v>815.01</v>
      </c>
      <c r="R4492">
        <v>2610.38</v>
      </c>
      <c r="S4492">
        <v>1343.3</v>
      </c>
      <c r="T4492">
        <v>52825.84</v>
      </c>
      <c r="U4492">
        <v>19200.21</v>
      </c>
      <c r="V4492">
        <v>4990.12</v>
      </c>
      <c r="W4492">
        <v>4895.0200000000004</v>
      </c>
      <c r="X4492">
        <v>63463.32</v>
      </c>
      <c r="Y4492">
        <v>55110.23</v>
      </c>
    </row>
    <row r="4493" spans="1:25" x14ac:dyDescent="0.25">
      <c r="A4493" t="s">
        <v>4549</v>
      </c>
      <c r="B4493" s="1">
        <v>46161</v>
      </c>
      <c r="C4493">
        <v>2026</v>
      </c>
      <c r="D4493">
        <v>5</v>
      </c>
      <c r="E4493" t="s">
        <v>468</v>
      </c>
      <c r="F4493" t="s">
        <v>358</v>
      </c>
      <c r="G4493" t="s">
        <v>44</v>
      </c>
      <c r="H4493" t="s">
        <v>58</v>
      </c>
      <c r="I4493" t="s">
        <v>45</v>
      </c>
      <c r="J4493">
        <v>39</v>
      </c>
      <c r="K4493">
        <v>1222.82</v>
      </c>
      <c r="L4493">
        <v>47689.919999999998</v>
      </c>
      <c r="M4493">
        <v>30200.57</v>
      </c>
      <c r="N4493">
        <v>3886.32</v>
      </c>
      <c r="O4493">
        <v>1992.94</v>
      </c>
      <c r="P4493">
        <v>1707.35</v>
      </c>
      <c r="Q4493">
        <v>569.04</v>
      </c>
      <c r="R4493">
        <v>1277.3499999999999</v>
      </c>
      <c r="S4493">
        <v>810.01</v>
      </c>
      <c r="T4493">
        <v>40443.57</v>
      </c>
      <c r="U4493">
        <v>17489.34</v>
      </c>
      <c r="V4493">
        <v>7246.34</v>
      </c>
      <c r="W4493">
        <v>7166.32</v>
      </c>
      <c r="X4493">
        <v>49441.56</v>
      </c>
      <c r="Y4493">
        <v>43730.26</v>
      </c>
    </row>
    <row r="4494" spans="1:25" x14ac:dyDescent="0.25">
      <c r="A4494" t="s">
        <v>4550</v>
      </c>
      <c r="B4494" s="1">
        <v>46161</v>
      </c>
      <c r="C4494">
        <v>2026</v>
      </c>
      <c r="D4494">
        <v>5</v>
      </c>
      <c r="E4494" t="s">
        <v>468</v>
      </c>
      <c r="F4494" t="s">
        <v>358</v>
      </c>
      <c r="G4494" t="s">
        <v>28</v>
      </c>
      <c r="H4494" t="s">
        <v>29</v>
      </c>
      <c r="I4494" t="s">
        <v>33</v>
      </c>
      <c r="J4494">
        <v>42</v>
      </c>
      <c r="K4494">
        <v>1606.7</v>
      </c>
      <c r="L4494">
        <v>67481.509999999995</v>
      </c>
      <c r="M4494">
        <v>40578.39</v>
      </c>
      <c r="N4494">
        <v>5942.09</v>
      </c>
      <c r="O4494">
        <v>4797.3</v>
      </c>
      <c r="P4494">
        <v>1873.79</v>
      </c>
      <c r="Q4494">
        <v>935.62</v>
      </c>
      <c r="R4494">
        <v>2616.3000000000002</v>
      </c>
      <c r="S4494">
        <v>1369.29</v>
      </c>
      <c r="T4494">
        <v>58112.79</v>
      </c>
      <c r="U4494">
        <v>26903.13</v>
      </c>
      <c r="V4494">
        <v>9368.7199999999993</v>
      </c>
      <c r="W4494">
        <v>8638.24</v>
      </c>
      <c r="X4494">
        <v>74707.149999999994</v>
      </c>
      <c r="Y4494">
        <v>60234.8</v>
      </c>
    </row>
    <row r="4495" spans="1:25" x14ac:dyDescent="0.25">
      <c r="A4495" t="s">
        <v>4551</v>
      </c>
      <c r="B4495" s="1">
        <v>46161</v>
      </c>
      <c r="C4495">
        <v>2026</v>
      </c>
      <c r="D4495">
        <v>5</v>
      </c>
      <c r="E4495" t="s">
        <v>468</v>
      </c>
      <c r="F4495" t="s">
        <v>358</v>
      </c>
      <c r="G4495" t="s">
        <v>55</v>
      </c>
      <c r="H4495" t="s">
        <v>53</v>
      </c>
      <c r="I4495" t="s">
        <v>56</v>
      </c>
      <c r="J4495">
        <v>22</v>
      </c>
      <c r="K4495">
        <v>1706.66</v>
      </c>
      <c r="L4495">
        <v>37546.47</v>
      </c>
      <c r="M4495">
        <v>21306.35</v>
      </c>
      <c r="N4495">
        <v>4031.12</v>
      </c>
      <c r="O4495">
        <v>1340.08</v>
      </c>
      <c r="P4495">
        <v>1018.77</v>
      </c>
      <c r="Q4495">
        <v>673.09</v>
      </c>
      <c r="R4495">
        <v>1693.55</v>
      </c>
      <c r="S4495">
        <v>887.76</v>
      </c>
      <c r="T4495">
        <v>30950.720000000001</v>
      </c>
      <c r="U4495">
        <v>16240.13</v>
      </c>
      <c r="V4495">
        <v>6595.75</v>
      </c>
      <c r="W4495">
        <v>6498.64</v>
      </c>
      <c r="X4495">
        <v>41921.65</v>
      </c>
      <c r="Y4495">
        <v>33415.69</v>
      </c>
    </row>
    <row r="4496" spans="1:25" x14ac:dyDescent="0.25">
      <c r="A4496" t="s">
        <v>4552</v>
      </c>
      <c r="B4496" s="1">
        <v>46161</v>
      </c>
      <c r="C4496">
        <v>2026</v>
      </c>
      <c r="D4496">
        <v>5</v>
      </c>
      <c r="E4496" t="s">
        <v>468</v>
      </c>
      <c r="F4496" t="s">
        <v>358</v>
      </c>
      <c r="G4496" t="s">
        <v>55</v>
      </c>
      <c r="H4496" t="s">
        <v>32</v>
      </c>
      <c r="I4496" t="s">
        <v>37</v>
      </c>
      <c r="J4496">
        <v>73</v>
      </c>
      <c r="K4496">
        <v>1351.67</v>
      </c>
      <c r="L4496">
        <v>98671.91</v>
      </c>
      <c r="M4496">
        <v>49845.440000000002</v>
      </c>
      <c r="N4496">
        <v>12024.74</v>
      </c>
      <c r="O4496">
        <v>6946</v>
      </c>
      <c r="P4496">
        <v>1972.03</v>
      </c>
      <c r="Q4496">
        <v>1653.96</v>
      </c>
      <c r="R4496">
        <v>2569.33</v>
      </c>
      <c r="S4496">
        <v>2454.62</v>
      </c>
      <c r="T4496">
        <v>77466.12</v>
      </c>
      <c r="U4496">
        <v>48826.46</v>
      </c>
      <c r="V4496">
        <v>21205.79</v>
      </c>
      <c r="W4496">
        <v>20109.23</v>
      </c>
      <c r="X4496">
        <v>105928.26</v>
      </c>
      <c r="Y4496">
        <v>77423.5</v>
      </c>
    </row>
    <row r="4497" spans="1:25" x14ac:dyDescent="0.25">
      <c r="A4497" t="s">
        <v>4553</v>
      </c>
      <c r="B4497" s="1">
        <v>46162</v>
      </c>
      <c r="C4497">
        <v>2026</v>
      </c>
      <c r="D4497">
        <v>5</v>
      </c>
      <c r="E4497" t="s">
        <v>468</v>
      </c>
      <c r="F4497" t="s">
        <v>358</v>
      </c>
      <c r="G4497" t="s">
        <v>28</v>
      </c>
      <c r="H4497" t="s">
        <v>53</v>
      </c>
      <c r="I4497" t="s">
        <v>39</v>
      </c>
      <c r="J4497">
        <v>20</v>
      </c>
      <c r="K4497">
        <v>1790</v>
      </c>
      <c r="L4497">
        <v>35799.9</v>
      </c>
      <c r="M4497">
        <v>21507.57</v>
      </c>
      <c r="N4497">
        <v>2727.07</v>
      </c>
      <c r="O4497">
        <v>2190.62</v>
      </c>
      <c r="P4497">
        <v>1293.52</v>
      </c>
      <c r="Q4497">
        <v>579.95000000000005</v>
      </c>
      <c r="R4497">
        <v>2202.98</v>
      </c>
      <c r="S4497">
        <v>747.35</v>
      </c>
      <c r="T4497">
        <v>31249.06</v>
      </c>
      <c r="U4497">
        <v>14292.33</v>
      </c>
      <c r="V4497">
        <v>4550.84</v>
      </c>
      <c r="W4497">
        <v>4206.09</v>
      </c>
      <c r="X4497">
        <v>33777.040000000001</v>
      </c>
      <c r="Y4497">
        <v>33095.22</v>
      </c>
    </row>
    <row r="4498" spans="1:25" x14ac:dyDescent="0.25">
      <c r="A4498" t="s">
        <v>4554</v>
      </c>
      <c r="B4498" s="1">
        <v>46163</v>
      </c>
      <c r="C4498">
        <v>2026</v>
      </c>
      <c r="D4498">
        <v>5</v>
      </c>
      <c r="E4498" t="s">
        <v>468</v>
      </c>
      <c r="F4498" t="s">
        <v>358</v>
      </c>
      <c r="G4498" t="s">
        <v>55</v>
      </c>
      <c r="H4498" t="s">
        <v>53</v>
      </c>
      <c r="I4498" t="s">
        <v>45</v>
      </c>
      <c r="J4498">
        <v>39</v>
      </c>
      <c r="K4498">
        <v>1370.07</v>
      </c>
      <c r="L4498">
        <v>53432.59</v>
      </c>
      <c r="M4498">
        <v>34356.050000000003</v>
      </c>
      <c r="N4498">
        <v>4774.8500000000004</v>
      </c>
      <c r="O4498">
        <v>1347.41</v>
      </c>
      <c r="P4498">
        <v>1777.74</v>
      </c>
      <c r="Q4498">
        <v>693.53</v>
      </c>
      <c r="R4498">
        <v>1753.34</v>
      </c>
      <c r="S4498">
        <v>1207.51</v>
      </c>
      <c r="T4498">
        <v>45910.42</v>
      </c>
      <c r="U4498">
        <v>19076.54</v>
      </c>
      <c r="V4498">
        <v>7522.17</v>
      </c>
      <c r="W4498">
        <v>7625.84</v>
      </c>
      <c r="X4498">
        <v>58091.78</v>
      </c>
      <c r="Y4498">
        <v>46553.04</v>
      </c>
    </row>
    <row r="4499" spans="1:25" x14ac:dyDescent="0.25">
      <c r="A4499" t="s">
        <v>4555</v>
      </c>
      <c r="B4499" s="1">
        <v>46163</v>
      </c>
      <c r="C4499">
        <v>2026</v>
      </c>
      <c r="D4499">
        <v>5</v>
      </c>
      <c r="E4499" t="s">
        <v>468</v>
      </c>
      <c r="F4499" t="s">
        <v>358</v>
      </c>
      <c r="G4499" t="s">
        <v>35</v>
      </c>
      <c r="H4499" t="s">
        <v>36</v>
      </c>
      <c r="I4499" t="s">
        <v>33</v>
      </c>
      <c r="J4499">
        <v>35</v>
      </c>
      <c r="K4499">
        <v>1595.78</v>
      </c>
      <c r="L4499">
        <v>55852.18</v>
      </c>
      <c r="M4499">
        <v>35711.269999999997</v>
      </c>
      <c r="N4499">
        <v>4765.3599999999997</v>
      </c>
      <c r="O4499">
        <v>2733.57</v>
      </c>
      <c r="P4499">
        <v>1610.18</v>
      </c>
      <c r="Q4499">
        <v>958.66</v>
      </c>
      <c r="R4499">
        <v>1627.8</v>
      </c>
      <c r="S4499">
        <v>726.06</v>
      </c>
      <c r="T4499">
        <v>48132.9</v>
      </c>
      <c r="U4499">
        <v>20140.900000000001</v>
      </c>
      <c r="V4499">
        <v>7719.28</v>
      </c>
      <c r="W4499">
        <v>7077.08</v>
      </c>
      <c r="X4499">
        <v>60611.199999999997</v>
      </c>
      <c r="Y4499">
        <v>49686.84</v>
      </c>
    </row>
    <row r="4500" spans="1:25" x14ac:dyDescent="0.25">
      <c r="A4500" t="s">
        <v>4556</v>
      </c>
      <c r="B4500" s="1">
        <v>46163</v>
      </c>
      <c r="C4500">
        <v>2026</v>
      </c>
      <c r="D4500">
        <v>5</v>
      </c>
      <c r="E4500" t="s">
        <v>468</v>
      </c>
      <c r="F4500" t="s">
        <v>358</v>
      </c>
      <c r="G4500" t="s">
        <v>28</v>
      </c>
      <c r="H4500" t="s">
        <v>32</v>
      </c>
      <c r="I4500" t="s">
        <v>56</v>
      </c>
      <c r="J4500">
        <v>20</v>
      </c>
      <c r="K4500">
        <v>1712.02</v>
      </c>
      <c r="L4500">
        <v>34240.300000000003</v>
      </c>
      <c r="M4500">
        <v>19449.060000000001</v>
      </c>
      <c r="N4500">
        <v>2546.9699999999998</v>
      </c>
      <c r="O4500">
        <v>1078.19</v>
      </c>
      <c r="P4500">
        <v>1486.51</v>
      </c>
      <c r="Q4500">
        <v>322.75</v>
      </c>
      <c r="R4500">
        <v>1588.09</v>
      </c>
      <c r="S4500">
        <v>646.17999999999995</v>
      </c>
      <c r="T4500">
        <v>27117.759999999998</v>
      </c>
      <c r="U4500">
        <v>14791.24</v>
      </c>
      <c r="V4500">
        <v>7122.55</v>
      </c>
      <c r="W4500">
        <v>7220.86</v>
      </c>
      <c r="X4500">
        <v>32527.81</v>
      </c>
      <c r="Y4500">
        <v>28003.31</v>
      </c>
    </row>
    <row r="4501" spans="1:25" x14ac:dyDescent="0.25">
      <c r="A4501" t="s">
        <v>4557</v>
      </c>
      <c r="B4501" s="1">
        <v>46163</v>
      </c>
      <c r="C4501">
        <v>2026</v>
      </c>
      <c r="D4501">
        <v>5</v>
      </c>
      <c r="E4501" t="s">
        <v>468</v>
      </c>
      <c r="F4501" t="s">
        <v>358</v>
      </c>
      <c r="G4501" t="s">
        <v>35</v>
      </c>
      <c r="H4501" t="s">
        <v>36</v>
      </c>
      <c r="I4501" t="s">
        <v>37</v>
      </c>
      <c r="J4501">
        <v>39</v>
      </c>
      <c r="K4501">
        <v>1727.92</v>
      </c>
      <c r="L4501">
        <v>67388.88</v>
      </c>
      <c r="M4501">
        <v>40689.33</v>
      </c>
      <c r="N4501">
        <v>5105.53</v>
      </c>
      <c r="O4501">
        <v>3165.77</v>
      </c>
      <c r="P4501">
        <v>1082.75</v>
      </c>
      <c r="Q4501">
        <v>674.85</v>
      </c>
      <c r="R4501">
        <v>1967.98</v>
      </c>
      <c r="S4501">
        <v>1198.01</v>
      </c>
      <c r="T4501">
        <v>53884.22</v>
      </c>
      <c r="U4501">
        <v>26699.56</v>
      </c>
      <c r="V4501">
        <v>13504.66</v>
      </c>
      <c r="W4501">
        <v>12786.64</v>
      </c>
      <c r="X4501">
        <v>62987.82</v>
      </c>
      <c r="Y4501">
        <v>53389.96</v>
      </c>
    </row>
    <row r="4502" spans="1:25" x14ac:dyDescent="0.25">
      <c r="A4502" t="s">
        <v>4558</v>
      </c>
      <c r="B4502" s="1">
        <v>46164</v>
      </c>
      <c r="C4502">
        <v>2026</v>
      </c>
      <c r="D4502">
        <v>5</v>
      </c>
      <c r="E4502" t="s">
        <v>468</v>
      </c>
      <c r="F4502" t="s">
        <v>358</v>
      </c>
      <c r="G4502" t="s">
        <v>35</v>
      </c>
      <c r="H4502" t="s">
        <v>58</v>
      </c>
      <c r="I4502" t="s">
        <v>33</v>
      </c>
      <c r="J4502">
        <v>78</v>
      </c>
      <c r="K4502">
        <v>898.4</v>
      </c>
      <c r="L4502">
        <v>70075.38</v>
      </c>
      <c r="M4502">
        <v>38215.64</v>
      </c>
      <c r="N4502">
        <v>8873.86</v>
      </c>
      <c r="O4502">
        <v>3299.59</v>
      </c>
      <c r="P4502">
        <v>1915.77</v>
      </c>
      <c r="Q4502">
        <v>715.05</v>
      </c>
      <c r="R4502">
        <v>3242.16</v>
      </c>
      <c r="S4502">
        <v>1716.68</v>
      </c>
      <c r="T4502">
        <v>57978.76</v>
      </c>
      <c r="U4502">
        <v>31859.74</v>
      </c>
      <c r="V4502">
        <v>12096.63</v>
      </c>
      <c r="W4502">
        <v>11444.19</v>
      </c>
      <c r="X4502">
        <v>65566.149999999994</v>
      </c>
      <c r="Y4502">
        <v>59700.21</v>
      </c>
    </row>
    <row r="4503" spans="1:25" x14ac:dyDescent="0.25">
      <c r="A4503" t="s">
        <v>4559</v>
      </c>
      <c r="B4503" s="1">
        <v>46164</v>
      </c>
      <c r="C4503">
        <v>2026</v>
      </c>
      <c r="D4503">
        <v>5</v>
      </c>
      <c r="E4503" t="s">
        <v>468</v>
      </c>
      <c r="F4503" t="s">
        <v>358</v>
      </c>
      <c r="G4503" t="s">
        <v>55</v>
      </c>
      <c r="H4503" t="s">
        <v>36</v>
      </c>
      <c r="I4503" t="s">
        <v>33</v>
      </c>
      <c r="J4503">
        <v>78</v>
      </c>
      <c r="K4503">
        <v>1055.58</v>
      </c>
      <c r="L4503">
        <v>82335.520000000004</v>
      </c>
      <c r="M4503">
        <v>52674.21</v>
      </c>
      <c r="N4503">
        <v>10183.06</v>
      </c>
      <c r="O4503">
        <v>3424.64</v>
      </c>
      <c r="P4503">
        <v>2607.65</v>
      </c>
      <c r="Q4503">
        <v>1254.33</v>
      </c>
      <c r="R4503">
        <v>3526.18</v>
      </c>
      <c r="S4503">
        <v>1170.69</v>
      </c>
      <c r="T4503">
        <v>74840.75</v>
      </c>
      <c r="U4503">
        <v>29661.31</v>
      </c>
      <c r="V4503">
        <v>7494.77</v>
      </c>
      <c r="W4503">
        <v>7016.95</v>
      </c>
      <c r="X4503">
        <v>89448.38</v>
      </c>
      <c r="Y4503">
        <v>73550.960000000006</v>
      </c>
    </row>
    <row r="4504" spans="1:25" x14ac:dyDescent="0.25">
      <c r="A4504" t="s">
        <v>4560</v>
      </c>
      <c r="B4504" s="1">
        <v>46164</v>
      </c>
      <c r="C4504">
        <v>2026</v>
      </c>
      <c r="D4504">
        <v>5</v>
      </c>
      <c r="E4504" t="s">
        <v>468</v>
      </c>
      <c r="F4504" t="s">
        <v>358</v>
      </c>
      <c r="G4504" t="s">
        <v>35</v>
      </c>
      <c r="H4504" t="s">
        <v>29</v>
      </c>
      <c r="I4504" t="s">
        <v>45</v>
      </c>
      <c r="J4504">
        <v>32</v>
      </c>
      <c r="K4504">
        <v>1135.5899999999999</v>
      </c>
      <c r="L4504">
        <v>36338.85</v>
      </c>
      <c r="M4504">
        <v>22989.26</v>
      </c>
      <c r="N4504">
        <v>4409.9399999999996</v>
      </c>
      <c r="O4504">
        <v>2052.7800000000002</v>
      </c>
      <c r="P4504">
        <v>1300.6400000000001</v>
      </c>
      <c r="Q4504">
        <v>537.41</v>
      </c>
      <c r="R4504">
        <v>2179.91</v>
      </c>
      <c r="S4504">
        <v>388.01</v>
      </c>
      <c r="T4504">
        <v>33857.949999999997</v>
      </c>
      <c r="U4504">
        <v>13349.59</v>
      </c>
      <c r="V4504">
        <v>2480.9</v>
      </c>
      <c r="W4504">
        <v>2494.11</v>
      </c>
      <c r="X4504">
        <v>37572.97</v>
      </c>
      <c r="Y4504">
        <v>34777.11</v>
      </c>
    </row>
    <row r="4505" spans="1:25" x14ac:dyDescent="0.25">
      <c r="A4505" t="s">
        <v>4561</v>
      </c>
      <c r="B4505" s="1">
        <v>46165</v>
      </c>
      <c r="C4505">
        <v>2026</v>
      </c>
      <c r="D4505">
        <v>5</v>
      </c>
      <c r="E4505" t="s">
        <v>468</v>
      </c>
      <c r="F4505" t="s">
        <v>358</v>
      </c>
      <c r="G4505" t="s">
        <v>35</v>
      </c>
      <c r="H4505" t="s">
        <v>36</v>
      </c>
      <c r="I4505" t="s">
        <v>37</v>
      </c>
      <c r="J4505">
        <v>42</v>
      </c>
      <c r="K4505">
        <v>1741.31</v>
      </c>
      <c r="L4505">
        <v>73134.990000000005</v>
      </c>
      <c r="M4505">
        <v>40090.22</v>
      </c>
      <c r="N4505">
        <v>8158.59</v>
      </c>
      <c r="O4505">
        <v>3327.02</v>
      </c>
      <c r="P4505">
        <v>1866.35</v>
      </c>
      <c r="Q4505">
        <v>1075.79</v>
      </c>
      <c r="R4505">
        <v>3734.78</v>
      </c>
      <c r="S4505">
        <v>1594.36</v>
      </c>
      <c r="T4505">
        <v>59847.12</v>
      </c>
      <c r="U4505">
        <v>33044.769999999997</v>
      </c>
      <c r="V4505">
        <v>13287.87</v>
      </c>
      <c r="W4505">
        <v>12083.25</v>
      </c>
      <c r="X4505">
        <v>75333.600000000006</v>
      </c>
      <c r="Y4505">
        <v>58256.62</v>
      </c>
    </row>
    <row r="4506" spans="1:25" x14ac:dyDescent="0.25">
      <c r="A4506" t="s">
        <v>4562</v>
      </c>
      <c r="B4506" s="1">
        <v>46165</v>
      </c>
      <c r="C4506">
        <v>2026</v>
      </c>
      <c r="D4506">
        <v>5</v>
      </c>
      <c r="E4506" t="s">
        <v>468</v>
      </c>
      <c r="F4506" t="s">
        <v>358</v>
      </c>
      <c r="G4506" t="s">
        <v>55</v>
      </c>
      <c r="H4506" t="s">
        <v>36</v>
      </c>
      <c r="I4506" t="s">
        <v>37</v>
      </c>
      <c r="J4506">
        <v>55</v>
      </c>
      <c r="K4506">
        <v>1409.81</v>
      </c>
      <c r="L4506">
        <v>77539.73</v>
      </c>
      <c r="M4506">
        <v>49722</v>
      </c>
      <c r="N4506">
        <v>9155.2800000000007</v>
      </c>
      <c r="O4506">
        <v>3651.61</v>
      </c>
      <c r="P4506">
        <v>1375.31</v>
      </c>
      <c r="Q4506">
        <v>933.95</v>
      </c>
      <c r="R4506">
        <v>4603.24</v>
      </c>
      <c r="S4506">
        <v>655.96</v>
      </c>
      <c r="T4506">
        <v>70097.34</v>
      </c>
      <c r="U4506">
        <v>27817.73</v>
      </c>
      <c r="V4506">
        <v>7442.39</v>
      </c>
      <c r="W4506">
        <v>7413.54</v>
      </c>
      <c r="X4506">
        <v>82000.53</v>
      </c>
      <c r="Y4506">
        <v>72967.94</v>
      </c>
    </row>
    <row r="4507" spans="1:25" x14ac:dyDescent="0.25">
      <c r="A4507" t="s">
        <v>4563</v>
      </c>
      <c r="B4507" s="1">
        <v>46165</v>
      </c>
      <c r="C4507">
        <v>2026</v>
      </c>
      <c r="D4507">
        <v>5</v>
      </c>
      <c r="E4507" t="s">
        <v>468</v>
      </c>
      <c r="F4507" t="s">
        <v>358</v>
      </c>
      <c r="G4507" t="s">
        <v>44</v>
      </c>
      <c r="H4507" t="s">
        <v>29</v>
      </c>
      <c r="I4507" t="s">
        <v>45</v>
      </c>
      <c r="J4507">
        <v>31</v>
      </c>
      <c r="K4507">
        <v>1629.4</v>
      </c>
      <c r="L4507">
        <v>50511.35</v>
      </c>
      <c r="M4507">
        <v>26362.77</v>
      </c>
      <c r="N4507">
        <v>3557.04</v>
      </c>
      <c r="O4507">
        <v>2461.81</v>
      </c>
      <c r="P4507">
        <v>1807.05</v>
      </c>
      <c r="Q4507">
        <v>432.54</v>
      </c>
      <c r="R4507">
        <v>1730.34</v>
      </c>
      <c r="S4507">
        <v>1170.3900000000001</v>
      </c>
      <c r="T4507">
        <v>37521.94</v>
      </c>
      <c r="U4507">
        <v>24148.58</v>
      </c>
      <c r="V4507">
        <v>12989.41</v>
      </c>
      <c r="W4507">
        <v>11936.36</v>
      </c>
      <c r="X4507">
        <v>48482.47</v>
      </c>
      <c r="Y4507">
        <v>40936.800000000003</v>
      </c>
    </row>
    <row r="4508" spans="1:25" x14ac:dyDescent="0.25">
      <c r="A4508" t="s">
        <v>4564</v>
      </c>
      <c r="B4508" s="1">
        <v>46165</v>
      </c>
      <c r="C4508">
        <v>2026</v>
      </c>
      <c r="D4508">
        <v>5</v>
      </c>
      <c r="E4508" t="s">
        <v>468</v>
      </c>
      <c r="F4508" t="s">
        <v>358</v>
      </c>
      <c r="G4508" t="s">
        <v>28</v>
      </c>
      <c r="H4508" t="s">
        <v>36</v>
      </c>
      <c r="I4508" t="s">
        <v>45</v>
      </c>
      <c r="J4508">
        <v>33</v>
      </c>
      <c r="K4508">
        <v>1180.52</v>
      </c>
      <c r="L4508">
        <v>38957.03</v>
      </c>
      <c r="M4508">
        <v>25871.54</v>
      </c>
      <c r="N4508">
        <v>4125</v>
      </c>
      <c r="O4508">
        <v>2866</v>
      </c>
      <c r="P4508">
        <v>1608.03</v>
      </c>
      <c r="Q4508">
        <v>232.03</v>
      </c>
      <c r="R4508">
        <v>1486.69</v>
      </c>
      <c r="S4508">
        <v>905</v>
      </c>
      <c r="T4508">
        <v>37094.28</v>
      </c>
      <c r="U4508">
        <v>13085.49</v>
      </c>
      <c r="V4508">
        <v>1862.75</v>
      </c>
      <c r="W4508">
        <v>1649.8</v>
      </c>
      <c r="X4508">
        <v>38478.49</v>
      </c>
      <c r="Y4508">
        <v>39016.76</v>
      </c>
    </row>
    <row r="4509" spans="1:25" x14ac:dyDescent="0.25">
      <c r="A4509" t="s">
        <v>4565</v>
      </c>
      <c r="B4509" s="1">
        <v>46166</v>
      </c>
      <c r="C4509">
        <v>2026</v>
      </c>
      <c r="D4509">
        <v>5</v>
      </c>
      <c r="E4509" t="s">
        <v>468</v>
      </c>
      <c r="F4509" t="s">
        <v>358</v>
      </c>
      <c r="G4509" t="s">
        <v>28</v>
      </c>
      <c r="H4509" t="s">
        <v>36</v>
      </c>
      <c r="I4509" t="s">
        <v>45</v>
      </c>
      <c r="J4509">
        <v>32</v>
      </c>
      <c r="K4509">
        <v>1110.53</v>
      </c>
      <c r="L4509">
        <v>35536.82</v>
      </c>
      <c r="M4509">
        <v>20356.48</v>
      </c>
      <c r="N4509">
        <v>2827.55</v>
      </c>
      <c r="O4509">
        <v>2519.04</v>
      </c>
      <c r="P4509">
        <v>1370.32</v>
      </c>
      <c r="Q4509">
        <v>298.37</v>
      </c>
      <c r="R4509">
        <v>1673.73</v>
      </c>
      <c r="S4509">
        <v>569.4</v>
      </c>
      <c r="T4509">
        <v>29614.89</v>
      </c>
      <c r="U4509">
        <v>15180.34</v>
      </c>
      <c r="V4509">
        <v>5921.94</v>
      </c>
      <c r="W4509">
        <v>5620.58</v>
      </c>
      <c r="X4509">
        <v>39496.94</v>
      </c>
      <c r="Y4509">
        <v>29868.65</v>
      </c>
    </row>
    <row r="4510" spans="1:25" x14ac:dyDescent="0.25">
      <c r="A4510" t="s">
        <v>4566</v>
      </c>
      <c r="B4510" s="1">
        <v>46166</v>
      </c>
      <c r="C4510">
        <v>2026</v>
      </c>
      <c r="D4510">
        <v>5</v>
      </c>
      <c r="E4510" t="s">
        <v>468</v>
      </c>
      <c r="F4510" t="s">
        <v>358</v>
      </c>
      <c r="G4510" t="s">
        <v>55</v>
      </c>
      <c r="H4510" t="s">
        <v>29</v>
      </c>
      <c r="I4510" t="s">
        <v>33</v>
      </c>
      <c r="J4510">
        <v>72</v>
      </c>
      <c r="K4510">
        <v>1171.44</v>
      </c>
      <c r="L4510">
        <v>84343.51</v>
      </c>
      <c r="M4510">
        <v>47038.71</v>
      </c>
      <c r="N4510">
        <v>6371.11</v>
      </c>
      <c r="O4510">
        <v>3437.99</v>
      </c>
      <c r="P4510">
        <v>1690.3</v>
      </c>
      <c r="Q4510">
        <v>652.72</v>
      </c>
      <c r="R4510">
        <v>3785.59</v>
      </c>
      <c r="S4510">
        <v>883.44</v>
      </c>
      <c r="T4510">
        <v>63859.87</v>
      </c>
      <c r="U4510">
        <v>37304.81</v>
      </c>
      <c r="V4510">
        <v>20483.64</v>
      </c>
      <c r="W4510">
        <v>19111.28</v>
      </c>
      <c r="X4510">
        <v>90422.01</v>
      </c>
      <c r="Y4510">
        <v>61735.6</v>
      </c>
    </row>
    <row r="4511" spans="1:25" x14ac:dyDescent="0.25">
      <c r="A4511" t="s">
        <v>4567</v>
      </c>
      <c r="B4511" s="1">
        <v>46166</v>
      </c>
      <c r="C4511">
        <v>2026</v>
      </c>
      <c r="D4511">
        <v>5</v>
      </c>
      <c r="E4511" t="s">
        <v>468</v>
      </c>
      <c r="F4511" t="s">
        <v>358</v>
      </c>
      <c r="G4511" t="s">
        <v>28</v>
      </c>
      <c r="H4511" t="s">
        <v>36</v>
      </c>
      <c r="I4511" t="s">
        <v>39</v>
      </c>
      <c r="J4511">
        <v>52</v>
      </c>
      <c r="K4511">
        <v>1067.25</v>
      </c>
      <c r="L4511">
        <v>55497.19</v>
      </c>
      <c r="M4511">
        <v>37650.089999999997</v>
      </c>
      <c r="N4511">
        <v>3932.18</v>
      </c>
      <c r="O4511">
        <v>3198.71</v>
      </c>
      <c r="P4511">
        <v>1119.08</v>
      </c>
      <c r="Q4511">
        <v>718.23</v>
      </c>
      <c r="R4511">
        <v>2173.15</v>
      </c>
      <c r="S4511">
        <v>1200.8499999999999</v>
      </c>
      <c r="T4511">
        <v>49992.29</v>
      </c>
      <c r="U4511">
        <v>17847.099999999999</v>
      </c>
      <c r="V4511">
        <v>5504.9</v>
      </c>
      <c r="W4511">
        <v>4866.9799999999996</v>
      </c>
      <c r="X4511">
        <v>52985.5</v>
      </c>
      <c r="Y4511">
        <v>47081.68</v>
      </c>
    </row>
    <row r="4512" spans="1:25" x14ac:dyDescent="0.25">
      <c r="A4512" t="s">
        <v>4568</v>
      </c>
      <c r="B4512" s="1">
        <v>46166</v>
      </c>
      <c r="C4512">
        <v>2026</v>
      </c>
      <c r="D4512">
        <v>5</v>
      </c>
      <c r="E4512" t="s">
        <v>468</v>
      </c>
      <c r="F4512" t="s">
        <v>358</v>
      </c>
      <c r="G4512" t="s">
        <v>44</v>
      </c>
      <c r="H4512" t="s">
        <v>58</v>
      </c>
      <c r="I4512" t="s">
        <v>37</v>
      </c>
      <c r="J4512">
        <v>65</v>
      </c>
      <c r="K4512">
        <v>1121.1199999999999</v>
      </c>
      <c r="L4512">
        <v>72872.84</v>
      </c>
      <c r="M4512">
        <v>44739.54</v>
      </c>
      <c r="N4512">
        <v>5967.11</v>
      </c>
      <c r="O4512">
        <v>3965.37</v>
      </c>
      <c r="P4512">
        <v>1410.59</v>
      </c>
      <c r="Q4512">
        <v>1237.3800000000001</v>
      </c>
      <c r="R4512">
        <v>3245.87</v>
      </c>
      <c r="S4512">
        <v>719.64</v>
      </c>
      <c r="T4512">
        <v>61285.49</v>
      </c>
      <c r="U4512">
        <v>28133.3</v>
      </c>
      <c r="V4512">
        <v>11587.36</v>
      </c>
      <c r="W4512">
        <v>10298.83</v>
      </c>
      <c r="X4512">
        <v>70301.48</v>
      </c>
      <c r="Y4512">
        <v>64603.87</v>
      </c>
    </row>
    <row r="4513" spans="1:25" x14ac:dyDescent="0.25">
      <c r="A4513" t="s">
        <v>4569</v>
      </c>
      <c r="B4513" s="1">
        <v>46167</v>
      </c>
      <c r="C4513">
        <v>2026</v>
      </c>
      <c r="D4513">
        <v>5</v>
      </c>
      <c r="E4513" t="s">
        <v>468</v>
      </c>
      <c r="F4513" t="s">
        <v>358</v>
      </c>
      <c r="G4513" t="s">
        <v>28</v>
      </c>
      <c r="H4513" t="s">
        <v>36</v>
      </c>
      <c r="I4513" t="s">
        <v>33</v>
      </c>
      <c r="J4513">
        <v>72</v>
      </c>
      <c r="K4513">
        <v>1364.85</v>
      </c>
      <c r="L4513">
        <v>98269.54</v>
      </c>
      <c r="M4513">
        <v>47174.12</v>
      </c>
      <c r="N4513">
        <v>10076.11</v>
      </c>
      <c r="O4513">
        <v>6146.89</v>
      </c>
      <c r="P4513">
        <v>3390.63</v>
      </c>
      <c r="Q4513">
        <v>664.7</v>
      </c>
      <c r="R4513">
        <v>3973.99</v>
      </c>
      <c r="S4513">
        <v>879.28</v>
      </c>
      <c r="T4513">
        <v>72305.72</v>
      </c>
      <c r="U4513">
        <v>51095.43</v>
      </c>
      <c r="V4513">
        <v>25963.83</v>
      </c>
      <c r="W4513">
        <v>24255.4</v>
      </c>
      <c r="X4513">
        <v>95046.84</v>
      </c>
      <c r="Y4513">
        <v>74823.31</v>
      </c>
    </row>
    <row r="4514" spans="1:25" x14ac:dyDescent="0.25">
      <c r="A4514" t="s">
        <v>4570</v>
      </c>
      <c r="B4514" s="1">
        <v>46167</v>
      </c>
      <c r="C4514">
        <v>2026</v>
      </c>
      <c r="D4514">
        <v>5</v>
      </c>
      <c r="E4514" t="s">
        <v>468</v>
      </c>
      <c r="F4514" t="s">
        <v>358</v>
      </c>
      <c r="G4514" t="s">
        <v>55</v>
      </c>
      <c r="H4514" t="s">
        <v>32</v>
      </c>
      <c r="I4514" t="s">
        <v>39</v>
      </c>
      <c r="J4514">
        <v>46</v>
      </c>
      <c r="K4514">
        <v>1471.49</v>
      </c>
      <c r="L4514">
        <v>67688.539999999994</v>
      </c>
      <c r="M4514">
        <v>45809.03</v>
      </c>
      <c r="N4514">
        <v>7642.54</v>
      </c>
      <c r="O4514">
        <v>2447.2399999999998</v>
      </c>
      <c r="P4514">
        <v>2367.94</v>
      </c>
      <c r="Q4514">
        <v>429.26</v>
      </c>
      <c r="R4514">
        <v>2567.63</v>
      </c>
      <c r="S4514">
        <v>1591.18</v>
      </c>
      <c r="T4514">
        <v>62854.82</v>
      </c>
      <c r="U4514">
        <v>21879.5</v>
      </c>
      <c r="V4514">
        <v>4833.72</v>
      </c>
      <c r="W4514">
        <v>4922.37</v>
      </c>
      <c r="X4514">
        <v>74404.070000000007</v>
      </c>
      <c r="Y4514">
        <v>64603.49</v>
      </c>
    </row>
    <row r="4515" spans="1:25" x14ac:dyDescent="0.25">
      <c r="A4515" t="s">
        <v>4571</v>
      </c>
      <c r="B4515" s="1">
        <v>46167</v>
      </c>
      <c r="C4515">
        <v>2026</v>
      </c>
      <c r="D4515">
        <v>5</v>
      </c>
      <c r="E4515" t="s">
        <v>468</v>
      </c>
      <c r="F4515" t="s">
        <v>358</v>
      </c>
      <c r="G4515" t="s">
        <v>28</v>
      </c>
      <c r="H4515" t="s">
        <v>53</v>
      </c>
      <c r="I4515" t="s">
        <v>50</v>
      </c>
      <c r="J4515">
        <v>40</v>
      </c>
      <c r="K4515">
        <v>1322</v>
      </c>
      <c r="L4515">
        <v>52880</v>
      </c>
      <c r="M4515">
        <v>25582.99</v>
      </c>
      <c r="N4515">
        <v>5558.62</v>
      </c>
      <c r="O4515">
        <v>2445.4</v>
      </c>
      <c r="P4515">
        <v>1879.34</v>
      </c>
      <c r="Q4515">
        <v>798.93</v>
      </c>
      <c r="R4515">
        <v>1516.37</v>
      </c>
      <c r="S4515">
        <v>742.24</v>
      </c>
      <c r="T4515">
        <v>38523.879999999997</v>
      </c>
      <c r="U4515">
        <v>27297.01</v>
      </c>
      <c r="V4515">
        <v>14356.12</v>
      </c>
      <c r="W4515">
        <v>14416.43</v>
      </c>
      <c r="X4515">
        <v>53403.67</v>
      </c>
      <c r="Y4515">
        <v>41540.04</v>
      </c>
    </row>
    <row r="4516" spans="1:25" x14ac:dyDescent="0.25">
      <c r="A4516" t="s">
        <v>4572</v>
      </c>
      <c r="B4516" s="1">
        <v>46168</v>
      </c>
      <c r="C4516">
        <v>2026</v>
      </c>
      <c r="D4516">
        <v>5</v>
      </c>
      <c r="E4516" t="s">
        <v>468</v>
      </c>
      <c r="F4516" t="s">
        <v>358</v>
      </c>
      <c r="G4516" t="s">
        <v>44</v>
      </c>
      <c r="H4516" t="s">
        <v>36</v>
      </c>
      <c r="I4516" t="s">
        <v>65</v>
      </c>
      <c r="J4516">
        <v>36</v>
      </c>
      <c r="K4516">
        <v>1724.99</v>
      </c>
      <c r="L4516">
        <v>62099.67</v>
      </c>
      <c r="M4516">
        <v>29941.83</v>
      </c>
      <c r="N4516">
        <v>7677.66</v>
      </c>
      <c r="O4516">
        <v>3042.06</v>
      </c>
      <c r="P4516">
        <v>1883</v>
      </c>
      <c r="Q4516">
        <v>685.95</v>
      </c>
      <c r="R4516">
        <v>2532.9699999999998</v>
      </c>
      <c r="S4516">
        <v>1448.52</v>
      </c>
      <c r="T4516">
        <v>47211.99</v>
      </c>
      <c r="U4516">
        <v>32157.83</v>
      </c>
      <c r="V4516">
        <v>14887.68</v>
      </c>
      <c r="W4516">
        <v>14504.65</v>
      </c>
      <c r="X4516">
        <v>67255.649999999994</v>
      </c>
      <c r="Y4516">
        <v>46390.06</v>
      </c>
    </row>
    <row r="4517" spans="1:25" x14ac:dyDescent="0.25">
      <c r="A4517" t="s">
        <v>4573</v>
      </c>
      <c r="B4517" s="1">
        <v>46168</v>
      </c>
      <c r="C4517">
        <v>2026</v>
      </c>
      <c r="D4517">
        <v>5</v>
      </c>
      <c r="E4517" t="s">
        <v>468</v>
      </c>
      <c r="F4517" t="s">
        <v>358</v>
      </c>
      <c r="G4517" t="s">
        <v>55</v>
      </c>
      <c r="H4517" t="s">
        <v>36</v>
      </c>
      <c r="I4517" t="s">
        <v>37</v>
      </c>
      <c r="J4517">
        <v>43</v>
      </c>
      <c r="K4517">
        <v>1529.84</v>
      </c>
      <c r="L4517">
        <v>65783.039999999994</v>
      </c>
      <c r="M4517">
        <v>33595.25</v>
      </c>
      <c r="N4517">
        <v>8239.82</v>
      </c>
      <c r="O4517">
        <v>3400.59</v>
      </c>
      <c r="P4517">
        <v>2651.81</v>
      </c>
      <c r="Q4517">
        <v>1000.48</v>
      </c>
      <c r="R4517">
        <v>2901.65</v>
      </c>
      <c r="S4517">
        <v>1205.8599999999999</v>
      </c>
      <c r="T4517">
        <v>52995.46</v>
      </c>
      <c r="U4517">
        <v>32187.79</v>
      </c>
      <c r="V4517">
        <v>12787.58</v>
      </c>
      <c r="W4517">
        <v>12656.73</v>
      </c>
      <c r="X4517">
        <v>67490.59</v>
      </c>
      <c r="Y4517">
        <v>55603.49</v>
      </c>
    </row>
    <row r="4518" spans="1:25" x14ac:dyDescent="0.25">
      <c r="A4518" t="s">
        <v>4574</v>
      </c>
      <c r="B4518" s="1">
        <v>46168</v>
      </c>
      <c r="C4518">
        <v>2026</v>
      </c>
      <c r="D4518">
        <v>5</v>
      </c>
      <c r="E4518" t="s">
        <v>468</v>
      </c>
      <c r="F4518" t="s">
        <v>358</v>
      </c>
      <c r="G4518" t="s">
        <v>44</v>
      </c>
      <c r="H4518" t="s">
        <v>29</v>
      </c>
      <c r="I4518" t="s">
        <v>50</v>
      </c>
      <c r="J4518">
        <v>28</v>
      </c>
      <c r="K4518">
        <v>1323.99</v>
      </c>
      <c r="L4518">
        <v>37071.78</v>
      </c>
      <c r="M4518">
        <v>20941.669999999998</v>
      </c>
      <c r="N4518">
        <v>3436.41</v>
      </c>
      <c r="O4518">
        <v>2562.34</v>
      </c>
      <c r="P4518">
        <v>998.71</v>
      </c>
      <c r="Q4518">
        <v>546.28</v>
      </c>
      <c r="R4518">
        <v>1325.12</v>
      </c>
      <c r="S4518">
        <v>330.71</v>
      </c>
      <c r="T4518">
        <v>30141.24</v>
      </c>
      <c r="U4518">
        <v>16130.11</v>
      </c>
      <c r="V4518">
        <v>6930.54</v>
      </c>
      <c r="W4518">
        <v>6925.22</v>
      </c>
      <c r="X4518">
        <v>35410.69</v>
      </c>
      <c r="Y4518">
        <v>32744.54</v>
      </c>
    </row>
    <row r="4519" spans="1:25" x14ac:dyDescent="0.25">
      <c r="A4519" t="s">
        <v>4575</v>
      </c>
      <c r="B4519" s="1">
        <v>46168</v>
      </c>
      <c r="C4519">
        <v>2026</v>
      </c>
      <c r="D4519">
        <v>5</v>
      </c>
      <c r="E4519" t="s">
        <v>468</v>
      </c>
      <c r="F4519" t="s">
        <v>358</v>
      </c>
      <c r="G4519" t="s">
        <v>28</v>
      </c>
      <c r="H4519" t="s">
        <v>32</v>
      </c>
      <c r="I4519" t="s">
        <v>33</v>
      </c>
      <c r="J4519">
        <v>69</v>
      </c>
      <c r="K4519">
        <v>1717.09</v>
      </c>
      <c r="L4519">
        <v>118479.08</v>
      </c>
      <c r="M4519">
        <v>58623.07</v>
      </c>
      <c r="N4519">
        <v>13221.72</v>
      </c>
      <c r="O4519">
        <v>6830.61</v>
      </c>
      <c r="P4519">
        <v>1923.54</v>
      </c>
      <c r="Q4519">
        <v>1071.1300000000001</v>
      </c>
      <c r="R4519">
        <v>6289.74</v>
      </c>
      <c r="S4519">
        <v>2836.32</v>
      </c>
      <c r="T4519">
        <v>90796.12</v>
      </c>
      <c r="U4519">
        <v>59856.01</v>
      </c>
      <c r="V4519">
        <v>27682.95</v>
      </c>
      <c r="W4519">
        <v>25454.62</v>
      </c>
      <c r="X4519">
        <v>115061.36</v>
      </c>
      <c r="Y4519">
        <v>90008.15</v>
      </c>
    </row>
    <row r="4520" spans="1:25" x14ac:dyDescent="0.25">
      <c r="A4520" t="s">
        <v>4576</v>
      </c>
      <c r="B4520" s="1">
        <v>46168</v>
      </c>
      <c r="C4520">
        <v>2026</v>
      </c>
      <c r="D4520">
        <v>5</v>
      </c>
      <c r="E4520" t="s">
        <v>468</v>
      </c>
      <c r="F4520" t="s">
        <v>358</v>
      </c>
      <c r="G4520" t="s">
        <v>44</v>
      </c>
      <c r="H4520" t="s">
        <v>53</v>
      </c>
      <c r="I4520" t="s">
        <v>30</v>
      </c>
      <c r="J4520">
        <v>76</v>
      </c>
      <c r="K4520">
        <v>854.26</v>
      </c>
      <c r="L4520">
        <v>64923.93</v>
      </c>
      <c r="M4520">
        <v>38363.480000000003</v>
      </c>
      <c r="N4520">
        <v>7904.34</v>
      </c>
      <c r="O4520">
        <v>1967.01</v>
      </c>
      <c r="P4520">
        <v>1445.06</v>
      </c>
      <c r="Q4520">
        <v>689.18</v>
      </c>
      <c r="R4520">
        <v>1674.38</v>
      </c>
      <c r="S4520">
        <v>1008.62</v>
      </c>
      <c r="T4520">
        <v>53052.07</v>
      </c>
      <c r="U4520">
        <v>26560.45</v>
      </c>
      <c r="V4520">
        <v>11871.86</v>
      </c>
      <c r="W4520">
        <v>11329.5</v>
      </c>
      <c r="X4520">
        <v>64255.03</v>
      </c>
      <c r="Y4520">
        <v>53693.45</v>
      </c>
    </row>
    <row r="4521" spans="1:25" x14ac:dyDescent="0.25">
      <c r="A4521" t="s">
        <v>4577</v>
      </c>
      <c r="B4521" s="1">
        <v>46168</v>
      </c>
      <c r="C4521">
        <v>2026</v>
      </c>
      <c r="D4521">
        <v>5</v>
      </c>
      <c r="E4521" t="s">
        <v>468</v>
      </c>
      <c r="F4521" t="s">
        <v>358</v>
      </c>
      <c r="G4521" t="s">
        <v>44</v>
      </c>
      <c r="H4521" t="s">
        <v>53</v>
      </c>
      <c r="I4521" t="s">
        <v>37</v>
      </c>
      <c r="J4521">
        <v>40</v>
      </c>
      <c r="K4521">
        <v>1038.4000000000001</v>
      </c>
      <c r="L4521">
        <v>41535.93</v>
      </c>
      <c r="M4521">
        <v>28046.35</v>
      </c>
      <c r="N4521">
        <v>4950.6400000000003</v>
      </c>
      <c r="O4521">
        <v>1987.13</v>
      </c>
      <c r="P4521">
        <v>1328.11</v>
      </c>
      <c r="Q4521">
        <v>514.89</v>
      </c>
      <c r="R4521">
        <v>2539.0300000000002</v>
      </c>
      <c r="S4521">
        <v>887.62</v>
      </c>
      <c r="T4521">
        <v>40253.760000000002</v>
      </c>
      <c r="U4521">
        <v>13489.58</v>
      </c>
      <c r="V4521">
        <v>1282.1600000000001</v>
      </c>
      <c r="W4521">
        <v>1258.69</v>
      </c>
      <c r="X4521">
        <v>39023.79</v>
      </c>
      <c r="Y4521">
        <v>40021.07</v>
      </c>
    </row>
    <row r="4522" spans="1:25" x14ac:dyDescent="0.25">
      <c r="A4522" t="s">
        <v>4578</v>
      </c>
      <c r="B4522" s="1">
        <v>46168</v>
      </c>
      <c r="C4522">
        <v>2026</v>
      </c>
      <c r="D4522">
        <v>5</v>
      </c>
      <c r="E4522" t="s">
        <v>468</v>
      </c>
      <c r="F4522" t="s">
        <v>358</v>
      </c>
      <c r="G4522" t="s">
        <v>44</v>
      </c>
      <c r="H4522" t="s">
        <v>36</v>
      </c>
      <c r="I4522" t="s">
        <v>37</v>
      </c>
      <c r="J4522">
        <v>56</v>
      </c>
      <c r="K4522">
        <v>1208.3699999999999</v>
      </c>
      <c r="L4522">
        <v>67668.66</v>
      </c>
      <c r="M4522">
        <v>43890.83</v>
      </c>
      <c r="N4522">
        <v>6585.92</v>
      </c>
      <c r="O4522">
        <v>3880.23</v>
      </c>
      <c r="P4522">
        <v>2846.35</v>
      </c>
      <c r="Q4522">
        <v>1151.9000000000001</v>
      </c>
      <c r="R4522">
        <v>2599.06</v>
      </c>
      <c r="S4522">
        <v>1071.1199999999999</v>
      </c>
      <c r="T4522">
        <v>62025.42</v>
      </c>
      <c r="U4522">
        <v>23777.83</v>
      </c>
      <c r="V4522">
        <v>5643.24</v>
      </c>
      <c r="W4522">
        <v>4978.1899999999996</v>
      </c>
      <c r="X4522">
        <v>71047.59</v>
      </c>
      <c r="Y4522">
        <v>59055.51</v>
      </c>
    </row>
    <row r="4523" spans="1:25" x14ac:dyDescent="0.25">
      <c r="A4523" t="s">
        <v>4579</v>
      </c>
      <c r="B4523" s="1">
        <v>46170</v>
      </c>
      <c r="C4523">
        <v>2026</v>
      </c>
      <c r="D4523">
        <v>5</v>
      </c>
      <c r="E4523" t="s">
        <v>468</v>
      </c>
      <c r="F4523" t="s">
        <v>358</v>
      </c>
      <c r="G4523" t="s">
        <v>55</v>
      </c>
      <c r="H4523" t="s">
        <v>29</v>
      </c>
      <c r="I4523" t="s">
        <v>56</v>
      </c>
      <c r="J4523">
        <v>20</v>
      </c>
      <c r="K4523">
        <v>1609.76</v>
      </c>
      <c r="L4523">
        <v>32195.26</v>
      </c>
      <c r="M4523">
        <v>19946.560000000001</v>
      </c>
      <c r="N4523">
        <v>3000.39</v>
      </c>
      <c r="O4523">
        <v>2339.61</v>
      </c>
      <c r="P4523">
        <v>939.38</v>
      </c>
      <c r="Q4523">
        <v>546.9</v>
      </c>
      <c r="R4523">
        <v>1748.37</v>
      </c>
      <c r="S4523">
        <v>367.16</v>
      </c>
      <c r="T4523">
        <v>28888.38</v>
      </c>
      <c r="U4523">
        <v>12248.7</v>
      </c>
      <c r="V4523">
        <v>3306.89</v>
      </c>
      <c r="W4523">
        <v>2952.69</v>
      </c>
      <c r="X4523">
        <v>35240.1</v>
      </c>
      <c r="Y4523">
        <v>30785.01</v>
      </c>
    </row>
    <row r="4524" spans="1:25" x14ac:dyDescent="0.25">
      <c r="A4524" t="s">
        <v>4580</v>
      </c>
      <c r="B4524" s="1">
        <v>46170</v>
      </c>
      <c r="C4524">
        <v>2026</v>
      </c>
      <c r="D4524">
        <v>5</v>
      </c>
      <c r="E4524" t="s">
        <v>468</v>
      </c>
      <c r="F4524" t="s">
        <v>358</v>
      </c>
      <c r="G4524" t="s">
        <v>35</v>
      </c>
      <c r="H4524" t="s">
        <v>53</v>
      </c>
      <c r="I4524" t="s">
        <v>56</v>
      </c>
      <c r="J4524">
        <v>19</v>
      </c>
      <c r="K4524">
        <v>1479.08</v>
      </c>
      <c r="L4524">
        <v>28102.46</v>
      </c>
      <c r="M4524">
        <v>16104.48</v>
      </c>
      <c r="N4524">
        <v>2295.04</v>
      </c>
      <c r="O4524">
        <v>1101.46</v>
      </c>
      <c r="P4524">
        <v>536.26</v>
      </c>
      <c r="Q4524">
        <v>290.77</v>
      </c>
      <c r="R4524">
        <v>1353.89</v>
      </c>
      <c r="S4524">
        <v>408.84</v>
      </c>
      <c r="T4524">
        <v>22090.75</v>
      </c>
      <c r="U4524">
        <v>11997.98</v>
      </c>
      <c r="V4524">
        <v>6011.72</v>
      </c>
      <c r="W4524">
        <v>6082.17</v>
      </c>
      <c r="X4524">
        <v>26258.3</v>
      </c>
      <c r="Y4524">
        <v>20881.439999999999</v>
      </c>
    </row>
    <row r="4525" spans="1:25" x14ac:dyDescent="0.25">
      <c r="A4525" t="s">
        <v>4581</v>
      </c>
      <c r="B4525" s="1">
        <v>46170</v>
      </c>
      <c r="C4525">
        <v>2026</v>
      </c>
      <c r="D4525">
        <v>5</v>
      </c>
      <c r="E4525" t="s">
        <v>468</v>
      </c>
      <c r="F4525" t="s">
        <v>358</v>
      </c>
      <c r="G4525" t="s">
        <v>55</v>
      </c>
      <c r="H4525" t="s">
        <v>53</v>
      </c>
      <c r="I4525" t="s">
        <v>30</v>
      </c>
      <c r="J4525">
        <v>47</v>
      </c>
      <c r="K4525">
        <v>1753.81</v>
      </c>
      <c r="L4525">
        <v>82429.27</v>
      </c>
      <c r="M4525">
        <v>48541.82</v>
      </c>
      <c r="N4525">
        <v>8330.66</v>
      </c>
      <c r="O4525">
        <v>3749.48</v>
      </c>
      <c r="P4525">
        <v>1782.16</v>
      </c>
      <c r="Q4525">
        <v>711.03</v>
      </c>
      <c r="R4525">
        <v>4295.8100000000004</v>
      </c>
      <c r="S4525">
        <v>1503.24</v>
      </c>
      <c r="T4525">
        <v>68914.210000000006</v>
      </c>
      <c r="U4525">
        <v>33887.440000000002</v>
      </c>
      <c r="V4525">
        <v>13515.06</v>
      </c>
      <c r="W4525">
        <v>12181.41</v>
      </c>
      <c r="X4525">
        <v>85016.49</v>
      </c>
      <c r="Y4525">
        <v>69640.27</v>
      </c>
    </row>
    <row r="4526" spans="1:25" x14ac:dyDescent="0.25">
      <c r="A4526" t="s">
        <v>4582</v>
      </c>
      <c r="B4526" s="1">
        <v>46170</v>
      </c>
      <c r="C4526">
        <v>2026</v>
      </c>
      <c r="D4526">
        <v>5</v>
      </c>
      <c r="E4526" t="s">
        <v>468</v>
      </c>
      <c r="F4526" t="s">
        <v>358</v>
      </c>
      <c r="G4526" t="s">
        <v>28</v>
      </c>
      <c r="H4526" t="s">
        <v>53</v>
      </c>
      <c r="I4526" t="s">
        <v>37</v>
      </c>
      <c r="J4526">
        <v>30</v>
      </c>
      <c r="K4526">
        <v>1560.89</v>
      </c>
      <c r="L4526">
        <v>46826.67</v>
      </c>
      <c r="M4526">
        <v>24278.25</v>
      </c>
      <c r="N4526">
        <v>4026.87</v>
      </c>
      <c r="O4526">
        <v>1769.35</v>
      </c>
      <c r="P4526">
        <v>778.83</v>
      </c>
      <c r="Q4526">
        <v>810.01</v>
      </c>
      <c r="R4526">
        <v>1343.51</v>
      </c>
      <c r="S4526">
        <v>519.73</v>
      </c>
      <c r="T4526">
        <v>33526.559999999998</v>
      </c>
      <c r="U4526">
        <v>22548.42</v>
      </c>
      <c r="V4526">
        <v>13300.11</v>
      </c>
      <c r="W4526">
        <v>12985.03</v>
      </c>
      <c r="X4526">
        <v>48911.09</v>
      </c>
      <c r="Y4526">
        <v>35337.050000000003</v>
      </c>
    </row>
    <row r="4527" spans="1:25" x14ac:dyDescent="0.25">
      <c r="A4527" t="s">
        <v>4583</v>
      </c>
      <c r="B4527" s="1">
        <v>46170</v>
      </c>
      <c r="C4527">
        <v>2026</v>
      </c>
      <c r="D4527">
        <v>5</v>
      </c>
      <c r="E4527" t="s">
        <v>468</v>
      </c>
      <c r="F4527" t="s">
        <v>358</v>
      </c>
      <c r="G4527" t="s">
        <v>55</v>
      </c>
      <c r="H4527" t="s">
        <v>53</v>
      </c>
      <c r="I4527" t="s">
        <v>50</v>
      </c>
      <c r="J4527">
        <v>33</v>
      </c>
      <c r="K4527">
        <v>1287.29</v>
      </c>
      <c r="L4527">
        <v>42480.52</v>
      </c>
      <c r="M4527">
        <v>25356.6</v>
      </c>
      <c r="N4527">
        <v>3934.8</v>
      </c>
      <c r="O4527">
        <v>2923.93</v>
      </c>
      <c r="P4527">
        <v>720.59</v>
      </c>
      <c r="Q4527">
        <v>450.95</v>
      </c>
      <c r="R4527">
        <v>2493.29</v>
      </c>
      <c r="S4527">
        <v>764.47</v>
      </c>
      <c r="T4527">
        <v>36644.629999999997</v>
      </c>
      <c r="U4527">
        <v>17123.919999999998</v>
      </c>
      <c r="V4527">
        <v>5835.88</v>
      </c>
      <c r="W4527">
        <v>5347.51</v>
      </c>
      <c r="X4527">
        <v>46659.96</v>
      </c>
      <c r="Y4527">
        <v>34606.089999999997</v>
      </c>
    </row>
    <row r="4528" spans="1:25" x14ac:dyDescent="0.25">
      <c r="A4528" t="s">
        <v>4584</v>
      </c>
      <c r="B4528" s="1">
        <v>46170</v>
      </c>
      <c r="C4528">
        <v>2026</v>
      </c>
      <c r="D4528">
        <v>5</v>
      </c>
      <c r="E4528" t="s">
        <v>468</v>
      </c>
      <c r="F4528" t="s">
        <v>358</v>
      </c>
      <c r="G4528" t="s">
        <v>35</v>
      </c>
      <c r="H4528" t="s">
        <v>36</v>
      </c>
      <c r="I4528" t="s">
        <v>65</v>
      </c>
      <c r="J4528">
        <v>30</v>
      </c>
      <c r="K4528">
        <v>1739.85</v>
      </c>
      <c r="L4528">
        <v>52195.55</v>
      </c>
      <c r="M4528">
        <v>31364.67</v>
      </c>
      <c r="N4528">
        <v>5928.77</v>
      </c>
      <c r="O4528">
        <v>1721.81</v>
      </c>
      <c r="P4528">
        <v>2114.9299999999998</v>
      </c>
      <c r="Q4528">
        <v>483.56</v>
      </c>
      <c r="R4528">
        <v>3140.13</v>
      </c>
      <c r="S4528">
        <v>477.47</v>
      </c>
      <c r="T4528">
        <v>45231.34</v>
      </c>
      <c r="U4528">
        <v>20830.88</v>
      </c>
      <c r="V4528">
        <v>6964.2</v>
      </c>
      <c r="W4528">
        <v>6363.45</v>
      </c>
      <c r="X4528">
        <v>52667.28</v>
      </c>
      <c r="Y4528">
        <v>44270.400000000001</v>
      </c>
    </row>
    <row r="4529" spans="1:25" x14ac:dyDescent="0.25">
      <c r="A4529" t="s">
        <v>4585</v>
      </c>
      <c r="B4529" s="1">
        <v>46170</v>
      </c>
      <c r="C4529">
        <v>2026</v>
      </c>
      <c r="D4529">
        <v>5</v>
      </c>
      <c r="E4529" t="s">
        <v>468</v>
      </c>
      <c r="F4529" t="s">
        <v>358</v>
      </c>
      <c r="G4529" t="s">
        <v>35</v>
      </c>
      <c r="H4529" t="s">
        <v>32</v>
      </c>
      <c r="I4529" t="s">
        <v>30</v>
      </c>
      <c r="J4529">
        <v>47</v>
      </c>
      <c r="K4529">
        <v>1523.89</v>
      </c>
      <c r="L4529">
        <v>71623</v>
      </c>
      <c r="M4529">
        <v>43600.67</v>
      </c>
      <c r="N4529">
        <v>8964.66</v>
      </c>
      <c r="O4529">
        <v>3482.39</v>
      </c>
      <c r="P4529">
        <v>1767.74</v>
      </c>
      <c r="Q4529">
        <v>618.80999999999995</v>
      </c>
      <c r="R4529">
        <v>2168.71</v>
      </c>
      <c r="S4529">
        <v>1559.76</v>
      </c>
      <c r="T4529">
        <v>62162.75</v>
      </c>
      <c r="U4529">
        <v>28022.33</v>
      </c>
      <c r="V4529">
        <v>9460.26</v>
      </c>
      <c r="W4529">
        <v>8637.94</v>
      </c>
      <c r="X4529">
        <v>77993.77</v>
      </c>
      <c r="Y4529">
        <v>59632.56</v>
      </c>
    </row>
    <row r="4530" spans="1:25" x14ac:dyDescent="0.25">
      <c r="A4530" t="s">
        <v>4586</v>
      </c>
      <c r="B4530" s="1">
        <v>46170</v>
      </c>
      <c r="C4530">
        <v>2026</v>
      </c>
      <c r="D4530">
        <v>5</v>
      </c>
      <c r="E4530" t="s">
        <v>468</v>
      </c>
      <c r="F4530" t="s">
        <v>358</v>
      </c>
      <c r="G4530" t="s">
        <v>28</v>
      </c>
      <c r="H4530" t="s">
        <v>53</v>
      </c>
      <c r="I4530" t="s">
        <v>30</v>
      </c>
      <c r="J4530">
        <v>94</v>
      </c>
      <c r="K4530">
        <v>1121.54</v>
      </c>
      <c r="L4530">
        <v>105424.81</v>
      </c>
      <c r="M4530">
        <v>50946.86</v>
      </c>
      <c r="N4530">
        <v>9951.61</v>
      </c>
      <c r="O4530">
        <v>5270.43</v>
      </c>
      <c r="P4530">
        <v>3831.93</v>
      </c>
      <c r="Q4530">
        <v>1607.96</v>
      </c>
      <c r="R4530">
        <v>3832.58</v>
      </c>
      <c r="S4530">
        <v>2023.95</v>
      </c>
      <c r="T4530">
        <v>77465.320000000007</v>
      </c>
      <c r="U4530">
        <v>54477.95</v>
      </c>
      <c r="V4530">
        <v>27959.49</v>
      </c>
      <c r="W4530">
        <v>28105.48</v>
      </c>
      <c r="X4530">
        <v>100906.25</v>
      </c>
      <c r="Y4530">
        <v>83519.81</v>
      </c>
    </row>
    <row r="4531" spans="1:25" x14ac:dyDescent="0.25">
      <c r="A4531" t="s">
        <v>4587</v>
      </c>
      <c r="B4531" s="1">
        <v>46171</v>
      </c>
      <c r="C4531">
        <v>2026</v>
      </c>
      <c r="D4531">
        <v>5</v>
      </c>
      <c r="E4531" t="s">
        <v>468</v>
      </c>
      <c r="F4531" t="s">
        <v>358</v>
      </c>
      <c r="G4531" t="s">
        <v>28</v>
      </c>
      <c r="H4531" t="s">
        <v>32</v>
      </c>
      <c r="I4531" t="s">
        <v>56</v>
      </c>
      <c r="J4531">
        <v>56</v>
      </c>
      <c r="K4531">
        <v>868.89</v>
      </c>
      <c r="L4531">
        <v>48657.86</v>
      </c>
      <c r="M4531">
        <v>24274.71</v>
      </c>
      <c r="N4531">
        <v>5577.68</v>
      </c>
      <c r="O4531">
        <v>2037.03</v>
      </c>
      <c r="P4531">
        <v>1686.07</v>
      </c>
      <c r="Q4531">
        <v>565.6</v>
      </c>
      <c r="R4531">
        <v>2008.11</v>
      </c>
      <c r="S4531">
        <v>405.75</v>
      </c>
      <c r="T4531">
        <v>36554.94</v>
      </c>
      <c r="U4531">
        <v>24383.15</v>
      </c>
      <c r="V4531">
        <v>12102.92</v>
      </c>
      <c r="W4531">
        <v>11985.69</v>
      </c>
      <c r="X4531">
        <v>46727.3</v>
      </c>
      <c r="Y4531">
        <v>38366.47</v>
      </c>
    </row>
    <row r="4532" spans="1:25" x14ac:dyDescent="0.25">
      <c r="A4532" t="s">
        <v>4588</v>
      </c>
      <c r="B4532" s="1">
        <v>46171</v>
      </c>
      <c r="C4532">
        <v>2026</v>
      </c>
      <c r="D4532">
        <v>5</v>
      </c>
      <c r="E4532" t="s">
        <v>468</v>
      </c>
      <c r="F4532" t="s">
        <v>358</v>
      </c>
      <c r="G4532" t="s">
        <v>55</v>
      </c>
      <c r="H4532" t="s">
        <v>58</v>
      </c>
      <c r="I4532" t="s">
        <v>33</v>
      </c>
      <c r="J4532">
        <v>76</v>
      </c>
      <c r="K4532">
        <v>956.62</v>
      </c>
      <c r="L4532">
        <v>72703.289999999994</v>
      </c>
      <c r="M4532">
        <v>39130.92</v>
      </c>
      <c r="N4532">
        <v>5983.85</v>
      </c>
      <c r="O4532">
        <v>4119.74</v>
      </c>
      <c r="P4532">
        <v>1635.29</v>
      </c>
      <c r="Q4532">
        <v>448.89</v>
      </c>
      <c r="R4532">
        <v>3592.93</v>
      </c>
      <c r="S4532">
        <v>981.53</v>
      </c>
      <c r="T4532">
        <v>55893.15</v>
      </c>
      <c r="U4532">
        <v>33572.36</v>
      </c>
      <c r="V4532">
        <v>16810.14</v>
      </c>
      <c r="W4532">
        <v>16101.27</v>
      </c>
      <c r="X4532">
        <v>73267.56</v>
      </c>
      <c r="Y4532">
        <v>58620.5</v>
      </c>
    </row>
    <row r="4533" spans="1:25" x14ac:dyDescent="0.25">
      <c r="A4533" t="s">
        <v>4589</v>
      </c>
      <c r="B4533" s="1">
        <v>46171</v>
      </c>
      <c r="C4533">
        <v>2026</v>
      </c>
      <c r="D4533">
        <v>5</v>
      </c>
      <c r="E4533" t="s">
        <v>468</v>
      </c>
      <c r="F4533" t="s">
        <v>358</v>
      </c>
      <c r="G4533" t="s">
        <v>28</v>
      </c>
      <c r="H4533" t="s">
        <v>53</v>
      </c>
      <c r="I4533" t="s">
        <v>50</v>
      </c>
      <c r="J4533">
        <v>29</v>
      </c>
      <c r="K4533">
        <v>1324.25</v>
      </c>
      <c r="L4533">
        <v>38403.370000000003</v>
      </c>
      <c r="M4533">
        <v>24873.84</v>
      </c>
      <c r="N4533">
        <v>2936.6</v>
      </c>
      <c r="O4533">
        <v>1478.2</v>
      </c>
      <c r="P4533">
        <v>596.59</v>
      </c>
      <c r="Q4533">
        <v>512.51</v>
      </c>
      <c r="R4533">
        <v>1119.0999999999999</v>
      </c>
      <c r="S4533">
        <v>829.15</v>
      </c>
      <c r="T4533">
        <v>32345.99</v>
      </c>
      <c r="U4533">
        <v>13529.53</v>
      </c>
      <c r="V4533">
        <v>6057.37</v>
      </c>
      <c r="W4533">
        <v>5390.6</v>
      </c>
      <c r="X4533">
        <v>39703.68</v>
      </c>
      <c r="Y4533">
        <v>32273.85</v>
      </c>
    </row>
    <row r="4534" spans="1:25" x14ac:dyDescent="0.25">
      <c r="A4534" t="s">
        <v>4590</v>
      </c>
      <c r="B4534" s="1">
        <v>46172</v>
      </c>
      <c r="C4534">
        <v>2026</v>
      </c>
      <c r="D4534">
        <v>5</v>
      </c>
      <c r="E4534" t="s">
        <v>468</v>
      </c>
      <c r="F4534" t="s">
        <v>358</v>
      </c>
      <c r="G4534" t="s">
        <v>28</v>
      </c>
      <c r="H4534" t="s">
        <v>53</v>
      </c>
      <c r="I4534" t="s">
        <v>33</v>
      </c>
      <c r="J4534">
        <v>37</v>
      </c>
      <c r="K4534">
        <v>1697.45</v>
      </c>
      <c r="L4534">
        <v>62805.62</v>
      </c>
      <c r="M4534">
        <v>42675.49</v>
      </c>
      <c r="N4534">
        <v>5463.43</v>
      </c>
      <c r="O4534">
        <v>4138.72</v>
      </c>
      <c r="P4534">
        <v>1494.13</v>
      </c>
      <c r="Q4534">
        <v>538.32000000000005</v>
      </c>
      <c r="R4534">
        <v>2614.14</v>
      </c>
      <c r="S4534">
        <v>522.24</v>
      </c>
      <c r="T4534">
        <v>57446.46</v>
      </c>
      <c r="U4534">
        <v>20130.12</v>
      </c>
      <c r="V4534">
        <v>5359.15</v>
      </c>
      <c r="W4534">
        <v>4950.74</v>
      </c>
      <c r="X4534">
        <v>68815.45</v>
      </c>
      <c r="Y4534">
        <v>58443.6</v>
      </c>
    </row>
    <row r="4535" spans="1:25" x14ac:dyDescent="0.25">
      <c r="A4535" t="s">
        <v>4591</v>
      </c>
      <c r="B4535" s="1">
        <v>46172</v>
      </c>
      <c r="C4535">
        <v>2026</v>
      </c>
      <c r="D4535">
        <v>5</v>
      </c>
      <c r="E4535" t="s">
        <v>468</v>
      </c>
      <c r="F4535" t="s">
        <v>358</v>
      </c>
      <c r="G4535" t="s">
        <v>55</v>
      </c>
      <c r="H4535" t="s">
        <v>32</v>
      </c>
      <c r="I4535" t="s">
        <v>39</v>
      </c>
      <c r="J4535">
        <v>41</v>
      </c>
      <c r="K4535">
        <v>1377.82</v>
      </c>
      <c r="L4535">
        <v>56490.62</v>
      </c>
      <c r="M4535">
        <v>31301.78</v>
      </c>
      <c r="N4535">
        <v>5762.06</v>
      </c>
      <c r="O4535">
        <v>2856.38</v>
      </c>
      <c r="P4535">
        <v>1264.3800000000001</v>
      </c>
      <c r="Q4535">
        <v>576.28</v>
      </c>
      <c r="R4535">
        <v>3062.07</v>
      </c>
      <c r="S4535">
        <v>1128.8900000000001</v>
      </c>
      <c r="T4535">
        <v>45951.85</v>
      </c>
      <c r="U4535">
        <v>25188.83</v>
      </c>
      <c r="V4535">
        <v>10538.77</v>
      </c>
      <c r="W4535">
        <v>9542.09</v>
      </c>
      <c r="X4535">
        <v>55525.79</v>
      </c>
      <c r="Y4535">
        <v>47735.34</v>
      </c>
    </row>
    <row r="4536" spans="1:25" x14ac:dyDescent="0.25">
      <c r="A4536" t="s">
        <v>4592</v>
      </c>
      <c r="B4536" s="1">
        <v>46172</v>
      </c>
      <c r="C4536">
        <v>2026</v>
      </c>
      <c r="D4536">
        <v>5</v>
      </c>
      <c r="E4536" t="s">
        <v>468</v>
      </c>
      <c r="F4536" t="s">
        <v>358</v>
      </c>
      <c r="G4536" t="s">
        <v>44</v>
      </c>
      <c r="H4536" t="s">
        <v>53</v>
      </c>
      <c r="I4536" t="s">
        <v>65</v>
      </c>
      <c r="J4536">
        <v>52</v>
      </c>
      <c r="K4536">
        <v>1036.8900000000001</v>
      </c>
      <c r="L4536">
        <v>53918.04</v>
      </c>
      <c r="M4536">
        <v>32086.31</v>
      </c>
      <c r="N4536">
        <v>6920.63</v>
      </c>
      <c r="O4536">
        <v>3744.04</v>
      </c>
      <c r="P4536">
        <v>1679.08</v>
      </c>
      <c r="Q4536">
        <v>769.26</v>
      </c>
      <c r="R4536">
        <v>1774.13</v>
      </c>
      <c r="S4536">
        <v>1074.75</v>
      </c>
      <c r="T4536">
        <v>48048.19</v>
      </c>
      <c r="U4536">
        <v>21831.73</v>
      </c>
      <c r="V4536">
        <v>5869.85</v>
      </c>
      <c r="W4536">
        <v>5897.74</v>
      </c>
      <c r="X4536">
        <v>49917.56</v>
      </c>
      <c r="Y4536">
        <v>48267.54</v>
      </c>
    </row>
    <row r="4537" spans="1:25" x14ac:dyDescent="0.25">
      <c r="A4537" t="s">
        <v>4593</v>
      </c>
      <c r="B4537" s="1">
        <v>46172</v>
      </c>
      <c r="C4537">
        <v>2026</v>
      </c>
      <c r="D4537">
        <v>5</v>
      </c>
      <c r="E4537" t="s">
        <v>468</v>
      </c>
      <c r="F4537" t="s">
        <v>358</v>
      </c>
      <c r="G4537" t="s">
        <v>28</v>
      </c>
      <c r="H4537" t="s">
        <v>36</v>
      </c>
      <c r="I4537" t="s">
        <v>45</v>
      </c>
      <c r="J4537">
        <v>36</v>
      </c>
      <c r="K4537">
        <v>1212.82</v>
      </c>
      <c r="L4537">
        <v>43661.51</v>
      </c>
      <c r="M4537">
        <v>27156.42</v>
      </c>
      <c r="N4537">
        <v>3903.51</v>
      </c>
      <c r="O4537">
        <v>2451.13</v>
      </c>
      <c r="P4537">
        <v>1510.45</v>
      </c>
      <c r="Q4537">
        <v>342.29</v>
      </c>
      <c r="R4537">
        <v>2313.96</v>
      </c>
      <c r="S4537">
        <v>655.33000000000004</v>
      </c>
      <c r="T4537">
        <v>38333.1</v>
      </c>
      <c r="U4537">
        <v>16505.09</v>
      </c>
      <c r="V4537">
        <v>5328.41</v>
      </c>
      <c r="W4537">
        <v>4697.2</v>
      </c>
      <c r="X4537">
        <v>40505.51</v>
      </c>
      <c r="Y4537">
        <v>37924.400000000001</v>
      </c>
    </row>
    <row r="4538" spans="1:25" x14ac:dyDescent="0.25">
      <c r="A4538" t="s">
        <v>4594</v>
      </c>
      <c r="B4538" s="1">
        <v>46172</v>
      </c>
      <c r="C4538">
        <v>2026</v>
      </c>
      <c r="D4538">
        <v>5</v>
      </c>
      <c r="E4538" t="s">
        <v>468</v>
      </c>
      <c r="F4538" t="s">
        <v>358</v>
      </c>
      <c r="G4538" t="s">
        <v>28</v>
      </c>
      <c r="H4538" t="s">
        <v>36</v>
      </c>
      <c r="I4538" t="s">
        <v>56</v>
      </c>
      <c r="J4538">
        <v>39</v>
      </c>
      <c r="K4538">
        <v>1071.51</v>
      </c>
      <c r="L4538">
        <v>41788.879999999997</v>
      </c>
      <c r="M4538">
        <v>25592.01</v>
      </c>
      <c r="N4538">
        <v>3359.52</v>
      </c>
      <c r="O4538">
        <v>2760.47</v>
      </c>
      <c r="P4538">
        <v>1014.47</v>
      </c>
      <c r="Q4538">
        <v>339.61</v>
      </c>
      <c r="R4538">
        <v>1782.97</v>
      </c>
      <c r="S4538">
        <v>886.74</v>
      </c>
      <c r="T4538">
        <v>35735.800000000003</v>
      </c>
      <c r="U4538">
        <v>16196.87</v>
      </c>
      <c r="V4538">
        <v>6053.08</v>
      </c>
      <c r="W4538">
        <v>5635.19</v>
      </c>
      <c r="X4538">
        <v>39926.06</v>
      </c>
      <c r="Y4538">
        <v>35888.33</v>
      </c>
    </row>
    <row r="4539" spans="1:25" x14ac:dyDescent="0.25">
      <c r="A4539" t="s">
        <v>4595</v>
      </c>
      <c r="B4539" s="1">
        <v>46173</v>
      </c>
      <c r="C4539">
        <v>2026</v>
      </c>
      <c r="D4539">
        <v>5</v>
      </c>
      <c r="E4539" t="s">
        <v>468</v>
      </c>
      <c r="F4539" t="s">
        <v>358</v>
      </c>
      <c r="G4539" t="s">
        <v>55</v>
      </c>
      <c r="H4539" t="s">
        <v>32</v>
      </c>
      <c r="I4539" t="s">
        <v>45</v>
      </c>
      <c r="J4539">
        <v>72</v>
      </c>
      <c r="K4539">
        <v>1001.46</v>
      </c>
      <c r="L4539">
        <v>72105.14</v>
      </c>
      <c r="M4539">
        <v>46345.41</v>
      </c>
      <c r="N4539">
        <v>9168.58</v>
      </c>
      <c r="O4539">
        <v>1865.64</v>
      </c>
      <c r="P4539">
        <v>1253.98</v>
      </c>
      <c r="Q4539">
        <v>491.87</v>
      </c>
      <c r="R4539">
        <v>2434.02</v>
      </c>
      <c r="S4539">
        <v>965.51</v>
      </c>
      <c r="T4539">
        <v>62525.01</v>
      </c>
      <c r="U4539">
        <v>25759.72</v>
      </c>
      <c r="V4539">
        <v>9580.1299999999992</v>
      </c>
      <c r="W4539">
        <v>8501.99</v>
      </c>
      <c r="X4539">
        <v>71622.179999999993</v>
      </c>
      <c r="Y4539">
        <v>65942.92</v>
      </c>
    </row>
    <row r="4540" spans="1:25" x14ac:dyDescent="0.25">
      <c r="A4540" t="s">
        <v>4596</v>
      </c>
      <c r="B4540" s="1">
        <v>46173</v>
      </c>
      <c r="C4540">
        <v>2026</v>
      </c>
      <c r="D4540">
        <v>5</v>
      </c>
      <c r="E4540" t="s">
        <v>468</v>
      </c>
      <c r="F4540" t="s">
        <v>358</v>
      </c>
      <c r="G4540" t="s">
        <v>28</v>
      </c>
      <c r="H4540" t="s">
        <v>32</v>
      </c>
      <c r="I4540" t="s">
        <v>65</v>
      </c>
      <c r="J4540">
        <v>103</v>
      </c>
      <c r="K4540">
        <v>813.92</v>
      </c>
      <c r="L4540">
        <v>83833.56</v>
      </c>
      <c r="M4540">
        <v>49988.38</v>
      </c>
      <c r="N4540">
        <v>7377.12</v>
      </c>
      <c r="O4540">
        <v>4977.57</v>
      </c>
      <c r="P4540">
        <v>3251.2</v>
      </c>
      <c r="Q4540">
        <v>1159.93</v>
      </c>
      <c r="R4540">
        <v>4731.8900000000003</v>
      </c>
      <c r="S4540">
        <v>1044.47</v>
      </c>
      <c r="T4540">
        <v>72530.570000000007</v>
      </c>
      <c r="U4540">
        <v>33845.18</v>
      </c>
      <c r="V4540">
        <v>11303</v>
      </c>
      <c r="W4540">
        <v>11397.74</v>
      </c>
      <c r="X4540">
        <v>90467.15</v>
      </c>
      <c r="Y4540">
        <v>71253.41</v>
      </c>
    </row>
    <row r="4541" spans="1:25" x14ac:dyDescent="0.25">
      <c r="A4541" t="s">
        <v>4597</v>
      </c>
      <c r="B4541" s="1">
        <v>46173</v>
      </c>
      <c r="C4541">
        <v>2026</v>
      </c>
      <c r="D4541">
        <v>5</v>
      </c>
      <c r="E4541" t="s">
        <v>468</v>
      </c>
      <c r="F4541" t="s">
        <v>358</v>
      </c>
      <c r="G4541" t="s">
        <v>35</v>
      </c>
      <c r="H4541" t="s">
        <v>29</v>
      </c>
      <c r="I4541" t="s">
        <v>30</v>
      </c>
      <c r="J4541">
        <v>99</v>
      </c>
      <c r="K4541">
        <v>1041.21</v>
      </c>
      <c r="L4541">
        <v>103080</v>
      </c>
      <c r="M4541">
        <v>68881.78</v>
      </c>
      <c r="N4541">
        <v>11366.6</v>
      </c>
      <c r="O4541">
        <v>4398.58</v>
      </c>
      <c r="P4541">
        <v>1769.62</v>
      </c>
      <c r="Q4541">
        <v>659.27</v>
      </c>
      <c r="R4541">
        <v>3739.68</v>
      </c>
      <c r="S4541">
        <v>897.62</v>
      </c>
      <c r="T4541">
        <v>91713.15</v>
      </c>
      <c r="U4541">
        <v>34198.22</v>
      </c>
      <c r="V4541">
        <v>11366.85</v>
      </c>
      <c r="W4541">
        <v>11554.01</v>
      </c>
      <c r="X4541">
        <v>113143.26</v>
      </c>
      <c r="Y4541">
        <v>100105.63</v>
      </c>
    </row>
    <row r="4542" spans="1:25" x14ac:dyDescent="0.25">
      <c r="A4542" t="s">
        <v>4598</v>
      </c>
      <c r="B4542" s="1">
        <v>46173</v>
      </c>
      <c r="C4542">
        <v>2026</v>
      </c>
      <c r="D4542">
        <v>5</v>
      </c>
      <c r="E4542" t="s">
        <v>468</v>
      </c>
      <c r="F4542" t="s">
        <v>358</v>
      </c>
      <c r="G4542" t="s">
        <v>28</v>
      </c>
      <c r="H4542" t="s">
        <v>36</v>
      </c>
      <c r="I4542" t="s">
        <v>33</v>
      </c>
      <c r="J4542">
        <v>102</v>
      </c>
      <c r="K4542">
        <v>862.88</v>
      </c>
      <c r="L4542">
        <v>88013.67</v>
      </c>
      <c r="M4542">
        <v>46347.14</v>
      </c>
      <c r="N4542">
        <v>10661.15</v>
      </c>
      <c r="O4542">
        <v>5137.03</v>
      </c>
      <c r="P4542">
        <v>3044.97</v>
      </c>
      <c r="Q4542">
        <v>1001.99</v>
      </c>
      <c r="R4542">
        <v>5007.0600000000004</v>
      </c>
      <c r="S4542">
        <v>1383.79</v>
      </c>
      <c r="T4542">
        <v>72583.14</v>
      </c>
      <c r="U4542">
        <v>41666.53</v>
      </c>
      <c r="V4542">
        <v>15430.53</v>
      </c>
      <c r="W4542">
        <v>14994.7</v>
      </c>
      <c r="X4542">
        <v>82088.710000000006</v>
      </c>
      <c r="Y4542">
        <v>70026.78</v>
      </c>
    </row>
    <row r="4543" spans="1:25" x14ac:dyDescent="0.25">
      <c r="A4543" t="s">
        <v>4599</v>
      </c>
      <c r="B4543" s="1">
        <v>46173</v>
      </c>
      <c r="C4543">
        <v>2026</v>
      </c>
      <c r="D4543">
        <v>5</v>
      </c>
      <c r="E4543" t="s">
        <v>468</v>
      </c>
      <c r="F4543" t="s">
        <v>358</v>
      </c>
      <c r="G4543" t="s">
        <v>55</v>
      </c>
      <c r="H4543" t="s">
        <v>32</v>
      </c>
      <c r="I4543" t="s">
        <v>65</v>
      </c>
      <c r="J4543">
        <v>62</v>
      </c>
      <c r="K4543">
        <v>960.88</v>
      </c>
      <c r="L4543">
        <v>59574.400000000001</v>
      </c>
      <c r="M4543">
        <v>39354.6</v>
      </c>
      <c r="N4543">
        <v>4733.22</v>
      </c>
      <c r="O4543">
        <v>3661.97</v>
      </c>
      <c r="P4543">
        <v>1910.65</v>
      </c>
      <c r="Q4543">
        <v>993.7</v>
      </c>
      <c r="R4543">
        <v>2923.49</v>
      </c>
      <c r="S4543">
        <v>604.79999999999995</v>
      </c>
      <c r="T4543">
        <v>54182.43</v>
      </c>
      <c r="U4543">
        <v>20219.79</v>
      </c>
      <c r="V4543">
        <v>5391.96</v>
      </c>
      <c r="W4543">
        <v>4752.6899999999996</v>
      </c>
      <c r="X4543">
        <v>56536.08</v>
      </c>
      <c r="Y4543">
        <v>57473.4</v>
      </c>
    </row>
    <row r="4544" spans="1:25" x14ac:dyDescent="0.25">
      <c r="A4544" t="s">
        <v>4600</v>
      </c>
      <c r="B4544" s="1">
        <v>46173</v>
      </c>
      <c r="C4544">
        <v>2026</v>
      </c>
      <c r="D4544">
        <v>5</v>
      </c>
      <c r="E4544" t="s">
        <v>468</v>
      </c>
      <c r="F4544" t="s">
        <v>358</v>
      </c>
      <c r="G4544" t="s">
        <v>35</v>
      </c>
      <c r="H4544" t="s">
        <v>53</v>
      </c>
      <c r="I4544" t="s">
        <v>39</v>
      </c>
      <c r="J4544">
        <v>22</v>
      </c>
      <c r="K4544">
        <v>1694.81</v>
      </c>
      <c r="L4544">
        <v>37285.85</v>
      </c>
      <c r="M4544">
        <v>18958.900000000001</v>
      </c>
      <c r="N4544">
        <v>3899.32</v>
      </c>
      <c r="O4544">
        <v>1385.55</v>
      </c>
      <c r="P4544">
        <v>929.23</v>
      </c>
      <c r="Q4544">
        <v>668.4</v>
      </c>
      <c r="R4544">
        <v>1224.8399999999999</v>
      </c>
      <c r="S4544">
        <v>742.83</v>
      </c>
      <c r="T4544">
        <v>27809.07</v>
      </c>
      <c r="U4544">
        <v>18326.95</v>
      </c>
      <c r="V4544">
        <v>9476.77</v>
      </c>
      <c r="W4544">
        <v>9630.4500000000007</v>
      </c>
      <c r="X4544">
        <v>35886.82</v>
      </c>
      <c r="Y4544">
        <v>29738.5</v>
      </c>
    </row>
    <row r="4545" spans="1:25" x14ac:dyDescent="0.25">
      <c r="A4545" t="s">
        <v>4601</v>
      </c>
      <c r="B4545" s="1">
        <v>46173</v>
      </c>
      <c r="C4545">
        <v>2026</v>
      </c>
      <c r="D4545">
        <v>5</v>
      </c>
      <c r="E4545" t="s">
        <v>468</v>
      </c>
      <c r="F4545" t="s">
        <v>358</v>
      </c>
      <c r="G4545" t="s">
        <v>28</v>
      </c>
      <c r="H4545" t="s">
        <v>36</v>
      </c>
      <c r="I4545" t="s">
        <v>30</v>
      </c>
      <c r="J4545">
        <v>66</v>
      </c>
      <c r="K4545">
        <v>1190.6500000000001</v>
      </c>
      <c r="L4545">
        <v>78582.62</v>
      </c>
      <c r="M4545">
        <v>41545.25</v>
      </c>
      <c r="N4545">
        <v>7249.79</v>
      </c>
      <c r="O4545">
        <v>2236.0700000000002</v>
      </c>
      <c r="P4545">
        <v>2158.2399999999998</v>
      </c>
      <c r="Q4545">
        <v>913.88</v>
      </c>
      <c r="R4545">
        <v>3839.97</v>
      </c>
      <c r="S4545">
        <v>1101.51</v>
      </c>
      <c r="T4545">
        <v>59044.72</v>
      </c>
      <c r="U4545">
        <v>37037.360000000001</v>
      </c>
      <c r="V4545">
        <v>19537.900000000001</v>
      </c>
      <c r="W4545">
        <v>18348.5</v>
      </c>
      <c r="X4545">
        <v>79611.95</v>
      </c>
      <c r="Y4545">
        <v>57268.85</v>
      </c>
    </row>
    <row r="4546" spans="1:25" x14ac:dyDescent="0.25">
      <c r="A4546" t="s">
        <v>4602</v>
      </c>
      <c r="B4546" s="1">
        <v>46173</v>
      </c>
      <c r="C4546">
        <v>2026</v>
      </c>
      <c r="D4546">
        <v>5</v>
      </c>
      <c r="E4546" t="s">
        <v>468</v>
      </c>
      <c r="F4546" t="s">
        <v>358</v>
      </c>
      <c r="G4546" t="s">
        <v>44</v>
      </c>
      <c r="H4546" t="s">
        <v>36</v>
      </c>
      <c r="I4546" t="s">
        <v>39</v>
      </c>
      <c r="J4546">
        <v>24</v>
      </c>
      <c r="K4546">
        <v>1718.45</v>
      </c>
      <c r="L4546">
        <v>41242.75</v>
      </c>
      <c r="M4546">
        <v>20287.86</v>
      </c>
      <c r="N4546">
        <v>3956.88</v>
      </c>
      <c r="O4546">
        <v>2416.88</v>
      </c>
      <c r="P4546">
        <v>999.33</v>
      </c>
      <c r="Q4546">
        <v>738.75</v>
      </c>
      <c r="R4546">
        <v>2139.2199999999998</v>
      </c>
      <c r="S4546">
        <v>434.41</v>
      </c>
      <c r="T4546">
        <v>30973.32</v>
      </c>
      <c r="U4546">
        <v>20954.89</v>
      </c>
      <c r="V4546">
        <v>10269.43</v>
      </c>
      <c r="W4546">
        <v>10269.450000000001</v>
      </c>
      <c r="X4546">
        <v>42493.43</v>
      </c>
      <c r="Y4546">
        <v>30070.63</v>
      </c>
    </row>
    <row r="4547" spans="1:25" x14ac:dyDescent="0.25">
      <c r="A4547" t="s">
        <v>4603</v>
      </c>
      <c r="B4547" s="1">
        <v>46173</v>
      </c>
      <c r="C4547">
        <v>2026</v>
      </c>
      <c r="D4547">
        <v>5</v>
      </c>
      <c r="E4547" t="s">
        <v>468</v>
      </c>
      <c r="F4547" t="s">
        <v>358</v>
      </c>
      <c r="G4547" t="s">
        <v>28</v>
      </c>
      <c r="H4547" t="s">
        <v>32</v>
      </c>
      <c r="I4547" t="s">
        <v>30</v>
      </c>
      <c r="J4547">
        <v>76</v>
      </c>
      <c r="K4547">
        <v>1763.73</v>
      </c>
      <c r="L4547">
        <v>134043.59</v>
      </c>
      <c r="M4547">
        <v>86693.72</v>
      </c>
      <c r="N4547">
        <v>16579.71</v>
      </c>
      <c r="O4547">
        <v>9522.7199999999993</v>
      </c>
      <c r="P4547">
        <v>3561.68</v>
      </c>
      <c r="Q4547">
        <v>2080.98</v>
      </c>
      <c r="R4547">
        <v>4311.9399999999996</v>
      </c>
      <c r="S4547">
        <v>2454.04</v>
      </c>
      <c r="T4547">
        <v>125204.79</v>
      </c>
      <c r="U4547">
        <v>47349.87</v>
      </c>
      <c r="V4547">
        <v>8838.7999999999993</v>
      </c>
      <c r="W4547">
        <v>8205.5499999999993</v>
      </c>
      <c r="X4547">
        <v>137256.51999999999</v>
      </c>
      <c r="Y4547">
        <v>136203.72</v>
      </c>
    </row>
    <row r="4548" spans="1:25" x14ac:dyDescent="0.25">
      <c r="A4548" t="s">
        <v>4604</v>
      </c>
      <c r="B4548" s="1">
        <v>46173</v>
      </c>
      <c r="C4548">
        <v>2026</v>
      </c>
      <c r="D4548">
        <v>5</v>
      </c>
      <c r="E4548" t="s">
        <v>468</v>
      </c>
      <c r="F4548" t="s">
        <v>358</v>
      </c>
      <c r="G4548" t="s">
        <v>35</v>
      </c>
      <c r="H4548" t="s">
        <v>53</v>
      </c>
      <c r="I4548" t="s">
        <v>37</v>
      </c>
      <c r="J4548">
        <v>41</v>
      </c>
      <c r="K4548">
        <v>1180.72</v>
      </c>
      <c r="L4548">
        <v>48409.63</v>
      </c>
      <c r="M4548">
        <v>32311.119999999999</v>
      </c>
      <c r="N4548">
        <v>5988.31</v>
      </c>
      <c r="O4548">
        <v>3011.05</v>
      </c>
      <c r="P4548">
        <v>2079.88</v>
      </c>
      <c r="Q4548">
        <v>537.38</v>
      </c>
      <c r="R4548">
        <v>3142.82</v>
      </c>
      <c r="S4548">
        <v>1128.21</v>
      </c>
      <c r="T4548">
        <v>48198.75</v>
      </c>
      <c r="U4548">
        <v>16098.51</v>
      </c>
      <c r="V4548">
        <v>210.88</v>
      </c>
      <c r="W4548">
        <v>190.42</v>
      </c>
      <c r="X4548">
        <v>52259.51</v>
      </c>
      <c r="Y4548">
        <v>47631.65</v>
      </c>
    </row>
    <row r="4549" spans="1:25" x14ac:dyDescent="0.25">
      <c r="A4549" t="s">
        <v>4605</v>
      </c>
      <c r="B4549" s="1">
        <v>46174</v>
      </c>
      <c r="C4549">
        <v>2026</v>
      </c>
      <c r="D4549">
        <v>6</v>
      </c>
      <c r="E4549" t="s">
        <v>585</v>
      </c>
      <c r="F4549" t="s">
        <v>358</v>
      </c>
      <c r="G4549" t="s">
        <v>35</v>
      </c>
      <c r="H4549" t="s">
        <v>32</v>
      </c>
      <c r="I4549" t="s">
        <v>50</v>
      </c>
      <c r="J4549">
        <v>34</v>
      </c>
      <c r="K4549">
        <v>1739.48</v>
      </c>
      <c r="L4549">
        <v>59142.22</v>
      </c>
      <c r="M4549">
        <v>37941.03</v>
      </c>
      <c r="N4549">
        <v>6174.04</v>
      </c>
      <c r="O4549">
        <v>2013.83</v>
      </c>
      <c r="P4549">
        <v>1086.76</v>
      </c>
      <c r="Q4549">
        <v>961.66</v>
      </c>
      <c r="R4549">
        <v>1775.86</v>
      </c>
      <c r="S4549">
        <v>894.06</v>
      </c>
      <c r="T4549">
        <v>50847.24</v>
      </c>
      <c r="U4549">
        <v>21201.19</v>
      </c>
      <c r="V4549">
        <v>8294.99</v>
      </c>
      <c r="W4549">
        <v>7945.16</v>
      </c>
      <c r="X4549">
        <v>62855.14</v>
      </c>
      <c r="Y4549">
        <v>49105.73</v>
      </c>
    </row>
    <row r="4550" spans="1:25" x14ac:dyDescent="0.25">
      <c r="A4550" t="s">
        <v>4606</v>
      </c>
      <c r="B4550" s="1">
        <v>46174</v>
      </c>
      <c r="C4550">
        <v>2026</v>
      </c>
      <c r="D4550">
        <v>6</v>
      </c>
      <c r="E4550" t="s">
        <v>585</v>
      </c>
      <c r="F4550" t="s">
        <v>358</v>
      </c>
      <c r="G4550" t="s">
        <v>55</v>
      </c>
      <c r="H4550" t="s">
        <v>53</v>
      </c>
      <c r="I4550" t="s">
        <v>37</v>
      </c>
      <c r="J4550">
        <v>50</v>
      </c>
      <c r="K4550">
        <v>1676.3</v>
      </c>
      <c r="L4550">
        <v>83814.92</v>
      </c>
      <c r="M4550">
        <v>42715.5</v>
      </c>
      <c r="N4550">
        <v>10367.58</v>
      </c>
      <c r="O4550">
        <v>2349.98</v>
      </c>
      <c r="P4550">
        <v>2355.6</v>
      </c>
      <c r="Q4550">
        <v>1355.17</v>
      </c>
      <c r="R4550">
        <v>3392.58</v>
      </c>
      <c r="S4550">
        <v>2084.36</v>
      </c>
      <c r="T4550">
        <v>64620.78</v>
      </c>
      <c r="U4550">
        <v>41099.410000000003</v>
      </c>
      <c r="V4550">
        <v>19194.13</v>
      </c>
      <c r="W4550">
        <v>17943.060000000001</v>
      </c>
      <c r="X4550">
        <v>80687.61</v>
      </c>
      <c r="Y4550">
        <v>69963.899999999994</v>
      </c>
    </row>
    <row r="4551" spans="1:25" x14ac:dyDescent="0.25">
      <c r="A4551" t="s">
        <v>4607</v>
      </c>
      <c r="B4551" s="1">
        <v>46174</v>
      </c>
      <c r="C4551">
        <v>2026</v>
      </c>
      <c r="D4551">
        <v>6</v>
      </c>
      <c r="E4551" t="s">
        <v>585</v>
      </c>
      <c r="F4551" t="s">
        <v>358</v>
      </c>
      <c r="G4551" t="s">
        <v>28</v>
      </c>
      <c r="H4551" t="s">
        <v>32</v>
      </c>
      <c r="I4551" t="s">
        <v>50</v>
      </c>
      <c r="J4551">
        <v>49</v>
      </c>
      <c r="K4551">
        <v>1520.85</v>
      </c>
      <c r="L4551">
        <v>74521.89</v>
      </c>
      <c r="M4551">
        <v>41665.01</v>
      </c>
      <c r="N4551">
        <v>8154.11</v>
      </c>
      <c r="O4551">
        <v>3805.05</v>
      </c>
      <c r="P4551">
        <v>1387.78</v>
      </c>
      <c r="Q4551">
        <v>742.18</v>
      </c>
      <c r="R4551">
        <v>3356.84</v>
      </c>
      <c r="S4551">
        <v>1626.18</v>
      </c>
      <c r="T4551">
        <v>60737.14</v>
      </c>
      <c r="U4551">
        <v>32856.89</v>
      </c>
      <c r="V4551">
        <v>13784.75</v>
      </c>
      <c r="W4551">
        <v>12629.49</v>
      </c>
      <c r="X4551">
        <v>69833.84</v>
      </c>
      <c r="Y4551">
        <v>57935.45</v>
      </c>
    </row>
    <row r="4552" spans="1:25" x14ac:dyDescent="0.25">
      <c r="A4552" t="s">
        <v>4608</v>
      </c>
      <c r="B4552" s="1">
        <v>46175</v>
      </c>
      <c r="C4552">
        <v>2026</v>
      </c>
      <c r="D4552">
        <v>6</v>
      </c>
      <c r="E4552" t="s">
        <v>585</v>
      </c>
      <c r="F4552" t="s">
        <v>358</v>
      </c>
      <c r="G4552" t="s">
        <v>28</v>
      </c>
      <c r="H4552" t="s">
        <v>53</v>
      </c>
      <c r="I4552" t="s">
        <v>56</v>
      </c>
      <c r="J4552">
        <v>28</v>
      </c>
      <c r="K4552">
        <v>1297.73</v>
      </c>
      <c r="L4552">
        <v>36336.379999999997</v>
      </c>
      <c r="M4552">
        <v>22594.15</v>
      </c>
      <c r="N4552">
        <v>4016.35</v>
      </c>
      <c r="O4552">
        <v>1232.99</v>
      </c>
      <c r="P4552">
        <v>951.72</v>
      </c>
      <c r="Q4552">
        <v>202.3</v>
      </c>
      <c r="R4552">
        <v>1885.03</v>
      </c>
      <c r="S4552">
        <v>565.83000000000004</v>
      </c>
      <c r="T4552">
        <v>31448.36</v>
      </c>
      <c r="U4552">
        <v>13742.23</v>
      </c>
      <c r="V4552">
        <v>4888.0200000000004</v>
      </c>
      <c r="W4552">
        <v>4721.3</v>
      </c>
      <c r="X4552">
        <v>40241.99</v>
      </c>
      <c r="Y4552">
        <v>33281.31</v>
      </c>
    </row>
    <row r="4553" spans="1:25" x14ac:dyDescent="0.25">
      <c r="A4553" t="s">
        <v>4609</v>
      </c>
      <c r="B4553" s="1">
        <v>46175</v>
      </c>
      <c r="C4553">
        <v>2026</v>
      </c>
      <c r="D4553">
        <v>6</v>
      </c>
      <c r="E4553" t="s">
        <v>585</v>
      </c>
      <c r="F4553" t="s">
        <v>358</v>
      </c>
      <c r="G4553" t="s">
        <v>44</v>
      </c>
      <c r="H4553" t="s">
        <v>36</v>
      </c>
      <c r="I4553" t="s">
        <v>56</v>
      </c>
      <c r="J4553">
        <v>23</v>
      </c>
      <c r="K4553">
        <v>1546.14</v>
      </c>
      <c r="L4553">
        <v>35561.269999999997</v>
      </c>
      <c r="M4553">
        <v>20286.009999999998</v>
      </c>
      <c r="N4553">
        <v>2962.58</v>
      </c>
      <c r="O4553">
        <v>913.9</v>
      </c>
      <c r="P4553">
        <v>1252.45</v>
      </c>
      <c r="Q4553">
        <v>417.57</v>
      </c>
      <c r="R4553">
        <v>1695.24</v>
      </c>
      <c r="S4553">
        <v>285.98</v>
      </c>
      <c r="T4553">
        <v>27813.74</v>
      </c>
      <c r="U4553">
        <v>15275.27</v>
      </c>
      <c r="V4553">
        <v>7747.54</v>
      </c>
      <c r="W4553">
        <v>7244.26</v>
      </c>
      <c r="X4553">
        <v>36333.699999999997</v>
      </c>
      <c r="Y4553">
        <v>25924.36</v>
      </c>
    </row>
    <row r="4554" spans="1:25" x14ac:dyDescent="0.25">
      <c r="A4554" t="s">
        <v>4610</v>
      </c>
      <c r="B4554" s="1">
        <v>46175</v>
      </c>
      <c r="C4554">
        <v>2026</v>
      </c>
      <c r="D4554">
        <v>6</v>
      </c>
      <c r="E4554" t="s">
        <v>585</v>
      </c>
      <c r="F4554" t="s">
        <v>358</v>
      </c>
      <c r="G4554" t="s">
        <v>28</v>
      </c>
      <c r="H4554" t="s">
        <v>32</v>
      </c>
      <c r="I4554" t="s">
        <v>45</v>
      </c>
      <c r="J4554">
        <v>27</v>
      </c>
      <c r="K4554">
        <v>1758.16</v>
      </c>
      <c r="L4554">
        <v>47470.400000000001</v>
      </c>
      <c r="M4554">
        <v>23091.41</v>
      </c>
      <c r="N4554">
        <v>3408.96</v>
      </c>
      <c r="O4554">
        <v>2469.33</v>
      </c>
      <c r="P4554">
        <v>1975.42</v>
      </c>
      <c r="Q4554">
        <v>690.95</v>
      </c>
      <c r="R4554">
        <v>2150.1799999999998</v>
      </c>
      <c r="S4554">
        <v>626.30999999999995</v>
      </c>
      <c r="T4554">
        <v>34412.559999999998</v>
      </c>
      <c r="U4554">
        <v>24378.99</v>
      </c>
      <c r="V4554">
        <v>13057.83</v>
      </c>
      <c r="W4554">
        <v>12593.66</v>
      </c>
      <c r="X4554">
        <v>46753.97</v>
      </c>
      <c r="Y4554">
        <v>36789.83</v>
      </c>
    </row>
    <row r="4555" spans="1:25" x14ac:dyDescent="0.25">
      <c r="A4555" t="s">
        <v>4611</v>
      </c>
      <c r="B4555" s="1">
        <v>46175</v>
      </c>
      <c r="C4555">
        <v>2026</v>
      </c>
      <c r="D4555">
        <v>6</v>
      </c>
      <c r="E4555" t="s">
        <v>585</v>
      </c>
      <c r="F4555" t="s">
        <v>358</v>
      </c>
      <c r="G4555" t="s">
        <v>55</v>
      </c>
      <c r="H4555" t="s">
        <v>36</v>
      </c>
      <c r="I4555" t="s">
        <v>65</v>
      </c>
      <c r="J4555">
        <v>100</v>
      </c>
      <c r="K4555">
        <v>818.34</v>
      </c>
      <c r="L4555">
        <v>81833.87</v>
      </c>
      <c r="M4555">
        <v>40866.660000000003</v>
      </c>
      <c r="N4555">
        <v>7924.01</v>
      </c>
      <c r="O4555">
        <v>2585.35</v>
      </c>
      <c r="P4555">
        <v>2167.04</v>
      </c>
      <c r="Q4555">
        <v>1064.45</v>
      </c>
      <c r="R4555">
        <v>4863.12</v>
      </c>
      <c r="S4555">
        <v>1355.87</v>
      </c>
      <c r="T4555">
        <v>60826.5</v>
      </c>
      <c r="U4555">
        <v>40967.199999999997</v>
      </c>
      <c r="V4555">
        <v>21007.360000000001</v>
      </c>
      <c r="W4555">
        <v>19103.98</v>
      </c>
      <c r="X4555">
        <v>77153.94</v>
      </c>
      <c r="Y4555">
        <v>61245.440000000002</v>
      </c>
    </row>
    <row r="4556" spans="1:25" x14ac:dyDescent="0.25">
      <c r="A4556" t="s">
        <v>4612</v>
      </c>
      <c r="B4556" s="1">
        <v>46176</v>
      </c>
      <c r="C4556">
        <v>2026</v>
      </c>
      <c r="D4556">
        <v>6</v>
      </c>
      <c r="E4556" t="s">
        <v>585</v>
      </c>
      <c r="F4556" t="s">
        <v>358</v>
      </c>
      <c r="G4556" t="s">
        <v>44</v>
      </c>
      <c r="H4556" t="s">
        <v>32</v>
      </c>
      <c r="I4556" t="s">
        <v>30</v>
      </c>
      <c r="J4556">
        <v>107</v>
      </c>
      <c r="K4556">
        <v>1019.69</v>
      </c>
      <c r="L4556">
        <v>109106.81</v>
      </c>
      <c r="M4556">
        <v>57955.57</v>
      </c>
      <c r="N4556">
        <v>9099.8799999999992</v>
      </c>
      <c r="O4556">
        <v>3742.4</v>
      </c>
      <c r="P4556">
        <v>3148.14</v>
      </c>
      <c r="Q4556">
        <v>1545.27</v>
      </c>
      <c r="R4556">
        <v>3944.94</v>
      </c>
      <c r="S4556">
        <v>1073.53</v>
      </c>
      <c r="T4556">
        <v>80509.72</v>
      </c>
      <c r="U4556">
        <v>51151.23</v>
      </c>
      <c r="V4556">
        <v>28597.08</v>
      </c>
      <c r="W4556">
        <v>26749.54</v>
      </c>
      <c r="X4556">
        <v>105050.46</v>
      </c>
      <c r="Y4556">
        <v>75230.14</v>
      </c>
    </row>
    <row r="4557" spans="1:25" x14ac:dyDescent="0.25">
      <c r="A4557" t="s">
        <v>4613</v>
      </c>
      <c r="B4557" s="1">
        <v>46176</v>
      </c>
      <c r="C4557">
        <v>2026</v>
      </c>
      <c r="D4557">
        <v>6</v>
      </c>
      <c r="E4557" t="s">
        <v>585</v>
      </c>
      <c r="F4557" t="s">
        <v>358</v>
      </c>
      <c r="G4557" t="s">
        <v>44</v>
      </c>
      <c r="H4557" t="s">
        <v>29</v>
      </c>
      <c r="I4557" t="s">
        <v>45</v>
      </c>
      <c r="J4557">
        <v>34</v>
      </c>
      <c r="K4557">
        <v>1584.89</v>
      </c>
      <c r="L4557">
        <v>53886.239999999998</v>
      </c>
      <c r="M4557">
        <v>28162.01</v>
      </c>
      <c r="N4557">
        <v>6668.72</v>
      </c>
      <c r="O4557">
        <v>3047</v>
      </c>
      <c r="P4557">
        <v>1878.22</v>
      </c>
      <c r="Q4557">
        <v>437.29</v>
      </c>
      <c r="R4557">
        <v>1937.49</v>
      </c>
      <c r="S4557">
        <v>947</v>
      </c>
      <c r="T4557">
        <v>43077.71</v>
      </c>
      <c r="U4557">
        <v>25724.23</v>
      </c>
      <c r="V4557">
        <v>10808.52</v>
      </c>
      <c r="W4557">
        <v>9759.24</v>
      </c>
      <c r="X4557">
        <v>57493.13</v>
      </c>
      <c r="Y4557">
        <v>45250.68</v>
      </c>
    </row>
    <row r="4558" spans="1:25" x14ac:dyDescent="0.25">
      <c r="A4558" t="s">
        <v>4614</v>
      </c>
      <c r="B4558" s="1">
        <v>46176</v>
      </c>
      <c r="C4558">
        <v>2026</v>
      </c>
      <c r="D4558">
        <v>6</v>
      </c>
      <c r="E4558" t="s">
        <v>585</v>
      </c>
      <c r="F4558" t="s">
        <v>358</v>
      </c>
      <c r="G4558" t="s">
        <v>55</v>
      </c>
      <c r="H4558" t="s">
        <v>53</v>
      </c>
      <c r="I4558" t="s">
        <v>50</v>
      </c>
      <c r="J4558">
        <v>47</v>
      </c>
      <c r="K4558">
        <v>842.39</v>
      </c>
      <c r="L4558">
        <v>39592.559999999998</v>
      </c>
      <c r="M4558">
        <v>23961.34</v>
      </c>
      <c r="N4558">
        <v>5001.22</v>
      </c>
      <c r="O4558">
        <v>2466.0700000000002</v>
      </c>
      <c r="P4558">
        <v>1132.1600000000001</v>
      </c>
      <c r="Q4558">
        <v>472.22</v>
      </c>
      <c r="R4558">
        <v>1621.09</v>
      </c>
      <c r="S4558">
        <v>769.3</v>
      </c>
      <c r="T4558">
        <v>35423.4</v>
      </c>
      <c r="U4558">
        <v>15631.22</v>
      </c>
      <c r="V4558">
        <v>4169.16</v>
      </c>
      <c r="W4558">
        <v>3759.75</v>
      </c>
      <c r="X4558">
        <v>40503.839999999997</v>
      </c>
      <c r="Y4558">
        <v>37995.89</v>
      </c>
    </row>
    <row r="4559" spans="1:25" x14ac:dyDescent="0.25">
      <c r="A4559" t="s">
        <v>4615</v>
      </c>
      <c r="B4559" s="1">
        <v>46176</v>
      </c>
      <c r="C4559">
        <v>2026</v>
      </c>
      <c r="D4559">
        <v>6</v>
      </c>
      <c r="E4559" t="s">
        <v>585</v>
      </c>
      <c r="F4559" t="s">
        <v>358</v>
      </c>
      <c r="G4559" t="s">
        <v>55</v>
      </c>
      <c r="H4559" t="s">
        <v>58</v>
      </c>
      <c r="I4559" t="s">
        <v>56</v>
      </c>
      <c r="J4559">
        <v>17</v>
      </c>
      <c r="K4559">
        <v>1751.25</v>
      </c>
      <c r="L4559">
        <v>29771.17</v>
      </c>
      <c r="M4559">
        <v>18878.09</v>
      </c>
      <c r="N4559">
        <v>2814.57</v>
      </c>
      <c r="O4559">
        <v>1735.53</v>
      </c>
      <c r="P4559">
        <v>609.52</v>
      </c>
      <c r="Q4559">
        <v>352.01</v>
      </c>
      <c r="R4559">
        <v>1243.8399999999999</v>
      </c>
      <c r="S4559">
        <v>686.2</v>
      </c>
      <c r="T4559">
        <v>26319.77</v>
      </c>
      <c r="U4559">
        <v>10893.08</v>
      </c>
      <c r="V4559">
        <v>3451.4</v>
      </c>
      <c r="W4559">
        <v>3048.29</v>
      </c>
      <c r="X4559">
        <v>30366.55</v>
      </c>
      <c r="Y4559">
        <v>25664.51</v>
      </c>
    </row>
    <row r="4560" spans="1:25" x14ac:dyDescent="0.25">
      <c r="A4560" t="s">
        <v>4616</v>
      </c>
      <c r="B4560" s="1">
        <v>46176</v>
      </c>
      <c r="C4560">
        <v>2026</v>
      </c>
      <c r="D4560">
        <v>6</v>
      </c>
      <c r="E4560" t="s">
        <v>585</v>
      </c>
      <c r="F4560" t="s">
        <v>358</v>
      </c>
      <c r="G4560" t="s">
        <v>44</v>
      </c>
      <c r="H4560" t="s">
        <v>36</v>
      </c>
      <c r="I4560" t="s">
        <v>30</v>
      </c>
      <c r="J4560">
        <v>65</v>
      </c>
      <c r="K4560">
        <v>1564.11</v>
      </c>
      <c r="L4560">
        <v>101667.28</v>
      </c>
      <c r="M4560">
        <v>56687.9</v>
      </c>
      <c r="N4560">
        <v>7728.07</v>
      </c>
      <c r="O4560">
        <v>3012.04</v>
      </c>
      <c r="P4560">
        <v>4267.7</v>
      </c>
      <c r="Q4560">
        <v>1025.3599999999999</v>
      </c>
      <c r="R4560">
        <v>3755.4</v>
      </c>
      <c r="S4560">
        <v>1843.71</v>
      </c>
      <c r="T4560">
        <v>78320.19</v>
      </c>
      <c r="U4560">
        <v>44979.38</v>
      </c>
      <c r="V4560">
        <v>23347.09</v>
      </c>
      <c r="W4560">
        <v>23389.54</v>
      </c>
      <c r="X4560">
        <v>101811.67</v>
      </c>
      <c r="Y4560">
        <v>81583.91</v>
      </c>
    </row>
    <row r="4561" spans="1:25" x14ac:dyDescent="0.25">
      <c r="A4561" t="s">
        <v>4617</v>
      </c>
      <c r="B4561" s="1">
        <v>46176</v>
      </c>
      <c r="C4561">
        <v>2026</v>
      </c>
      <c r="D4561">
        <v>6</v>
      </c>
      <c r="E4561" t="s">
        <v>585</v>
      </c>
      <c r="F4561" t="s">
        <v>358</v>
      </c>
      <c r="G4561" t="s">
        <v>35</v>
      </c>
      <c r="H4561" t="s">
        <v>36</v>
      </c>
      <c r="I4561" t="s">
        <v>33</v>
      </c>
      <c r="J4561">
        <v>44</v>
      </c>
      <c r="K4561">
        <v>1565.14</v>
      </c>
      <c r="L4561">
        <v>68866.080000000002</v>
      </c>
      <c r="M4561">
        <v>45902.42</v>
      </c>
      <c r="N4561">
        <v>6135.98</v>
      </c>
      <c r="O4561">
        <v>1949</v>
      </c>
      <c r="P4561">
        <v>1303.97</v>
      </c>
      <c r="Q4561">
        <v>558.36</v>
      </c>
      <c r="R4561">
        <v>3071.87</v>
      </c>
      <c r="S4561">
        <v>921.29</v>
      </c>
      <c r="T4561">
        <v>59842.9</v>
      </c>
      <c r="U4561">
        <v>22963.65</v>
      </c>
      <c r="V4561">
        <v>9023.18</v>
      </c>
      <c r="W4561">
        <v>8223.75</v>
      </c>
      <c r="X4561">
        <v>76972.14</v>
      </c>
      <c r="Y4561">
        <v>56763.78</v>
      </c>
    </row>
    <row r="4562" spans="1:25" x14ac:dyDescent="0.25">
      <c r="A4562" t="s">
        <v>4618</v>
      </c>
      <c r="B4562" s="1">
        <v>46177</v>
      </c>
      <c r="C4562">
        <v>2026</v>
      </c>
      <c r="D4562">
        <v>6</v>
      </c>
      <c r="E4562" t="s">
        <v>585</v>
      </c>
      <c r="F4562" t="s">
        <v>358</v>
      </c>
      <c r="G4562" t="s">
        <v>35</v>
      </c>
      <c r="H4562" t="s">
        <v>32</v>
      </c>
      <c r="I4562" t="s">
        <v>65</v>
      </c>
      <c r="J4562">
        <v>61</v>
      </c>
      <c r="K4562">
        <v>896.49</v>
      </c>
      <c r="L4562">
        <v>54686.02</v>
      </c>
      <c r="M4562">
        <v>37183.160000000003</v>
      </c>
      <c r="N4562">
        <v>6721.87</v>
      </c>
      <c r="O4562">
        <v>1425.71</v>
      </c>
      <c r="P4562">
        <v>1029.8399999999999</v>
      </c>
      <c r="Q4562">
        <v>489.29</v>
      </c>
      <c r="R4562">
        <v>2221.2600000000002</v>
      </c>
      <c r="S4562">
        <v>489.95</v>
      </c>
      <c r="T4562">
        <v>49561.08</v>
      </c>
      <c r="U4562">
        <v>17502.849999999999</v>
      </c>
      <c r="V4562">
        <v>5124.9399999999996</v>
      </c>
      <c r="W4562">
        <v>4594.16</v>
      </c>
      <c r="X4562">
        <v>58713.82</v>
      </c>
      <c r="Y4562">
        <v>50750.93</v>
      </c>
    </row>
    <row r="4563" spans="1:25" x14ac:dyDescent="0.25">
      <c r="A4563" t="s">
        <v>4619</v>
      </c>
      <c r="B4563" s="1">
        <v>46177</v>
      </c>
      <c r="C4563">
        <v>2026</v>
      </c>
      <c r="D4563">
        <v>6</v>
      </c>
      <c r="E4563" t="s">
        <v>585</v>
      </c>
      <c r="F4563" t="s">
        <v>358</v>
      </c>
      <c r="G4563" t="s">
        <v>55</v>
      </c>
      <c r="H4563" t="s">
        <v>53</v>
      </c>
      <c r="I4563" t="s">
        <v>37</v>
      </c>
      <c r="J4563">
        <v>57</v>
      </c>
      <c r="K4563">
        <v>1459.39</v>
      </c>
      <c r="L4563">
        <v>83185.14</v>
      </c>
      <c r="M4563">
        <v>43908.03</v>
      </c>
      <c r="N4563">
        <v>6140.94</v>
      </c>
      <c r="O4563">
        <v>4729.78</v>
      </c>
      <c r="P4563">
        <v>2675.81</v>
      </c>
      <c r="Q4563">
        <v>1338.64</v>
      </c>
      <c r="R4563">
        <v>2503.98</v>
      </c>
      <c r="S4563">
        <v>1028.1500000000001</v>
      </c>
      <c r="T4563">
        <v>62325.33</v>
      </c>
      <c r="U4563">
        <v>39277.120000000003</v>
      </c>
      <c r="V4563">
        <v>20859.810000000001</v>
      </c>
      <c r="W4563">
        <v>19792.84</v>
      </c>
      <c r="X4563">
        <v>87476.3</v>
      </c>
      <c r="Y4563">
        <v>63419.44</v>
      </c>
    </row>
    <row r="4564" spans="1:25" x14ac:dyDescent="0.25">
      <c r="A4564" t="s">
        <v>4620</v>
      </c>
      <c r="B4564" s="1">
        <v>46177</v>
      </c>
      <c r="C4564">
        <v>2026</v>
      </c>
      <c r="D4564">
        <v>6</v>
      </c>
      <c r="E4564" t="s">
        <v>585</v>
      </c>
      <c r="F4564" t="s">
        <v>358</v>
      </c>
      <c r="G4564" t="s">
        <v>28</v>
      </c>
      <c r="H4564" t="s">
        <v>36</v>
      </c>
      <c r="I4564" t="s">
        <v>50</v>
      </c>
      <c r="J4564">
        <v>59</v>
      </c>
      <c r="K4564">
        <v>822</v>
      </c>
      <c r="L4564">
        <v>48497.97</v>
      </c>
      <c r="M4564">
        <v>30356.32</v>
      </c>
      <c r="N4564">
        <v>5175.72</v>
      </c>
      <c r="O4564">
        <v>1928.11</v>
      </c>
      <c r="P4564">
        <v>2146.34</v>
      </c>
      <c r="Q4564">
        <v>803.41</v>
      </c>
      <c r="R4564">
        <v>1517.11</v>
      </c>
      <c r="S4564">
        <v>1056.6500000000001</v>
      </c>
      <c r="T4564">
        <v>42983.66</v>
      </c>
      <c r="U4564">
        <v>18141.650000000001</v>
      </c>
      <c r="V4564">
        <v>5514.32</v>
      </c>
      <c r="W4564">
        <v>5478.49</v>
      </c>
      <c r="X4564">
        <v>52831.34</v>
      </c>
      <c r="Y4564">
        <v>44433.16</v>
      </c>
    </row>
    <row r="4565" spans="1:25" x14ac:dyDescent="0.25">
      <c r="A4565" t="s">
        <v>4621</v>
      </c>
      <c r="B4565" s="1">
        <v>46177</v>
      </c>
      <c r="C4565">
        <v>2026</v>
      </c>
      <c r="D4565">
        <v>6</v>
      </c>
      <c r="E4565" t="s">
        <v>585</v>
      </c>
      <c r="F4565" t="s">
        <v>358</v>
      </c>
      <c r="G4565" t="s">
        <v>35</v>
      </c>
      <c r="H4565" t="s">
        <v>32</v>
      </c>
      <c r="I4565" t="s">
        <v>39</v>
      </c>
      <c r="J4565">
        <v>49</v>
      </c>
      <c r="K4565">
        <v>970.41</v>
      </c>
      <c r="L4565">
        <v>47550.29</v>
      </c>
      <c r="M4565">
        <v>25519.69</v>
      </c>
      <c r="N4565">
        <v>4473.42</v>
      </c>
      <c r="O4565">
        <v>1972.99</v>
      </c>
      <c r="P4565">
        <v>1669.48</v>
      </c>
      <c r="Q4565">
        <v>343.08</v>
      </c>
      <c r="R4565">
        <v>2663.51</v>
      </c>
      <c r="S4565">
        <v>1082.22</v>
      </c>
      <c r="T4565">
        <v>37724.379999999997</v>
      </c>
      <c r="U4565">
        <v>22030.6</v>
      </c>
      <c r="V4565">
        <v>9825.91</v>
      </c>
      <c r="W4565">
        <v>9343.0300000000007</v>
      </c>
      <c r="X4565">
        <v>50432.39</v>
      </c>
      <c r="Y4565">
        <v>35961.5</v>
      </c>
    </row>
    <row r="4566" spans="1:25" x14ac:dyDescent="0.25">
      <c r="A4566" t="s">
        <v>4622</v>
      </c>
      <c r="B4566" s="1">
        <v>46177</v>
      </c>
      <c r="C4566">
        <v>2026</v>
      </c>
      <c r="D4566">
        <v>6</v>
      </c>
      <c r="E4566" t="s">
        <v>585</v>
      </c>
      <c r="F4566" t="s">
        <v>358</v>
      </c>
      <c r="G4566" t="s">
        <v>35</v>
      </c>
      <c r="H4566" t="s">
        <v>29</v>
      </c>
      <c r="I4566" t="s">
        <v>45</v>
      </c>
      <c r="J4566">
        <v>47</v>
      </c>
      <c r="K4566">
        <v>1038.31</v>
      </c>
      <c r="L4566">
        <v>48800.41</v>
      </c>
      <c r="M4566">
        <v>31510.29</v>
      </c>
      <c r="N4566">
        <v>3581.24</v>
      </c>
      <c r="O4566">
        <v>2085.12</v>
      </c>
      <c r="P4566">
        <v>1735.94</v>
      </c>
      <c r="Q4566">
        <v>854.14</v>
      </c>
      <c r="R4566">
        <v>2793.15</v>
      </c>
      <c r="S4566">
        <v>1134.26</v>
      </c>
      <c r="T4566">
        <v>43694.13</v>
      </c>
      <c r="U4566">
        <v>17290.11</v>
      </c>
      <c r="V4566">
        <v>5106.28</v>
      </c>
      <c r="W4566">
        <v>4828.51</v>
      </c>
      <c r="X4566">
        <v>53559.23</v>
      </c>
      <c r="Y4566">
        <v>40825.199999999997</v>
      </c>
    </row>
    <row r="4567" spans="1:25" x14ac:dyDescent="0.25">
      <c r="A4567" t="s">
        <v>4623</v>
      </c>
      <c r="B4567" s="1">
        <v>46178</v>
      </c>
      <c r="C4567">
        <v>2026</v>
      </c>
      <c r="D4567">
        <v>6</v>
      </c>
      <c r="E4567" t="s">
        <v>585</v>
      </c>
      <c r="F4567" t="s">
        <v>358</v>
      </c>
      <c r="G4567" t="s">
        <v>55</v>
      </c>
      <c r="H4567" t="s">
        <v>53</v>
      </c>
      <c r="I4567" t="s">
        <v>45</v>
      </c>
      <c r="J4567">
        <v>37</v>
      </c>
      <c r="K4567">
        <v>1423.52</v>
      </c>
      <c r="L4567">
        <v>52670.09</v>
      </c>
      <c r="M4567">
        <v>33707.839999999997</v>
      </c>
      <c r="N4567">
        <v>4347.9399999999996</v>
      </c>
      <c r="O4567">
        <v>2455.6</v>
      </c>
      <c r="P4567">
        <v>2260.63</v>
      </c>
      <c r="Q4567">
        <v>360.96</v>
      </c>
      <c r="R4567">
        <v>1548.83</v>
      </c>
      <c r="S4567">
        <v>733.9</v>
      </c>
      <c r="T4567">
        <v>45415.71</v>
      </c>
      <c r="U4567">
        <v>18962.240000000002</v>
      </c>
      <c r="V4567">
        <v>7254.38</v>
      </c>
      <c r="W4567">
        <v>7268.02</v>
      </c>
      <c r="X4567">
        <v>52904.29</v>
      </c>
      <c r="Y4567">
        <v>49743.42</v>
      </c>
    </row>
    <row r="4568" spans="1:25" x14ac:dyDescent="0.25">
      <c r="A4568" t="s">
        <v>4624</v>
      </c>
      <c r="B4568" s="1">
        <v>46178</v>
      </c>
      <c r="C4568">
        <v>2026</v>
      </c>
      <c r="D4568">
        <v>6</v>
      </c>
      <c r="E4568" t="s">
        <v>585</v>
      </c>
      <c r="F4568" t="s">
        <v>358</v>
      </c>
      <c r="G4568" t="s">
        <v>44</v>
      </c>
      <c r="H4568" t="s">
        <v>32</v>
      </c>
      <c r="I4568" t="s">
        <v>65</v>
      </c>
      <c r="J4568">
        <v>69</v>
      </c>
      <c r="K4568">
        <v>1021.35</v>
      </c>
      <c r="L4568">
        <v>70473.09</v>
      </c>
      <c r="M4568">
        <v>35210.129999999997</v>
      </c>
      <c r="N4568">
        <v>7390.04</v>
      </c>
      <c r="O4568">
        <v>2457.21</v>
      </c>
      <c r="P4568">
        <v>2444.58</v>
      </c>
      <c r="Q4568">
        <v>465.51</v>
      </c>
      <c r="R4568">
        <v>1901.69</v>
      </c>
      <c r="S4568">
        <v>789.59</v>
      </c>
      <c r="T4568">
        <v>50658.75</v>
      </c>
      <c r="U4568">
        <v>35262.959999999999</v>
      </c>
      <c r="V4568">
        <v>19814.34</v>
      </c>
      <c r="W4568">
        <v>18048.169999999998</v>
      </c>
      <c r="X4568">
        <v>69176.990000000005</v>
      </c>
      <c r="Y4568">
        <v>52488.69</v>
      </c>
    </row>
    <row r="4569" spans="1:25" x14ac:dyDescent="0.25">
      <c r="A4569" t="s">
        <v>4625</v>
      </c>
      <c r="B4569" s="1">
        <v>46178</v>
      </c>
      <c r="C4569">
        <v>2026</v>
      </c>
      <c r="D4569">
        <v>6</v>
      </c>
      <c r="E4569" t="s">
        <v>585</v>
      </c>
      <c r="F4569" t="s">
        <v>358</v>
      </c>
      <c r="G4569" t="s">
        <v>44</v>
      </c>
      <c r="H4569" t="s">
        <v>29</v>
      </c>
      <c r="I4569" t="s">
        <v>45</v>
      </c>
      <c r="J4569">
        <v>27</v>
      </c>
      <c r="K4569">
        <v>1498.37</v>
      </c>
      <c r="L4569">
        <v>40456.03</v>
      </c>
      <c r="M4569">
        <v>20760.45</v>
      </c>
      <c r="N4569">
        <v>4582.26</v>
      </c>
      <c r="O4569">
        <v>1540.9</v>
      </c>
      <c r="P4569">
        <v>1204.49</v>
      </c>
      <c r="Q4569">
        <v>337.19</v>
      </c>
      <c r="R4569">
        <v>1509.84</v>
      </c>
      <c r="S4569">
        <v>852.79</v>
      </c>
      <c r="T4569">
        <v>30787.919999999998</v>
      </c>
      <c r="U4569">
        <v>19695.580000000002</v>
      </c>
      <c r="V4569">
        <v>9668.11</v>
      </c>
      <c r="W4569">
        <v>9739.93</v>
      </c>
      <c r="X4569">
        <v>44510.15</v>
      </c>
      <c r="Y4569">
        <v>30580.34</v>
      </c>
    </row>
    <row r="4570" spans="1:25" x14ac:dyDescent="0.25">
      <c r="A4570" t="s">
        <v>4626</v>
      </c>
      <c r="B4570" s="1">
        <v>46178</v>
      </c>
      <c r="C4570">
        <v>2026</v>
      </c>
      <c r="D4570">
        <v>6</v>
      </c>
      <c r="E4570" t="s">
        <v>585</v>
      </c>
      <c r="F4570" t="s">
        <v>358</v>
      </c>
      <c r="G4570" t="s">
        <v>55</v>
      </c>
      <c r="H4570" t="s">
        <v>32</v>
      </c>
      <c r="I4570" t="s">
        <v>45</v>
      </c>
      <c r="J4570">
        <v>49</v>
      </c>
      <c r="K4570">
        <v>1086.22</v>
      </c>
      <c r="L4570">
        <v>53224.55</v>
      </c>
      <c r="M4570">
        <v>28347.67</v>
      </c>
      <c r="N4570">
        <v>6120.02</v>
      </c>
      <c r="O4570">
        <v>1959.47</v>
      </c>
      <c r="P4570">
        <v>875.3</v>
      </c>
      <c r="Q4570">
        <v>653.16999999999996</v>
      </c>
      <c r="R4570">
        <v>3391.36</v>
      </c>
      <c r="S4570">
        <v>903.61</v>
      </c>
      <c r="T4570">
        <v>42250.6</v>
      </c>
      <c r="U4570">
        <v>24876.89</v>
      </c>
      <c r="V4570">
        <v>10973.95</v>
      </c>
      <c r="W4570">
        <v>10516.81</v>
      </c>
      <c r="X4570">
        <v>53165.1</v>
      </c>
      <c r="Y4570">
        <v>40278.239999999998</v>
      </c>
    </row>
    <row r="4571" spans="1:25" x14ac:dyDescent="0.25">
      <c r="A4571" t="s">
        <v>4627</v>
      </c>
      <c r="B4571" s="1">
        <v>46178</v>
      </c>
      <c r="C4571">
        <v>2026</v>
      </c>
      <c r="D4571">
        <v>6</v>
      </c>
      <c r="E4571" t="s">
        <v>585</v>
      </c>
      <c r="F4571" t="s">
        <v>358</v>
      </c>
      <c r="G4571" t="s">
        <v>55</v>
      </c>
      <c r="H4571" t="s">
        <v>29</v>
      </c>
      <c r="I4571" t="s">
        <v>33</v>
      </c>
      <c r="J4571">
        <v>75</v>
      </c>
      <c r="K4571">
        <v>1240.19</v>
      </c>
      <c r="L4571">
        <v>93014.44</v>
      </c>
      <c r="M4571">
        <v>57671.97</v>
      </c>
      <c r="N4571">
        <v>11079.78</v>
      </c>
      <c r="O4571">
        <v>3678.77</v>
      </c>
      <c r="P4571">
        <v>3013.51</v>
      </c>
      <c r="Q4571">
        <v>1269.3499999999999</v>
      </c>
      <c r="R4571">
        <v>5134.49</v>
      </c>
      <c r="S4571">
        <v>1986.91</v>
      </c>
      <c r="T4571">
        <v>83834.789999999994</v>
      </c>
      <c r="U4571">
        <v>35342.47</v>
      </c>
      <c r="V4571">
        <v>9179.65</v>
      </c>
      <c r="W4571">
        <v>9259.68</v>
      </c>
      <c r="X4571">
        <v>91190.83</v>
      </c>
      <c r="Y4571">
        <v>90050.67</v>
      </c>
    </row>
    <row r="4572" spans="1:25" x14ac:dyDescent="0.25">
      <c r="A4572" t="s">
        <v>4628</v>
      </c>
      <c r="B4572" s="1">
        <v>46179</v>
      </c>
      <c r="C4572">
        <v>2026</v>
      </c>
      <c r="D4572">
        <v>6</v>
      </c>
      <c r="E4572" t="s">
        <v>585</v>
      </c>
      <c r="F4572" t="s">
        <v>358</v>
      </c>
      <c r="G4572" t="s">
        <v>44</v>
      </c>
      <c r="H4572" t="s">
        <v>36</v>
      </c>
      <c r="I4572" t="s">
        <v>33</v>
      </c>
      <c r="J4572">
        <v>53</v>
      </c>
      <c r="K4572">
        <v>1570.29</v>
      </c>
      <c r="L4572">
        <v>83225.350000000006</v>
      </c>
      <c r="M4572">
        <v>47041.599999999999</v>
      </c>
      <c r="N4572">
        <v>10415.94</v>
      </c>
      <c r="O4572">
        <v>4556.8999999999996</v>
      </c>
      <c r="P4572">
        <v>1628.68</v>
      </c>
      <c r="Q4572">
        <v>1438.19</v>
      </c>
      <c r="R4572">
        <v>3235.32</v>
      </c>
      <c r="S4572">
        <v>730.67</v>
      </c>
      <c r="T4572">
        <v>69047.31</v>
      </c>
      <c r="U4572">
        <v>36183.75</v>
      </c>
      <c r="V4572">
        <v>14178.04</v>
      </c>
      <c r="W4572">
        <v>14035.91</v>
      </c>
      <c r="X4572">
        <v>83886.43</v>
      </c>
      <c r="Y4572">
        <v>75075.14</v>
      </c>
    </row>
    <row r="4573" spans="1:25" x14ac:dyDescent="0.25">
      <c r="A4573" t="s">
        <v>4629</v>
      </c>
      <c r="B4573" s="1">
        <v>46179</v>
      </c>
      <c r="C4573">
        <v>2026</v>
      </c>
      <c r="D4573">
        <v>6</v>
      </c>
      <c r="E4573" t="s">
        <v>585</v>
      </c>
      <c r="F4573" t="s">
        <v>358</v>
      </c>
      <c r="G4573" t="s">
        <v>35</v>
      </c>
      <c r="H4573" t="s">
        <v>53</v>
      </c>
      <c r="I4573" t="s">
        <v>37</v>
      </c>
      <c r="J4573">
        <v>41</v>
      </c>
      <c r="K4573">
        <v>1249.77</v>
      </c>
      <c r="L4573">
        <v>51240.65</v>
      </c>
      <c r="M4573">
        <v>31414.48</v>
      </c>
      <c r="N4573">
        <v>5584.65</v>
      </c>
      <c r="O4573">
        <v>3566.05</v>
      </c>
      <c r="P4573">
        <v>1741.72</v>
      </c>
      <c r="Q4573">
        <v>676.88</v>
      </c>
      <c r="R4573">
        <v>3292.66</v>
      </c>
      <c r="S4573">
        <v>420.4</v>
      </c>
      <c r="T4573">
        <v>46696.84</v>
      </c>
      <c r="U4573">
        <v>19826.169999999998</v>
      </c>
      <c r="V4573">
        <v>4543.8100000000004</v>
      </c>
      <c r="W4573">
        <v>4032.7</v>
      </c>
      <c r="X4573">
        <v>47827.5</v>
      </c>
      <c r="Y4573">
        <v>48888.160000000003</v>
      </c>
    </row>
    <row r="4574" spans="1:25" x14ac:dyDescent="0.25">
      <c r="A4574" t="s">
        <v>4630</v>
      </c>
      <c r="B4574" s="1">
        <v>46179</v>
      </c>
      <c r="C4574">
        <v>2026</v>
      </c>
      <c r="D4574">
        <v>6</v>
      </c>
      <c r="E4574" t="s">
        <v>585</v>
      </c>
      <c r="F4574" t="s">
        <v>358</v>
      </c>
      <c r="G4574" t="s">
        <v>55</v>
      </c>
      <c r="H4574" t="s">
        <v>29</v>
      </c>
      <c r="I4574" t="s">
        <v>65</v>
      </c>
      <c r="J4574">
        <v>51</v>
      </c>
      <c r="K4574">
        <v>1665.17</v>
      </c>
      <c r="L4574">
        <v>84923.48</v>
      </c>
      <c r="M4574">
        <v>55547.74</v>
      </c>
      <c r="N4574">
        <v>7102.27</v>
      </c>
      <c r="O4574">
        <v>4358.08</v>
      </c>
      <c r="P4574">
        <v>1519.06</v>
      </c>
      <c r="Q4574">
        <v>1482.89</v>
      </c>
      <c r="R4574">
        <v>5078.4799999999996</v>
      </c>
      <c r="S4574">
        <v>1908.13</v>
      </c>
      <c r="T4574">
        <v>76996.639999999999</v>
      </c>
      <c r="U4574">
        <v>29375.74</v>
      </c>
      <c r="V4574">
        <v>7926.85</v>
      </c>
      <c r="W4574">
        <v>7631.41</v>
      </c>
      <c r="X4574">
        <v>94560.19</v>
      </c>
      <c r="Y4574">
        <v>82884.39</v>
      </c>
    </row>
    <row r="4575" spans="1:25" x14ac:dyDescent="0.25">
      <c r="A4575" t="s">
        <v>4631</v>
      </c>
      <c r="B4575" s="1">
        <v>46179</v>
      </c>
      <c r="C4575">
        <v>2026</v>
      </c>
      <c r="D4575">
        <v>6</v>
      </c>
      <c r="E4575" t="s">
        <v>585</v>
      </c>
      <c r="F4575" t="s">
        <v>358</v>
      </c>
      <c r="G4575" t="s">
        <v>35</v>
      </c>
      <c r="H4575" t="s">
        <v>36</v>
      </c>
      <c r="I4575" t="s">
        <v>65</v>
      </c>
      <c r="J4575">
        <v>34</v>
      </c>
      <c r="K4575">
        <v>1312.02</v>
      </c>
      <c r="L4575">
        <v>44608.52</v>
      </c>
      <c r="M4575">
        <v>25004.33</v>
      </c>
      <c r="N4575">
        <v>3127.6</v>
      </c>
      <c r="O4575">
        <v>1289.9100000000001</v>
      </c>
      <c r="P4575">
        <v>1794.17</v>
      </c>
      <c r="Q4575">
        <v>765.06</v>
      </c>
      <c r="R4575">
        <v>2145.34</v>
      </c>
      <c r="S4575">
        <v>1000.1</v>
      </c>
      <c r="T4575">
        <v>35126.519999999997</v>
      </c>
      <c r="U4575">
        <v>19604.189999999999</v>
      </c>
      <c r="V4575">
        <v>9482</v>
      </c>
      <c r="W4575">
        <v>9089.2000000000007</v>
      </c>
      <c r="X4575">
        <v>45884.63</v>
      </c>
      <c r="Y4575">
        <v>38261.360000000001</v>
      </c>
    </row>
    <row r="4576" spans="1:25" x14ac:dyDescent="0.25">
      <c r="A4576" t="s">
        <v>4632</v>
      </c>
      <c r="B4576" s="1">
        <v>46179</v>
      </c>
      <c r="C4576">
        <v>2026</v>
      </c>
      <c r="D4576">
        <v>6</v>
      </c>
      <c r="E4576" t="s">
        <v>585</v>
      </c>
      <c r="F4576" t="s">
        <v>358</v>
      </c>
      <c r="G4576" t="s">
        <v>55</v>
      </c>
      <c r="H4576" t="s">
        <v>32</v>
      </c>
      <c r="I4576" t="s">
        <v>33</v>
      </c>
      <c r="J4576">
        <v>64</v>
      </c>
      <c r="K4576">
        <v>1614.12</v>
      </c>
      <c r="L4576">
        <v>103303.91</v>
      </c>
      <c r="M4576">
        <v>54165.440000000002</v>
      </c>
      <c r="N4576">
        <v>11747.38</v>
      </c>
      <c r="O4576">
        <v>6204.97</v>
      </c>
      <c r="P4576">
        <v>2627.43</v>
      </c>
      <c r="Q4576">
        <v>1004.87</v>
      </c>
      <c r="R4576">
        <v>4336.3100000000004</v>
      </c>
      <c r="S4576">
        <v>2442.8200000000002</v>
      </c>
      <c r="T4576">
        <v>82529.2</v>
      </c>
      <c r="U4576">
        <v>49138.48</v>
      </c>
      <c r="V4576">
        <v>20774.71</v>
      </c>
      <c r="W4576">
        <v>20570.349999999999</v>
      </c>
      <c r="X4576">
        <v>110350.04</v>
      </c>
      <c r="Y4576">
        <v>90614.05</v>
      </c>
    </row>
    <row r="4577" spans="1:25" x14ac:dyDescent="0.25">
      <c r="A4577" t="s">
        <v>4633</v>
      </c>
      <c r="B4577" s="1">
        <v>46179</v>
      </c>
      <c r="C4577">
        <v>2026</v>
      </c>
      <c r="D4577">
        <v>6</v>
      </c>
      <c r="E4577" t="s">
        <v>585</v>
      </c>
      <c r="F4577" t="s">
        <v>358</v>
      </c>
      <c r="G4577" t="s">
        <v>44</v>
      </c>
      <c r="H4577" t="s">
        <v>32</v>
      </c>
      <c r="I4577" t="s">
        <v>50</v>
      </c>
      <c r="J4577">
        <v>61</v>
      </c>
      <c r="K4577">
        <v>1150.18</v>
      </c>
      <c r="L4577">
        <v>70160.78</v>
      </c>
      <c r="M4577">
        <v>34287.879999999997</v>
      </c>
      <c r="N4577">
        <v>7461.65</v>
      </c>
      <c r="O4577">
        <v>2333.86</v>
      </c>
      <c r="P4577">
        <v>2154.9</v>
      </c>
      <c r="Q4577">
        <v>613.79</v>
      </c>
      <c r="R4577">
        <v>2893.52</v>
      </c>
      <c r="S4577">
        <v>824.54</v>
      </c>
      <c r="T4577">
        <v>50570.14</v>
      </c>
      <c r="U4577">
        <v>35872.9</v>
      </c>
      <c r="V4577">
        <v>19590.64</v>
      </c>
      <c r="W4577">
        <v>19022.34</v>
      </c>
      <c r="X4577">
        <v>76016.41</v>
      </c>
      <c r="Y4577">
        <v>48343.199999999997</v>
      </c>
    </row>
    <row r="4578" spans="1:25" x14ac:dyDescent="0.25">
      <c r="A4578" t="s">
        <v>4634</v>
      </c>
      <c r="B4578" s="1">
        <v>46179</v>
      </c>
      <c r="C4578">
        <v>2026</v>
      </c>
      <c r="D4578">
        <v>6</v>
      </c>
      <c r="E4578" t="s">
        <v>585</v>
      </c>
      <c r="F4578" t="s">
        <v>358</v>
      </c>
      <c r="G4578" t="s">
        <v>55</v>
      </c>
      <c r="H4578" t="s">
        <v>29</v>
      </c>
      <c r="I4578" t="s">
        <v>45</v>
      </c>
      <c r="J4578">
        <v>50</v>
      </c>
      <c r="K4578">
        <v>1117.6500000000001</v>
      </c>
      <c r="L4578">
        <v>55882.29</v>
      </c>
      <c r="M4578">
        <v>35976.75</v>
      </c>
      <c r="N4578">
        <v>6474.45</v>
      </c>
      <c r="O4578">
        <v>2756.87</v>
      </c>
      <c r="P4578">
        <v>2230.2399999999998</v>
      </c>
      <c r="Q4578">
        <v>343.36</v>
      </c>
      <c r="R4578">
        <v>3129.11</v>
      </c>
      <c r="S4578">
        <v>1056.55</v>
      </c>
      <c r="T4578">
        <v>51967.33</v>
      </c>
      <c r="U4578">
        <v>19905.54</v>
      </c>
      <c r="V4578">
        <v>3914.95</v>
      </c>
      <c r="W4578">
        <v>3835.25</v>
      </c>
      <c r="X4578">
        <v>53111.51</v>
      </c>
      <c r="Y4578">
        <v>50427.95</v>
      </c>
    </row>
    <row r="4579" spans="1:25" x14ac:dyDescent="0.25">
      <c r="A4579" t="s">
        <v>4635</v>
      </c>
      <c r="B4579" s="1">
        <v>46179</v>
      </c>
      <c r="C4579">
        <v>2026</v>
      </c>
      <c r="D4579">
        <v>6</v>
      </c>
      <c r="E4579" t="s">
        <v>585</v>
      </c>
      <c r="F4579" t="s">
        <v>358</v>
      </c>
      <c r="G4579" t="s">
        <v>28</v>
      </c>
      <c r="H4579" t="s">
        <v>36</v>
      </c>
      <c r="I4579" t="s">
        <v>50</v>
      </c>
      <c r="J4579">
        <v>50</v>
      </c>
      <c r="K4579">
        <v>1271.2</v>
      </c>
      <c r="L4579">
        <v>63560.25</v>
      </c>
      <c r="M4579">
        <v>42089.56</v>
      </c>
      <c r="N4579">
        <v>5304.9</v>
      </c>
      <c r="O4579">
        <v>3556.61</v>
      </c>
      <c r="P4579">
        <v>1402.45</v>
      </c>
      <c r="Q4579">
        <v>1008.46</v>
      </c>
      <c r="R4579">
        <v>3264.59</v>
      </c>
      <c r="S4579">
        <v>1048.1500000000001</v>
      </c>
      <c r="T4579">
        <v>57674.720000000001</v>
      </c>
      <c r="U4579">
        <v>21470.69</v>
      </c>
      <c r="V4579">
        <v>5885.53</v>
      </c>
      <c r="W4579">
        <v>5639.18</v>
      </c>
      <c r="X4579">
        <v>66662.28</v>
      </c>
      <c r="Y4579">
        <v>61646.36</v>
      </c>
    </row>
    <row r="4580" spans="1:25" x14ac:dyDescent="0.25">
      <c r="A4580" t="s">
        <v>4636</v>
      </c>
      <c r="B4580" s="1">
        <v>46179</v>
      </c>
      <c r="C4580">
        <v>2026</v>
      </c>
      <c r="D4580">
        <v>6</v>
      </c>
      <c r="E4580" t="s">
        <v>585</v>
      </c>
      <c r="F4580" t="s">
        <v>358</v>
      </c>
      <c r="G4580" t="s">
        <v>35</v>
      </c>
      <c r="H4580" t="s">
        <v>32</v>
      </c>
      <c r="I4580" t="s">
        <v>39</v>
      </c>
      <c r="J4580">
        <v>37</v>
      </c>
      <c r="K4580">
        <v>1190.1600000000001</v>
      </c>
      <c r="L4580">
        <v>44036.07</v>
      </c>
      <c r="M4580">
        <v>26566.52</v>
      </c>
      <c r="N4580">
        <v>4124.92</v>
      </c>
      <c r="O4580">
        <v>2247.75</v>
      </c>
      <c r="P4580">
        <v>1616.56</v>
      </c>
      <c r="Q4580">
        <v>508.6</v>
      </c>
      <c r="R4580">
        <v>1386.5</v>
      </c>
      <c r="S4580">
        <v>829.88</v>
      </c>
      <c r="T4580">
        <v>37280.730000000003</v>
      </c>
      <c r="U4580">
        <v>17469.55</v>
      </c>
      <c r="V4580">
        <v>6755.35</v>
      </c>
      <c r="W4580">
        <v>6122.09</v>
      </c>
      <c r="X4580">
        <v>43182.59</v>
      </c>
      <c r="Y4580">
        <v>37737.19</v>
      </c>
    </row>
    <row r="4581" spans="1:25" x14ac:dyDescent="0.25">
      <c r="A4581" t="s">
        <v>4637</v>
      </c>
      <c r="B4581" s="1">
        <v>46180</v>
      </c>
      <c r="C4581">
        <v>2026</v>
      </c>
      <c r="D4581">
        <v>6</v>
      </c>
      <c r="E4581" t="s">
        <v>585</v>
      </c>
      <c r="F4581" t="s">
        <v>358</v>
      </c>
      <c r="G4581" t="s">
        <v>44</v>
      </c>
      <c r="H4581" t="s">
        <v>58</v>
      </c>
      <c r="I4581" t="s">
        <v>45</v>
      </c>
      <c r="J4581">
        <v>31</v>
      </c>
      <c r="K4581">
        <v>1331.79</v>
      </c>
      <c r="L4581">
        <v>41285.410000000003</v>
      </c>
      <c r="M4581">
        <v>20863.95</v>
      </c>
      <c r="N4581">
        <v>4830.1000000000004</v>
      </c>
      <c r="O4581">
        <v>2953.09</v>
      </c>
      <c r="P4581">
        <v>1164.05</v>
      </c>
      <c r="Q4581">
        <v>549.76</v>
      </c>
      <c r="R4581">
        <v>1473.29</v>
      </c>
      <c r="S4581">
        <v>528.72</v>
      </c>
      <c r="T4581">
        <v>32362.959999999999</v>
      </c>
      <c r="U4581">
        <v>20421.46</v>
      </c>
      <c r="V4581">
        <v>8922.4500000000007</v>
      </c>
      <c r="W4581">
        <v>8641.9500000000007</v>
      </c>
      <c r="X4581">
        <v>46001.94</v>
      </c>
      <c r="Y4581">
        <v>31475.38</v>
      </c>
    </row>
    <row r="4582" spans="1:25" x14ac:dyDescent="0.25">
      <c r="A4582" t="s">
        <v>4638</v>
      </c>
      <c r="B4582" s="1">
        <v>46180</v>
      </c>
      <c r="C4582">
        <v>2026</v>
      </c>
      <c r="D4582">
        <v>6</v>
      </c>
      <c r="E4582" t="s">
        <v>585</v>
      </c>
      <c r="F4582" t="s">
        <v>358</v>
      </c>
      <c r="G4582" t="s">
        <v>35</v>
      </c>
      <c r="H4582" t="s">
        <v>36</v>
      </c>
      <c r="I4582" t="s">
        <v>45</v>
      </c>
      <c r="J4582">
        <v>41</v>
      </c>
      <c r="K4582">
        <v>897.33</v>
      </c>
      <c r="L4582">
        <v>36790.61</v>
      </c>
      <c r="M4582">
        <v>20524.46</v>
      </c>
      <c r="N4582">
        <v>3856</v>
      </c>
      <c r="O4582">
        <v>2414.42</v>
      </c>
      <c r="P4582">
        <v>1291.45</v>
      </c>
      <c r="Q4582">
        <v>646.20000000000005</v>
      </c>
      <c r="R4582">
        <v>1526.66</v>
      </c>
      <c r="S4582">
        <v>396.23</v>
      </c>
      <c r="T4582">
        <v>30655.41</v>
      </c>
      <c r="U4582">
        <v>16266.15</v>
      </c>
      <c r="V4582">
        <v>6135.2</v>
      </c>
      <c r="W4582">
        <v>5629.39</v>
      </c>
      <c r="X4582">
        <v>38518.19</v>
      </c>
      <c r="Y4582">
        <v>32304.97</v>
      </c>
    </row>
    <row r="4583" spans="1:25" x14ac:dyDescent="0.25">
      <c r="A4583" t="s">
        <v>4639</v>
      </c>
      <c r="B4583" s="1">
        <v>46181</v>
      </c>
      <c r="C4583">
        <v>2026</v>
      </c>
      <c r="D4583">
        <v>6</v>
      </c>
      <c r="E4583" t="s">
        <v>585</v>
      </c>
      <c r="F4583" t="s">
        <v>358</v>
      </c>
      <c r="G4583" t="s">
        <v>35</v>
      </c>
      <c r="H4583" t="s">
        <v>53</v>
      </c>
      <c r="I4583" t="s">
        <v>50</v>
      </c>
      <c r="J4583">
        <v>32</v>
      </c>
      <c r="K4583">
        <v>1487.31</v>
      </c>
      <c r="L4583">
        <v>47594.04</v>
      </c>
      <c r="M4583">
        <v>26312.05</v>
      </c>
      <c r="N4583">
        <v>3776.97</v>
      </c>
      <c r="O4583">
        <v>1667.42</v>
      </c>
      <c r="P4583">
        <v>1287.71</v>
      </c>
      <c r="Q4583">
        <v>479.79</v>
      </c>
      <c r="R4583">
        <v>1946.6</v>
      </c>
      <c r="S4583">
        <v>434.25</v>
      </c>
      <c r="T4583">
        <v>35904.79</v>
      </c>
      <c r="U4583">
        <v>21281.99</v>
      </c>
      <c r="V4583">
        <v>11689.25</v>
      </c>
      <c r="W4583">
        <v>10567.03</v>
      </c>
      <c r="X4583">
        <v>46067.5</v>
      </c>
      <c r="Y4583">
        <v>35345.18</v>
      </c>
    </row>
    <row r="4584" spans="1:25" x14ac:dyDescent="0.25">
      <c r="A4584" t="s">
        <v>4640</v>
      </c>
      <c r="B4584" s="1">
        <v>46181</v>
      </c>
      <c r="C4584">
        <v>2026</v>
      </c>
      <c r="D4584">
        <v>6</v>
      </c>
      <c r="E4584" t="s">
        <v>585</v>
      </c>
      <c r="F4584" t="s">
        <v>358</v>
      </c>
      <c r="G4584" t="s">
        <v>55</v>
      </c>
      <c r="H4584" t="s">
        <v>32</v>
      </c>
      <c r="I4584" t="s">
        <v>33</v>
      </c>
      <c r="J4584">
        <v>123</v>
      </c>
      <c r="K4584">
        <v>816.83</v>
      </c>
      <c r="L4584">
        <v>100470.42</v>
      </c>
      <c r="M4584">
        <v>51418.9</v>
      </c>
      <c r="N4584">
        <v>7691.6</v>
      </c>
      <c r="O4584">
        <v>6082.21</v>
      </c>
      <c r="P4584">
        <v>3138.69</v>
      </c>
      <c r="Q4584">
        <v>1576.46</v>
      </c>
      <c r="R4584">
        <v>4964.96</v>
      </c>
      <c r="S4584">
        <v>2298.0300000000002</v>
      </c>
      <c r="T4584">
        <v>77170.86</v>
      </c>
      <c r="U4584">
        <v>49051.519999999997</v>
      </c>
      <c r="V4584">
        <v>23299.56</v>
      </c>
      <c r="W4584">
        <v>23064.13</v>
      </c>
      <c r="X4584">
        <v>111224.33</v>
      </c>
      <c r="Y4584">
        <v>82921.37</v>
      </c>
    </row>
    <row r="4585" spans="1:25" x14ac:dyDescent="0.25">
      <c r="A4585" t="s">
        <v>4641</v>
      </c>
      <c r="B4585" s="1">
        <v>46181</v>
      </c>
      <c r="C4585">
        <v>2026</v>
      </c>
      <c r="D4585">
        <v>6</v>
      </c>
      <c r="E4585" t="s">
        <v>585</v>
      </c>
      <c r="F4585" t="s">
        <v>358</v>
      </c>
      <c r="G4585" t="s">
        <v>55</v>
      </c>
      <c r="H4585" t="s">
        <v>32</v>
      </c>
      <c r="I4585" t="s">
        <v>45</v>
      </c>
      <c r="J4585">
        <v>75</v>
      </c>
      <c r="K4585">
        <v>819.29</v>
      </c>
      <c r="L4585">
        <v>61446.78</v>
      </c>
      <c r="M4585">
        <v>34350.57</v>
      </c>
      <c r="N4585">
        <v>7614.97</v>
      </c>
      <c r="O4585">
        <v>2656.33</v>
      </c>
      <c r="P4585">
        <v>1484.74</v>
      </c>
      <c r="Q4585">
        <v>1068.8800000000001</v>
      </c>
      <c r="R4585">
        <v>2865.35</v>
      </c>
      <c r="S4585">
        <v>1306.47</v>
      </c>
      <c r="T4585">
        <v>51347.31</v>
      </c>
      <c r="U4585">
        <v>27096.21</v>
      </c>
      <c r="V4585">
        <v>10099.469999999999</v>
      </c>
      <c r="W4585">
        <v>9292.2099999999991</v>
      </c>
      <c r="X4585">
        <v>60126.33</v>
      </c>
      <c r="Y4585">
        <v>54388.29</v>
      </c>
    </row>
    <row r="4586" spans="1:25" x14ac:dyDescent="0.25">
      <c r="A4586" t="s">
        <v>4642</v>
      </c>
      <c r="B4586" s="1">
        <v>46181</v>
      </c>
      <c r="C4586">
        <v>2026</v>
      </c>
      <c r="D4586">
        <v>6</v>
      </c>
      <c r="E4586" t="s">
        <v>585</v>
      </c>
      <c r="F4586" t="s">
        <v>358</v>
      </c>
      <c r="G4586" t="s">
        <v>55</v>
      </c>
      <c r="H4586" t="s">
        <v>32</v>
      </c>
      <c r="I4586" t="s">
        <v>33</v>
      </c>
      <c r="J4586">
        <v>87</v>
      </c>
      <c r="K4586">
        <v>1397.92</v>
      </c>
      <c r="L4586">
        <v>121619.24</v>
      </c>
      <c r="M4586">
        <v>62625.13</v>
      </c>
      <c r="N4586">
        <v>12647.92</v>
      </c>
      <c r="O4586">
        <v>7619.18</v>
      </c>
      <c r="P4586">
        <v>2749.52</v>
      </c>
      <c r="Q4586">
        <v>1795.44</v>
      </c>
      <c r="R4586">
        <v>5880.03</v>
      </c>
      <c r="S4586">
        <v>1104.52</v>
      </c>
      <c r="T4586">
        <v>94421.72</v>
      </c>
      <c r="U4586">
        <v>58994.12</v>
      </c>
      <c r="V4586">
        <v>27197.52</v>
      </c>
      <c r="W4586">
        <v>26282.69</v>
      </c>
      <c r="X4586">
        <v>125786.52</v>
      </c>
      <c r="Y4586">
        <v>88316.96</v>
      </c>
    </row>
    <row r="4587" spans="1:25" x14ac:dyDescent="0.25">
      <c r="A4587" t="s">
        <v>4643</v>
      </c>
      <c r="B4587" s="1">
        <v>46181</v>
      </c>
      <c r="C4587">
        <v>2026</v>
      </c>
      <c r="D4587">
        <v>6</v>
      </c>
      <c r="E4587" t="s">
        <v>585</v>
      </c>
      <c r="F4587" t="s">
        <v>358</v>
      </c>
      <c r="G4587" t="s">
        <v>55</v>
      </c>
      <c r="H4587" t="s">
        <v>53</v>
      </c>
      <c r="I4587" t="s">
        <v>45</v>
      </c>
      <c r="J4587">
        <v>33</v>
      </c>
      <c r="K4587">
        <v>1400.38</v>
      </c>
      <c r="L4587">
        <v>46212.59</v>
      </c>
      <c r="M4587">
        <v>29856.06</v>
      </c>
      <c r="N4587">
        <v>3237.73</v>
      </c>
      <c r="O4587">
        <v>1349.7</v>
      </c>
      <c r="P4587">
        <v>1885.1</v>
      </c>
      <c r="Q4587">
        <v>598.04</v>
      </c>
      <c r="R4587">
        <v>2769.43</v>
      </c>
      <c r="S4587">
        <v>518.03</v>
      </c>
      <c r="T4587">
        <v>40214.089999999997</v>
      </c>
      <c r="U4587">
        <v>16356.52</v>
      </c>
      <c r="V4587">
        <v>5998.5</v>
      </c>
      <c r="W4587">
        <v>5314.44</v>
      </c>
      <c r="X4587">
        <v>50594.58</v>
      </c>
      <c r="Y4587">
        <v>42924.38</v>
      </c>
    </row>
    <row r="4588" spans="1:25" x14ac:dyDescent="0.25">
      <c r="A4588" t="s">
        <v>4644</v>
      </c>
      <c r="B4588" s="1">
        <v>46182</v>
      </c>
      <c r="C4588">
        <v>2026</v>
      </c>
      <c r="D4588">
        <v>6</v>
      </c>
      <c r="E4588" t="s">
        <v>585</v>
      </c>
      <c r="F4588" t="s">
        <v>358</v>
      </c>
      <c r="G4588" t="s">
        <v>44</v>
      </c>
      <c r="H4588" t="s">
        <v>53</v>
      </c>
      <c r="I4588" t="s">
        <v>45</v>
      </c>
      <c r="J4588">
        <v>28</v>
      </c>
      <c r="K4588">
        <v>1285.5</v>
      </c>
      <c r="L4588">
        <v>35994.1</v>
      </c>
      <c r="M4588">
        <v>17424.12</v>
      </c>
      <c r="N4588">
        <v>4474.92</v>
      </c>
      <c r="O4588">
        <v>1762.48</v>
      </c>
      <c r="P4588">
        <v>873.64</v>
      </c>
      <c r="Q4588">
        <v>193.21</v>
      </c>
      <c r="R4588">
        <v>2292.63</v>
      </c>
      <c r="S4588">
        <v>569.32000000000005</v>
      </c>
      <c r="T4588">
        <v>27590.32</v>
      </c>
      <c r="U4588">
        <v>18569.98</v>
      </c>
      <c r="V4588">
        <v>8403.7800000000007</v>
      </c>
      <c r="W4588">
        <v>7911.62</v>
      </c>
      <c r="X4588">
        <v>33393.69</v>
      </c>
      <c r="Y4588">
        <v>27130.1</v>
      </c>
    </row>
    <row r="4589" spans="1:25" x14ac:dyDescent="0.25">
      <c r="A4589" t="s">
        <v>4645</v>
      </c>
      <c r="B4589" s="1">
        <v>46182</v>
      </c>
      <c r="C4589">
        <v>2026</v>
      </c>
      <c r="D4589">
        <v>6</v>
      </c>
      <c r="E4589" t="s">
        <v>585</v>
      </c>
      <c r="F4589" t="s">
        <v>358</v>
      </c>
      <c r="G4589" t="s">
        <v>44</v>
      </c>
      <c r="H4589" t="s">
        <v>29</v>
      </c>
      <c r="I4589" t="s">
        <v>65</v>
      </c>
      <c r="J4589">
        <v>38</v>
      </c>
      <c r="K4589">
        <v>1348.65</v>
      </c>
      <c r="L4589">
        <v>51248.83</v>
      </c>
      <c r="M4589">
        <v>25696.92</v>
      </c>
      <c r="N4589">
        <v>4406.2</v>
      </c>
      <c r="O4589">
        <v>3301.99</v>
      </c>
      <c r="P4589">
        <v>915.45</v>
      </c>
      <c r="Q4589">
        <v>737.29</v>
      </c>
      <c r="R4589">
        <v>2276.2600000000002</v>
      </c>
      <c r="S4589">
        <v>1149.3699999999999</v>
      </c>
      <c r="T4589">
        <v>38483.47</v>
      </c>
      <c r="U4589">
        <v>25551.91</v>
      </c>
      <c r="V4589">
        <v>12765.36</v>
      </c>
      <c r="W4589">
        <v>11617.47</v>
      </c>
      <c r="X4589">
        <v>49977.39</v>
      </c>
      <c r="Y4589">
        <v>40273.919999999998</v>
      </c>
    </row>
    <row r="4590" spans="1:25" x14ac:dyDescent="0.25">
      <c r="A4590" t="s">
        <v>4646</v>
      </c>
      <c r="B4590" s="1">
        <v>46183</v>
      </c>
      <c r="C4590">
        <v>2026</v>
      </c>
      <c r="D4590">
        <v>6</v>
      </c>
      <c r="E4590" t="s">
        <v>585</v>
      </c>
      <c r="F4590" t="s">
        <v>358</v>
      </c>
      <c r="G4590" t="s">
        <v>35</v>
      </c>
      <c r="H4590" t="s">
        <v>32</v>
      </c>
      <c r="I4590" t="s">
        <v>30</v>
      </c>
      <c r="J4590">
        <v>73</v>
      </c>
      <c r="K4590">
        <v>1114</v>
      </c>
      <c r="L4590">
        <v>81321.94</v>
      </c>
      <c r="M4590">
        <v>43007.19</v>
      </c>
      <c r="N4590">
        <v>10523.33</v>
      </c>
      <c r="O4590">
        <v>4841.4799999999996</v>
      </c>
      <c r="P4590">
        <v>3655.76</v>
      </c>
      <c r="Q4590">
        <v>867.35</v>
      </c>
      <c r="R4590">
        <v>2331.87</v>
      </c>
      <c r="S4590">
        <v>1992.5</v>
      </c>
      <c r="T4590">
        <v>67219.47</v>
      </c>
      <c r="U4590">
        <v>38314.75</v>
      </c>
      <c r="V4590">
        <v>14102.47</v>
      </c>
      <c r="W4590">
        <v>13798.83</v>
      </c>
      <c r="X4590">
        <v>86201.600000000006</v>
      </c>
      <c r="Y4590">
        <v>70558.89</v>
      </c>
    </row>
    <row r="4591" spans="1:25" x14ac:dyDescent="0.25">
      <c r="A4591" t="s">
        <v>4647</v>
      </c>
      <c r="B4591" s="1">
        <v>46183</v>
      </c>
      <c r="C4591">
        <v>2026</v>
      </c>
      <c r="D4591">
        <v>6</v>
      </c>
      <c r="E4591" t="s">
        <v>585</v>
      </c>
      <c r="F4591" t="s">
        <v>358</v>
      </c>
      <c r="G4591" t="s">
        <v>28</v>
      </c>
      <c r="H4591" t="s">
        <v>53</v>
      </c>
      <c r="I4591" t="s">
        <v>45</v>
      </c>
      <c r="J4591">
        <v>41</v>
      </c>
      <c r="K4591">
        <v>1235.6300000000001</v>
      </c>
      <c r="L4591">
        <v>50660.87</v>
      </c>
      <c r="M4591">
        <v>29461.9</v>
      </c>
      <c r="N4591">
        <v>5053.45</v>
      </c>
      <c r="O4591">
        <v>2666.55</v>
      </c>
      <c r="P4591">
        <v>854.51</v>
      </c>
      <c r="Q4591">
        <v>549.87</v>
      </c>
      <c r="R4591">
        <v>2908.61</v>
      </c>
      <c r="S4591">
        <v>1025.55</v>
      </c>
      <c r="T4591">
        <v>42520.44</v>
      </c>
      <c r="U4591">
        <v>21198.97</v>
      </c>
      <c r="V4591">
        <v>8140.43</v>
      </c>
      <c r="W4591">
        <v>8110.61</v>
      </c>
      <c r="X4591">
        <v>48837.69</v>
      </c>
      <c r="Y4591">
        <v>39769.410000000003</v>
      </c>
    </row>
    <row r="4592" spans="1:25" x14ac:dyDescent="0.25">
      <c r="A4592" t="s">
        <v>4648</v>
      </c>
      <c r="B4592" s="1">
        <v>46183</v>
      </c>
      <c r="C4592">
        <v>2026</v>
      </c>
      <c r="D4592">
        <v>6</v>
      </c>
      <c r="E4592" t="s">
        <v>585</v>
      </c>
      <c r="F4592" t="s">
        <v>358</v>
      </c>
      <c r="G4592" t="s">
        <v>44</v>
      </c>
      <c r="H4592" t="s">
        <v>53</v>
      </c>
      <c r="I4592" t="s">
        <v>56</v>
      </c>
      <c r="J4592">
        <v>21</v>
      </c>
      <c r="K4592">
        <v>1665.52</v>
      </c>
      <c r="L4592">
        <v>34975.97</v>
      </c>
      <c r="M4592">
        <v>23376.18</v>
      </c>
      <c r="N4592">
        <v>2979.57</v>
      </c>
      <c r="O4592">
        <v>2596.44</v>
      </c>
      <c r="P4592">
        <v>677.69</v>
      </c>
      <c r="Q4592">
        <v>534.99</v>
      </c>
      <c r="R4592">
        <v>1231.6500000000001</v>
      </c>
      <c r="S4592">
        <v>471.89</v>
      </c>
      <c r="T4592">
        <v>31868.41</v>
      </c>
      <c r="U4592">
        <v>11599.79</v>
      </c>
      <c r="V4592">
        <v>3107.56</v>
      </c>
      <c r="W4592">
        <v>2936.27</v>
      </c>
      <c r="X4592">
        <v>37621.82</v>
      </c>
      <c r="Y4592">
        <v>34413.050000000003</v>
      </c>
    </row>
    <row r="4593" spans="1:25" x14ac:dyDescent="0.25">
      <c r="A4593" t="s">
        <v>4649</v>
      </c>
      <c r="B4593" s="1">
        <v>46183</v>
      </c>
      <c r="C4593">
        <v>2026</v>
      </c>
      <c r="D4593">
        <v>6</v>
      </c>
      <c r="E4593" t="s">
        <v>585</v>
      </c>
      <c r="F4593" t="s">
        <v>358</v>
      </c>
      <c r="G4593" t="s">
        <v>55</v>
      </c>
      <c r="H4593" t="s">
        <v>29</v>
      </c>
      <c r="I4593" t="s">
        <v>30</v>
      </c>
      <c r="J4593">
        <v>69</v>
      </c>
      <c r="K4593">
        <v>1387.17</v>
      </c>
      <c r="L4593">
        <v>95714.74</v>
      </c>
      <c r="M4593">
        <v>51977.11</v>
      </c>
      <c r="N4593">
        <v>10307.84</v>
      </c>
      <c r="O4593">
        <v>4405.7</v>
      </c>
      <c r="P4593">
        <v>2768.96</v>
      </c>
      <c r="Q4593">
        <v>1529.64</v>
      </c>
      <c r="R4593">
        <v>3263.42</v>
      </c>
      <c r="S4593">
        <v>1093.0999999999999</v>
      </c>
      <c r="T4593">
        <v>75345.75</v>
      </c>
      <c r="U4593">
        <v>43737.64</v>
      </c>
      <c r="V4593">
        <v>20368.990000000002</v>
      </c>
      <c r="W4593">
        <v>19681.57</v>
      </c>
      <c r="X4593">
        <v>95045.88</v>
      </c>
      <c r="Y4593">
        <v>81319.320000000007</v>
      </c>
    </row>
    <row r="4594" spans="1:25" x14ac:dyDescent="0.25">
      <c r="A4594" t="s">
        <v>4650</v>
      </c>
      <c r="B4594" s="1">
        <v>46183</v>
      </c>
      <c r="C4594">
        <v>2026</v>
      </c>
      <c r="D4594">
        <v>6</v>
      </c>
      <c r="E4594" t="s">
        <v>585</v>
      </c>
      <c r="F4594" t="s">
        <v>358</v>
      </c>
      <c r="G4594" t="s">
        <v>44</v>
      </c>
      <c r="H4594" t="s">
        <v>53</v>
      </c>
      <c r="I4594" t="s">
        <v>39</v>
      </c>
      <c r="J4594">
        <v>30</v>
      </c>
      <c r="K4594">
        <v>1219.05</v>
      </c>
      <c r="L4594">
        <v>36571.5</v>
      </c>
      <c r="M4594">
        <v>21113.7</v>
      </c>
      <c r="N4594">
        <v>3109.51</v>
      </c>
      <c r="O4594">
        <v>2240.3200000000002</v>
      </c>
      <c r="P4594">
        <v>1178.1300000000001</v>
      </c>
      <c r="Q4594">
        <v>283.49</v>
      </c>
      <c r="R4594">
        <v>2193.44</v>
      </c>
      <c r="S4594">
        <v>343.69</v>
      </c>
      <c r="T4594">
        <v>30462.27</v>
      </c>
      <c r="U4594">
        <v>15457.8</v>
      </c>
      <c r="V4594">
        <v>6109.23</v>
      </c>
      <c r="W4594">
        <v>6093.89</v>
      </c>
      <c r="X4594">
        <v>39036.910000000003</v>
      </c>
      <c r="Y4594">
        <v>32174.48</v>
      </c>
    </row>
    <row r="4595" spans="1:25" x14ac:dyDescent="0.25">
      <c r="A4595" t="s">
        <v>4651</v>
      </c>
      <c r="B4595" s="1">
        <v>46183</v>
      </c>
      <c r="C4595">
        <v>2026</v>
      </c>
      <c r="D4595">
        <v>6</v>
      </c>
      <c r="E4595" t="s">
        <v>585</v>
      </c>
      <c r="F4595" t="s">
        <v>358</v>
      </c>
      <c r="G4595" t="s">
        <v>55</v>
      </c>
      <c r="H4595" t="s">
        <v>32</v>
      </c>
      <c r="I4595" t="s">
        <v>37</v>
      </c>
      <c r="J4595">
        <v>77</v>
      </c>
      <c r="K4595">
        <v>1288.44</v>
      </c>
      <c r="L4595">
        <v>99210.08</v>
      </c>
      <c r="M4595">
        <v>51565.84</v>
      </c>
      <c r="N4595">
        <v>9849.9699999999993</v>
      </c>
      <c r="O4595">
        <v>4708.7700000000004</v>
      </c>
      <c r="P4595">
        <v>1837.92</v>
      </c>
      <c r="Q4595">
        <v>863.5</v>
      </c>
      <c r="R4595">
        <v>4904.3</v>
      </c>
      <c r="S4595">
        <v>977.36</v>
      </c>
      <c r="T4595">
        <v>74707.66</v>
      </c>
      <c r="U4595">
        <v>47644.24</v>
      </c>
      <c r="V4595">
        <v>24502.43</v>
      </c>
      <c r="W4595">
        <v>23458.36</v>
      </c>
      <c r="X4595">
        <v>110642.18</v>
      </c>
      <c r="Y4595">
        <v>74117.600000000006</v>
      </c>
    </row>
    <row r="4596" spans="1:25" x14ac:dyDescent="0.25">
      <c r="A4596" t="s">
        <v>4652</v>
      </c>
      <c r="B4596" s="1">
        <v>46183</v>
      </c>
      <c r="C4596">
        <v>2026</v>
      </c>
      <c r="D4596">
        <v>6</v>
      </c>
      <c r="E4596" t="s">
        <v>585</v>
      </c>
      <c r="F4596" t="s">
        <v>358</v>
      </c>
      <c r="G4596" t="s">
        <v>44</v>
      </c>
      <c r="H4596" t="s">
        <v>36</v>
      </c>
      <c r="I4596" t="s">
        <v>33</v>
      </c>
      <c r="J4596">
        <v>36</v>
      </c>
      <c r="K4596">
        <v>1672.79</v>
      </c>
      <c r="L4596">
        <v>60220.32</v>
      </c>
      <c r="M4596">
        <v>35338.370000000003</v>
      </c>
      <c r="N4596">
        <v>5558.54</v>
      </c>
      <c r="O4596">
        <v>3864</v>
      </c>
      <c r="P4596">
        <v>1163.44</v>
      </c>
      <c r="Q4596">
        <v>904.82</v>
      </c>
      <c r="R4596">
        <v>1990.27</v>
      </c>
      <c r="S4596">
        <v>954.44</v>
      </c>
      <c r="T4596">
        <v>49773.87</v>
      </c>
      <c r="U4596">
        <v>24881.95</v>
      </c>
      <c r="V4596">
        <v>10446.450000000001</v>
      </c>
      <c r="W4596">
        <v>9197.9699999999993</v>
      </c>
      <c r="X4596">
        <v>65355.88</v>
      </c>
      <c r="Y4596">
        <v>51841.16</v>
      </c>
    </row>
    <row r="4597" spans="1:25" x14ac:dyDescent="0.25">
      <c r="A4597" t="s">
        <v>4653</v>
      </c>
      <c r="B4597" s="1">
        <v>46183</v>
      </c>
      <c r="C4597">
        <v>2026</v>
      </c>
      <c r="D4597">
        <v>6</v>
      </c>
      <c r="E4597" t="s">
        <v>585</v>
      </c>
      <c r="F4597" t="s">
        <v>358</v>
      </c>
      <c r="G4597" t="s">
        <v>44</v>
      </c>
      <c r="H4597" t="s">
        <v>29</v>
      </c>
      <c r="I4597" t="s">
        <v>37</v>
      </c>
      <c r="J4597">
        <v>37</v>
      </c>
      <c r="K4597">
        <v>1637.31</v>
      </c>
      <c r="L4597">
        <v>60580.38</v>
      </c>
      <c r="M4597">
        <v>37630.629999999997</v>
      </c>
      <c r="N4597">
        <v>6568.16</v>
      </c>
      <c r="O4597">
        <v>3436.12</v>
      </c>
      <c r="P4597">
        <v>1971.54</v>
      </c>
      <c r="Q4597">
        <v>793.97</v>
      </c>
      <c r="R4597">
        <v>1735.06</v>
      </c>
      <c r="S4597">
        <v>853.91</v>
      </c>
      <c r="T4597">
        <v>52989.38</v>
      </c>
      <c r="U4597">
        <v>22949.75</v>
      </c>
      <c r="V4597">
        <v>7591</v>
      </c>
      <c r="W4597">
        <v>7648.65</v>
      </c>
      <c r="X4597">
        <v>62602.69</v>
      </c>
      <c r="Y4597">
        <v>54714.98</v>
      </c>
    </row>
    <row r="4598" spans="1:25" x14ac:dyDescent="0.25">
      <c r="A4598" t="s">
        <v>4654</v>
      </c>
      <c r="B4598" s="1">
        <v>46183</v>
      </c>
      <c r="C4598">
        <v>2026</v>
      </c>
      <c r="D4598">
        <v>6</v>
      </c>
      <c r="E4598" t="s">
        <v>585</v>
      </c>
      <c r="F4598" t="s">
        <v>358</v>
      </c>
      <c r="G4598" t="s">
        <v>28</v>
      </c>
      <c r="H4598" t="s">
        <v>36</v>
      </c>
      <c r="I4598" t="s">
        <v>30</v>
      </c>
      <c r="J4598">
        <v>84</v>
      </c>
      <c r="K4598">
        <v>1041.1099999999999</v>
      </c>
      <c r="L4598">
        <v>87453.15</v>
      </c>
      <c r="M4598">
        <v>43281.49</v>
      </c>
      <c r="N4598">
        <v>7465.33</v>
      </c>
      <c r="O4598">
        <v>2299.58</v>
      </c>
      <c r="P4598">
        <v>2854.04</v>
      </c>
      <c r="Q4598">
        <v>1174.1099999999999</v>
      </c>
      <c r="R4598">
        <v>3796.79</v>
      </c>
      <c r="S4598">
        <v>978.95</v>
      </c>
      <c r="T4598">
        <v>61850.29</v>
      </c>
      <c r="U4598">
        <v>44171.66</v>
      </c>
      <c r="V4598">
        <v>25602.86</v>
      </c>
      <c r="W4598">
        <v>23327.71</v>
      </c>
      <c r="X4598">
        <v>95924.9</v>
      </c>
      <c r="Y4598">
        <v>67173.77</v>
      </c>
    </row>
    <row r="4599" spans="1:25" x14ac:dyDescent="0.25">
      <c r="A4599" t="s">
        <v>4655</v>
      </c>
      <c r="B4599" s="1">
        <v>46184</v>
      </c>
      <c r="C4599">
        <v>2026</v>
      </c>
      <c r="D4599">
        <v>6</v>
      </c>
      <c r="E4599" t="s">
        <v>585</v>
      </c>
      <c r="F4599" t="s">
        <v>358</v>
      </c>
      <c r="G4599" t="s">
        <v>35</v>
      </c>
      <c r="H4599" t="s">
        <v>36</v>
      </c>
      <c r="I4599" t="s">
        <v>33</v>
      </c>
      <c r="J4599">
        <v>52</v>
      </c>
      <c r="K4599">
        <v>1107.6300000000001</v>
      </c>
      <c r="L4599">
        <v>57596.51</v>
      </c>
      <c r="M4599">
        <v>32015.01</v>
      </c>
      <c r="N4599">
        <v>6814.18</v>
      </c>
      <c r="O4599">
        <v>3402.19</v>
      </c>
      <c r="P4599">
        <v>2408.96</v>
      </c>
      <c r="Q4599">
        <v>843.81</v>
      </c>
      <c r="R4599">
        <v>2967.43</v>
      </c>
      <c r="S4599">
        <v>1247.8</v>
      </c>
      <c r="T4599">
        <v>49699.38</v>
      </c>
      <c r="U4599">
        <v>25581.5</v>
      </c>
      <c r="V4599">
        <v>7897.13</v>
      </c>
      <c r="W4599">
        <v>7422.6</v>
      </c>
      <c r="X4599">
        <v>53263.98</v>
      </c>
      <c r="Y4599">
        <v>48547.75</v>
      </c>
    </row>
    <row r="4600" spans="1:25" x14ac:dyDescent="0.25">
      <c r="A4600" t="s">
        <v>4656</v>
      </c>
      <c r="B4600" s="1">
        <v>46184</v>
      </c>
      <c r="C4600">
        <v>2026</v>
      </c>
      <c r="D4600">
        <v>6</v>
      </c>
      <c r="E4600" t="s">
        <v>585</v>
      </c>
      <c r="F4600" t="s">
        <v>358</v>
      </c>
      <c r="G4600" t="s">
        <v>28</v>
      </c>
      <c r="H4600" t="s">
        <v>29</v>
      </c>
      <c r="I4600" t="s">
        <v>33</v>
      </c>
      <c r="J4600">
        <v>43</v>
      </c>
      <c r="K4600">
        <v>1477.72</v>
      </c>
      <c r="L4600">
        <v>63542.04</v>
      </c>
      <c r="M4600">
        <v>38666.25</v>
      </c>
      <c r="N4600">
        <v>5119.13</v>
      </c>
      <c r="O4600">
        <v>3036.42</v>
      </c>
      <c r="P4600">
        <v>1216.1600000000001</v>
      </c>
      <c r="Q4600">
        <v>1003.08</v>
      </c>
      <c r="R4600">
        <v>3272.74</v>
      </c>
      <c r="S4600">
        <v>1107.7</v>
      </c>
      <c r="T4600">
        <v>53421.48</v>
      </c>
      <c r="U4600">
        <v>24875.79</v>
      </c>
      <c r="V4600">
        <v>10120.56</v>
      </c>
      <c r="W4600">
        <v>9606.61</v>
      </c>
      <c r="X4600">
        <v>70689.3</v>
      </c>
      <c r="Y4600">
        <v>51456.85</v>
      </c>
    </row>
    <row r="4601" spans="1:25" x14ac:dyDescent="0.25">
      <c r="A4601" t="s">
        <v>4657</v>
      </c>
      <c r="B4601" s="1">
        <v>46184</v>
      </c>
      <c r="C4601">
        <v>2026</v>
      </c>
      <c r="D4601">
        <v>6</v>
      </c>
      <c r="E4601" t="s">
        <v>585</v>
      </c>
      <c r="F4601" t="s">
        <v>358</v>
      </c>
      <c r="G4601" t="s">
        <v>28</v>
      </c>
      <c r="H4601" t="s">
        <v>32</v>
      </c>
      <c r="I4601" t="s">
        <v>50</v>
      </c>
      <c r="J4601">
        <v>33</v>
      </c>
      <c r="K4601">
        <v>1428.66</v>
      </c>
      <c r="L4601">
        <v>47145.77</v>
      </c>
      <c r="M4601">
        <v>29955.47</v>
      </c>
      <c r="N4601">
        <v>5627.24</v>
      </c>
      <c r="O4601">
        <v>1820.37</v>
      </c>
      <c r="P4601">
        <v>941.18</v>
      </c>
      <c r="Q4601">
        <v>503.76</v>
      </c>
      <c r="R4601">
        <v>2807.18</v>
      </c>
      <c r="S4601">
        <v>765.4</v>
      </c>
      <c r="T4601">
        <v>42420.6</v>
      </c>
      <c r="U4601">
        <v>17190.29</v>
      </c>
      <c r="V4601">
        <v>4725.16</v>
      </c>
      <c r="W4601">
        <v>4598.4399999999996</v>
      </c>
      <c r="X4601">
        <v>50589.440000000002</v>
      </c>
      <c r="Y4601">
        <v>42775.37</v>
      </c>
    </row>
    <row r="4602" spans="1:25" x14ac:dyDescent="0.25">
      <c r="A4602" t="s">
        <v>4658</v>
      </c>
      <c r="B4602" s="1">
        <v>46184</v>
      </c>
      <c r="C4602">
        <v>2026</v>
      </c>
      <c r="D4602">
        <v>6</v>
      </c>
      <c r="E4602" t="s">
        <v>585</v>
      </c>
      <c r="F4602" t="s">
        <v>358</v>
      </c>
      <c r="G4602" t="s">
        <v>55</v>
      </c>
      <c r="H4602" t="s">
        <v>36</v>
      </c>
      <c r="I4602" t="s">
        <v>65</v>
      </c>
      <c r="J4602">
        <v>45</v>
      </c>
      <c r="K4602">
        <v>1292.1500000000001</v>
      </c>
      <c r="L4602">
        <v>58146.91</v>
      </c>
      <c r="M4602">
        <v>30785.27</v>
      </c>
      <c r="N4602">
        <v>5129.8100000000004</v>
      </c>
      <c r="O4602">
        <v>3365.94</v>
      </c>
      <c r="P4602">
        <v>1760.13</v>
      </c>
      <c r="Q4602">
        <v>852.7</v>
      </c>
      <c r="R4602">
        <v>2082.64</v>
      </c>
      <c r="S4602">
        <v>932.04</v>
      </c>
      <c r="T4602">
        <v>44908.54</v>
      </c>
      <c r="U4602">
        <v>27361.64</v>
      </c>
      <c r="V4602">
        <v>13238.37</v>
      </c>
      <c r="W4602">
        <v>12642.82</v>
      </c>
      <c r="X4602">
        <v>59497.22</v>
      </c>
      <c r="Y4602">
        <v>46035.35</v>
      </c>
    </row>
    <row r="4603" spans="1:25" x14ac:dyDescent="0.25">
      <c r="A4603" t="s">
        <v>4659</v>
      </c>
      <c r="B4603" s="1">
        <v>46185</v>
      </c>
      <c r="C4603">
        <v>2026</v>
      </c>
      <c r="D4603">
        <v>6</v>
      </c>
      <c r="E4603" t="s">
        <v>585</v>
      </c>
      <c r="F4603" t="s">
        <v>358</v>
      </c>
      <c r="G4603" t="s">
        <v>35</v>
      </c>
      <c r="H4603" t="s">
        <v>32</v>
      </c>
      <c r="I4603" t="s">
        <v>65</v>
      </c>
      <c r="J4603">
        <v>29</v>
      </c>
      <c r="K4603">
        <v>1769.27</v>
      </c>
      <c r="L4603">
        <v>51308.93</v>
      </c>
      <c r="M4603">
        <v>28851.07</v>
      </c>
      <c r="N4603">
        <v>4762.45</v>
      </c>
      <c r="O4603">
        <v>1629.33</v>
      </c>
      <c r="P4603">
        <v>1923.13</v>
      </c>
      <c r="Q4603">
        <v>793.78</v>
      </c>
      <c r="R4603">
        <v>1467.62</v>
      </c>
      <c r="S4603">
        <v>913.38</v>
      </c>
      <c r="T4603">
        <v>40340.76</v>
      </c>
      <c r="U4603">
        <v>22457.87</v>
      </c>
      <c r="V4603">
        <v>10968.17</v>
      </c>
      <c r="W4603">
        <v>9654.33</v>
      </c>
      <c r="X4603">
        <v>53212.5</v>
      </c>
      <c r="Y4603">
        <v>39943.89</v>
      </c>
    </row>
    <row r="4604" spans="1:25" x14ac:dyDescent="0.25">
      <c r="A4604" t="s">
        <v>4660</v>
      </c>
      <c r="B4604" s="1">
        <v>46185</v>
      </c>
      <c r="C4604">
        <v>2026</v>
      </c>
      <c r="D4604">
        <v>6</v>
      </c>
      <c r="E4604" t="s">
        <v>585</v>
      </c>
      <c r="F4604" t="s">
        <v>358</v>
      </c>
      <c r="G4604" t="s">
        <v>55</v>
      </c>
      <c r="H4604" t="s">
        <v>53</v>
      </c>
      <c r="I4604" t="s">
        <v>56</v>
      </c>
      <c r="J4604">
        <v>18</v>
      </c>
      <c r="K4604">
        <v>1640.02</v>
      </c>
      <c r="L4604">
        <v>29520.29</v>
      </c>
      <c r="M4604">
        <v>16533.34</v>
      </c>
      <c r="N4604">
        <v>2598.27</v>
      </c>
      <c r="O4604">
        <v>1458.85</v>
      </c>
      <c r="P4604">
        <v>1024.47</v>
      </c>
      <c r="Q4604">
        <v>493.99</v>
      </c>
      <c r="R4604">
        <v>1591.53</v>
      </c>
      <c r="S4604">
        <v>391.86</v>
      </c>
      <c r="T4604">
        <v>24092.3</v>
      </c>
      <c r="U4604">
        <v>12986.95</v>
      </c>
      <c r="V4604">
        <v>5427.99</v>
      </c>
      <c r="W4604">
        <v>5052.76</v>
      </c>
      <c r="X4604">
        <v>28792.12</v>
      </c>
      <c r="Y4604">
        <v>26202.28</v>
      </c>
    </row>
    <row r="4605" spans="1:25" x14ac:dyDescent="0.25">
      <c r="A4605" t="s">
        <v>4661</v>
      </c>
      <c r="B4605" s="1">
        <v>46185</v>
      </c>
      <c r="C4605">
        <v>2026</v>
      </c>
      <c r="D4605">
        <v>6</v>
      </c>
      <c r="E4605" t="s">
        <v>585</v>
      </c>
      <c r="F4605" t="s">
        <v>358</v>
      </c>
      <c r="G4605" t="s">
        <v>44</v>
      </c>
      <c r="H4605" t="s">
        <v>53</v>
      </c>
      <c r="I4605" t="s">
        <v>30</v>
      </c>
      <c r="J4605">
        <v>58</v>
      </c>
      <c r="K4605">
        <v>1409.59</v>
      </c>
      <c r="L4605">
        <v>81756.09</v>
      </c>
      <c r="M4605">
        <v>45641.13</v>
      </c>
      <c r="N4605">
        <v>7250.1</v>
      </c>
      <c r="O4605">
        <v>3110.79</v>
      </c>
      <c r="P4605">
        <v>2649.66</v>
      </c>
      <c r="Q4605">
        <v>594.44000000000005</v>
      </c>
      <c r="R4605">
        <v>5232.41</v>
      </c>
      <c r="S4605">
        <v>998.68</v>
      </c>
      <c r="T4605">
        <v>65477.2</v>
      </c>
      <c r="U4605">
        <v>36114.959999999999</v>
      </c>
      <c r="V4605">
        <v>16278.88</v>
      </c>
      <c r="W4605">
        <v>16109.86</v>
      </c>
      <c r="X4605">
        <v>90554.68</v>
      </c>
      <c r="Y4605">
        <v>70129.820000000007</v>
      </c>
    </row>
    <row r="4606" spans="1:25" x14ac:dyDescent="0.25">
      <c r="A4606" t="s">
        <v>4662</v>
      </c>
      <c r="B4606" s="1">
        <v>46185</v>
      </c>
      <c r="C4606">
        <v>2026</v>
      </c>
      <c r="D4606">
        <v>6</v>
      </c>
      <c r="E4606" t="s">
        <v>585</v>
      </c>
      <c r="F4606" t="s">
        <v>358</v>
      </c>
      <c r="G4606" t="s">
        <v>28</v>
      </c>
      <c r="H4606" t="s">
        <v>32</v>
      </c>
      <c r="I4606" t="s">
        <v>56</v>
      </c>
      <c r="J4606">
        <v>42</v>
      </c>
      <c r="K4606">
        <v>1283.1199999999999</v>
      </c>
      <c r="L4606">
        <v>53891.02</v>
      </c>
      <c r="M4606">
        <v>26154.39</v>
      </c>
      <c r="N4606">
        <v>4229.59</v>
      </c>
      <c r="O4606">
        <v>1753.53</v>
      </c>
      <c r="P4606">
        <v>974.61</v>
      </c>
      <c r="Q4606">
        <v>803.79</v>
      </c>
      <c r="R4606">
        <v>2606.6999999999998</v>
      </c>
      <c r="S4606">
        <v>1155.77</v>
      </c>
      <c r="T4606">
        <v>37678.39</v>
      </c>
      <c r="U4606">
        <v>27736.63</v>
      </c>
      <c r="V4606">
        <v>16212.63</v>
      </c>
      <c r="W4606">
        <v>16245.86</v>
      </c>
      <c r="X4606">
        <v>55161.11</v>
      </c>
      <c r="Y4606">
        <v>36071.599999999999</v>
      </c>
    </row>
    <row r="4607" spans="1:25" x14ac:dyDescent="0.25">
      <c r="A4607" t="s">
        <v>4663</v>
      </c>
      <c r="B4607" s="1">
        <v>46186</v>
      </c>
      <c r="C4607">
        <v>2026</v>
      </c>
      <c r="D4607">
        <v>6</v>
      </c>
      <c r="E4607" t="s">
        <v>585</v>
      </c>
      <c r="F4607" t="s">
        <v>358</v>
      </c>
      <c r="G4607" t="s">
        <v>44</v>
      </c>
      <c r="H4607" t="s">
        <v>32</v>
      </c>
      <c r="I4607" t="s">
        <v>30</v>
      </c>
      <c r="J4607">
        <v>81</v>
      </c>
      <c r="K4607">
        <v>1173.6300000000001</v>
      </c>
      <c r="L4607">
        <v>95063.86</v>
      </c>
      <c r="M4607">
        <v>46375.46</v>
      </c>
      <c r="N4607">
        <v>6809.78</v>
      </c>
      <c r="O4607">
        <v>3958.93</v>
      </c>
      <c r="P4607">
        <v>3707.04</v>
      </c>
      <c r="Q4607">
        <v>1214.5899999999999</v>
      </c>
      <c r="R4607">
        <v>2469.9299999999998</v>
      </c>
      <c r="S4607">
        <v>1475.56</v>
      </c>
      <c r="T4607">
        <v>66011.28</v>
      </c>
      <c r="U4607">
        <v>48688.41</v>
      </c>
      <c r="V4607">
        <v>29052.58</v>
      </c>
      <c r="W4607">
        <v>29435.200000000001</v>
      </c>
      <c r="X4607">
        <v>103307.87</v>
      </c>
      <c r="Y4607">
        <v>65045.33</v>
      </c>
    </row>
    <row r="4608" spans="1:25" x14ac:dyDescent="0.25">
      <c r="A4608" t="s">
        <v>4664</v>
      </c>
      <c r="B4608" s="1">
        <v>46186</v>
      </c>
      <c r="C4608">
        <v>2026</v>
      </c>
      <c r="D4608">
        <v>6</v>
      </c>
      <c r="E4608" t="s">
        <v>585</v>
      </c>
      <c r="F4608" t="s">
        <v>358</v>
      </c>
      <c r="G4608" t="s">
        <v>28</v>
      </c>
      <c r="H4608" t="s">
        <v>32</v>
      </c>
      <c r="I4608" t="s">
        <v>39</v>
      </c>
      <c r="J4608">
        <v>28</v>
      </c>
      <c r="K4608">
        <v>1771.59</v>
      </c>
      <c r="L4608">
        <v>49604.66</v>
      </c>
      <c r="M4608">
        <v>25654.81</v>
      </c>
      <c r="N4608">
        <v>5663.99</v>
      </c>
      <c r="O4608">
        <v>2838.78</v>
      </c>
      <c r="P4608">
        <v>1083.56</v>
      </c>
      <c r="Q4608">
        <v>797.91</v>
      </c>
      <c r="R4608">
        <v>2884.71</v>
      </c>
      <c r="S4608">
        <v>787.75</v>
      </c>
      <c r="T4608">
        <v>39711.519999999997</v>
      </c>
      <c r="U4608">
        <v>23949.84</v>
      </c>
      <c r="V4608">
        <v>9893.14</v>
      </c>
      <c r="W4608">
        <v>9070.23</v>
      </c>
      <c r="X4608">
        <v>49534.81</v>
      </c>
      <c r="Y4608">
        <v>42913.16</v>
      </c>
    </row>
    <row r="4609" spans="1:25" x14ac:dyDescent="0.25">
      <c r="A4609" t="s">
        <v>4665</v>
      </c>
      <c r="B4609" s="1">
        <v>46187</v>
      </c>
      <c r="C4609">
        <v>2026</v>
      </c>
      <c r="D4609">
        <v>6</v>
      </c>
      <c r="E4609" t="s">
        <v>585</v>
      </c>
      <c r="F4609" t="s">
        <v>358</v>
      </c>
      <c r="G4609" t="s">
        <v>28</v>
      </c>
      <c r="H4609" t="s">
        <v>36</v>
      </c>
      <c r="I4609" t="s">
        <v>65</v>
      </c>
      <c r="J4609">
        <v>53</v>
      </c>
      <c r="K4609">
        <v>1352.35</v>
      </c>
      <c r="L4609">
        <v>71674.44</v>
      </c>
      <c r="M4609">
        <v>35312.35</v>
      </c>
      <c r="N4609">
        <v>5198.12</v>
      </c>
      <c r="O4609">
        <v>3900.4</v>
      </c>
      <c r="P4609">
        <v>1342.52</v>
      </c>
      <c r="Q4609">
        <v>871.59</v>
      </c>
      <c r="R4609">
        <v>3695.73</v>
      </c>
      <c r="S4609">
        <v>1036.73</v>
      </c>
      <c r="T4609">
        <v>51357.440000000002</v>
      </c>
      <c r="U4609">
        <v>36362.1</v>
      </c>
      <c r="V4609">
        <v>20317</v>
      </c>
      <c r="W4609">
        <v>17998.25</v>
      </c>
      <c r="X4609">
        <v>72781.75</v>
      </c>
      <c r="Y4609">
        <v>51697.5</v>
      </c>
    </row>
    <row r="4610" spans="1:25" x14ac:dyDescent="0.25">
      <c r="A4610" t="s">
        <v>4666</v>
      </c>
      <c r="B4610" s="1">
        <v>46187</v>
      </c>
      <c r="C4610">
        <v>2026</v>
      </c>
      <c r="D4610">
        <v>6</v>
      </c>
      <c r="E4610" t="s">
        <v>585</v>
      </c>
      <c r="F4610" t="s">
        <v>358</v>
      </c>
      <c r="G4610" t="s">
        <v>35</v>
      </c>
      <c r="H4610" t="s">
        <v>29</v>
      </c>
      <c r="I4610" t="s">
        <v>45</v>
      </c>
      <c r="J4610">
        <v>36</v>
      </c>
      <c r="K4610">
        <v>856.45</v>
      </c>
      <c r="L4610">
        <v>30832.14</v>
      </c>
      <c r="M4610">
        <v>18998.38</v>
      </c>
      <c r="N4610">
        <v>2496.5500000000002</v>
      </c>
      <c r="O4610">
        <v>1108.93</v>
      </c>
      <c r="P4610">
        <v>1140.83</v>
      </c>
      <c r="Q4610">
        <v>186.16</v>
      </c>
      <c r="R4610">
        <v>1073.76</v>
      </c>
      <c r="S4610">
        <v>715.26</v>
      </c>
      <c r="T4610">
        <v>25719.87</v>
      </c>
      <c r="U4610">
        <v>11833.75</v>
      </c>
      <c r="V4610">
        <v>5112.2700000000004</v>
      </c>
      <c r="W4610">
        <v>4793.05</v>
      </c>
      <c r="X4610">
        <v>32599.47</v>
      </c>
      <c r="Y4610">
        <v>24348.33</v>
      </c>
    </row>
    <row r="4611" spans="1:25" x14ac:dyDescent="0.25">
      <c r="A4611" t="s">
        <v>4667</v>
      </c>
      <c r="B4611" s="1">
        <v>46187</v>
      </c>
      <c r="C4611">
        <v>2026</v>
      </c>
      <c r="D4611">
        <v>6</v>
      </c>
      <c r="E4611" t="s">
        <v>585</v>
      </c>
      <c r="F4611" t="s">
        <v>358</v>
      </c>
      <c r="G4611" t="s">
        <v>44</v>
      </c>
      <c r="H4611" t="s">
        <v>32</v>
      </c>
      <c r="I4611" t="s">
        <v>65</v>
      </c>
      <c r="J4611">
        <v>81</v>
      </c>
      <c r="K4611">
        <v>1028.3399999999999</v>
      </c>
      <c r="L4611">
        <v>83295.83</v>
      </c>
      <c r="M4611">
        <v>48811.18</v>
      </c>
      <c r="N4611">
        <v>5920.55</v>
      </c>
      <c r="O4611">
        <v>3122.18</v>
      </c>
      <c r="P4611">
        <v>1909.12</v>
      </c>
      <c r="Q4611">
        <v>680.65</v>
      </c>
      <c r="R4611">
        <v>4841.59</v>
      </c>
      <c r="S4611">
        <v>1426.2</v>
      </c>
      <c r="T4611">
        <v>66711.47</v>
      </c>
      <c r="U4611">
        <v>34484.65</v>
      </c>
      <c r="V4611">
        <v>16584.349999999999</v>
      </c>
      <c r="W4611">
        <v>16615.72</v>
      </c>
      <c r="X4611">
        <v>84732.93</v>
      </c>
      <c r="Y4611">
        <v>67722.42</v>
      </c>
    </row>
    <row r="4612" spans="1:25" x14ac:dyDescent="0.25">
      <c r="A4612" t="s">
        <v>4668</v>
      </c>
      <c r="B4612" s="1">
        <v>46187</v>
      </c>
      <c r="C4612">
        <v>2026</v>
      </c>
      <c r="D4612">
        <v>6</v>
      </c>
      <c r="E4612" t="s">
        <v>585</v>
      </c>
      <c r="F4612" t="s">
        <v>358</v>
      </c>
      <c r="G4612" t="s">
        <v>44</v>
      </c>
      <c r="H4612" t="s">
        <v>32</v>
      </c>
      <c r="I4612" t="s">
        <v>33</v>
      </c>
      <c r="J4612">
        <v>66</v>
      </c>
      <c r="K4612">
        <v>1533.09</v>
      </c>
      <c r="L4612">
        <v>101183.65</v>
      </c>
      <c r="M4612">
        <v>65755.59</v>
      </c>
      <c r="N4612">
        <v>7927.18</v>
      </c>
      <c r="O4612">
        <v>7056.25</v>
      </c>
      <c r="P4612">
        <v>2152.08</v>
      </c>
      <c r="Q4612">
        <v>1358.24</v>
      </c>
      <c r="R4612">
        <v>2767.18</v>
      </c>
      <c r="S4612">
        <v>961.78</v>
      </c>
      <c r="T4612">
        <v>87978.3</v>
      </c>
      <c r="U4612">
        <v>35428.07</v>
      </c>
      <c r="V4612">
        <v>13205.36</v>
      </c>
      <c r="W4612">
        <v>12423.76</v>
      </c>
      <c r="X4612">
        <v>113272.7</v>
      </c>
      <c r="Y4612">
        <v>89303.16</v>
      </c>
    </row>
    <row r="4613" spans="1:25" x14ac:dyDescent="0.25">
      <c r="A4613" t="s">
        <v>4669</v>
      </c>
      <c r="B4613" s="1">
        <v>46187</v>
      </c>
      <c r="C4613">
        <v>2026</v>
      </c>
      <c r="D4613">
        <v>6</v>
      </c>
      <c r="E4613" t="s">
        <v>585</v>
      </c>
      <c r="F4613" t="s">
        <v>358</v>
      </c>
      <c r="G4613" t="s">
        <v>55</v>
      </c>
      <c r="H4613" t="s">
        <v>58</v>
      </c>
      <c r="I4613" t="s">
        <v>33</v>
      </c>
      <c r="J4613">
        <v>44</v>
      </c>
      <c r="K4613">
        <v>1640.58</v>
      </c>
      <c r="L4613">
        <v>72185.5</v>
      </c>
      <c r="M4613">
        <v>46782.29</v>
      </c>
      <c r="N4613">
        <v>8508.7999999999993</v>
      </c>
      <c r="O4613">
        <v>4494.1899999999996</v>
      </c>
      <c r="P4613">
        <v>1953.6</v>
      </c>
      <c r="Q4613">
        <v>1252.6300000000001</v>
      </c>
      <c r="R4613">
        <v>4661.33</v>
      </c>
      <c r="S4613">
        <v>1649</v>
      </c>
      <c r="T4613">
        <v>69301.84</v>
      </c>
      <c r="U4613">
        <v>25403.21</v>
      </c>
      <c r="V4613">
        <v>2883.66</v>
      </c>
      <c r="W4613">
        <v>2601.33</v>
      </c>
      <c r="X4613">
        <v>66519.350000000006</v>
      </c>
      <c r="Y4613">
        <v>69519.490000000005</v>
      </c>
    </row>
    <row r="4614" spans="1:25" x14ac:dyDescent="0.25">
      <c r="A4614" t="s">
        <v>4670</v>
      </c>
      <c r="B4614" s="1">
        <v>46187</v>
      </c>
      <c r="C4614">
        <v>2026</v>
      </c>
      <c r="D4614">
        <v>6</v>
      </c>
      <c r="E4614" t="s">
        <v>585</v>
      </c>
      <c r="F4614" t="s">
        <v>358</v>
      </c>
      <c r="G4614" t="s">
        <v>35</v>
      </c>
      <c r="H4614" t="s">
        <v>32</v>
      </c>
      <c r="I4614" t="s">
        <v>33</v>
      </c>
      <c r="J4614">
        <v>67</v>
      </c>
      <c r="K4614">
        <v>1346.11</v>
      </c>
      <c r="L4614">
        <v>90189.5</v>
      </c>
      <c r="M4614">
        <v>57073.48</v>
      </c>
      <c r="N4614">
        <v>6436.18</v>
      </c>
      <c r="O4614">
        <v>6468.39</v>
      </c>
      <c r="P4614">
        <v>3048.41</v>
      </c>
      <c r="Q4614">
        <v>722.09</v>
      </c>
      <c r="R4614">
        <v>5239.05</v>
      </c>
      <c r="S4614">
        <v>1164.27</v>
      </c>
      <c r="T4614">
        <v>80151.88</v>
      </c>
      <c r="U4614">
        <v>33116.019999999997</v>
      </c>
      <c r="V4614">
        <v>10037.620000000001</v>
      </c>
      <c r="W4614">
        <v>10071.84</v>
      </c>
      <c r="X4614">
        <v>83942.92</v>
      </c>
      <c r="Y4614">
        <v>76391.59</v>
      </c>
    </row>
    <row r="4615" spans="1:25" x14ac:dyDescent="0.25">
      <c r="A4615" t="s">
        <v>4671</v>
      </c>
      <c r="B4615" s="1">
        <v>46189</v>
      </c>
      <c r="C4615">
        <v>2026</v>
      </c>
      <c r="D4615">
        <v>6</v>
      </c>
      <c r="E4615" t="s">
        <v>585</v>
      </c>
      <c r="F4615" t="s">
        <v>358</v>
      </c>
      <c r="G4615" t="s">
        <v>55</v>
      </c>
      <c r="H4615" t="s">
        <v>29</v>
      </c>
      <c r="I4615" t="s">
        <v>45</v>
      </c>
      <c r="J4615">
        <v>37</v>
      </c>
      <c r="K4615">
        <v>1132.1199999999999</v>
      </c>
      <c r="L4615">
        <v>41888.26</v>
      </c>
      <c r="M4615">
        <v>23363.65</v>
      </c>
      <c r="N4615">
        <v>3480.61</v>
      </c>
      <c r="O4615">
        <v>2271.33</v>
      </c>
      <c r="P4615">
        <v>1437.33</v>
      </c>
      <c r="Q4615">
        <v>397.55</v>
      </c>
      <c r="R4615">
        <v>2632.26</v>
      </c>
      <c r="S4615">
        <v>656.76</v>
      </c>
      <c r="T4615">
        <v>34239.49</v>
      </c>
      <c r="U4615">
        <v>18524.61</v>
      </c>
      <c r="V4615">
        <v>7648.76</v>
      </c>
      <c r="W4615">
        <v>7070.08</v>
      </c>
      <c r="X4615">
        <v>39216.050000000003</v>
      </c>
      <c r="Y4615">
        <v>36852.400000000001</v>
      </c>
    </row>
    <row r="4616" spans="1:25" x14ac:dyDescent="0.25">
      <c r="A4616" t="s">
        <v>4672</v>
      </c>
      <c r="B4616" s="1">
        <v>46189</v>
      </c>
      <c r="C4616">
        <v>2026</v>
      </c>
      <c r="D4616">
        <v>6</v>
      </c>
      <c r="E4616" t="s">
        <v>585</v>
      </c>
      <c r="F4616" t="s">
        <v>358</v>
      </c>
      <c r="G4616" t="s">
        <v>55</v>
      </c>
      <c r="H4616" t="s">
        <v>53</v>
      </c>
      <c r="I4616" t="s">
        <v>45</v>
      </c>
      <c r="J4616">
        <v>50</v>
      </c>
      <c r="K4616">
        <v>1005.39</v>
      </c>
      <c r="L4616">
        <v>50269.39</v>
      </c>
      <c r="M4616">
        <v>25335.53</v>
      </c>
      <c r="N4616">
        <v>4754.1499999999996</v>
      </c>
      <c r="O4616">
        <v>2782.89</v>
      </c>
      <c r="P4616">
        <v>1966.71</v>
      </c>
      <c r="Q4616">
        <v>598.54</v>
      </c>
      <c r="R4616">
        <v>2823.05</v>
      </c>
      <c r="S4616">
        <v>949.74</v>
      </c>
      <c r="T4616">
        <v>39210.61</v>
      </c>
      <c r="U4616">
        <v>24933.87</v>
      </c>
      <c r="V4616">
        <v>11058.79</v>
      </c>
      <c r="W4616">
        <v>10864.77</v>
      </c>
      <c r="X4616">
        <v>49674.7</v>
      </c>
      <c r="Y4616">
        <v>42964.2</v>
      </c>
    </row>
    <row r="4617" spans="1:25" x14ac:dyDescent="0.25">
      <c r="A4617" t="s">
        <v>4673</v>
      </c>
      <c r="B4617" s="1">
        <v>46189</v>
      </c>
      <c r="C4617">
        <v>2026</v>
      </c>
      <c r="D4617">
        <v>6</v>
      </c>
      <c r="E4617" t="s">
        <v>585</v>
      </c>
      <c r="F4617" t="s">
        <v>358</v>
      </c>
      <c r="G4617" t="s">
        <v>55</v>
      </c>
      <c r="H4617" t="s">
        <v>53</v>
      </c>
      <c r="I4617" t="s">
        <v>33</v>
      </c>
      <c r="J4617">
        <v>64</v>
      </c>
      <c r="K4617">
        <v>1105.99</v>
      </c>
      <c r="L4617">
        <v>70783.55</v>
      </c>
      <c r="M4617">
        <v>43103.8</v>
      </c>
      <c r="N4617">
        <v>9006.7900000000009</v>
      </c>
      <c r="O4617">
        <v>3856.47</v>
      </c>
      <c r="P4617">
        <v>1332.08</v>
      </c>
      <c r="Q4617">
        <v>428.45</v>
      </c>
      <c r="R4617">
        <v>4334.3100000000004</v>
      </c>
      <c r="S4617">
        <v>1740.2</v>
      </c>
      <c r="T4617">
        <v>63802.080000000002</v>
      </c>
      <c r="U4617">
        <v>27679.759999999998</v>
      </c>
      <c r="V4617">
        <v>6981.47</v>
      </c>
      <c r="W4617">
        <v>6162.29</v>
      </c>
      <c r="X4617">
        <v>70488.89</v>
      </c>
      <c r="Y4617">
        <v>63856.82</v>
      </c>
    </row>
    <row r="4618" spans="1:25" x14ac:dyDescent="0.25">
      <c r="A4618" t="s">
        <v>4674</v>
      </c>
      <c r="B4618" s="1">
        <v>46189</v>
      </c>
      <c r="C4618">
        <v>2026</v>
      </c>
      <c r="D4618">
        <v>6</v>
      </c>
      <c r="E4618" t="s">
        <v>585</v>
      </c>
      <c r="F4618" t="s">
        <v>358</v>
      </c>
      <c r="G4618" t="s">
        <v>55</v>
      </c>
      <c r="H4618" t="s">
        <v>32</v>
      </c>
      <c r="I4618" t="s">
        <v>65</v>
      </c>
      <c r="J4618">
        <v>79</v>
      </c>
      <c r="K4618">
        <v>798.34</v>
      </c>
      <c r="L4618">
        <v>63068.62</v>
      </c>
      <c r="M4618">
        <v>32234.51</v>
      </c>
      <c r="N4618">
        <v>4838.8900000000003</v>
      </c>
      <c r="O4618">
        <v>2585.9499999999998</v>
      </c>
      <c r="P4618">
        <v>1999.19</v>
      </c>
      <c r="Q4618">
        <v>724.53</v>
      </c>
      <c r="R4618">
        <v>3384.06</v>
      </c>
      <c r="S4618">
        <v>588.87</v>
      </c>
      <c r="T4618">
        <v>46356.01</v>
      </c>
      <c r="U4618">
        <v>30834.11</v>
      </c>
      <c r="V4618">
        <v>16712.61</v>
      </c>
      <c r="W4618">
        <v>16112.3</v>
      </c>
      <c r="X4618">
        <v>61543.82</v>
      </c>
      <c r="Y4618">
        <v>49334.96</v>
      </c>
    </row>
    <row r="4619" spans="1:25" x14ac:dyDescent="0.25">
      <c r="A4619" t="s">
        <v>4675</v>
      </c>
      <c r="B4619" s="1">
        <v>46189</v>
      </c>
      <c r="C4619">
        <v>2026</v>
      </c>
      <c r="D4619">
        <v>6</v>
      </c>
      <c r="E4619" t="s">
        <v>585</v>
      </c>
      <c r="F4619" t="s">
        <v>358</v>
      </c>
      <c r="G4619" t="s">
        <v>35</v>
      </c>
      <c r="H4619" t="s">
        <v>53</v>
      </c>
      <c r="I4619" t="s">
        <v>50</v>
      </c>
      <c r="J4619">
        <v>41</v>
      </c>
      <c r="K4619">
        <v>1010.99</v>
      </c>
      <c r="L4619">
        <v>41450.559999999998</v>
      </c>
      <c r="M4619">
        <v>24182.01</v>
      </c>
      <c r="N4619">
        <v>4159.1499999999996</v>
      </c>
      <c r="O4619">
        <v>1904.01</v>
      </c>
      <c r="P4619">
        <v>935.64</v>
      </c>
      <c r="Q4619">
        <v>254.24</v>
      </c>
      <c r="R4619">
        <v>2120.46</v>
      </c>
      <c r="S4619">
        <v>624.78</v>
      </c>
      <c r="T4619">
        <v>34180.29</v>
      </c>
      <c r="U4619">
        <v>17268.55</v>
      </c>
      <c r="V4619">
        <v>7270.27</v>
      </c>
      <c r="W4619">
        <v>7191.28</v>
      </c>
      <c r="X4619">
        <v>41268.1</v>
      </c>
      <c r="Y4619">
        <v>33384.33</v>
      </c>
    </row>
    <row r="4620" spans="1:25" x14ac:dyDescent="0.25">
      <c r="A4620" t="s">
        <v>4676</v>
      </c>
      <c r="B4620" s="1">
        <v>46189</v>
      </c>
      <c r="C4620">
        <v>2026</v>
      </c>
      <c r="D4620">
        <v>6</v>
      </c>
      <c r="E4620" t="s">
        <v>585</v>
      </c>
      <c r="F4620" t="s">
        <v>358</v>
      </c>
      <c r="G4620" t="s">
        <v>55</v>
      </c>
      <c r="H4620" t="s">
        <v>36</v>
      </c>
      <c r="I4620" t="s">
        <v>50</v>
      </c>
      <c r="J4620">
        <v>65</v>
      </c>
      <c r="K4620">
        <v>961.96</v>
      </c>
      <c r="L4620">
        <v>62527.45</v>
      </c>
      <c r="M4620">
        <v>31882.79</v>
      </c>
      <c r="N4620">
        <v>7479.03</v>
      </c>
      <c r="O4620">
        <v>2251.92</v>
      </c>
      <c r="P4620">
        <v>1803.7</v>
      </c>
      <c r="Q4620">
        <v>1001.47</v>
      </c>
      <c r="R4620">
        <v>2888.05</v>
      </c>
      <c r="S4620">
        <v>1035.07</v>
      </c>
      <c r="T4620">
        <v>48342.04</v>
      </c>
      <c r="U4620">
        <v>30644.66</v>
      </c>
      <c r="V4620">
        <v>14185.4</v>
      </c>
      <c r="W4620">
        <v>14308.19</v>
      </c>
      <c r="X4620">
        <v>67316.710000000006</v>
      </c>
      <c r="Y4620">
        <v>47785.27</v>
      </c>
    </row>
    <row r="4621" spans="1:25" x14ac:dyDescent="0.25">
      <c r="A4621" t="s">
        <v>4677</v>
      </c>
      <c r="B4621" s="1">
        <v>46190</v>
      </c>
      <c r="C4621">
        <v>2026</v>
      </c>
      <c r="D4621">
        <v>6</v>
      </c>
      <c r="E4621" t="s">
        <v>585</v>
      </c>
      <c r="F4621" t="s">
        <v>358</v>
      </c>
      <c r="G4621" t="s">
        <v>28</v>
      </c>
      <c r="H4621" t="s">
        <v>32</v>
      </c>
      <c r="I4621" t="s">
        <v>37</v>
      </c>
      <c r="J4621">
        <v>96</v>
      </c>
      <c r="K4621">
        <v>843.63</v>
      </c>
      <c r="L4621">
        <v>80988.899999999994</v>
      </c>
      <c r="M4621">
        <v>39969.160000000003</v>
      </c>
      <c r="N4621">
        <v>7696.72</v>
      </c>
      <c r="O4621">
        <v>4417.0600000000004</v>
      </c>
      <c r="P4621">
        <v>3264.93</v>
      </c>
      <c r="Q4621">
        <v>1042.8</v>
      </c>
      <c r="R4621">
        <v>2030.54</v>
      </c>
      <c r="S4621">
        <v>1949.4</v>
      </c>
      <c r="T4621">
        <v>60370.61</v>
      </c>
      <c r="U4621">
        <v>41019.74</v>
      </c>
      <c r="V4621">
        <v>20618.29</v>
      </c>
      <c r="W4621">
        <v>19432.55</v>
      </c>
      <c r="X4621">
        <v>75132.45</v>
      </c>
      <c r="Y4621">
        <v>60689.65</v>
      </c>
    </row>
    <row r="4622" spans="1:25" x14ac:dyDescent="0.25">
      <c r="A4622" t="s">
        <v>4678</v>
      </c>
      <c r="B4622" s="1">
        <v>46190</v>
      </c>
      <c r="C4622">
        <v>2026</v>
      </c>
      <c r="D4622">
        <v>6</v>
      </c>
      <c r="E4622" t="s">
        <v>585</v>
      </c>
      <c r="F4622" t="s">
        <v>358</v>
      </c>
      <c r="G4622" t="s">
        <v>28</v>
      </c>
      <c r="H4622" t="s">
        <v>32</v>
      </c>
      <c r="I4622" t="s">
        <v>39</v>
      </c>
      <c r="J4622">
        <v>50</v>
      </c>
      <c r="K4622">
        <v>809.63</v>
      </c>
      <c r="L4622">
        <v>40481.440000000002</v>
      </c>
      <c r="M4622">
        <v>21762.41</v>
      </c>
      <c r="N4622">
        <v>4951.82</v>
      </c>
      <c r="O4622">
        <v>2282.31</v>
      </c>
      <c r="P4622">
        <v>1243.23</v>
      </c>
      <c r="Q4622">
        <v>248.68</v>
      </c>
      <c r="R4622">
        <v>1603.39</v>
      </c>
      <c r="S4622">
        <v>604.29999999999995</v>
      </c>
      <c r="T4622">
        <v>32696.14</v>
      </c>
      <c r="U4622">
        <v>18719.03</v>
      </c>
      <c r="V4622">
        <v>7785.29</v>
      </c>
      <c r="W4622">
        <v>7559.24</v>
      </c>
      <c r="X4622">
        <v>43183.85</v>
      </c>
      <c r="Y4622">
        <v>33409.699999999997</v>
      </c>
    </row>
    <row r="4623" spans="1:25" x14ac:dyDescent="0.25">
      <c r="A4623" t="s">
        <v>4679</v>
      </c>
      <c r="B4623" s="1">
        <v>46191</v>
      </c>
      <c r="C4623">
        <v>2026</v>
      </c>
      <c r="D4623">
        <v>6</v>
      </c>
      <c r="E4623" t="s">
        <v>585</v>
      </c>
      <c r="F4623" t="s">
        <v>358</v>
      </c>
      <c r="G4623" t="s">
        <v>35</v>
      </c>
      <c r="H4623" t="s">
        <v>58</v>
      </c>
      <c r="I4623" t="s">
        <v>37</v>
      </c>
      <c r="J4623">
        <v>60</v>
      </c>
      <c r="K4623">
        <v>844.68</v>
      </c>
      <c r="L4623">
        <v>50680.75</v>
      </c>
      <c r="M4623">
        <v>32860.31</v>
      </c>
      <c r="N4623">
        <v>3963.84</v>
      </c>
      <c r="O4623">
        <v>1970.55</v>
      </c>
      <c r="P4623">
        <v>1719.26</v>
      </c>
      <c r="Q4623">
        <v>770.89</v>
      </c>
      <c r="R4623">
        <v>1464.47</v>
      </c>
      <c r="S4623">
        <v>689.77</v>
      </c>
      <c r="T4623">
        <v>43439.1</v>
      </c>
      <c r="U4623">
        <v>17820.43</v>
      </c>
      <c r="V4623">
        <v>7241.65</v>
      </c>
      <c r="W4623">
        <v>7032.44</v>
      </c>
      <c r="X4623">
        <v>49103.99</v>
      </c>
      <c r="Y4623">
        <v>46893.64</v>
      </c>
    </row>
    <row r="4624" spans="1:25" x14ac:dyDescent="0.25">
      <c r="A4624" t="s">
        <v>4680</v>
      </c>
      <c r="B4624" s="1">
        <v>46191</v>
      </c>
      <c r="C4624">
        <v>2026</v>
      </c>
      <c r="D4624">
        <v>6</v>
      </c>
      <c r="E4624" t="s">
        <v>585</v>
      </c>
      <c r="F4624" t="s">
        <v>358</v>
      </c>
      <c r="G4624" t="s">
        <v>28</v>
      </c>
      <c r="H4624" t="s">
        <v>53</v>
      </c>
      <c r="I4624" t="s">
        <v>30</v>
      </c>
      <c r="J4624">
        <v>58</v>
      </c>
      <c r="K4624">
        <v>1071.01</v>
      </c>
      <c r="L4624">
        <v>62118.77</v>
      </c>
      <c r="M4624">
        <v>37227.199999999997</v>
      </c>
      <c r="N4624">
        <v>5755.56</v>
      </c>
      <c r="O4624">
        <v>4322.6000000000004</v>
      </c>
      <c r="P4624">
        <v>1100.6600000000001</v>
      </c>
      <c r="Q4624">
        <v>896.19</v>
      </c>
      <c r="R4624">
        <v>3788.45</v>
      </c>
      <c r="S4624">
        <v>1285.0899999999999</v>
      </c>
      <c r="T4624">
        <v>54375.75</v>
      </c>
      <c r="U4624">
        <v>24891.57</v>
      </c>
      <c r="V4624">
        <v>7743.02</v>
      </c>
      <c r="W4624">
        <v>7454.95</v>
      </c>
      <c r="X4624">
        <v>67600.92</v>
      </c>
      <c r="Y4624">
        <v>51226.11</v>
      </c>
    </row>
    <row r="4625" spans="1:25" x14ac:dyDescent="0.25">
      <c r="A4625" t="s">
        <v>4681</v>
      </c>
      <c r="B4625" s="1">
        <v>46191</v>
      </c>
      <c r="C4625">
        <v>2026</v>
      </c>
      <c r="D4625">
        <v>6</v>
      </c>
      <c r="E4625" t="s">
        <v>585</v>
      </c>
      <c r="F4625" t="s">
        <v>358</v>
      </c>
      <c r="G4625" t="s">
        <v>55</v>
      </c>
      <c r="H4625" t="s">
        <v>36</v>
      </c>
      <c r="I4625" t="s">
        <v>56</v>
      </c>
      <c r="J4625">
        <v>20</v>
      </c>
      <c r="K4625">
        <v>1794.27</v>
      </c>
      <c r="L4625">
        <v>35885.370000000003</v>
      </c>
      <c r="M4625">
        <v>18137.32</v>
      </c>
      <c r="N4625">
        <v>4543.83</v>
      </c>
      <c r="O4625">
        <v>2160.94</v>
      </c>
      <c r="P4625">
        <v>1031.28</v>
      </c>
      <c r="Q4625">
        <v>591.12</v>
      </c>
      <c r="R4625">
        <v>1144.3699999999999</v>
      </c>
      <c r="S4625">
        <v>403.56</v>
      </c>
      <c r="T4625">
        <v>28012.42</v>
      </c>
      <c r="U4625">
        <v>17748.05</v>
      </c>
      <c r="V4625">
        <v>7872.95</v>
      </c>
      <c r="W4625">
        <v>7799.83</v>
      </c>
      <c r="X4625">
        <v>33180.43</v>
      </c>
      <c r="Y4625">
        <v>26636.33</v>
      </c>
    </row>
    <row r="4626" spans="1:25" x14ac:dyDescent="0.25">
      <c r="A4626" t="s">
        <v>4682</v>
      </c>
      <c r="B4626" s="1">
        <v>46192</v>
      </c>
      <c r="C4626">
        <v>2026</v>
      </c>
      <c r="D4626">
        <v>6</v>
      </c>
      <c r="E4626" t="s">
        <v>585</v>
      </c>
      <c r="F4626" t="s">
        <v>358</v>
      </c>
      <c r="G4626" t="s">
        <v>28</v>
      </c>
      <c r="H4626" t="s">
        <v>32</v>
      </c>
      <c r="I4626" t="s">
        <v>30</v>
      </c>
      <c r="J4626">
        <v>111</v>
      </c>
      <c r="K4626">
        <v>1006.33</v>
      </c>
      <c r="L4626">
        <v>111702.49</v>
      </c>
      <c r="M4626">
        <v>69369.119999999995</v>
      </c>
      <c r="N4626">
        <v>13314.31</v>
      </c>
      <c r="O4626">
        <v>5508.16</v>
      </c>
      <c r="P4626">
        <v>4154.05</v>
      </c>
      <c r="Q4626">
        <v>1455.77</v>
      </c>
      <c r="R4626">
        <v>6063.54</v>
      </c>
      <c r="S4626">
        <v>2525.79</v>
      </c>
      <c r="T4626">
        <v>102390.74</v>
      </c>
      <c r="U4626">
        <v>42333.37</v>
      </c>
      <c r="V4626">
        <v>9311.74</v>
      </c>
      <c r="W4626">
        <v>9171.76</v>
      </c>
      <c r="X4626">
        <v>108002.26</v>
      </c>
      <c r="Y4626">
        <v>103539.99</v>
      </c>
    </row>
    <row r="4627" spans="1:25" x14ac:dyDescent="0.25">
      <c r="A4627" t="s">
        <v>4683</v>
      </c>
      <c r="B4627" s="1">
        <v>46192</v>
      </c>
      <c r="C4627">
        <v>2026</v>
      </c>
      <c r="D4627">
        <v>6</v>
      </c>
      <c r="E4627" t="s">
        <v>585</v>
      </c>
      <c r="F4627" t="s">
        <v>358</v>
      </c>
      <c r="G4627" t="s">
        <v>28</v>
      </c>
      <c r="H4627" t="s">
        <v>29</v>
      </c>
      <c r="I4627" t="s">
        <v>50</v>
      </c>
      <c r="J4627">
        <v>40</v>
      </c>
      <c r="K4627">
        <v>1406.5</v>
      </c>
      <c r="L4627">
        <v>56259.93</v>
      </c>
      <c r="M4627">
        <v>30184.16</v>
      </c>
      <c r="N4627">
        <v>6042.44</v>
      </c>
      <c r="O4627">
        <v>3591.17</v>
      </c>
      <c r="P4627">
        <v>2107.98</v>
      </c>
      <c r="Q4627">
        <v>659.37</v>
      </c>
      <c r="R4627">
        <v>1922.41</v>
      </c>
      <c r="S4627">
        <v>1204.72</v>
      </c>
      <c r="T4627">
        <v>45712.26</v>
      </c>
      <c r="U4627">
        <v>26075.759999999998</v>
      </c>
      <c r="V4627">
        <v>10547.66</v>
      </c>
      <c r="W4627">
        <v>9531.4599999999991</v>
      </c>
      <c r="X4627">
        <v>60747.05</v>
      </c>
      <c r="Y4627">
        <v>45079.05</v>
      </c>
    </row>
    <row r="4628" spans="1:25" x14ac:dyDescent="0.25">
      <c r="A4628" t="s">
        <v>4684</v>
      </c>
      <c r="B4628" s="1">
        <v>46192</v>
      </c>
      <c r="C4628">
        <v>2026</v>
      </c>
      <c r="D4628">
        <v>6</v>
      </c>
      <c r="E4628" t="s">
        <v>585</v>
      </c>
      <c r="F4628" t="s">
        <v>358</v>
      </c>
      <c r="G4628" t="s">
        <v>28</v>
      </c>
      <c r="H4628" t="s">
        <v>32</v>
      </c>
      <c r="I4628" t="s">
        <v>65</v>
      </c>
      <c r="J4628">
        <v>61</v>
      </c>
      <c r="K4628">
        <v>1585.82</v>
      </c>
      <c r="L4628">
        <v>96735.07</v>
      </c>
      <c r="M4628">
        <v>63625.38</v>
      </c>
      <c r="N4628">
        <v>12203.84</v>
      </c>
      <c r="O4628">
        <v>6436</v>
      </c>
      <c r="P4628">
        <v>3707.62</v>
      </c>
      <c r="Q4628">
        <v>533.03</v>
      </c>
      <c r="R4628">
        <v>4627.32</v>
      </c>
      <c r="S4628">
        <v>1000.35</v>
      </c>
      <c r="T4628">
        <v>92133.55</v>
      </c>
      <c r="U4628">
        <v>33109.68</v>
      </c>
      <c r="V4628">
        <v>4601.5200000000004</v>
      </c>
      <c r="W4628">
        <v>4488.74</v>
      </c>
      <c r="X4628">
        <v>103820.43</v>
      </c>
      <c r="Y4628">
        <v>100444.68</v>
      </c>
    </row>
    <row r="4629" spans="1:25" x14ac:dyDescent="0.25">
      <c r="A4629" t="s">
        <v>4685</v>
      </c>
      <c r="B4629" s="1">
        <v>46193</v>
      </c>
      <c r="C4629">
        <v>2026</v>
      </c>
      <c r="D4629">
        <v>6</v>
      </c>
      <c r="E4629" t="s">
        <v>585</v>
      </c>
      <c r="F4629" t="s">
        <v>358</v>
      </c>
      <c r="G4629" t="s">
        <v>28</v>
      </c>
      <c r="H4629" t="s">
        <v>58</v>
      </c>
      <c r="I4629" t="s">
        <v>33</v>
      </c>
      <c r="J4629">
        <v>55</v>
      </c>
      <c r="K4629">
        <v>1324.94</v>
      </c>
      <c r="L4629">
        <v>72871.63</v>
      </c>
      <c r="M4629">
        <v>41308.76</v>
      </c>
      <c r="N4629">
        <v>7277.46</v>
      </c>
      <c r="O4629">
        <v>3016.44</v>
      </c>
      <c r="P4629">
        <v>2658.62</v>
      </c>
      <c r="Q4629">
        <v>802.75</v>
      </c>
      <c r="R4629">
        <v>4651.5600000000004</v>
      </c>
      <c r="S4629">
        <v>1510.56</v>
      </c>
      <c r="T4629">
        <v>61226.15</v>
      </c>
      <c r="U4629">
        <v>31562.87</v>
      </c>
      <c r="V4629">
        <v>11645.48</v>
      </c>
      <c r="W4629">
        <v>11181.16</v>
      </c>
      <c r="X4629">
        <v>80846.78</v>
      </c>
      <c r="Y4629">
        <v>57813.39</v>
      </c>
    </row>
    <row r="4630" spans="1:25" x14ac:dyDescent="0.25">
      <c r="A4630" t="s">
        <v>4686</v>
      </c>
      <c r="B4630" s="1">
        <v>46193</v>
      </c>
      <c r="C4630">
        <v>2026</v>
      </c>
      <c r="D4630">
        <v>6</v>
      </c>
      <c r="E4630" t="s">
        <v>585</v>
      </c>
      <c r="F4630" t="s">
        <v>358</v>
      </c>
      <c r="G4630" t="s">
        <v>35</v>
      </c>
      <c r="H4630" t="s">
        <v>36</v>
      </c>
      <c r="I4630" t="s">
        <v>50</v>
      </c>
      <c r="J4630">
        <v>56</v>
      </c>
      <c r="K4630">
        <v>882</v>
      </c>
      <c r="L4630">
        <v>49391.82</v>
      </c>
      <c r="M4630">
        <v>28457.91</v>
      </c>
      <c r="N4630">
        <v>4616.49</v>
      </c>
      <c r="O4630">
        <v>1341.97</v>
      </c>
      <c r="P4630">
        <v>2019.43</v>
      </c>
      <c r="Q4630">
        <v>493.2</v>
      </c>
      <c r="R4630">
        <v>1844.02</v>
      </c>
      <c r="S4630">
        <v>865.44</v>
      </c>
      <c r="T4630">
        <v>39638.449999999997</v>
      </c>
      <c r="U4630">
        <v>20933.91</v>
      </c>
      <c r="V4630">
        <v>9753.3700000000008</v>
      </c>
      <c r="W4630">
        <v>8671.52</v>
      </c>
      <c r="X4630">
        <v>54959.23</v>
      </c>
      <c r="Y4630">
        <v>39084.93</v>
      </c>
    </row>
    <row r="4631" spans="1:25" x14ac:dyDescent="0.25">
      <c r="A4631" t="s">
        <v>4687</v>
      </c>
      <c r="B4631" s="1">
        <v>46193</v>
      </c>
      <c r="C4631">
        <v>2026</v>
      </c>
      <c r="D4631">
        <v>6</v>
      </c>
      <c r="E4631" t="s">
        <v>585</v>
      </c>
      <c r="F4631" t="s">
        <v>358</v>
      </c>
      <c r="G4631" t="s">
        <v>28</v>
      </c>
      <c r="H4631" t="s">
        <v>29</v>
      </c>
      <c r="I4631" t="s">
        <v>45</v>
      </c>
      <c r="J4631">
        <v>44</v>
      </c>
      <c r="K4631">
        <v>1375.41</v>
      </c>
      <c r="L4631">
        <v>60517.83</v>
      </c>
      <c r="M4631">
        <v>35440.54</v>
      </c>
      <c r="N4631">
        <v>6077.23</v>
      </c>
      <c r="O4631">
        <v>2798.45</v>
      </c>
      <c r="P4631">
        <v>2461.8000000000002</v>
      </c>
      <c r="Q4631">
        <v>884.56</v>
      </c>
      <c r="R4631">
        <v>2855.34</v>
      </c>
      <c r="S4631">
        <v>1098.3800000000001</v>
      </c>
      <c r="T4631">
        <v>51616.29</v>
      </c>
      <c r="U4631">
        <v>25077.29</v>
      </c>
      <c r="V4631">
        <v>8901.5400000000009</v>
      </c>
      <c r="W4631">
        <v>8152.65</v>
      </c>
      <c r="X4631">
        <v>61200.04</v>
      </c>
      <c r="Y4631">
        <v>49919.56</v>
      </c>
    </row>
    <row r="4632" spans="1:25" x14ac:dyDescent="0.25">
      <c r="A4632" t="s">
        <v>4688</v>
      </c>
      <c r="B4632" s="1">
        <v>46194</v>
      </c>
      <c r="C4632">
        <v>2026</v>
      </c>
      <c r="D4632">
        <v>6</v>
      </c>
      <c r="E4632" t="s">
        <v>585</v>
      </c>
      <c r="F4632" t="s">
        <v>358</v>
      </c>
      <c r="G4632" t="s">
        <v>44</v>
      </c>
      <c r="H4632" t="s">
        <v>53</v>
      </c>
      <c r="I4632" t="s">
        <v>45</v>
      </c>
      <c r="J4632">
        <v>35</v>
      </c>
      <c r="K4632">
        <v>1224.58</v>
      </c>
      <c r="L4632">
        <v>42860.2</v>
      </c>
      <c r="M4632">
        <v>28088.1</v>
      </c>
      <c r="N4632">
        <v>5500.4</v>
      </c>
      <c r="O4632">
        <v>2915.58</v>
      </c>
      <c r="P4632">
        <v>1849.57</v>
      </c>
      <c r="Q4632">
        <v>302.54000000000002</v>
      </c>
      <c r="R4632">
        <v>1488.31</v>
      </c>
      <c r="S4632">
        <v>448.81</v>
      </c>
      <c r="T4632">
        <v>40593.31</v>
      </c>
      <c r="U4632">
        <v>14772.11</v>
      </c>
      <c r="V4632">
        <v>2266.9</v>
      </c>
      <c r="W4632">
        <v>2121.7199999999998</v>
      </c>
      <c r="X4632">
        <v>39819.440000000002</v>
      </c>
      <c r="Y4632">
        <v>39847</v>
      </c>
    </row>
    <row r="4633" spans="1:25" x14ac:dyDescent="0.25">
      <c r="A4633" t="s">
        <v>4689</v>
      </c>
      <c r="B4633" s="1">
        <v>46194</v>
      </c>
      <c r="C4633">
        <v>2026</v>
      </c>
      <c r="D4633">
        <v>6</v>
      </c>
      <c r="E4633" t="s">
        <v>585</v>
      </c>
      <c r="F4633" t="s">
        <v>358</v>
      </c>
      <c r="G4633" t="s">
        <v>28</v>
      </c>
      <c r="H4633" t="s">
        <v>36</v>
      </c>
      <c r="I4633" t="s">
        <v>50</v>
      </c>
      <c r="J4633">
        <v>38</v>
      </c>
      <c r="K4633">
        <v>1389.83</v>
      </c>
      <c r="L4633">
        <v>52813.440000000002</v>
      </c>
      <c r="M4633">
        <v>34176.589999999997</v>
      </c>
      <c r="N4633">
        <v>6794.42</v>
      </c>
      <c r="O4633">
        <v>1455.04</v>
      </c>
      <c r="P4633">
        <v>2321.13</v>
      </c>
      <c r="Q4633">
        <v>918.75</v>
      </c>
      <c r="R4633">
        <v>1546.58</v>
      </c>
      <c r="S4633">
        <v>491.24</v>
      </c>
      <c r="T4633">
        <v>47703.75</v>
      </c>
      <c r="U4633">
        <v>18636.849999999999</v>
      </c>
      <c r="V4633">
        <v>5109.68</v>
      </c>
      <c r="W4633">
        <v>4867.76</v>
      </c>
      <c r="X4633">
        <v>54954.04</v>
      </c>
      <c r="Y4633">
        <v>51894.28</v>
      </c>
    </row>
    <row r="4634" spans="1:25" x14ac:dyDescent="0.25">
      <c r="A4634" t="s">
        <v>4690</v>
      </c>
      <c r="B4634" s="1">
        <v>46194</v>
      </c>
      <c r="C4634">
        <v>2026</v>
      </c>
      <c r="D4634">
        <v>6</v>
      </c>
      <c r="E4634" t="s">
        <v>585</v>
      </c>
      <c r="F4634" t="s">
        <v>358</v>
      </c>
      <c r="G4634" t="s">
        <v>55</v>
      </c>
      <c r="H4634" t="s">
        <v>29</v>
      </c>
      <c r="I4634" t="s">
        <v>45</v>
      </c>
      <c r="J4634">
        <v>62</v>
      </c>
      <c r="K4634">
        <v>987.39</v>
      </c>
      <c r="L4634">
        <v>61218.01</v>
      </c>
      <c r="M4634">
        <v>38002.589999999997</v>
      </c>
      <c r="N4634">
        <v>7033.49</v>
      </c>
      <c r="O4634">
        <v>2048.1999999999998</v>
      </c>
      <c r="P4634">
        <v>1776</v>
      </c>
      <c r="Q4634">
        <v>750</v>
      </c>
      <c r="R4634">
        <v>2342.17</v>
      </c>
      <c r="S4634">
        <v>939.87</v>
      </c>
      <c r="T4634">
        <v>52892.32</v>
      </c>
      <c r="U4634">
        <v>23215.42</v>
      </c>
      <c r="V4634">
        <v>8325.69</v>
      </c>
      <c r="W4634">
        <v>8411.92</v>
      </c>
      <c r="X4634">
        <v>68271.97</v>
      </c>
      <c r="Y4634">
        <v>51413.91</v>
      </c>
    </row>
    <row r="4635" spans="1:25" x14ac:dyDescent="0.25">
      <c r="A4635" t="s">
        <v>4691</v>
      </c>
      <c r="B4635" s="1">
        <v>46196</v>
      </c>
      <c r="C4635">
        <v>2026</v>
      </c>
      <c r="D4635">
        <v>6</v>
      </c>
      <c r="E4635" t="s">
        <v>585</v>
      </c>
      <c r="F4635" t="s">
        <v>358</v>
      </c>
      <c r="G4635" t="s">
        <v>44</v>
      </c>
      <c r="H4635" t="s">
        <v>32</v>
      </c>
      <c r="I4635" t="s">
        <v>65</v>
      </c>
      <c r="J4635">
        <v>74</v>
      </c>
      <c r="K4635">
        <v>883.89</v>
      </c>
      <c r="L4635">
        <v>65407.65</v>
      </c>
      <c r="M4635">
        <v>41668.21</v>
      </c>
      <c r="N4635">
        <v>6667.24</v>
      </c>
      <c r="O4635">
        <v>2564.38</v>
      </c>
      <c r="P4635">
        <v>2465.15</v>
      </c>
      <c r="Q4635">
        <v>424.4</v>
      </c>
      <c r="R4635">
        <v>1936.17</v>
      </c>
      <c r="S4635">
        <v>1017.85</v>
      </c>
      <c r="T4635">
        <v>56743.4</v>
      </c>
      <c r="U4635">
        <v>23739.45</v>
      </c>
      <c r="V4635">
        <v>8664.26</v>
      </c>
      <c r="W4635">
        <v>8588.1200000000008</v>
      </c>
      <c r="X4635">
        <v>64524.65</v>
      </c>
      <c r="Y4635">
        <v>56555.3</v>
      </c>
    </row>
    <row r="4636" spans="1:25" x14ac:dyDescent="0.25">
      <c r="A4636" t="s">
        <v>4692</v>
      </c>
      <c r="B4636" s="1">
        <v>46197</v>
      </c>
      <c r="C4636">
        <v>2026</v>
      </c>
      <c r="D4636">
        <v>6</v>
      </c>
      <c r="E4636" t="s">
        <v>585</v>
      </c>
      <c r="F4636" t="s">
        <v>358</v>
      </c>
      <c r="G4636" t="s">
        <v>35</v>
      </c>
      <c r="H4636" t="s">
        <v>32</v>
      </c>
      <c r="I4636" t="s">
        <v>30</v>
      </c>
      <c r="J4636">
        <v>77</v>
      </c>
      <c r="K4636">
        <v>1411.35</v>
      </c>
      <c r="L4636">
        <v>108673.65</v>
      </c>
      <c r="M4636">
        <v>70659.88</v>
      </c>
      <c r="N4636">
        <v>13356.25</v>
      </c>
      <c r="O4636">
        <v>3155.34</v>
      </c>
      <c r="P4636">
        <v>3691.37</v>
      </c>
      <c r="Q4636">
        <v>927.71</v>
      </c>
      <c r="R4636">
        <v>5555.56</v>
      </c>
      <c r="S4636">
        <v>1714.55</v>
      </c>
      <c r="T4636">
        <v>99060.66</v>
      </c>
      <c r="U4636">
        <v>38013.769999999997</v>
      </c>
      <c r="V4636">
        <v>9612.99</v>
      </c>
      <c r="W4636">
        <v>8741.52</v>
      </c>
      <c r="X4636">
        <v>103654.19</v>
      </c>
      <c r="Y4636">
        <v>104835.45</v>
      </c>
    </row>
    <row r="4637" spans="1:25" x14ac:dyDescent="0.25">
      <c r="A4637" t="s">
        <v>4693</v>
      </c>
      <c r="B4637" s="1">
        <v>46197</v>
      </c>
      <c r="C4637">
        <v>2026</v>
      </c>
      <c r="D4637">
        <v>6</v>
      </c>
      <c r="E4637" t="s">
        <v>585</v>
      </c>
      <c r="F4637" t="s">
        <v>358</v>
      </c>
      <c r="G4637" t="s">
        <v>55</v>
      </c>
      <c r="H4637" t="s">
        <v>53</v>
      </c>
      <c r="I4637" t="s">
        <v>65</v>
      </c>
      <c r="J4637">
        <v>36</v>
      </c>
      <c r="K4637">
        <v>1623.52</v>
      </c>
      <c r="L4637">
        <v>58446.720000000001</v>
      </c>
      <c r="M4637">
        <v>28077.360000000001</v>
      </c>
      <c r="N4637">
        <v>6863.95</v>
      </c>
      <c r="O4637">
        <v>3600.16</v>
      </c>
      <c r="P4637">
        <v>2063.65</v>
      </c>
      <c r="Q4637">
        <v>938.42</v>
      </c>
      <c r="R4637">
        <v>2523.46</v>
      </c>
      <c r="S4637">
        <v>606.41999999999996</v>
      </c>
      <c r="T4637">
        <v>44673.42</v>
      </c>
      <c r="U4637">
        <v>30369.360000000001</v>
      </c>
      <c r="V4637">
        <v>13773.3</v>
      </c>
      <c r="W4637">
        <v>12166</v>
      </c>
      <c r="X4637">
        <v>55308.18</v>
      </c>
      <c r="Y4637">
        <v>42571.79</v>
      </c>
    </row>
    <row r="4638" spans="1:25" x14ac:dyDescent="0.25">
      <c r="A4638" t="s">
        <v>4694</v>
      </c>
      <c r="B4638" s="1">
        <v>46197</v>
      </c>
      <c r="C4638">
        <v>2026</v>
      </c>
      <c r="D4638">
        <v>6</v>
      </c>
      <c r="E4638" t="s">
        <v>585</v>
      </c>
      <c r="F4638" t="s">
        <v>358</v>
      </c>
      <c r="G4638" t="s">
        <v>44</v>
      </c>
      <c r="H4638" t="s">
        <v>36</v>
      </c>
      <c r="I4638" t="s">
        <v>33</v>
      </c>
      <c r="J4638">
        <v>74</v>
      </c>
      <c r="K4638">
        <v>1101.17</v>
      </c>
      <c r="L4638">
        <v>81486.83</v>
      </c>
      <c r="M4638">
        <v>41879.25</v>
      </c>
      <c r="N4638">
        <v>8822.99</v>
      </c>
      <c r="O4638">
        <v>3689.69</v>
      </c>
      <c r="P4638">
        <v>2483.0100000000002</v>
      </c>
      <c r="Q4638">
        <v>1228.25</v>
      </c>
      <c r="R4638">
        <v>4956.49</v>
      </c>
      <c r="S4638">
        <v>1447.38</v>
      </c>
      <c r="T4638">
        <v>64507.07</v>
      </c>
      <c r="U4638">
        <v>39607.58</v>
      </c>
      <c r="V4638">
        <v>16979.77</v>
      </c>
      <c r="W4638">
        <v>14957.55</v>
      </c>
      <c r="X4638">
        <v>84919.4</v>
      </c>
      <c r="Y4638">
        <v>65923.259999999995</v>
      </c>
    </row>
    <row r="4639" spans="1:25" x14ac:dyDescent="0.25">
      <c r="A4639" t="s">
        <v>4695</v>
      </c>
      <c r="B4639" s="1">
        <v>46197</v>
      </c>
      <c r="C4639">
        <v>2026</v>
      </c>
      <c r="D4639">
        <v>6</v>
      </c>
      <c r="E4639" t="s">
        <v>585</v>
      </c>
      <c r="F4639" t="s">
        <v>358</v>
      </c>
      <c r="G4639" t="s">
        <v>55</v>
      </c>
      <c r="H4639" t="s">
        <v>53</v>
      </c>
      <c r="I4639" t="s">
        <v>50</v>
      </c>
      <c r="J4639">
        <v>65</v>
      </c>
      <c r="K4639">
        <v>846.7</v>
      </c>
      <c r="L4639">
        <v>55035.79</v>
      </c>
      <c r="M4639">
        <v>34124.5</v>
      </c>
      <c r="N4639">
        <v>5140.6000000000004</v>
      </c>
      <c r="O4639">
        <v>2042.55</v>
      </c>
      <c r="P4639">
        <v>1999.87</v>
      </c>
      <c r="Q4639">
        <v>700.61</v>
      </c>
      <c r="R4639">
        <v>2555.5300000000002</v>
      </c>
      <c r="S4639">
        <v>1092.3599999999999</v>
      </c>
      <c r="T4639">
        <v>47656.02</v>
      </c>
      <c r="U4639">
        <v>20911.29</v>
      </c>
      <c r="V4639">
        <v>7379.77</v>
      </c>
      <c r="W4639">
        <v>6660.71</v>
      </c>
      <c r="X4639">
        <v>59879.86</v>
      </c>
      <c r="Y4639">
        <v>47829.31</v>
      </c>
    </row>
    <row r="4640" spans="1:25" x14ac:dyDescent="0.25">
      <c r="A4640" t="s">
        <v>4696</v>
      </c>
      <c r="B4640" s="1">
        <v>46197</v>
      </c>
      <c r="C4640">
        <v>2026</v>
      </c>
      <c r="D4640">
        <v>6</v>
      </c>
      <c r="E4640" t="s">
        <v>585</v>
      </c>
      <c r="F4640" t="s">
        <v>358</v>
      </c>
      <c r="G4640" t="s">
        <v>55</v>
      </c>
      <c r="H4640" t="s">
        <v>29</v>
      </c>
      <c r="I4640" t="s">
        <v>65</v>
      </c>
      <c r="J4640">
        <v>59</v>
      </c>
      <c r="K4640">
        <v>1055.9000000000001</v>
      </c>
      <c r="L4640">
        <v>62297.82</v>
      </c>
      <c r="M4640">
        <v>35190.68</v>
      </c>
      <c r="N4640">
        <v>7918.5</v>
      </c>
      <c r="O4640">
        <v>4286.32</v>
      </c>
      <c r="P4640">
        <v>2457.0500000000002</v>
      </c>
      <c r="Q4640">
        <v>547.70000000000005</v>
      </c>
      <c r="R4640">
        <v>2016.01</v>
      </c>
      <c r="S4640">
        <v>772.17</v>
      </c>
      <c r="T4640">
        <v>53188.44</v>
      </c>
      <c r="U4640">
        <v>27107.14</v>
      </c>
      <c r="V4640">
        <v>9109.3799999999992</v>
      </c>
      <c r="W4640">
        <v>8911.98</v>
      </c>
      <c r="X4640">
        <v>59632.76</v>
      </c>
      <c r="Y4640">
        <v>57520.61</v>
      </c>
    </row>
    <row r="4641" spans="1:25" x14ac:dyDescent="0.25">
      <c r="A4641" t="s">
        <v>4697</v>
      </c>
      <c r="B4641" s="1">
        <v>46198</v>
      </c>
      <c r="C4641">
        <v>2026</v>
      </c>
      <c r="D4641">
        <v>6</v>
      </c>
      <c r="E4641" t="s">
        <v>585</v>
      </c>
      <c r="F4641" t="s">
        <v>358</v>
      </c>
      <c r="G4641" t="s">
        <v>28</v>
      </c>
      <c r="H4641" t="s">
        <v>36</v>
      </c>
      <c r="I4641" t="s">
        <v>65</v>
      </c>
      <c r="J4641">
        <v>32</v>
      </c>
      <c r="K4641">
        <v>1445.48</v>
      </c>
      <c r="L4641">
        <v>46255.38</v>
      </c>
      <c r="M4641">
        <v>29324.84</v>
      </c>
      <c r="N4641">
        <v>3779.94</v>
      </c>
      <c r="O4641">
        <v>2436.4699999999998</v>
      </c>
      <c r="P4641">
        <v>1595.14</v>
      </c>
      <c r="Q4641">
        <v>449.46</v>
      </c>
      <c r="R4641">
        <v>2553.3000000000002</v>
      </c>
      <c r="S4641">
        <v>414.31</v>
      </c>
      <c r="T4641">
        <v>40553.449999999997</v>
      </c>
      <c r="U4641">
        <v>16930.55</v>
      </c>
      <c r="V4641">
        <v>5701.93</v>
      </c>
      <c r="W4641">
        <v>5270.28</v>
      </c>
      <c r="X4641">
        <v>48191.44</v>
      </c>
      <c r="Y4641">
        <v>39032.480000000003</v>
      </c>
    </row>
    <row r="4642" spans="1:25" x14ac:dyDescent="0.25">
      <c r="A4642" t="s">
        <v>4698</v>
      </c>
      <c r="B4642" s="1">
        <v>46198</v>
      </c>
      <c r="C4642">
        <v>2026</v>
      </c>
      <c r="D4642">
        <v>6</v>
      </c>
      <c r="E4642" t="s">
        <v>585</v>
      </c>
      <c r="F4642" t="s">
        <v>358</v>
      </c>
      <c r="G4642" t="s">
        <v>55</v>
      </c>
      <c r="H4642" t="s">
        <v>58</v>
      </c>
      <c r="I4642" t="s">
        <v>33</v>
      </c>
      <c r="J4642">
        <v>46</v>
      </c>
      <c r="K4642">
        <v>1293.23</v>
      </c>
      <c r="L4642">
        <v>59488.59</v>
      </c>
      <c r="M4642">
        <v>35651.22</v>
      </c>
      <c r="N4642">
        <v>4852.45</v>
      </c>
      <c r="O4642">
        <v>1581.47</v>
      </c>
      <c r="P4642">
        <v>2448.64</v>
      </c>
      <c r="Q4642">
        <v>814.33</v>
      </c>
      <c r="R4642">
        <v>3568.82</v>
      </c>
      <c r="S4642">
        <v>1087.75</v>
      </c>
      <c r="T4642">
        <v>50004.67</v>
      </c>
      <c r="U4642">
        <v>23837.37</v>
      </c>
      <c r="V4642">
        <v>9483.91</v>
      </c>
      <c r="W4642">
        <v>8656.2900000000009</v>
      </c>
      <c r="X4642">
        <v>60732.93</v>
      </c>
      <c r="Y4642">
        <v>49429.02</v>
      </c>
    </row>
    <row r="4643" spans="1:25" x14ac:dyDescent="0.25">
      <c r="A4643" t="s">
        <v>4699</v>
      </c>
      <c r="B4643" s="1">
        <v>46198</v>
      </c>
      <c r="C4643">
        <v>2026</v>
      </c>
      <c r="D4643">
        <v>6</v>
      </c>
      <c r="E4643" t="s">
        <v>585</v>
      </c>
      <c r="F4643" t="s">
        <v>358</v>
      </c>
      <c r="G4643" t="s">
        <v>55</v>
      </c>
      <c r="H4643" t="s">
        <v>36</v>
      </c>
      <c r="I4643" t="s">
        <v>45</v>
      </c>
      <c r="J4643">
        <v>26</v>
      </c>
      <c r="K4643">
        <v>1743.64</v>
      </c>
      <c r="L4643">
        <v>45334.64</v>
      </c>
      <c r="M4643">
        <v>25781.5</v>
      </c>
      <c r="N4643">
        <v>5504.99</v>
      </c>
      <c r="O4643">
        <v>2922.01</v>
      </c>
      <c r="P4643">
        <v>2017.67</v>
      </c>
      <c r="Q4643">
        <v>677.56</v>
      </c>
      <c r="R4643">
        <v>1285.76</v>
      </c>
      <c r="S4643">
        <v>506.48</v>
      </c>
      <c r="T4643">
        <v>38695.97</v>
      </c>
      <c r="U4643">
        <v>19553.14</v>
      </c>
      <c r="V4643">
        <v>6638.67</v>
      </c>
      <c r="W4643">
        <v>6287.93</v>
      </c>
      <c r="X4643">
        <v>44860.18</v>
      </c>
      <c r="Y4643">
        <v>40241.019999999997</v>
      </c>
    </row>
    <row r="4644" spans="1:25" x14ac:dyDescent="0.25">
      <c r="A4644" t="s">
        <v>4700</v>
      </c>
      <c r="B4644" s="1">
        <v>46198</v>
      </c>
      <c r="C4644">
        <v>2026</v>
      </c>
      <c r="D4644">
        <v>6</v>
      </c>
      <c r="E4644" t="s">
        <v>585</v>
      </c>
      <c r="F4644" t="s">
        <v>358</v>
      </c>
      <c r="G4644" t="s">
        <v>44</v>
      </c>
      <c r="H4644" t="s">
        <v>36</v>
      </c>
      <c r="I4644" t="s">
        <v>37</v>
      </c>
      <c r="J4644">
        <v>42</v>
      </c>
      <c r="K4644">
        <v>1183.21</v>
      </c>
      <c r="L4644">
        <v>49694.78</v>
      </c>
      <c r="M4644">
        <v>33513.42</v>
      </c>
      <c r="N4644">
        <v>3877.96</v>
      </c>
      <c r="O4644">
        <v>2548.25</v>
      </c>
      <c r="P4644">
        <v>818.56</v>
      </c>
      <c r="Q4644">
        <v>461.53</v>
      </c>
      <c r="R4644">
        <v>2738.31</v>
      </c>
      <c r="S4644">
        <v>398.42</v>
      </c>
      <c r="T4644">
        <v>44356.44</v>
      </c>
      <c r="U4644">
        <v>16181.36</v>
      </c>
      <c r="V4644">
        <v>5338.33</v>
      </c>
      <c r="W4644">
        <v>5164.1000000000004</v>
      </c>
      <c r="X4644">
        <v>50402.400000000001</v>
      </c>
      <c r="Y4644">
        <v>48678.35</v>
      </c>
    </row>
    <row r="4645" spans="1:25" x14ac:dyDescent="0.25">
      <c r="A4645" t="s">
        <v>4701</v>
      </c>
      <c r="B4645" s="1">
        <v>46200</v>
      </c>
      <c r="C4645">
        <v>2026</v>
      </c>
      <c r="D4645">
        <v>6</v>
      </c>
      <c r="E4645" t="s">
        <v>585</v>
      </c>
      <c r="F4645" t="s">
        <v>358</v>
      </c>
      <c r="G4645" t="s">
        <v>28</v>
      </c>
      <c r="H4645" t="s">
        <v>53</v>
      </c>
      <c r="I4645" t="s">
        <v>39</v>
      </c>
      <c r="J4645">
        <v>18</v>
      </c>
      <c r="K4645">
        <v>1652.51</v>
      </c>
      <c r="L4645">
        <v>29745.18</v>
      </c>
      <c r="M4645">
        <v>19625.12</v>
      </c>
      <c r="N4645">
        <v>2557.41</v>
      </c>
      <c r="O4645">
        <v>2112.69</v>
      </c>
      <c r="P4645">
        <v>993.78</v>
      </c>
      <c r="Q4645">
        <v>211.16</v>
      </c>
      <c r="R4645">
        <v>956.14</v>
      </c>
      <c r="S4645">
        <v>346.35</v>
      </c>
      <c r="T4645">
        <v>26802.66</v>
      </c>
      <c r="U4645">
        <v>10120.06</v>
      </c>
      <c r="V4645">
        <v>2942.52</v>
      </c>
      <c r="W4645">
        <v>2643.26</v>
      </c>
      <c r="X4645">
        <v>29989.43</v>
      </c>
      <c r="Y4645">
        <v>27120.14</v>
      </c>
    </row>
    <row r="4646" spans="1:25" x14ac:dyDescent="0.25">
      <c r="A4646" t="s">
        <v>4702</v>
      </c>
      <c r="B4646" s="1">
        <v>46200</v>
      </c>
      <c r="C4646">
        <v>2026</v>
      </c>
      <c r="D4646">
        <v>6</v>
      </c>
      <c r="E4646" t="s">
        <v>585</v>
      </c>
      <c r="F4646" t="s">
        <v>358</v>
      </c>
      <c r="G4646" t="s">
        <v>35</v>
      </c>
      <c r="H4646" t="s">
        <v>53</v>
      </c>
      <c r="I4646" t="s">
        <v>65</v>
      </c>
      <c r="J4646">
        <v>38</v>
      </c>
      <c r="K4646">
        <v>1309.49</v>
      </c>
      <c r="L4646">
        <v>49760.79</v>
      </c>
      <c r="M4646">
        <v>24576.53</v>
      </c>
      <c r="N4646">
        <v>4742.7299999999996</v>
      </c>
      <c r="O4646">
        <v>1812.27</v>
      </c>
      <c r="P4646">
        <v>2140.0100000000002</v>
      </c>
      <c r="Q4646">
        <v>784.03</v>
      </c>
      <c r="R4646">
        <v>2972.71</v>
      </c>
      <c r="S4646">
        <v>815.78</v>
      </c>
      <c r="T4646">
        <v>37844.050000000003</v>
      </c>
      <c r="U4646">
        <v>25184.26</v>
      </c>
      <c r="V4646">
        <v>11916.74</v>
      </c>
      <c r="W4646">
        <v>11175.16</v>
      </c>
      <c r="X4646">
        <v>46548.11</v>
      </c>
      <c r="Y4646">
        <v>40367.78</v>
      </c>
    </row>
    <row r="4647" spans="1:25" x14ac:dyDescent="0.25">
      <c r="A4647" t="s">
        <v>4703</v>
      </c>
      <c r="B4647" s="1">
        <v>46200</v>
      </c>
      <c r="C4647">
        <v>2026</v>
      </c>
      <c r="D4647">
        <v>6</v>
      </c>
      <c r="E4647" t="s">
        <v>585</v>
      </c>
      <c r="F4647" t="s">
        <v>358</v>
      </c>
      <c r="G4647" t="s">
        <v>55</v>
      </c>
      <c r="H4647" t="s">
        <v>53</v>
      </c>
      <c r="I4647" t="s">
        <v>50</v>
      </c>
      <c r="J4647">
        <v>39</v>
      </c>
      <c r="K4647">
        <v>1083.58</v>
      </c>
      <c r="L4647">
        <v>42259.71</v>
      </c>
      <c r="M4647">
        <v>26069.599999999999</v>
      </c>
      <c r="N4647">
        <v>4178.5</v>
      </c>
      <c r="O4647">
        <v>1898.63</v>
      </c>
      <c r="P4647">
        <v>1544.05</v>
      </c>
      <c r="Q4647">
        <v>278.27</v>
      </c>
      <c r="R4647">
        <v>1134.93</v>
      </c>
      <c r="S4647">
        <v>718.66</v>
      </c>
      <c r="T4647">
        <v>35822.629999999997</v>
      </c>
      <c r="U4647">
        <v>16190.11</v>
      </c>
      <c r="V4647">
        <v>6437.07</v>
      </c>
      <c r="W4647">
        <v>6401.21</v>
      </c>
      <c r="X4647">
        <v>41757.42</v>
      </c>
      <c r="Y4647">
        <v>38490.519999999997</v>
      </c>
    </row>
    <row r="4648" spans="1:25" x14ac:dyDescent="0.25">
      <c r="A4648" t="s">
        <v>4704</v>
      </c>
      <c r="B4648" s="1">
        <v>46201</v>
      </c>
      <c r="C4648">
        <v>2026</v>
      </c>
      <c r="D4648">
        <v>6</v>
      </c>
      <c r="E4648" t="s">
        <v>585</v>
      </c>
      <c r="F4648" t="s">
        <v>358</v>
      </c>
      <c r="G4648" t="s">
        <v>44</v>
      </c>
      <c r="H4648" t="s">
        <v>36</v>
      </c>
      <c r="I4648" t="s">
        <v>45</v>
      </c>
      <c r="J4648">
        <v>37</v>
      </c>
      <c r="K4648">
        <v>1250.8699999999999</v>
      </c>
      <c r="L4648">
        <v>46282.21</v>
      </c>
      <c r="M4648">
        <v>27984.59</v>
      </c>
      <c r="N4648">
        <v>5161.34</v>
      </c>
      <c r="O4648">
        <v>1169.44</v>
      </c>
      <c r="P4648">
        <v>1420.61</v>
      </c>
      <c r="Q4648">
        <v>739.08</v>
      </c>
      <c r="R4648">
        <v>1465.55</v>
      </c>
      <c r="S4648">
        <v>738.89</v>
      </c>
      <c r="T4648">
        <v>38679.51</v>
      </c>
      <c r="U4648">
        <v>18297.62</v>
      </c>
      <c r="V4648">
        <v>7602.7</v>
      </c>
      <c r="W4648">
        <v>6939.18</v>
      </c>
      <c r="X4648">
        <v>46538.78</v>
      </c>
      <c r="Y4648">
        <v>36375.730000000003</v>
      </c>
    </row>
    <row r="4649" spans="1:25" x14ac:dyDescent="0.25">
      <c r="A4649" t="s">
        <v>4705</v>
      </c>
      <c r="B4649" s="1">
        <v>46201</v>
      </c>
      <c r="C4649">
        <v>2026</v>
      </c>
      <c r="D4649">
        <v>6</v>
      </c>
      <c r="E4649" t="s">
        <v>585</v>
      </c>
      <c r="F4649" t="s">
        <v>358</v>
      </c>
      <c r="G4649" t="s">
        <v>35</v>
      </c>
      <c r="H4649" t="s">
        <v>53</v>
      </c>
      <c r="I4649" t="s">
        <v>30</v>
      </c>
      <c r="J4649">
        <v>42</v>
      </c>
      <c r="K4649">
        <v>1478.65</v>
      </c>
      <c r="L4649">
        <v>62103.29</v>
      </c>
      <c r="M4649">
        <v>40263.199999999997</v>
      </c>
      <c r="N4649">
        <v>7059.83</v>
      </c>
      <c r="O4649">
        <v>4359.33</v>
      </c>
      <c r="P4649">
        <v>1675.18</v>
      </c>
      <c r="Q4649">
        <v>625.25</v>
      </c>
      <c r="R4649">
        <v>2805.06</v>
      </c>
      <c r="S4649">
        <v>1178.92</v>
      </c>
      <c r="T4649">
        <v>57966.77</v>
      </c>
      <c r="U4649">
        <v>21840.09</v>
      </c>
      <c r="V4649">
        <v>4136.5200000000004</v>
      </c>
      <c r="W4649">
        <v>3651.67</v>
      </c>
      <c r="X4649">
        <v>62576.5</v>
      </c>
      <c r="Y4649">
        <v>63127.7</v>
      </c>
    </row>
    <row r="4650" spans="1:25" x14ac:dyDescent="0.25">
      <c r="A4650" t="s">
        <v>4706</v>
      </c>
      <c r="B4650" s="1">
        <v>46201</v>
      </c>
      <c r="C4650">
        <v>2026</v>
      </c>
      <c r="D4650">
        <v>6</v>
      </c>
      <c r="E4650" t="s">
        <v>585</v>
      </c>
      <c r="F4650" t="s">
        <v>358</v>
      </c>
      <c r="G4650" t="s">
        <v>55</v>
      </c>
      <c r="H4650" t="s">
        <v>53</v>
      </c>
      <c r="I4650" t="s">
        <v>30</v>
      </c>
      <c r="J4650">
        <v>63</v>
      </c>
      <c r="K4650">
        <v>1568.83</v>
      </c>
      <c r="L4650">
        <v>98836.58</v>
      </c>
      <c r="M4650">
        <v>53528.73</v>
      </c>
      <c r="N4650">
        <v>8025.57</v>
      </c>
      <c r="O4650">
        <v>6069.1</v>
      </c>
      <c r="P4650">
        <v>4205.72</v>
      </c>
      <c r="Q4650">
        <v>1103.08</v>
      </c>
      <c r="R4650">
        <v>4724.45</v>
      </c>
      <c r="S4650">
        <v>869.84</v>
      </c>
      <c r="T4650">
        <v>78526.490000000005</v>
      </c>
      <c r="U4650">
        <v>45307.85</v>
      </c>
      <c r="V4650">
        <v>20310.09</v>
      </c>
      <c r="W4650">
        <v>18603.650000000001</v>
      </c>
      <c r="X4650">
        <v>105281.60000000001</v>
      </c>
      <c r="Y4650">
        <v>83752.22</v>
      </c>
    </row>
    <row r="4651" spans="1:25" x14ac:dyDescent="0.25">
      <c r="A4651" t="s">
        <v>4707</v>
      </c>
      <c r="B4651" s="1">
        <v>46201</v>
      </c>
      <c r="C4651">
        <v>2026</v>
      </c>
      <c r="D4651">
        <v>6</v>
      </c>
      <c r="E4651" t="s">
        <v>585</v>
      </c>
      <c r="F4651" t="s">
        <v>358</v>
      </c>
      <c r="G4651" t="s">
        <v>28</v>
      </c>
      <c r="H4651" t="s">
        <v>29</v>
      </c>
      <c r="I4651" t="s">
        <v>56</v>
      </c>
      <c r="J4651">
        <v>26</v>
      </c>
      <c r="K4651">
        <v>1288.03</v>
      </c>
      <c r="L4651">
        <v>33488.81</v>
      </c>
      <c r="M4651">
        <v>21001.56</v>
      </c>
      <c r="N4651">
        <v>4045.3</v>
      </c>
      <c r="O4651">
        <v>1785.8</v>
      </c>
      <c r="P4651">
        <v>1326.51</v>
      </c>
      <c r="Q4651">
        <v>293.42</v>
      </c>
      <c r="R4651">
        <v>2009.06</v>
      </c>
      <c r="S4651">
        <v>762.26</v>
      </c>
      <c r="T4651">
        <v>31223.919999999998</v>
      </c>
      <c r="U4651">
        <v>12487.25</v>
      </c>
      <c r="V4651">
        <v>2264.89</v>
      </c>
      <c r="W4651">
        <v>2040.03</v>
      </c>
      <c r="X4651">
        <v>34277.07</v>
      </c>
      <c r="Y4651">
        <v>31622.2</v>
      </c>
    </row>
    <row r="4652" spans="1:25" x14ac:dyDescent="0.25">
      <c r="A4652" t="s">
        <v>4708</v>
      </c>
      <c r="B4652" s="1">
        <v>46201</v>
      </c>
      <c r="C4652">
        <v>2026</v>
      </c>
      <c r="D4652">
        <v>6</v>
      </c>
      <c r="E4652" t="s">
        <v>585</v>
      </c>
      <c r="F4652" t="s">
        <v>358</v>
      </c>
      <c r="G4652" t="s">
        <v>35</v>
      </c>
      <c r="H4652" t="s">
        <v>32</v>
      </c>
      <c r="I4652" t="s">
        <v>30</v>
      </c>
      <c r="J4652">
        <v>45</v>
      </c>
      <c r="K4652">
        <v>1577.8</v>
      </c>
      <c r="L4652">
        <v>71000.92</v>
      </c>
      <c r="M4652">
        <v>43786.98</v>
      </c>
      <c r="N4652">
        <v>6233.33</v>
      </c>
      <c r="O4652">
        <v>5203.2</v>
      </c>
      <c r="P4652">
        <v>1750.36</v>
      </c>
      <c r="Q4652">
        <v>880.3</v>
      </c>
      <c r="R4652">
        <v>2952.2</v>
      </c>
      <c r="S4652">
        <v>648.98</v>
      </c>
      <c r="T4652">
        <v>61455.360000000001</v>
      </c>
      <c r="U4652">
        <v>27213.94</v>
      </c>
      <c r="V4652">
        <v>9545.56</v>
      </c>
      <c r="W4652">
        <v>9174.83</v>
      </c>
      <c r="X4652">
        <v>65385.65</v>
      </c>
      <c r="Y4652">
        <v>64761.31</v>
      </c>
    </row>
    <row r="4653" spans="1:25" x14ac:dyDescent="0.25">
      <c r="A4653" t="s">
        <v>4709</v>
      </c>
      <c r="B4653" s="1">
        <v>46202</v>
      </c>
      <c r="C4653">
        <v>2026</v>
      </c>
      <c r="D4653">
        <v>6</v>
      </c>
      <c r="E4653" t="s">
        <v>585</v>
      </c>
      <c r="F4653" t="s">
        <v>358</v>
      </c>
      <c r="G4653" t="s">
        <v>44</v>
      </c>
      <c r="H4653" t="s">
        <v>53</v>
      </c>
      <c r="I4653" t="s">
        <v>39</v>
      </c>
      <c r="J4653">
        <v>33</v>
      </c>
      <c r="K4653">
        <v>1305.81</v>
      </c>
      <c r="L4653">
        <v>43091.71</v>
      </c>
      <c r="M4653">
        <v>27082.400000000001</v>
      </c>
      <c r="N4653">
        <v>3454.12</v>
      </c>
      <c r="O4653">
        <v>2561.8200000000002</v>
      </c>
      <c r="P4653">
        <v>1898.47</v>
      </c>
      <c r="Q4653">
        <v>551.29999999999995</v>
      </c>
      <c r="R4653">
        <v>1079.8</v>
      </c>
      <c r="S4653">
        <v>485.75</v>
      </c>
      <c r="T4653">
        <v>37113.65</v>
      </c>
      <c r="U4653">
        <v>16009.31</v>
      </c>
      <c r="V4653">
        <v>5978.05</v>
      </c>
      <c r="W4653">
        <v>6055.72</v>
      </c>
      <c r="X4653">
        <v>47549.31</v>
      </c>
      <c r="Y4653">
        <v>40632.019999999997</v>
      </c>
    </row>
    <row r="4654" spans="1:25" x14ac:dyDescent="0.25">
      <c r="A4654" t="s">
        <v>4710</v>
      </c>
      <c r="B4654" s="1">
        <v>46202</v>
      </c>
      <c r="C4654">
        <v>2026</v>
      </c>
      <c r="D4654">
        <v>6</v>
      </c>
      <c r="E4654" t="s">
        <v>585</v>
      </c>
      <c r="F4654" t="s">
        <v>358</v>
      </c>
      <c r="G4654" t="s">
        <v>28</v>
      </c>
      <c r="H4654" t="s">
        <v>53</v>
      </c>
      <c r="I4654" t="s">
        <v>39</v>
      </c>
      <c r="J4654">
        <v>26</v>
      </c>
      <c r="K4654">
        <v>1665.69</v>
      </c>
      <c r="L4654">
        <v>43307.83</v>
      </c>
      <c r="M4654">
        <v>21189.84</v>
      </c>
      <c r="N4654">
        <v>3340.21</v>
      </c>
      <c r="O4654">
        <v>2203.4699999999998</v>
      </c>
      <c r="P4654">
        <v>1537.59</v>
      </c>
      <c r="Q4654">
        <v>599.54999999999995</v>
      </c>
      <c r="R4654">
        <v>2677.4</v>
      </c>
      <c r="S4654">
        <v>871.37</v>
      </c>
      <c r="T4654">
        <v>32419.43</v>
      </c>
      <c r="U4654">
        <v>22117.99</v>
      </c>
      <c r="V4654">
        <v>10888.4</v>
      </c>
      <c r="W4654">
        <v>10061.629999999999</v>
      </c>
      <c r="X4654">
        <v>45534.12</v>
      </c>
      <c r="Y4654">
        <v>35529.620000000003</v>
      </c>
    </row>
    <row r="4655" spans="1:25" x14ac:dyDescent="0.25">
      <c r="A4655" t="s">
        <v>4711</v>
      </c>
      <c r="B4655" s="1">
        <v>46202</v>
      </c>
      <c r="C4655">
        <v>2026</v>
      </c>
      <c r="D4655">
        <v>6</v>
      </c>
      <c r="E4655" t="s">
        <v>585</v>
      </c>
      <c r="F4655" t="s">
        <v>358</v>
      </c>
      <c r="G4655" t="s">
        <v>35</v>
      </c>
      <c r="H4655" t="s">
        <v>36</v>
      </c>
      <c r="I4655" t="s">
        <v>37</v>
      </c>
      <c r="J4655">
        <v>46</v>
      </c>
      <c r="K4655">
        <v>1273.6600000000001</v>
      </c>
      <c r="L4655">
        <v>58588.19</v>
      </c>
      <c r="M4655">
        <v>30445.21</v>
      </c>
      <c r="N4655">
        <v>7260.32</v>
      </c>
      <c r="O4655">
        <v>3215.73</v>
      </c>
      <c r="P4655">
        <v>1649.94</v>
      </c>
      <c r="Q4655">
        <v>1029.52</v>
      </c>
      <c r="R4655">
        <v>3269.93</v>
      </c>
      <c r="S4655">
        <v>603.5</v>
      </c>
      <c r="T4655">
        <v>47474.16</v>
      </c>
      <c r="U4655">
        <v>28142.98</v>
      </c>
      <c r="V4655">
        <v>11114.03</v>
      </c>
      <c r="W4655">
        <v>10671.74</v>
      </c>
      <c r="X4655">
        <v>63719.45</v>
      </c>
      <c r="Y4655">
        <v>46931.61</v>
      </c>
    </row>
    <row r="4656" spans="1:25" x14ac:dyDescent="0.25">
      <c r="A4656" t="s">
        <v>4712</v>
      </c>
      <c r="B4656" s="1">
        <v>46202</v>
      </c>
      <c r="C4656">
        <v>2026</v>
      </c>
      <c r="D4656">
        <v>6</v>
      </c>
      <c r="E4656" t="s">
        <v>585</v>
      </c>
      <c r="F4656" t="s">
        <v>358</v>
      </c>
      <c r="G4656" t="s">
        <v>55</v>
      </c>
      <c r="H4656" t="s">
        <v>36</v>
      </c>
      <c r="I4656" t="s">
        <v>45</v>
      </c>
      <c r="J4656">
        <v>51</v>
      </c>
      <c r="K4656">
        <v>1033.01</v>
      </c>
      <c r="L4656">
        <v>52683.27</v>
      </c>
      <c r="M4656">
        <v>29600.34</v>
      </c>
      <c r="N4656">
        <v>6225.34</v>
      </c>
      <c r="O4656">
        <v>2358.08</v>
      </c>
      <c r="P4656">
        <v>866.48</v>
      </c>
      <c r="Q4656">
        <v>591.78</v>
      </c>
      <c r="R4656">
        <v>2856.71</v>
      </c>
      <c r="S4656">
        <v>693.13</v>
      </c>
      <c r="T4656">
        <v>43191.86</v>
      </c>
      <c r="U4656">
        <v>23082.94</v>
      </c>
      <c r="V4656">
        <v>9491.41</v>
      </c>
      <c r="W4656">
        <v>8589.84</v>
      </c>
      <c r="X4656">
        <v>57422.36</v>
      </c>
      <c r="Y4656">
        <v>41779.56</v>
      </c>
    </row>
    <row r="4657" spans="1:25" x14ac:dyDescent="0.25">
      <c r="A4657" t="s">
        <v>4713</v>
      </c>
      <c r="B4657" s="1">
        <v>46202</v>
      </c>
      <c r="C4657">
        <v>2026</v>
      </c>
      <c r="D4657">
        <v>6</v>
      </c>
      <c r="E4657" t="s">
        <v>585</v>
      </c>
      <c r="F4657" t="s">
        <v>358</v>
      </c>
      <c r="G4657" t="s">
        <v>28</v>
      </c>
      <c r="H4657" t="s">
        <v>32</v>
      </c>
      <c r="I4657" t="s">
        <v>65</v>
      </c>
      <c r="J4657">
        <v>64</v>
      </c>
      <c r="K4657">
        <v>1152.4000000000001</v>
      </c>
      <c r="L4657">
        <v>73753.320000000007</v>
      </c>
      <c r="M4657">
        <v>48787.56</v>
      </c>
      <c r="N4657">
        <v>8075.2</v>
      </c>
      <c r="O4657">
        <v>2526.09</v>
      </c>
      <c r="P4657">
        <v>2278.0500000000002</v>
      </c>
      <c r="Q4657">
        <v>538.27</v>
      </c>
      <c r="R4657">
        <v>4412.13</v>
      </c>
      <c r="S4657">
        <v>1417.2</v>
      </c>
      <c r="T4657">
        <v>68034.5</v>
      </c>
      <c r="U4657">
        <v>24965.77</v>
      </c>
      <c r="V4657">
        <v>5718.82</v>
      </c>
      <c r="W4657">
        <v>5600.96</v>
      </c>
      <c r="X4657">
        <v>71238.179999999993</v>
      </c>
      <c r="Y4657">
        <v>65994.53</v>
      </c>
    </row>
    <row r="4658" spans="1:25" x14ac:dyDescent="0.25">
      <c r="A4658" t="s">
        <v>4714</v>
      </c>
      <c r="B4658" s="1">
        <v>46203</v>
      </c>
      <c r="C4658">
        <v>2026</v>
      </c>
      <c r="D4658">
        <v>6</v>
      </c>
      <c r="E4658" t="s">
        <v>585</v>
      </c>
      <c r="F4658" t="s">
        <v>358</v>
      </c>
      <c r="G4658" t="s">
        <v>55</v>
      </c>
      <c r="H4658" t="s">
        <v>32</v>
      </c>
      <c r="I4658" t="s">
        <v>33</v>
      </c>
      <c r="J4658">
        <v>70</v>
      </c>
      <c r="K4658">
        <v>1449.01</v>
      </c>
      <c r="L4658">
        <v>101431.05</v>
      </c>
      <c r="M4658">
        <v>61231.8</v>
      </c>
      <c r="N4658">
        <v>9882.08</v>
      </c>
      <c r="O4658">
        <v>4127.0200000000004</v>
      </c>
      <c r="P4658">
        <v>2609.44</v>
      </c>
      <c r="Q4658">
        <v>803.53</v>
      </c>
      <c r="R4658">
        <v>3889.83</v>
      </c>
      <c r="S4658">
        <v>2015.96</v>
      </c>
      <c r="T4658">
        <v>84559.67</v>
      </c>
      <c r="U4658">
        <v>40199.24</v>
      </c>
      <c r="V4658">
        <v>16871.38</v>
      </c>
      <c r="W4658">
        <v>17089.78</v>
      </c>
      <c r="X4658">
        <v>95548.32</v>
      </c>
      <c r="Y4658">
        <v>82683.28</v>
      </c>
    </row>
    <row r="4659" spans="1:25" x14ac:dyDescent="0.25">
      <c r="A4659" t="s">
        <v>4715</v>
      </c>
      <c r="B4659" s="1">
        <v>46203</v>
      </c>
      <c r="C4659">
        <v>2026</v>
      </c>
      <c r="D4659">
        <v>6</v>
      </c>
      <c r="E4659" t="s">
        <v>585</v>
      </c>
      <c r="F4659" t="s">
        <v>358</v>
      </c>
      <c r="G4659" t="s">
        <v>55</v>
      </c>
      <c r="H4659" t="s">
        <v>58</v>
      </c>
      <c r="I4659" t="s">
        <v>39</v>
      </c>
      <c r="J4659">
        <v>41</v>
      </c>
      <c r="K4659">
        <v>1319.92</v>
      </c>
      <c r="L4659">
        <v>54116.58</v>
      </c>
      <c r="M4659">
        <v>36193.629999999997</v>
      </c>
      <c r="N4659">
        <v>5140.84</v>
      </c>
      <c r="O4659">
        <v>1859.27</v>
      </c>
      <c r="P4659">
        <v>2426.25</v>
      </c>
      <c r="Q4659">
        <v>410.82</v>
      </c>
      <c r="R4659">
        <v>2128.8000000000002</v>
      </c>
      <c r="S4659">
        <v>983.38</v>
      </c>
      <c r="T4659">
        <v>49143</v>
      </c>
      <c r="U4659">
        <v>17922.95</v>
      </c>
      <c r="V4659">
        <v>4973.58</v>
      </c>
      <c r="W4659">
        <v>4689.6099999999997</v>
      </c>
      <c r="X4659">
        <v>58951.4</v>
      </c>
      <c r="Y4659">
        <v>53476.68</v>
      </c>
    </row>
    <row r="4660" spans="1:25" x14ac:dyDescent="0.25">
      <c r="A4660" t="s">
        <v>4716</v>
      </c>
      <c r="B4660" s="1">
        <v>46203</v>
      </c>
      <c r="C4660">
        <v>2026</v>
      </c>
      <c r="D4660">
        <v>6</v>
      </c>
      <c r="E4660" t="s">
        <v>585</v>
      </c>
      <c r="F4660" t="s">
        <v>358</v>
      </c>
      <c r="G4660" t="s">
        <v>28</v>
      </c>
      <c r="H4660" t="s">
        <v>32</v>
      </c>
      <c r="I4660" t="s">
        <v>33</v>
      </c>
      <c r="J4660">
        <v>92</v>
      </c>
      <c r="K4660">
        <v>852.36</v>
      </c>
      <c r="L4660">
        <v>78417.19</v>
      </c>
      <c r="M4660">
        <v>43684.36</v>
      </c>
      <c r="N4660">
        <v>9126.67</v>
      </c>
      <c r="O4660">
        <v>5766.29</v>
      </c>
      <c r="P4660">
        <v>1361.67</v>
      </c>
      <c r="Q4660">
        <v>1203.98</v>
      </c>
      <c r="R4660">
        <v>3415.58</v>
      </c>
      <c r="S4660">
        <v>1603.53</v>
      </c>
      <c r="T4660">
        <v>66162.070000000007</v>
      </c>
      <c r="U4660">
        <v>34732.83</v>
      </c>
      <c r="V4660">
        <v>12255.12</v>
      </c>
      <c r="W4660">
        <v>12149.59</v>
      </c>
      <c r="X4660">
        <v>78519.08</v>
      </c>
      <c r="Y4660">
        <v>61763.86</v>
      </c>
    </row>
    <row r="4661" spans="1:25" x14ac:dyDescent="0.25">
      <c r="A4661" t="s">
        <v>4717</v>
      </c>
      <c r="B4661" s="1">
        <v>46203</v>
      </c>
      <c r="C4661">
        <v>2026</v>
      </c>
      <c r="D4661">
        <v>6</v>
      </c>
      <c r="E4661" t="s">
        <v>585</v>
      </c>
      <c r="F4661" t="s">
        <v>358</v>
      </c>
      <c r="G4661" t="s">
        <v>55</v>
      </c>
      <c r="H4661" t="s">
        <v>53</v>
      </c>
      <c r="I4661" t="s">
        <v>45</v>
      </c>
      <c r="J4661">
        <v>30</v>
      </c>
      <c r="K4661">
        <v>1133.1600000000001</v>
      </c>
      <c r="L4661">
        <v>33994.9</v>
      </c>
      <c r="M4661">
        <v>16761.330000000002</v>
      </c>
      <c r="N4661">
        <v>3401.9</v>
      </c>
      <c r="O4661">
        <v>1971.8</v>
      </c>
      <c r="P4661">
        <v>1355.38</v>
      </c>
      <c r="Q4661">
        <v>456.75</v>
      </c>
      <c r="R4661">
        <v>1215.8699999999999</v>
      </c>
      <c r="S4661">
        <v>747.8</v>
      </c>
      <c r="T4661">
        <v>25910.83</v>
      </c>
      <c r="U4661">
        <v>17233.560000000001</v>
      </c>
      <c r="V4661">
        <v>8084.07</v>
      </c>
      <c r="W4661">
        <v>7970.23</v>
      </c>
      <c r="X4661">
        <v>35976.9</v>
      </c>
      <c r="Y4661">
        <v>27588.01</v>
      </c>
    </row>
    <row r="4662" spans="1:25" x14ac:dyDescent="0.25">
      <c r="A4662" t="s">
        <v>4718</v>
      </c>
      <c r="B4662" s="1">
        <v>46203</v>
      </c>
      <c r="C4662">
        <v>2026</v>
      </c>
      <c r="D4662">
        <v>6</v>
      </c>
      <c r="E4662" t="s">
        <v>585</v>
      </c>
      <c r="F4662" t="s">
        <v>358</v>
      </c>
      <c r="G4662" t="s">
        <v>55</v>
      </c>
      <c r="H4662" t="s">
        <v>32</v>
      </c>
      <c r="I4662" t="s">
        <v>39</v>
      </c>
      <c r="J4662">
        <v>42</v>
      </c>
      <c r="K4662">
        <v>1072.24</v>
      </c>
      <c r="L4662">
        <v>45034.06</v>
      </c>
      <c r="M4662">
        <v>25096.45</v>
      </c>
      <c r="N4662">
        <v>5446.08</v>
      </c>
      <c r="O4662">
        <v>1946.53</v>
      </c>
      <c r="P4662">
        <v>1925.07</v>
      </c>
      <c r="Q4662">
        <v>672.58</v>
      </c>
      <c r="R4662">
        <v>1867.21</v>
      </c>
      <c r="S4662">
        <v>1086.48</v>
      </c>
      <c r="T4662">
        <v>38040.410000000003</v>
      </c>
      <c r="U4662">
        <v>19937.599999999999</v>
      </c>
      <c r="V4662">
        <v>6993.65</v>
      </c>
      <c r="W4662">
        <v>6235.26</v>
      </c>
      <c r="X4662">
        <v>46688.14</v>
      </c>
      <c r="Y4662">
        <v>41316.53</v>
      </c>
    </row>
    <row r="4663" spans="1:25" x14ac:dyDescent="0.25">
      <c r="A4663" t="s">
        <v>4719</v>
      </c>
      <c r="B4663" s="1">
        <v>46204</v>
      </c>
      <c r="C4663">
        <v>2026</v>
      </c>
      <c r="D4663">
        <v>7</v>
      </c>
      <c r="E4663" t="s">
        <v>690</v>
      </c>
      <c r="F4663" t="s">
        <v>691</v>
      </c>
      <c r="G4663" t="s">
        <v>28</v>
      </c>
      <c r="H4663" t="s">
        <v>58</v>
      </c>
      <c r="I4663" t="s">
        <v>30</v>
      </c>
      <c r="J4663">
        <v>50</v>
      </c>
      <c r="K4663">
        <v>1527.66</v>
      </c>
      <c r="L4663">
        <v>76383.12</v>
      </c>
      <c r="M4663">
        <v>50118.15</v>
      </c>
      <c r="N4663">
        <v>8660.9699999999993</v>
      </c>
      <c r="O4663">
        <v>1962.81</v>
      </c>
      <c r="P4663">
        <v>3134.83</v>
      </c>
      <c r="Q4663">
        <v>926.41</v>
      </c>
      <c r="R4663">
        <v>4552.41</v>
      </c>
      <c r="S4663">
        <v>1473.94</v>
      </c>
      <c r="T4663">
        <v>70829.53</v>
      </c>
      <c r="U4663">
        <v>26264.959999999999</v>
      </c>
      <c r="V4663">
        <v>5553.59</v>
      </c>
      <c r="W4663">
        <v>5477.53</v>
      </c>
      <c r="X4663">
        <v>75646.66</v>
      </c>
      <c r="Y4663">
        <v>70376.19</v>
      </c>
    </row>
    <row r="4664" spans="1:25" x14ac:dyDescent="0.25">
      <c r="A4664" t="s">
        <v>4720</v>
      </c>
      <c r="B4664" s="1">
        <v>46204</v>
      </c>
      <c r="C4664">
        <v>2026</v>
      </c>
      <c r="D4664">
        <v>7</v>
      </c>
      <c r="E4664" t="s">
        <v>690</v>
      </c>
      <c r="F4664" t="s">
        <v>691</v>
      </c>
      <c r="G4664" t="s">
        <v>44</v>
      </c>
      <c r="H4664" t="s">
        <v>53</v>
      </c>
      <c r="I4664" t="s">
        <v>39</v>
      </c>
      <c r="J4664">
        <v>25</v>
      </c>
      <c r="K4664">
        <v>1569.15</v>
      </c>
      <c r="L4664">
        <v>39228.68</v>
      </c>
      <c r="M4664">
        <v>18978.43</v>
      </c>
      <c r="N4664">
        <v>3972.26</v>
      </c>
      <c r="O4664">
        <v>2046.77</v>
      </c>
      <c r="P4664">
        <v>697.7</v>
      </c>
      <c r="Q4664">
        <v>356.77</v>
      </c>
      <c r="R4664">
        <v>1870.27</v>
      </c>
      <c r="S4664">
        <v>574.17999999999995</v>
      </c>
      <c r="T4664">
        <v>28496.38</v>
      </c>
      <c r="U4664">
        <v>20250.240000000002</v>
      </c>
      <c r="V4664">
        <v>10732.3</v>
      </c>
      <c r="W4664">
        <v>9588.5300000000007</v>
      </c>
      <c r="X4664">
        <v>36867.370000000003</v>
      </c>
      <c r="Y4664">
        <v>29025.93</v>
      </c>
    </row>
    <row r="4665" spans="1:25" x14ac:dyDescent="0.25">
      <c r="A4665" t="s">
        <v>4721</v>
      </c>
      <c r="B4665" s="1">
        <v>46204</v>
      </c>
      <c r="C4665">
        <v>2026</v>
      </c>
      <c r="D4665">
        <v>7</v>
      </c>
      <c r="E4665" t="s">
        <v>690</v>
      </c>
      <c r="F4665" t="s">
        <v>691</v>
      </c>
      <c r="G4665" t="s">
        <v>35</v>
      </c>
      <c r="H4665" t="s">
        <v>36</v>
      </c>
      <c r="I4665" t="s">
        <v>45</v>
      </c>
      <c r="J4665">
        <v>29</v>
      </c>
      <c r="K4665">
        <v>1721.13</v>
      </c>
      <c r="L4665">
        <v>49912.79</v>
      </c>
      <c r="M4665">
        <v>25775.77</v>
      </c>
      <c r="N4665">
        <v>6349.7</v>
      </c>
      <c r="O4665">
        <v>3461.98</v>
      </c>
      <c r="P4665">
        <v>1339.09</v>
      </c>
      <c r="Q4665">
        <v>524.02</v>
      </c>
      <c r="R4665">
        <v>2339.19</v>
      </c>
      <c r="S4665">
        <v>543.24</v>
      </c>
      <c r="T4665">
        <v>40333</v>
      </c>
      <c r="U4665">
        <v>24137.02</v>
      </c>
      <c r="V4665">
        <v>9579.7900000000009</v>
      </c>
      <c r="W4665">
        <v>9068.61</v>
      </c>
      <c r="X4665">
        <v>49751.75</v>
      </c>
      <c r="Y4665">
        <v>43717.5</v>
      </c>
    </row>
    <row r="4666" spans="1:25" x14ac:dyDescent="0.25">
      <c r="A4666" t="s">
        <v>4722</v>
      </c>
      <c r="B4666" s="1">
        <v>46204</v>
      </c>
      <c r="C4666">
        <v>2026</v>
      </c>
      <c r="D4666">
        <v>7</v>
      </c>
      <c r="E4666" t="s">
        <v>690</v>
      </c>
      <c r="F4666" t="s">
        <v>691</v>
      </c>
      <c r="G4666" t="s">
        <v>55</v>
      </c>
      <c r="H4666" t="s">
        <v>32</v>
      </c>
      <c r="I4666" t="s">
        <v>37</v>
      </c>
      <c r="J4666">
        <v>53</v>
      </c>
      <c r="K4666">
        <v>1295.81</v>
      </c>
      <c r="L4666">
        <v>68677.990000000005</v>
      </c>
      <c r="M4666">
        <v>46067.56</v>
      </c>
      <c r="N4666">
        <v>8585.89</v>
      </c>
      <c r="O4666">
        <v>3713.71</v>
      </c>
      <c r="P4666">
        <v>2602.21</v>
      </c>
      <c r="Q4666">
        <v>951.96</v>
      </c>
      <c r="R4666">
        <v>3678.58</v>
      </c>
      <c r="S4666">
        <v>807.4</v>
      </c>
      <c r="T4666">
        <v>66407.320000000007</v>
      </c>
      <c r="U4666">
        <v>22610.43</v>
      </c>
      <c r="V4666">
        <v>2270.67</v>
      </c>
      <c r="W4666">
        <v>2187.6999999999998</v>
      </c>
      <c r="X4666">
        <v>64789.120000000003</v>
      </c>
      <c r="Y4666">
        <v>70480.479999999996</v>
      </c>
    </row>
    <row r="4667" spans="1:25" x14ac:dyDescent="0.25">
      <c r="A4667" t="s">
        <v>4723</v>
      </c>
      <c r="B4667" s="1">
        <v>46204</v>
      </c>
      <c r="C4667">
        <v>2026</v>
      </c>
      <c r="D4667">
        <v>7</v>
      </c>
      <c r="E4667" t="s">
        <v>690</v>
      </c>
      <c r="F4667" t="s">
        <v>691</v>
      </c>
      <c r="G4667" t="s">
        <v>28</v>
      </c>
      <c r="H4667" t="s">
        <v>58</v>
      </c>
      <c r="I4667" t="s">
        <v>37</v>
      </c>
      <c r="J4667">
        <v>34</v>
      </c>
      <c r="K4667">
        <v>1722.88</v>
      </c>
      <c r="L4667">
        <v>58577.9</v>
      </c>
      <c r="M4667">
        <v>31704.16</v>
      </c>
      <c r="N4667">
        <v>4854.57</v>
      </c>
      <c r="O4667">
        <v>2483.0500000000002</v>
      </c>
      <c r="P4667">
        <v>2049.13</v>
      </c>
      <c r="Q4667">
        <v>847.56</v>
      </c>
      <c r="R4667">
        <v>2666.25</v>
      </c>
      <c r="S4667">
        <v>1154.78</v>
      </c>
      <c r="T4667">
        <v>45759.51</v>
      </c>
      <c r="U4667">
        <v>26873.74</v>
      </c>
      <c r="V4667">
        <v>12818.4</v>
      </c>
      <c r="W4667">
        <v>12608.38</v>
      </c>
      <c r="X4667">
        <v>61718.95</v>
      </c>
      <c r="Y4667">
        <v>46636.14</v>
      </c>
    </row>
    <row r="4668" spans="1:25" x14ac:dyDescent="0.25">
      <c r="A4668" t="s">
        <v>4724</v>
      </c>
      <c r="B4668" s="1">
        <v>46205</v>
      </c>
      <c r="C4668">
        <v>2026</v>
      </c>
      <c r="D4668">
        <v>7</v>
      </c>
      <c r="E4668" t="s">
        <v>690</v>
      </c>
      <c r="F4668" t="s">
        <v>691</v>
      </c>
      <c r="G4668" t="s">
        <v>55</v>
      </c>
      <c r="H4668" t="s">
        <v>58</v>
      </c>
      <c r="I4668" t="s">
        <v>65</v>
      </c>
      <c r="J4668">
        <v>45</v>
      </c>
      <c r="K4668">
        <v>1709.35</v>
      </c>
      <c r="L4668">
        <v>76920.91</v>
      </c>
      <c r="M4668">
        <v>40932.21</v>
      </c>
      <c r="N4668">
        <v>7517.79</v>
      </c>
      <c r="O4668">
        <v>5712.33</v>
      </c>
      <c r="P4668">
        <v>2354.9299999999998</v>
      </c>
      <c r="Q4668">
        <v>1125.77</v>
      </c>
      <c r="R4668">
        <v>2503.2399999999998</v>
      </c>
      <c r="S4668">
        <v>783.62</v>
      </c>
      <c r="T4668">
        <v>60929.89</v>
      </c>
      <c r="U4668">
        <v>35988.699999999997</v>
      </c>
      <c r="V4668">
        <v>15991.02</v>
      </c>
      <c r="W4668">
        <v>14440.95</v>
      </c>
      <c r="X4668">
        <v>81627.11</v>
      </c>
      <c r="Y4668">
        <v>58578.12</v>
      </c>
    </row>
    <row r="4669" spans="1:25" x14ac:dyDescent="0.25">
      <c r="A4669" t="s">
        <v>4725</v>
      </c>
      <c r="B4669" s="1">
        <v>46205</v>
      </c>
      <c r="C4669">
        <v>2026</v>
      </c>
      <c r="D4669">
        <v>7</v>
      </c>
      <c r="E4669" t="s">
        <v>690</v>
      </c>
      <c r="F4669" t="s">
        <v>691</v>
      </c>
      <c r="G4669" t="s">
        <v>28</v>
      </c>
      <c r="H4669" t="s">
        <v>53</v>
      </c>
      <c r="I4669" t="s">
        <v>33</v>
      </c>
      <c r="J4669">
        <v>45</v>
      </c>
      <c r="K4669">
        <v>1413.27</v>
      </c>
      <c r="L4669">
        <v>63597.25</v>
      </c>
      <c r="M4669">
        <v>35386.99</v>
      </c>
      <c r="N4669">
        <v>6745.92</v>
      </c>
      <c r="O4669">
        <v>2728.65</v>
      </c>
      <c r="P4669">
        <v>2125.19</v>
      </c>
      <c r="Q4669">
        <v>324.16000000000003</v>
      </c>
      <c r="R4669">
        <v>2532.7399999999998</v>
      </c>
      <c r="S4669">
        <v>1571.75</v>
      </c>
      <c r="T4669">
        <v>51415.4</v>
      </c>
      <c r="U4669">
        <v>28210.26</v>
      </c>
      <c r="V4669">
        <v>12181.85</v>
      </c>
      <c r="W4669">
        <v>11483.81</v>
      </c>
      <c r="X4669">
        <v>69420.86</v>
      </c>
      <c r="Y4669">
        <v>48001.62</v>
      </c>
    </row>
    <row r="4670" spans="1:25" x14ac:dyDescent="0.25">
      <c r="A4670" t="s">
        <v>4726</v>
      </c>
      <c r="B4670" s="1">
        <v>46205</v>
      </c>
      <c r="C4670">
        <v>2026</v>
      </c>
      <c r="D4670">
        <v>7</v>
      </c>
      <c r="E4670" t="s">
        <v>690</v>
      </c>
      <c r="F4670" t="s">
        <v>691</v>
      </c>
      <c r="G4670" t="s">
        <v>55</v>
      </c>
      <c r="H4670" t="s">
        <v>58</v>
      </c>
      <c r="I4670" t="s">
        <v>65</v>
      </c>
      <c r="J4670">
        <v>51</v>
      </c>
      <c r="K4670">
        <v>1448.78</v>
      </c>
      <c r="L4670">
        <v>73887.789999999994</v>
      </c>
      <c r="M4670">
        <v>35876.1</v>
      </c>
      <c r="N4670">
        <v>6933.74</v>
      </c>
      <c r="O4670">
        <v>2713.5</v>
      </c>
      <c r="P4670">
        <v>2975.12</v>
      </c>
      <c r="Q4670">
        <v>1269.3900000000001</v>
      </c>
      <c r="R4670">
        <v>3776.6</v>
      </c>
      <c r="S4670">
        <v>1642.13</v>
      </c>
      <c r="T4670">
        <v>55186.559999999998</v>
      </c>
      <c r="U4670">
        <v>38011.69</v>
      </c>
      <c r="V4670">
        <v>18701.22</v>
      </c>
      <c r="W4670">
        <v>16706.62</v>
      </c>
      <c r="X4670">
        <v>76746.77</v>
      </c>
      <c r="Y4670">
        <v>51573.05</v>
      </c>
    </row>
    <row r="4671" spans="1:25" x14ac:dyDescent="0.25">
      <c r="A4671" t="s">
        <v>4727</v>
      </c>
      <c r="B4671" s="1">
        <v>46206</v>
      </c>
      <c r="C4671">
        <v>2026</v>
      </c>
      <c r="D4671">
        <v>7</v>
      </c>
      <c r="E4671" t="s">
        <v>690</v>
      </c>
      <c r="F4671" t="s">
        <v>691</v>
      </c>
      <c r="G4671" t="s">
        <v>28</v>
      </c>
      <c r="H4671" t="s">
        <v>32</v>
      </c>
      <c r="I4671" t="s">
        <v>45</v>
      </c>
      <c r="J4671">
        <v>26</v>
      </c>
      <c r="K4671">
        <v>1665.72</v>
      </c>
      <c r="L4671">
        <v>43308.72</v>
      </c>
      <c r="M4671">
        <v>21073.88</v>
      </c>
      <c r="N4671">
        <v>4831.6499999999996</v>
      </c>
      <c r="O4671">
        <v>2070.48</v>
      </c>
      <c r="P4671">
        <v>1392.29</v>
      </c>
      <c r="Q4671">
        <v>468.88</v>
      </c>
      <c r="R4671">
        <v>1397.2</v>
      </c>
      <c r="S4671">
        <v>690.06</v>
      </c>
      <c r="T4671">
        <v>31924.44</v>
      </c>
      <c r="U4671">
        <v>22234.83</v>
      </c>
      <c r="V4671">
        <v>11384.28</v>
      </c>
      <c r="W4671">
        <v>10638.94</v>
      </c>
      <c r="X4671">
        <v>47004.05</v>
      </c>
      <c r="Y4671">
        <v>29718.52</v>
      </c>
    </row>
    <row r="4672" spans="1:25" x14ac:dyDescent="0.25">
      <c r="A4672" t="s">
        <v>4728</v>
      </c>
      <c r="B4672" s="1">
        <v>46206</v>
      </c>
      <c r="C4672">
        <v>2026</v>
      </c>
      <c r="D4672">
        <v>7</v>
      </c>
      <c r="E4672" t="s">
        <v>690</v>
      </c>
      <c r="F4672" t="s">
        <v>691</v>
      </c>
      <c r="G4672" t="s">
        <v>28</v>
      </c>
      <c r="H4672" t="s">
        <v>32</v>
      </c>
      <c r="I4672" t="s">
        <v>65</v>
      </c>
      <c r="J4672">
        <v>57</v>
      </c>
      <c r="K4672">
        <v>1292.32</v>
      </c>
      <c r="L4672">
        <v>73662.350000000006</v>
      </c>
      <c r="M4672">
        <v>36847.360000000001</v>
      </c>
      <c r="N4672">
        <v>9459.08</v>
      </c>
      <c r="O4672">
        <v>3201.72</v>
      </c>
      <c r="P4672">
        <v>2801.67</v>
      </c>
      <c r="Q4672">
        <v>926.55</v>
      </c>
      <c r="R4672">
        <v>3703.25</v>
      </c>
      <c r="S4672">
        <v>605.03</v>
      </c>
      <c r="T4672">
        <v>57544.65</v>
      </c>
      <c r="U4672">
        <v>36814.99</v>
      </c>
      <c r="V4672">
        <v>16117.7</v>
      </c>
      <c r="W4672">
        <v>14440.84</v>
      </c>
      <c r="X4672">
        <v>80394.080000000002</v>
      </c>
      <c r="Y4672">
        <v>54902.25</v>
      </c>
    </row>
    <row r="4673" spans="1:25" x14ac:dyDescent="0.25">
      <c r="A4673" t="s">
        <v>4729</v>
      </c>
      <c r="B4673" s="1">
        <v>46206</v>
      </c>
      <c r="C4673">
        <v>2026</v>
      </c>
      <c r="D4673">
        <v>7</v>
      </c>
      <c r="E4673" t="s">
        <v>690</v>
      </c>
      <c r="F4673" t="s">
        <v>691</v>
      </c>
      <c r="G4673" t="s">
        <v>28</v>
      </c>
      <c r="H4673" t="s">
        <v>36</v>
      </c>
      <c r="I4673" t="s">
        <v>50</v>
      </c>
      <c r="J4673">
        <v>38</v>
      </c>
      <c r="K4673">
        <v>1415.64</v>
      </c>
      <c r="L4673">
        <v>53794.239999999998</v>
      </c>
      <c r="M4673">
        <v>27497.279999999999</v>
      </c>
      <c r="N4673">
        <v>5765.46</v>
      </c>
      <c r="O4673">
        <v>2670.01</v>
      </c>
      <c r="P4673">
        <v>1485.42</v>
      </c>
      <c r="Q4673">
        <v>819.44</v>
      </c>
      <c r="R4673">
        <v>3481.06</v>
      </c>
      <c r="S4673">
        <v>1018.9</v>
      </c>
      <c r="T4673">
        <v>42737.57</v>
      </c>
      <c r="U4673">
        <v>26296.959999999999</v>
      </c>
      <c r="V4673">
        <v>11056.67</v>
      </c>
      <c r="W4673">
        <v>9824.7999999999993</v>
      </c>
      <c r="X4673">
        <v>56066.11</v>
      </c>
      <c r="Y4673">
        <v>44200.21</v>
      </c>
    </row>
    <row r="4674" spans="1:25" x14ac:dyDescent="0.25">
      <c r="A4674" t="s">
        <v>4730</v>
      </c>
      <c r="B4674" s="1">
        <v>46206</v>
      </c>
      <c r="C4674">
        <v>2026</v>
      </c>
      <c r="D4674">
        <v>7</v>
      </c>
      <c r="E4674" t="s">
        <v>690</v>
      </c>
      <c r="F4674" t="s">
        <v>691</v>
      </c>
      <c r="G4674" t="s">
        <v>28</v>
      </c>
      <c r="H4674" t="s">
        <v>29</v>
      </c>
      <c r="I4674" t="s">
        <v>39</v>
      </c>
      <c r="J4674">
        <v>47</v>
      </c>
      <c r="K4674">
        <v>1197.43</v>
      </c>
      <c r="L4674">
        <v>56279.38</v>
      </c>
      <c r="M4674">
        <v>27475.54</v>
      </c>
      <c r="N4674">
        <v>7054.02</v>
      </c>
      <c r="O4674">
        <v>3519.98</v>
      </c>
      <c r="P4674">
        <v>2023.12</v>
      </c>
      <c r="Q4674">
        <v>754.75</v>
      </c>
      <c r="R4674">
        <v>1712.56</v>
      </c>
      <c r="S4674">
        <v>1167.2</v>
      </c>
      <c r="T4674">
        <v>43707.18</v>
      </c>
      <c r="U4674">
        <v>28803.83</v>
      </c>
      <c r="V4674">
        <v>12572.19</v>
      </c>
      <c r="W4674">
        <v>11983.93</v>
      </c>
      <c r="X4674">
        <v>58439.58</v>
      </c>
      <c r="Y4674">
        <v>40820.78</v>
      </c>
    </row>
    <row r="4675" spans="1:25" x14ac:dyDescent="0.25">
      <c r="A4675" t="s">
        <v>4731</v>
      </c>
      <c r="B4675" s="1">
        <v>46206</v>
      </c>
      <c r="C4675">
        <v>2026</v>
      </c>
      <c r="D4675">
        <v>7</v>
      </c>
      <c r="E4675" t="s">
        <v>690</v>
      </c>
      <c r="F4675" t="s">
        <v>691</v>
      </c>
      <c r="G4675" t="s">
        <v>55</v>
      </c>
      <c r="H4675" t="s">
        <v>32</v>
      </c>
      <c r="I4675" t="s">
        <v>37</v>
      </c>
      <c r="J4675">
        <v>76</v>
      </c>
      <c r="K4675">
        <v>970.87</v>
      </c>
      <c r="L4675">
        <v>73785.91</v>
      </c>
      <c r="M4675">
        <v>37246.129999999997</v>
      </c>
      <c r="N4675">
        <v>6539.55</v>
      </c>
      <c r="O4675">
        <v>3397.69</v>
      </c>
      <c r="P4675">
        <v>2360.85</v>
      </c>
      <c r="Q4675">
        <v>580.83000000000004</v>
      </c>
      <c r="R4675">
        <v>3279.59</v>
      </c>
      <c r="S4675">
        <v>1672.58</v>
      </c>
      <c r="T4675">
        <v>55077.23</v>
      </c>
      <c r="U4675">
        <v>36539.78</v>
      </c>
      <c r="V4675">
        <v>18708.68</v>
      </c>
      <c r="W4675">
        <v>16899.57</v>
      </c>
      <c r="X4675">
        <v>69640.58</v>
      </c>
      <c r="Y4675">
        <v>58567.06</v>
      </c>
    </row>
    <row r="4676" spans="1:25" x14ac:dyDescent="0.25">
      <c r="A4676" t="s">
        <v>4732</v>
      </c>
      <c r="B4676" s="1">
        <v>46207</v>
      </c>
      <c r="C4676">
        <v>2026</v>
      </c>
      <c r="D4676">
        <v>7</v>
      </c>
      <c r="E4676" t="s">
        <v>690</v>
      </c>
      <c r="F4676" t="s">
        <v>691</v>
      </c>
      <c r="G4676" t="s">
        <v>44</v>
      </c>
      <c r="H4676" t="s">
        <v>36</v>
      </c>
      <c r="I4676" t="s">
        <v>39</v>
      </c>
      <c r="J4676">
        <v>39</v>
      </c>
      <c r="K4676">
        <v>998.69</v>
      </c>
      <c r="L4676">
        <v>38949.040000000001</v>
      </c>
      <c r="M4676">
        <v>26462.16</v>
      </c>
      <c r="N4676">
        <v>3651.96</v>
      </c>
      <c r="O4676">
        <v>2188.86</v>
      </c>
      <c r="P4676">
        <v>786.85</v>
      </c>
      <c r="Q4676">
        <v>291.33999999999997</v>
      </c>
      <c r="R4676">
        <v>1135.8800000000001</v>
      </c>
      <c r="S4676">
        <v>605.44000000000005</v>
      </c>
      <c r="T4676">
        <v>35122.5</v>
      </c>
      <c r="U4676">
        <v>12486.88</v>
      </c>
      <c r="V4676">
        <v>3826.54</v>
      </c>
      <c r="W4676">
        <v>3614.93</v>
      </c>
      <c r="X4676">
        <v>43494.44</v>
      </c>
      <c r="Y4676">
        <v>38554.959999999999</v>
      </c>
    </row>
    <row r="4677" spans="1:25" x14ac:dyDescent="0.25">
      <c r="A4677" t="s">
        <v>4733</v>
      </c>
      <c r="B4677" s="1">
        <v>46207</v>
      </c>
      <c r="C4677">
        <v>2026</v>
      </c>
      <c r="D4677">
        <v>7</v>
      </c>
      <c r="E4677" t="s">
        <v>690</v>
      </c>
      <c r="F4677" t="s">
        <v>691</v>
      </c>
      <c r="G4677" t="s">
        <v>55</v>
      </c>
      <c r="H4677" t="s">
        <v>32</v>
      </c>
      <c r="I4677" t="s">
        <v>65</v>
      </c>
      <c r="J4677">
        <v>53</v>
      </c>
      <c r="K4677">
        <v>1582.63</v>
      </c>
      <c r="L4677">
        <v>83879.429999999993</v>
      </c>
      <c r="M4677">
        <v>49922.46</v>
      </c>
      <c r="N4677">
        <v>8191.49</v>
      </c>
      <c r="O4677">
        <v>4549.55</v>
      </c>
      <c r="P4677">
        <v>3349.27</v>
      </c>
      <c r="Q4677">
        <v>720.72</v>
      </c>
      <c r="R4677">
        <v>3471.73</v>
      </c>
      <c r="S4677">
        <v>1534.05</v>
      </c>
      <c r="T4677">
        <v>71739.259999999995</v>
      </c>
      <c r="U4677">
        <v>33956.980000000003</v>
      </c>
      <c r="V4677">
        <v>12140.17</v>
      </c>
      <c r="W4677">
        <v>12156.85</v>
      </c>
      <c r="X4677">
        <v>78119.929999999993</v>
      </c>
      <c r="Y4677">
        <v>68144.42</v>
      </c>
    </row>
    <row r="4678" spans="1:25" x14ac:dyDescent="0.25">
      <c r="A4678" t="s">
        <v>4734</v>
      </c>
      <c r="B4678" s="1">
        <v>46207</v>
      </c>
      <c r="C4678">
        <v>2026</v>
      </c>
      <c r="D4678">
        <v>7</v>
      </c>
      <c r="E4678" t="s">
        <v>690</v>
      </c>
      <c r="F4678" t="s">
        <v>691</v>
      </c>
      <c r="G4678" t="s">
        <v>28</v>
      </c>
      <c r="H4678" t="s">
        <v>32</v>
      </c>
      <c r="I4678" t="s">
        <v>39</v>
      </c>
      <c r="J4678">
        <v>50</v>
      </c>
      <c r="K4678">
        <v>1238.31</v>
      </c>
      <c r="L4678">
        <v>61915.68</v>
      </c>
      <c r="M4678">
        <v>39314.67</v>
      </c>
      <c r="N4678">
        <v>6576.48</v>
      </c>
      <c r="O4678">
        <v>2079.91</v>
      </c>
      <c r="P4678">
        <v>2456.62</v>
      </c>
      <c r="Q4678">
        <v>432.49</v>
      </c>
      <c r="R4678">
        <v>3994.67</v>
      </c>
      <c r="S4678">
        <v>1516.59</v>
      </c>
      <c r="T4678">
        <v>56371.44</v>
      </c>
      <c r="U4678">
        <v>22601.01</v>
      </c>
      <c r="V4678">
        <v>5544.24</v>
      </c>
      <c r="W4678">
        <v>5445.43</v>
      </c>
      <c r="X4678">
        <v>62788.08</v>
      </c>
      <c r="Y4678">
        <v>53146.38</v>
      </c>
    </row>
    <row r="4679" spans="1:25" x14ac:dyDescent="0.25">
      <c r="A4679" t="s">
        <v>4735</v>
      </c>
      <c r="B4679" s="1">
        <v>46208</v>
      </c>
      <c r="C4679">
        <v>2026</v>
      </c>
      <c r="D4679">
        <v>7</v>
      </c>
      <c r="E4679" t="s">
        <v>690</v>
      </c>
      <c r="F4679" t="s">
        <v>691</v>
      </c>
      <c r="G4679" t="s">
        <v>55</v>
      </c>
      <c r="H4679" t="s">
        <v>36</v>
      </c>
      <c r="I4679" t="s">
        <v>33</v>
      </c>
      <c r="J4679">
        <v>47</v>
      </c>
      <c r="K4679">
        <v>1609.84</v>
      </c>
      <c r="L4679">
        <v>75662.41</v>
      </c>
      <c r="M4679">
        <v>47837.02</v>
      </c>
      <c r="N4679">
        <v>5865.72</v>
      </c>
      <c r="O4679">
        <v>3207.49</v>
      </c>
      <c r="P4679">
        <v>1978.67</v>
      </c>
      <c r="Q4679">
        <v>773.2</v>
      </c>
      <c r="R4679">
        <v>1935.13</v>
      </c>
      <c r="S4679">
        <v>810.12</v>
      </c>
      <c r="T4679">
        <v>62407.360000000001</v>
      </c>
      <c r="U4679">
        <v>27825.39</v>
      </c>
      <c r="V4679">
        <v>13255.05</v>
      </c>
      <c r="W4679">
        <v>12012.7</v>
      </c>
      <c r="X4679">
        <v>80704.12</v>
      </c>
      <c r="Y4679">
        <v>59859.71</v>
      </c>
    </row>
    <row r="4680" spans="1:25" x14ac:dyDescent="0.25">
      <c r="A4680" t="s">
        <v>4736</v>
      </c>
      <c r="B4680" s="1">
        <v>46208</v>
      </c>
      <c r="C4680">
        <v>2026</v>
      </c>
      <c r="D4680">
        <v>7</v>
      </c>
      <c r="E4680" t="s">
        <v>690</v>
      </c>
      <c r="F4680" t="s">
        <v>691</v>
      </c>
      <c r="G4680" t="s">
        <v>28</v>
      </c>
      <c r="H4680" t="s">
        <v>53</v>
      </c>
      <c r="I4680" t="s">
        <v>50</v>
      </c>
      <c r="J4680">
        <v>37</v>
      </c>
      <c r="K4680">
        <v>1392.16</v>
      </c>
      <c r="L4680">
        <v>51509.97</v>
      </c>
      <c r="M4680">
        <v>26341.08</v>
      </c>
      <c r="N4680">
        <v>5107.1099999999997</v>
      </c>
      <c r="O4680">
        <v>2634.2</v>
      </c>
      <c r="P4680">
        <v>2140.65</v>
      </c>
      <c r="Q4680">
        <v>843.14</v>
      </c>
      <c r="R4680">
        <v>3108.66</v>
      </c>
      <c r="S4680">
        <v>918.8</v>
      </c>
      <c r="T4680">
        <v>41093.64</v>
      </c>
      <c r="U4680">
        <v>25168.89</v>
      </c>
      <c r="V4680">
        <v>10416.33</v>
      </c>
      <c r="W4680">
        <v>9599.92</v>
      </c>
      <c r="X4680">
        <v>49117.02</v>
      </c>
      <c r="Y4680">
        <v>39322.620000000003</v>
      </c>
    </row>
    <row r="4681" spans="1:25" x14ac:dyDescent="0.25">
      <c r="A4681" t="s">
        <v>4737</v>
      </c>
      <c r="B4681" s="1">
        <v>46209</v>
      </c>
      <c r="C4681">
        <v>2026</v>
      </c>
      <c r="D4681">
        <v>7</v>
      </c>
      <c r="E4681" t="s">
        <v>690</v>
      </c>
      <c r="F4681" t="s">
        <v>691</v>
      </c>
      <c r="G4681" t="s">
        <v>35</v>
      </c>
      <c r="H4681" t="s">
        <v>53</v>
      </c>
      <c r="I4681" t="s">
        <v>39</v>
      </c>
      <c r="J4681">
        <v>39</v>
      </c>
      <c r="K4681">
        <v>854.79</v>
      </c>
      <c r="L4681">
        <v>33336.65</v>
      </c>
      <c r="M4681">
        <v>22066.36</v>
      </c>
      <c r="N4681">
        <v>3488.7</v>
      </c>
      <c r="O4681">
        <v>843.15</v>
      </c>
      <c r="P4681">
        <v>1156.6099999999999</v>
      </c>
      <c r="Q4681">
        <v>408.92</v>
      </c>
      <c r="R4681">
        <v>1698.13</v>
      </c>
      <c r="S4681">
        <v>543.36</v>
      </c>
      <c r="T4681">
        <v>30205.23</v>
      </c>
      <c r="U4681">
        <v>11270.29</v>
      </c>
      <c r="V4681">
        <v>3131.42</v>
      </c>
      <c r="W4681">
        <v>2853.76</v>
      </c>
      <c r="X4681">
        <v>33071.03</v>
      </c>
      <c r="Y4681">
        <v>28926.3</v>
      </c>
    </row>
    <row r="4682" spans="1:25" x14ac:dyDescent="0.25">
      <c r="A4682" t="s">
        <v>4738</v>
      </c>
      <c r="B4682" s="1">
        <v>46209</v>
      </c>
      <c r="C4682">
        <v>2026</v>
      </c>
      <c r="D4682">
        <v>7</v>
      </c>
      <c r="E4682" t="s">
        <v>690</v>
      </c>
      <c r="F4682" t="s">
        <v>691</v>
      </c>
      <c r="G4682" t="s">
        <v>28</v>
      </c>
      <c r="H4682" t="s">
        <v>32</v>
      </c>
      <c r="I4682" t="s">
        <v>37</v>
      </c>
      <c r="J4682">
        <v>75</v>
      </c>
      <c r="K4682">
        <v>1004.23</v>
      </c>
      <c r="L4682">
        <v>75316.91</v>
      </c>
      <c r="M4682">
        <v>40015.31</v>
      </c>
      <c r="N4682">
        <v>8381.19</v>
      </c>
      <c r="O4682">
        <v>4367.34</v>
      </c>
      <c r="P4682">
        <v>1760.67</v>
      </c>
      <c r="Q4682">
        <v>1054.6099999999999</v>
      </c>
      <c r="R4682">
        <v>3894.05</v>
      </c>
      <c r="S4682">
        <v>633.44000000000005</v>
      </c>
      <c r="T4682">
        <v>60106.61</v>
      </c>
      <c r="U4682">
        <v>35301.599999999999</v>
      </c>
      <c r="V4682">
        <v>15210.29</v>
      </c>
      <c r="W4682">
        <v>13657.28</v>
      </c>
      <c r="X4682">
        <v>78471.570000000007</v>
      </c>
      <c r="Y4682">
        <v>64629.48</v>
      </c>
    </row>
    <row r="4683" spans="1:25" x14ac:dyDescent="0.25">
      <c r="A4683" t="s">
        <v>4739</v>
      </c>
      <c r="B4683" s="1">
        <v>46209</v>
      </c>
      <c r="C4683">
        <v>2026</v>
      </c>
      <c r="D4683">
        <v>7</v>
      </c>
      <c r="E4683" t="s">
        <v>690</v>
      </c>
      <c r="F4683" t="s">
        <v>691</v>
      </c>
      <c r="G4683" t="s">
        <v>55</v>
      </c>
      <c r="H4683" t="s">
        <v>58</v>
      </c>
      <c r="I4683" t="s">
        <v>50</v>
      </c>
      <c r="J4683">
        <v>68</v>
      </c>
      <c r="K4683">
        <v>867.98</v>
      </c>
      <c r="L4683">
        <v>59022.8</v>
      </c>
      <c r="M4683">
        <v>38830.089999999997</v>
      </c>
      <c r="N4683">
        <v>6139.55</v>
      </c>
      <c r="O4683">
        <v>2728.55</v>
      </c>
      <c r="P4683">
        <v>1616.44</v>
      </c>
      <c r="Q4683">
        <v>745.41</v>
      </c>
      <c r="R4683">
        <v>2238.65</v>
      </c>
      <c r="S4683">
        <v>506.92</v>
      </c>
      <c r="T4683">
        <v>52805.62</v>
      </c>
      <c r="U4683">
        <v>20192.71</v>
      </c>
      <c r="V4683">
        <v>6217.18</v>
      </c>
      <c r="W4683">
        <v>6070.36</v>
      </c>
      <c r="X4683">
        <v>61926.83</v>
      </c>
      <c r="Y4683">
        <v>49943.5</v>
      </c>
    </row>
    <row r="4684" spans="1:25" x14ac:dyDescent="0.25">
      <c r="A4684" t="s">
        <v>4740</v>
      </c>
      <c r="B4684" s="1">
        <v>46210</v>
      </c>
      <c r="C4684">
        <v>2026</v>
      </c>
      <c r="D4684">
        <v>7</v>
      </c>
      <c r="E4684" t="s">
        <v>690</v>
      </c>
      <c r="F4684" t="s">
        <v>691</v>
      </c>
      <c r="G4684" t="s">
        <v>44</v>
      </c>
      <c r="H4684" t="s">
        <v>32</v>
      </c>
      <c r="I4684" t="s">
        <v>65</v>
      </c>
      <c r="J4684">
        <v>55</v>
      </c>
      <c r="K4684">
        <v>1294.3399999999999</v>
      </c>
      <c r="L4684">
        <v>71188.84</v>
      </c>
      <c r="M4684">
        <v>34171.599999999999</v>
      </c>
      <c r="N4684">
        <v>8108.05</v>
      </c>
      <c r="O4684">
        <v>2852.89</v>
      </c>
      <c r="P4684">
        <v>2495.85</v>
      </c>
      <c r="Q4684">
        <v>927.93</v>
      </c>
      <c r="R4684">
        <v>3383.35</v>
      </c>
      <c r="S4684">
        <v>980.59</v>
      </c>
      <c r="T4684">
        <v>52920.27</v>
      </c>
      <c r="U4684">
        <v>37017.24</v>
      </c>
      <c r="V4684">
        <v>18268.57</v>
      </c>
      <c r="W4684">
        <v>16988.96</v>
      </c>
      <c r="X4684">
        <v>70299.679999999993</v>
      </c>
      <c r="Y4684">
        <v>53305.8</v>
      </c>
    </row>
    <row r="4685" spans="1:25" x14ac:dyDescent="0.25">
      <c r="A4685" t="s">
        <v>4741</v>
      </c>
      <c r="B4685" s="1">
        <v>46210</v>
      </c>
      <c r="C4685">
        <v>2026</v>
      </c>
      <c r="D4685">
        <v>7</v>
      </c>
      <c r="E4685" t="s">
        <v>690</v>
      </c>
      <c r="F4685" t="s">
        <v>691</v>
      </c>
      <c r="G4685" t="s">
        <v>44</v>
      </c>
      <c r="H4685" t="s">
        <v>36</v>
      </c>
      <c r="I4685" t="s">
        <v>50</v>
      </c>
      <c r="J4685">
        <v>34</v>
      </c>
      <c r="K4685">
        <v>1106.96</v>
      </c>
      <c r="L4685">
        <v>37636.75</v>
      </c>
      <c r="M4685">
        <v>24410.66</v>
      </c>
      <c r="N4685">
        <v>2970.4</v>
      </c>
      <c r="O4685">
        <v>1528.84</v>
      </c>
      <c r="P4685">
        <v>1023.64</v>
      </c>
      <c r="Q4685">
        <v>554.61</v>
      </c>
      <c r="R4685">
        <v>2102.96</v>
      </c>
      <c r="S4685">
        <v>940.57</v>
      </c>
      <c r="T4685">
        <v>33531.68</v>
      </c>
      <c r="U4685">
        <v>13226.1</v>
      </c>
      <c r="V4685">
        <v>4105.08</v>
      </c>
      <c r="W4685">
        <v>4034.11</v>
      </c>
      <c r="X4685">
        <v>38055.22</v>
      </c>
      <c r="Y4685">
        <v>34117.760000000002</v>
      </c>
    </row>
    <row r="4686" spans="1:25" x14ac:dyDescent="0.25">
      <c r="A4686" t="s">
        <v>4742</v>
      </c>
      <c r="B4686" s="1">
        <v>46210</v>
      </c>
      <c r="C4686">
        <v>2026</v>
      </c>
      <c r="D4686">
        <v>7</v>
      </c>
      <c r="E4686" t="s">
        <v>690</v>
      </c>
      <c r="F4686" t="s">
        <v>691</v>
      </c>
      <c r="G4686" t="s">
        <v>55</v>
      </c>
      <c r="H4686" t="s">
        <v>36</v>
      </c>
      <c r="I4686" t="s">
        <v>65</v>
      </c>
      <c r="J4686">
        <v>38</v>
      </c>
      <c r="K4686">
        <v>1713.72</v>
      </c>
      <c r="L4686">
        <v>65121.34</v>
      </c>
      <c r="M4686">
        <v>38405.61</v>
      </c>
      <c r="N4686">
        <v>7275.48</v>
      </c>
      <c r="O4686">
        <v>3273.54</v>
      </c>
      <c r="P4686">
        <v>1042.97</v>
      </c>
      <c r="Q4686">
        <v>963.85</v>
      </c>
      <c r="R4686">
        <v>3690.85</v>
      </c>
      <c r="S4686">
        <v>1154.6400000000001</v>
      </c>
      <c r="T4686">
        <v>55806.95</v>
      </c>
      <c r="U4686">
        <v>26715.74</v>
      </c>
      <c r="V4686">
        <v>9314.39</v>
      </c>
      <c r="W4686">
        <v>9002.41</v>
      </c>
      <c r="X4686">
        <v>66893.91</v>
      </c>
      <c r="Y4686">
        <v>53627.11</v>
      </c>
    </row>
    <row r="4687" spans="1:25" x14ac:dyDescent="0.25">
      <c r="A4687" t="s">
        <v>4743</v>
      </c>
      <c r="B4687" s="1">
        <v>46210</v>
      </c>
      <c r="C4687">
        <v>2026</v>
      </c>
      <c r="D4687">
        <v>7</v>
      </c>
      <c r="E4687" t="s">
        <v>690</v>
      </c>
      <c r="F4687" t="s">
        <v>691</v>
      </c>
      <c r="G4687" t="s">
        <v>55</v>
      </c>
      <c r="H4687" t="s">
        <v>53</v>
      </c>
      <c r="I4687" t="s">
        <v>37</v>
      </c>
      <c r="J4687">
        <v>57</v>
      </c>
      <c r="K4687">
        <v>1301.01</v>
      </c>
      <c r="L4687">
        <v>74157.7</v>
      </c>
      <c r="M4687">
        <v>45193.82</v>
      </c>
      <c r="N4687">
        <v>6505.27</v>
      </c>
      <c r="O4687">
        <v>2558.39</v>
      </c>
      <c r="P4687">
        <v>1334.47</v>
      </c>
      <c r="Q4687">
        <v>1220.19</v>
      </c>
      <c r="R4687">
        <v>2411.48</v>
      </c>
      <c r="S4687">
        <v>878.99</v>
      </c>
      <c r="T4687">
        <v>60102.61</v>
      </c>
      <c r="U4687">
        <v>28963.88</v>
      </c>
      <c r="V4687">
        <v>14055.1</v>
      </c>
      <c r="W4687">
        <v>12473.88</v>
      </c>
      <c r="X4687">
        <v>82937.77</v>
      </c>
      <c r="Y4687">
        <v>64202.05</v>
      </c>
    </row>
    <row r="4688" spans="1:25" x14ac:dyDescent="0.25">
      <c r="A4688" t="s">
        <v>4744</v>
      </c>
      <c r="B4688" s="1">
        <v>46210</v>
      </c>
      <c r="C4688">
        <v>2026</v>
      </c>
      <c r="D4688">
        <v>7</v>
      </c>
      <c r="E4688" t="s">
        <v>690</v>
      </c>
      <c r="F4688" t="s">
        <v>691</v>
      </c>
      <c r="G4688" t="s">
        <v>35</v>
      </c>
      <c r="H4688" t="s">
        <v>36</v>
      </c>
      <c r="I4688" t="s">
        <v>30</v>
      </c>
      <c r="J4688">
        <v>52</v>
      </c>
      <c r="K4688">
        <v>1611.91</v>
      </c>
      <c r="L4688">
        <v>83819.13</v>
      </c>
      <c r="M4688">
        <v>41142.949999999997</v>
      </c>
      <c r="N4688">
        <v>8123.48</v>
      </c>
      <c r="O4688">
        <v>2427.61</v>
      </c>
      <c r="P4688">
        <v>3040.37</v>
      </c>
      <c r="Q4688">
        <v>703.79</v>
      </c>
      <c r="R4688">
        <v>4218.83</v>
      </c>
      <c r="S4688">
        <v>1823.47</v>
      </c>
      <c r="T4688">
        <v>61480.5</v>
      </c>
      <c r="U4688">
        <v>42676.18</v>
      </c>
      <c r="V4688">
        <v>22338.63</v>
      </c>
      <c r="W4688">
        <v>21259.66</v>
      </c>
      <c r="X4688">
        <v>82030.98</v>
      </c>
      <c r="Y4688">
        <v>60075.54</v>
      </c>
    </row>
    <row r="4689" spans="1:25" x14ac:dyDescent="0.25">
      <c r="A4689" t="s">
        <v>4745</v>
      </c>
      <c r="B4689" s="1">
        <v>46210</v>
      </c>
      <c r="C4689">
        <v>2026</v>
      </c>
      <c r="D4689">
        <v>7</v>
      </c>
      <c r="E4689" t="s">
        <v>690</v>
      </c>
      <c r="F4689" t="s">
        <v>691</v>
      </c>
      <c r="G4689" t="s">
        <v>28</v>
      </c>
      <c r="H4689" t="s">
        <v>32</v>
      </c>
      <c r="I4689" t="s">
        <v>65</v>
      </c>
      <c r="J4689">
        <v>50</v>
      </c>
      <c r="K4689">
        <v>1529.4</v>
      </c>
      <c r="L4689">
        <v>76470.22</v>
      </c>
      <c r="M4689">
        <v>46326.6</v>
      </c>
      <c r="N4689">
        <v>8936.43</v>
      </c>
      <c r="O4689">
        <v>4785.25</v>
      </c>
      <c r="P4689">
        <v>3134.32</v>
      </c>
      <c r="Q4689">
        <v>801.14</v>
      </c>
      <c r="R4689">
        <v>2115.6799999999998</v>
      </c>
      <c r="S4689">
        <v>717.58</v>
      </c>
      <c r="T4689">
        <v>66817</v>
      </c>
      <c r="U4689">
        <v>30143.62</v>
      </c>
      <c r="V4689">
        <v>9653.2199999999993</v>
      </c>
      <c r="W4689">
        <v>8619.3799999999992</v>
      </c>
      <c r="X4689">
        <v>78659.199999999997</v>
      </c>
      <c r="Y4689">
        <v>64573.34</v>
      </c>
    </row>
    <row r="4690" spans="1:25" x14ac:dyDescent="0.25">
      <c r="A4690" t="s">
        <v>4746</v>
      </c>
      <c r="B4690" s="1">
        <v>46210</v>
      </c>
      <c r="C4690">
        <v>2026</v>
      </c>
      <c r="D4690">
        <v>7</v>
      </c>
      <c r="E4690" t="s">
        <v>690</v>
      </c>
      <c r="F4690" t="s">
        <v>691</v>
      </c>
      <c r="G4690" t="s">
        <v>55</v>
      </c>
      <c r="H4690" t="s">
        <v>36</v>
      </c>
      <c r="I4690" t="s">
        <v>65</v>
      </c>
      <c r="J4690">
        <v>62</v>
      </c>
      <c r="K4690">
        <v>1162.73</v>
      </c>
      <c r="L4690">
        <v>72089.009999999995</v>
      </c>
      <c r="M4690">
        <v>38196.17</v>
      </c>
      <c r="N4690">
        <v>9128.91</v>
      </c>
      <c r="O4690">
        <v>3453.85</v>
      </c>
      <c r="P4690">
        <v>1714.84</v>
      </c>
      <c r="Q4690">
        <v>1019.67</v>
      </c>
      <c r="R4690">
        <v>2756.74</v>
      </c>
      <c r="S4690">
        <v>1260.6300000000001</v>
      </c>
      <c r="T4690">
        <v>57530.8</v>
      </c>
      <c r="U4690">
        <v>33892.839999999997</v>
      </c>
      <c r="V4690">
        <v>14558.21</v>
      </c>
      <c r="W4690">
        <v>13401.11</v>
      </c>
      <c r="X4690">
        <v>77716.679999999993</v>
      </c>
      <c r="Y4690">
        <v>56670</v>
      </c>
    </row>
    <row r="4691" spans="1:25" x14ac:dyDescent="0.25">
      <c r="A4691" t="s">
        <v>4747</v>
      </c>
      <c r="B4691" s="1">
        <v>46211</v>
      </c>
      <c r="C4691">
        <v>2026</v>
      </c>
      <c r="D4691">
        <v>7</v>
      </c>
      <c r="E4691" t="s">
        <v>690</v>
      </c>
      <c r="F4691" t="s">
        <v>691</v>
      </c>
      <c r="G4691" t="s">
        <v>28</v>
      </c>
      <c r="H4691" t="s">
        <v>32</v>
      </c>
      <c r="I4691" t="s">
        <v>33</v>
      </c>
      <c r="J4691">
        <v>95</v>
      </c>
      <c r="K4691">
        <v>1183.42</v>
      </c>
      <c r="L4691">
        <v>112424.46</v>
      </c>
      <c r="M4691">
        <v>62058.73</v>
      </c>
      <c r="N4691">
        <v>12830.26</v>
      </c>
      <c r="O4691">
        <v>7211.74</v>
      </c>
      <c r="P4691">
        <v>1733.31</v>
      </c>
      <c r="Q4691">
        <v>1118.31</v>
      </c>
      <c r="R4691">
        <v>3289.58</v>
      </c>
      <c r="S4691">
        <v>2167.81</v>
      </c>
      <c r="T4691">
        <v>90409.73</v>
      </c>
      <c r="U4691">
        <v>50365.73</v>
      </c>
      <c r="V4691">
        <v>22014.720000000001</v>
      </c>
      <c r="W4691">
        <v>21589.66</v>
      </c>
      <c r="X4691">
        <v>120293.35</v>
      </c>
      <c r="Y4691">
        <v>95945.06</v>
      </c>
    </row>
    <row r="4692" spans="1:25" x14ac:dyDescent="0.25">
      <c r="A4692" t="s">
        <v>4748</v>
      </c>
      <c r="B4692" s="1">
        <v>46211</v>
      </c>
      <c r="C4692">
        <v>2026</v>
      </c>
      <c r="D4692">
        <v>7</v>
      </c>
      <c r="E4692" t="s">
        <v>690</v>
      </c>
      <c r="F4692" t="s">
        <v>691</v>
      </c>
      <c r="G4692" t="s">
        <v>35</v>
      </c>
      <c r="H4692" t="s">
        <v>29</v>
      </c>
      <c r="I4692" t="s">
        <v>56</v>
      </c>
      <c r="J4692">
        <v>18</v>
      </c>
      <c r="K4692">
        <v>1648.87</v>
      </c>
      <c r="L4692">
        <v>29679.65</v>
      </c>
      <c r="M4692">
        <v>16297.14</v>
      </c>
      <c r="N4692">
        <v>2239.5300000000002</v>
      </c>
      <c r="O4692">
        <v>2000.65</v>
      </c>
      <c r="P4692">
        <v>1013.32</v>
      </c>
      <c r="Q4692">
        <v>258.23</v>
      </c>
      <c r="R4692">
        <v>1083.01</v>
      </c>
      <c r="S4692">
        <v>270.14999999999998</v>
      </c>
      <c r="T4692">
        <v>23162.02</v>
      </c>
      <c r="U4692">
        <v>13382.51</v>
      </c>
      <c r="V4692">
        <v>6517.63</v>
      </c>
      <c r="W4692">
        <v>6644.83</v>
      </c>
      <c r="X4692">
        <v>31188.63</v>
      </c>
      <c r="Y4692">
        <v>24433.99</v>
      </c>
    </row>
    <row r="4693" spans="1:25" x14ac:dyDescent="0.25">
      <c r="A4693" t="s">
        <v>4749</v>
      </c>
      <c r="B4693" s="1">
        <v>46211</v>
      </c>
      <c r="C4693">
        <v>2026</v>
      </c>
      <c r="D4693">
        <v>7</v>
      </c>
      <c r="E4693" t="s">
        <v>690</v>
      </c>
      <c r="F4693" t="s">
        <v>691</v>
      </c>
      <c r="G4693" t="s">
        <v>55</v>
      </c>
      <c r="H4693" t="s">
        <v>32</v>
      </c>
      <c r="I4693" t="s">
        <v>65</v>
      </c>
      <c r="J4693">
        <v>47</v>
      </c>
      <c r="K4693">
        <v>1532.39</v>
      </c>
      <c r="L4693">
        <v>72022.53</v>
      </c>
      <c r="M4693">
        <v>48874.84</v>
      </c>
      <c r="N4693">
        <v>6490.58</v>
      </c>
      <c r="O4693">
        <v>4163.32</v>
      </c>
      <c r="P4693">
        <v>1878.29</v>
      </c>
      <c r="Q4693">
        <v>845.52</v>
      </c>
      <c r="R4693">
        <v>3090.68</v>
      </c>
      <c r="S4693">
        <v>1143.77</v>
      </c>
      <c r="T4693">
        <v>66487</v>
      </c>
      <c r="U4693">
        <v>23147.69</v>
      </c>
      <c r="V4693">
        <v>5535.53</v>
      </c>
      <c r="W4693">
        <v>5185.32</v>
      </c>
      <c r="X4693">
        <v>66805.56</v>
      </c>
      <c r="Y4693">
        <v>68187.570000000007</v>
      </c>
    </row>
    <row r="4694" spans="1:25" x14ac:dyDescent="0.25">
      <c r="A4694" t="s">
        <v>4750</v>
      </c>
      <c r="B4694" s="1">
        <v>46211</v>
      </c>
      <c r="C4694">
        <v>2026</v>
      </c>
      <c r="D4694">
        <v>7</v>
      </c>
      <c r="E4694" t="s">
        <v>690</v>
      </c>
      <c r="F4694" t="s">
        <v>691</v>
      </c>
      <c r="G4694" t="s">
        <v>28</v>
      </c>
      <c r="H4694" t="s">
        <v>36</v>
      </c>
      <c r="I4694" t="s">
        <v>30</v>
      </c>
      <c r="J4694">
        <v>64</v>
      </c>
      <c r="K4694">
        <v>1652.43</v>
      </c>
      <c r="L4694">
        <v>105755.38</v>
      </c>
      <c r="M4694">
        <v>69326.2</v>
      </c>
      <c r="N4694">
        <v>10381.51</v>
      </c>
      <c r="O4694">
        <v>7174.04</v>
      </c>
      <c r="P4694">
        <v>3560.69</v>
      </c>
      <c r="Q4694">
        <v>924.55</v>
      </c>
      <c r="R4694">
        <v>3171.21</v>
      </c>
      <c r="S4694">
        <v>2116.41</v>
      </c>
      <c r="T4694">
        <v>96654.61</v>
      </c>
      <c r="U4694">
        <v>36429.18</v>
      </c>
      <c r="V4694">
        <v>9100.77</v>
      </c>
      <c r="W4694">
        <v>9272.89</v>
      </c>
      <c r="X4694">
        <v>116583.51</v>
      </c>
      <c r="Y4694">
        <v>91112.92</v>
      </c>
    </row>
    <row r="4695" spans="1:25" x14ac:dyDescent="0.25">
      <c r="A4695" t="s">
        <v>4751</v>
      </c>
      <c r="B4695" s="1">
        <v>46212</v>
      </c>
      <c r="C4695">
        <v>2026</v>
      </c>
      <c r="D4695">
        <v>7</v>
      </c>
      <c r="E4695" t="s">
        <v>690</v>
      </c>
      <c r="F4695" t="s">
        <v>691</v>
      </c>
      <c r="G4695" t="s">
        <v>44</v>
      </c>
      <c r="H4695" t="s">
        <v>32</v>
      </c>
      <c r="I4695" t="s">
        <v>30</v>
      </c>
      <c r="J4695">
        <v>78</v>
      </c>
      <c r="K4695">
        <v>1217.3</v>
      </c>
      <c r="L4695">
        <v>94949.55</v>
      </c>
      <c r="M4695">
        <v>49337.68</v>
      </c>
      <c r="N4695">
        <v>7328.81</v>
      </c>
      <c r="O4695">
        <v>5594.32</v>
      </c>
      <c r="P4695">
        <v>4083.73</v>
      </c>
      <c r="Q4695">
        <v>580.61</v>
      </c>
      <c r="R4695">
        <v>2410.9699999999998</v>
      </c>
      <c r="S4695">
        <v>1996.75</v>
      </c>
      <c r="T4695">
        <v>71332.87</v>
      </c>
      <c r="U4695">
        <v>45611.87</v>
      </c>
      <c r="V4695">
        <v>23616.68</v>
      </c>
      <c r="W4695">
        <v>21613.59</v>
      </c>
      <c r="X4695">
        <v>106206.35</v>
      </c>
      <c r="Y4695">
        <v>77802.86</v>
      </c>
    </row>
    <row r="4696" spans="1:25" x14ac:dyDescent="0.25">
      <c r="A4696" t="s">
        <v>4752</v>
      </c>
      <c r="B4696" s="1">
        <v>46212</v>
      </c>
      <c r="C4696">
        <v>2026</v>
      </c>
      <c r="D4696">
        <v>7</v>
      </c>
      <c r="E4696" t="s">
        <v>690</v>
      </c>
      <c r="F4696" t="s">
        <v>691</v>
      </c>
      <c r="G4696" t="s">
        <v>28</v>
      </c>
      <c r="H4696" t="s">
        <v>32</v>
      </c>
      <c r="I4696" t="s">
        <v>50</v>
      </c>
      <c r="J4696">
        <v>55</v>
      </c>
      <c r="K4696">
        <v>1216.5999999999999</v>
      </c>
      <c r="L4696">
        <v>66912.78</v>
      </c>
      <c r="M4696">
        <v>35116.730000000003</v>
      </c>
      <c r="N4696">
        <v>6385.17</v>
      </c>
      <c r="O4696">
        <v>2918.68</v>
      </c>
      <c r="P4696">
        <v>2734</v>
      </c>
      <c r="Q4696">
        <v>460.65</v>
      </c>
      <c r="R4696">
        <v>3685.93</v>
      </c>
      <c r="S4696">
        <v>1433.88</v>
      </c>
      <c r="T4696">
        <v>52735.040000000001</v>
      </c>
      <c r="U4696">
        <v>31796.06</v>
      </c>
      <c r="V4696">
        <v>14177.74</v>
      </c>
      <c r="W4696">
        <v>13549.59</v>
      </c>
      <c r="X4696">
        <v>65239.41</v>
      </c>
      <c r="Y4696">
        <v>56139.71</v>
      </c>
    </row>
    <row r="4697" spans="1:25" x14ac:dyDescent="0.25">
      <c r="A4697" t="s">
        <v>4753</v>
      </c>
      <c r="B4697" s="1">
        <v>46213</v>
      </c>
      <c r="C4697">
        <v>2026</v>
      </c>
      <c r="D4697">
        <v>7</v>
      </c>
      <c r="E4697" t="s">
        <v>690</v>
      </c>
      <c r="F4697" t="s">
        <v>691</v>
      </c>
      <c r="G4697" t="s">
        <v>55</v>
      </c>
      <c r="H4697" t="s">
        <v>32</v>
      </c>
      <c r="I4697" t="s">
        <v>33</v>
      </c>
      <c r="J4697">
        <v>103</v>
      </c>
      <c r="K4697">
        <v>1164.21</v>
      </c>
      <c r="L4697">
        <v>119913.31</v>
      </c>
      <c r="M4697">
        <v>75073.61</v>
      </c>
      <c r="N4697">
        <v>14031.02</v>
      </c>
      <c r="O4697">
        <v>3515.29</v>
      </c>
      <c r="P4697">
        <v>4062.28</v>
      </c>
      <c r="Q4697">
        <v>661.63</v>
      </c>
      <c r="R4697">
        <v>7404.22</v>
      </c>
      <c r="S4697">
        <v>2762.68</v>
      </c>
      <c r="T4697">
        <v>107510.73</v>
      </c>
      <c r="U4697">
        <v>44839.7</v>
      </c>
      <c r="V4697">
        <v>12402.58</v>
      </c>
      <c r="W4697">
        <v>11106.29</v>
      </c>
      <c r="X4697">
        <v>111562.08</v>
      </c>
      <c r="Y4697">
        <v>107606.93</v>
      </c>
    </row>
    <row r="4698" spans="1:25" x14ac:dyDescent="0.25">
      <c r="A4698" t="s">
        <v>4754</v>
      </c>
      <c r="B4698" s="1">
        <v>46213</v>
      </c>
      <c r="C4698">
        <v>2026</v>
      </c>
      <c r="D4698">
        <v>7</v>
      </c>
      <c r="E4698" t="s">
        <v>690</v>
      </c>
      <c r="F4698" t="s">
        <v>691</v>
      </c>
      <c r="G4698" t="s">
        <v>44</v>
      </c>
      <c r="H4698" t="s">
        <v>53</v>
      </c>
      <c r="I4698" t="s">
        <v>45</v>
      </c>
      <c r="J4698">
        <v>21</v>
      </c>
      <c r="K4698">
        <v>1461.28</v>
      </c>
      <c r="L4698">
        <v>30686.98</v>
      </c>
      <c r="M4698">
        <v>15366.98</v>
      </c>
      <c r="N4698">
        <v>2774.49</v>
      </c>
      <c r="O4698">
        <v>1291.4100000000001</v>
      </c>
      <c r="P4698">
        <v>1054.31</v>
      </c>
      <c r="Q4698">
        <v>457.71</v>
      </c>
      <c r="R4698">
        <v>999.22</v>
      </c>
      <c r="S4698">
        <v>713.01</v>
      </c>
      <c r="T4698">
        <v>22657.14</v>
      </c>
      <c r="U4698">
        <v>15320</v>
      </c>
      <c r="V4698">
        <v>8029.84</v>
      </c>
      <c r="W4698">
        <v>8007.01</v>
      </c>
      <c r="X4698">
        <v>31604.51</v>
      </c>
      <c r="Y4698">
        <v>21267.05</v>
      </c>
    </row>
    <row r="4699" spans="1:25" x14ac:dyDescent="0.25">
      <c r="A4699" t="s">
        <v>4755</v>
      </c>
      <c r="B4699" s="1">
        <v>46214</v>
      </c>
      <c r="C4699">
        <v>2026</v>
      </c>
      <c r="D4699">
        <v>7</v>
      </c>
      <c r="E4699" t="s">
        <v>690</v>
      </c>
      <c r="F4699" t="s">
        <v>691</v>
      </c>
      <c r="G4699" t="s">
        <v>28</v>
      </c>
      <c r="H4699" t="s">
        <v>29</v>
      </c>
      <c r="I4699" t="s">
        <v>50</v>
      </c>
      <c r="J4699">
        <v>29</v>
      </c>
      <c r="K4699">
        <v>1546.97</v>
      </c>
      <c r="L4699">
        <v>44862.09</v>
      </c>
      <c r="M4699">
        <v>27768.35</v>
      </c>
      <c r="N4699">
        <v>5387.06</v>
      </c>
      <c r="O4699">
        <v>2676.69</v>
      </c>
      <c r="P4699">
        <v>1931.92</v>
      </c>
      <c r="Q4699">
        <v>348.64</v>
      </c>
      <c r="R4699">
        <v>2862.87</v>
      </c>
      <c r="S4699">
        <v>639.63</v>
      </c>
      <c r="T4699">
        <v>41615.15</v>
      </c>
      <c r="U4699">
        <v>17093.75</v>
      </c>
      <c r="V4699">
        <v>3246.95</v>
      </c>
      <c r="W4699">
        <v>2882.57</v>
      </c>
      <c r="X4699">
        <v>49515.17</v>
      </c>
      <c r="Y4699">
        <v>40712.26</v>
      </c>
    </row>
    <row r="4700" spans="1:25" x14ac:dyDescent="0.25">
      <c r="A4700" t="s">
        <v>4756</v>
      </c>
      <c r="B4700" s="1">
        <v>46214</v>
      </c>
      <c r="C4700">
        <v>2026</v>
      </c>
      <c r="D4700">
        <v>7</v>
      </c>
      <c r="E4700" t="s">
        <v>690</v>
      </c>
      <c r="F4700" t="s">
        <v>691</v>
      </c>
      <c r="G4700" t="s">
        <v>44</v>
      </c>
      <c r="H4700" t="s">
        <v>53</v>
      </c>
      <c r="I4700" t="s">
        <v>30</v>
      </c>
      <c r="J4700">
        <v>56</v>
      </c>
      <c r="K4700">
        <v>1141.3800000000001</v>
      </c>
      <c r="L4700">
        <v>63917.35</v>
      </c>
      <c r="M4700">
        <v>42670.44</v>
      </c>
      <c r="N4700">
        <v>8184.44</v>
      </c>
      <c r="O4700">
        <v>3162.85</v>
      </c>
      <c r="P4700">
        <v>1772.66</v>
      </c>
      <c r="Q4700">
        <v>951.59</v>
      </c>
      <c r="R4700">
        <v>1908.66</v>
      </c>
      <c r="S4700">
        <v>518.49</v>
      </c>
      <c r="T4700">
        <v>59169.13</v>
      </c>
      <c r="U4700">
        <v>21246.91</v>
      </c>
      <c r="V4700">
        <v>4748.2299999999996</v>
      </c>
      <c r="W4700">
        <v>4263.5</v>
      </c>
      <c r="X4700">
        <v>66551.02</v>
      </c>
      <c r="Y4700">
        <v>60722.3</v>
      </c>
    </row>
    <row r="4701" spans="1:25" x14ac:dyDescent="0.25">
      <c r="A4701" t="s">
        <v>4757</v>
      </c>
      <c r="B4701" s="1">
        <v>46214</v>
      </c>
      <c r="C4701">
        <v>2026</v>
      </c>
      <c r="D4701">
        <v>7</v>
      </c>
      <c r="E4701" t="s">
        <v>690</v>
      </c>
      <c r="F4701" t="s">
        <v>691</v>
      </c>
      <c r="G4701" t="s">
        <v>55</v>
      </c>
      <c r="H4701" t="s">
        <v>53</v>
      </c>
      <c r="I4701" t="s">
        <v>33</v>
      </c>
      <c r="J4701">
        <v>35</v>
      </c>
      <c r="K4701">
        <v>1730.49</v>
      </c>
      <c r="L4701">
        <v>60567.27</v>
      </c>
      <c r="M4701">
        <v>35629.61</v>
      </c>
      <c r="N4701">
        <v>5221.3599999999997</v>
      </c>
      <c r="O4701">
        <v>4245.41</v>
      </c>
      <c r="P4701">
        <v>1981.15</v>
      </c>
      <c r="Q4701">
        <v>752.67</v>
      </c>
      <c r="R4701">
        <v>3460.59</v>
      </c>
      <c r="S4701">
        <v>773.52</v>
      </c>
      <c r="T4701">
        <v>52064.32</v>
      </c>
      <c r="U4701">
        <v>24937.66</v>
      </c>
      <c r="V4701">
        <v>8502.9500000000007</v>
      </c>
      <c r="W4701">
        <v>8483.1200000000008</v>
      </c>
      <c r="X4701">
        <v>67490.960000000006</v>
      </c>
      <c r="Y4701">
        <v>49620.05</v>
      </c>
    </row>
    <row r="4702" spans="1:25" x14ac:dyDescent="0.25">
      <c r="A4702" t="s">
        <v>4758</v>
      </c>
      <c r="B4702" s="1">
        <v>46214</v>
      </c>
      <c r="C4702">
        <v>2026</v>
      </c>
      <c r="D4702">
        <v>7</v>
      </c>
      <c r="E4702" t="s">
        <v>690</v>
      </c>
      <c r="F4702" t="s">
        <v>691</v>
      </c>
      <c r="G4702" t="s">
        <v>55</v>
      </c>
      <c r="H4702" t="s">
        <v>32</v>
      </c>
      <c r="I4702" t="s">
        <v>56</v>
      </c>
      <c r="J4702">
        <v>24</v>
      </c>
      <c r="K4702">
        <v>1658.8</v>
      </c>
      <c r="L4702">
        <v>39811.14</v>
      </c>
      <c r="M4702">
        <v>24217.41</v>
      </c>
      <c r="N4702">
        <v>4687.84</v>
      </c>
      <c r="O4702">
        <v>1177.02</v>
      </c>
      <c r="P4702">
        <v>1159.24</v>
      </c>
      <c r="Q4702">
        <v>566.05999999999995</v>
      </c>
      <c r="R4702">
        <v>1090.79</v>
      </c>
      <c r="S4702">
        <v>588.16999999999996</v>
      </c>
      <c r="T4702">
        <v>33486.53</v>
      </c>
      <c r="U4702">
        <v>15593.73</v>
      </c>
      <c r="V4702">
        <v>6324.61</v>
      </c>
      <c r="W4702">
        <v>6260.59</v>
      </c>
      <c r="X4702">
        <v>37330.519999999997</v>
      </c>
      <c r="Y4702">
        <v>36041.61</v>
      </c>
    </row>
    <row r="4703" spans="1:25" x14ac:dyDescent="0.25">
      <c r="A4703" t="s">
        <v>4759</v>
      </c>
      <c r="B4703" s="1">
        <v>46214</v>
      </c>
      <c r="C4703">
        <v>2026</v>
      </c>
      <c r="D4703">
        <v>7</v>
      </c>
      <c r="E4703" t="s">
        <v>690</v>
      </c>
      <c r="F4703" t="s">
        <v>691</v>
      </c>
      <c r="G4703" t="s">
        <v>44</v>
      </c>
      <c r="H4703" t="s">
        <v>32</v>
      </c>
      <c r="I4703" t="s">
        <v>39</v>
      </c>
      <c r="J4703">
        <v>29</v>
      </c>
      <c r="K4703">
        <v>1764.25</v>
      </c>
      <c r="L4703">
        <v>51163.26</v>
      </c>
      <c r="M4703">
        <v>28299.35</v>
      </c>
      <c r="N4703">
        <v>5507.87</v>
      </c>
      <c r="O4703">
        <v>2387.41</v>
      </c>
      <c r="P4703">
        <v>1577.69</v>
      </c>
      <c r="Q4703">
        <v>690.97</v>
      </c>
      <c r="R4703">
        <v>3144.73</v>
      </c>
      <c r="S4703">
        <v>689.45</v>
      </c>
      <c r="T4703">
        <v>42297.47</v>
      </c>
      <c r="U4703">
        <v>22863.91</v>
      </c>
      <c r="V4703">
        <v>8865.7900000000009</v>
      </c>
      <c r="W4703">
        <v>7874.32</v>
      </c>
      <c r="X4703">
        <v>51650.5</v>
      </c>
      <c r="Y4703">
        <v>40518.43</v>
      </c>
    </row>
    <row r="4704" spans="1:25" x14ac:dyDescent="0.25">
      <c r="A4704" t="s">
        <v>4760</v>
      </c>
      <c r="B4704" s="1">
        <v>46214</v>
      </c>
      <c r="C4704">
        <v>2026</v>
      </c>
      <c r="D4704">
        <v>7</v>
      </c>
      <c r="E4704" t="s">
        <v>690</v>
      </c>
      <c r="F4704" t="s">
        <v>691</v>
      </c>
      <c r="G4704" t="s">
        <v>55</v>
      </c>
      <c r="H4704" t="s">
        <v>53</v>
      </c>
      <c r="I4704" t="s">
        <v>50</v>
      </c>
      <c r="J4704">
        <v>28</v>
      </c>
      <c r="K4704">
        <v>1796.83</v>
      </c>
      <c r="L4704">
        <v>50311.28</v>
      </c>
      <c r="M4704">
        <v>27372.2</v>
      </c>
      <c r="N4704">
        <v>5237.46</v>
      </c>
      <c r="O4704">
        <v>3468.34</v>
      </c>
      <c r="P4704">
        <v>1342.08</v>
      </c>
      <c r="Q4704">
        <v>357.17</v>
      </c>
      <c r="R4704">
        <v>1983.81</v>
      </c>
      <c r="S4704">
        <v>753.29</v>
      </c>
      <c r="T4704">
        <v>40514.35</v>
      </c>
      <c r="U4704">
        <v>22939.08</v>
      </c>
      <c r="V4704">
        <v>9796.93</v>
      </c>
      <c r="W4704">
        <v>9696.82</v>
      </c>
      <c r="X4704">
        <v>46907.94</v>
      </c>
      <c r="Y4704">
        <v>42476.82</v>
      </c>
    </row>
    <row r="4705" spans="1:25" x14ac:dyDescent="0.25">
      <c r="A4705" t="s">
        <v>4761</v>
      </c>
      <c r="B4705" s="1">
        <v>46215</v>
      </c>
      <c r="C4705">
        <v>2026</v>
      </c>
      <c r="D4705">
        <v>7</v>
      </c>
      <c r="E4705" t="s">
        <v>690</v>
      </c>
      <c r="F4705" t="s">
        <v>691</v>
      </c>
      <c r="G4705" t="s">
        <v>35</v>
      </c>
      <c r="H4705" t="s">
        <v>36</v>
      </c>
      <c r="I4705" t="s">
        <v>37</v>
      </c>
      <c r="J4705">
        <v>45</v>
      </c>
      <c r="K4705">
        <v>1311.57</v>
      </c>
      <c r="L4705">
        <v>59020.77</v>
      </c>
      <c r="M4705">
        <v>35269.120000000003</v>
      </c>
      <c r="N4705">
        <v>6646.96</v>
      </c>
      <c r="O4705">
        <v>2076.5100000000002</v>
      </c>
      <c r="P4705">
        <v>1498.2</v>
      </c>
      <c r="Q4705">
        <v>616.34</v>
      </c>
      <c r="R4705">
        <v>3547.57</v>
      </c>
      <c r="S4705">
        <v>792.08</v>
      </c>
      <c r="T4705">
        <v>50446.78</v>
      </c>
      <c r="U4705">
        <v>23751.65</v>
      </c>
      <c r="V4705">
        <v>8573.99</v>
      </c>
      <c r="W4705">
        <v>8445.68</v>
      </c>
      <c r="X4705">
        <v>56969.74</v>
      </c>
      <c r="Y4705">
        <v>54741.89</v>
      </c>
    </row>
    <row r="4706" spans="1:25" x14ac:dyDescent="0.25">
      <c r="A4706" t="s">
        <v>4762</v>
      </c>
      <c r="B4706" s="1">
        <v>46215</v>
      </c>
      <c r="C4706">
        <v>2026</v>
      </c>
      <c r="D4706">
        <v>7</v>
      </c>
      <c r="E4706" t="s">
        <v>690</v>
      </c>
      <c r="F4706" t="s">
        <v>691</v>
      </c>
      <c r="G4706" t="s">
        <v>44</v>
      </c>
      <c r="H4706" t="s">
        <v>32</v>
      </c>
      <c r="I4706" t="s">
        <v>33</v>
      </c>
      <c r="J4706">
        <v>59</v>
      </c>
      <c r="K4706">
        <v>1249.76</v>
      </c>
      <c r="L4706">
        <v>73735.73</v>
      </c>
      <c r="M4706">
        <v>46968.91</v>
      </c>
      <c r="N4706">
        <v>8737.2900000000009</v>
      </c>
      <c r="O4706">
        <v>5508.61</v>
      </c>
      <c r="P4706">
        <v>1948.85</v>
      </c>
      <c r="Q4706">
        <v>727.97</v>
      </c>
      <c r="R4706">
        <v>4342.18</v>
      </c>
      <c r="S4706">
        <v>1425.12</v>
      </c>
      <c r="T4706">
        <v>69658.94</v>
      </c>
      <c r="U4706">
        <v>26766.82</v>
      </c>
      <c r="V4706">
        <v>4076.8</v>
      </c>
      <c r="W4706">
        <v>3795.06</v>
      </c>
      <c r="X4706">
        <v>81004.14</v>
      </c>
      <c r="Y4706">
        <v>67718.649999999994</v>
      </c>
    </row>
    <row r="4707" spans="1:25" x14ac:dyDescent="0.25">
      <c r="A4707" t="s">
        <v>4763</v>
      </c>
      <c r="B4707" s="1">
        <v>46215</v>
      </c>
      <c r="C4707">
        <v>2026</v>
      </c>
      <c r="D4707">
        <v>7</v>
      </c>
      <c r="E4707" t="s">
        <v>690</v>
      </c>
      <c r="F4707" t="s">
        <v>691</v>
      </c>
      <c r="G4707" t="s">
        <v>44</v>
      </c>
      <c r="H4707" t="s">
        <v>53</v>
      </c>
      <c r="I4707" t="s">
        <v>56</v>
      </c>
      <c r="J4707">
        <v>36</v>
      </c>
      <c r="K4707">
        <v>974.18</v>
      </c>
      <c r="L4707">
        <v>35070.410000000003</v>
      </c>
      <c r="M4707">
        <v>23208.29</v>
      </c>
      <c r="N4707">
        <v>4266.24</v>
      </c>
      <c r="O4707">
        <v>924.17</v>
      </c>
      <c r="P4707">
        <v>760.33</v>
      </c>
      <c r="Q4707">
        <v>294.14</v>
      </c>
      <c r="R4707">
        <v>1003.46</v>
      </c>
      <c r="S4707">
        <v>617.65</v>
      </c>
      <c r="T4707">
        <v>31074.28</v>
      </c>
      <c r="U4707">
        <v>11862.12</v>
      </c>
      <c r="V4707">
        <v>3996.13</v>
      </c>
      <c r="W4707">
        <v>3557.59</v>
      </c>
      <c r="X4707">
        <v>37398.85</v>
      </c>
      <c r="Y4707">
        <v>29934.09</v>
      </c>
    </row>
    <row r="4708" spans="1:25" x14ac:dyDescent="0.25">
      <c r="A4708" t="s">
        <v>4764</v>
      </c>
      <c r="B4708" s="1">
        <v>46215</v>
      </c>
      <c r="C4708">
        <v>2026</v>
      </c>
      <c r="D4708">
        <v>7</v>
      </c>
      <c r="E4708" t="s">
        <v>690</v>
      </c>
      <c r="F4708" t="s">
        <v>691</v>
      </c>
      <c r="G4708" t="s">
        <v>28</v>
      </c>
      <c r="H4708" t="s">
        <v>36</v>
      </c>
      <c r="I4708" t="s">
        <v>45</v>
      </c>
      <c r="J4708">
        <v>36</v>
      </c>
      <c r="K4708">
        <v>1395.87</v>
      </c>
      <c r="L4708">
        <v>50251.24</v>
      </c>
      <c r="M4708">
        <v>33236.25</v>
      </c>
      <c r="N4708">
        <v>6096.63</v>
      </c>
      <c r="O4708">
        <v>2895.4</v>
      </c>
      <c r="P4708">
        <v>2128.88</v>
      </c>
      <c r="Q4708">
        <v>894.74</v>
      </c>
      <c r="R4708">
        <v>2504.46</v>
      </c>
      <c r="S4708">
        <v>1023.46</v>
      </c>
      <c r="T4708">
        <v>48779.82</v>
      </c>
      <c r="U4708">
        <v>17014.990000000002</v>
      </c>
      <c r="V4708">
        <v>1471.42</v>
      </c>
      <c r="W4708">
        <v>1471.95</v>
      </c>
      <c r="X4708">
        <v>49848.69</v>
      </c>
      <c r="Y4708">
        <v>46728.89</v>
      </c>
    </row>
    <row r="4709" spans="1:25" x14ac:dyDescent="0.25">
      <c r="A4709" t="s">
        <v>4765</v>
      </c>
      <c r="B4709" s="1">
        <v>46216</v>
      </c>
      <c r="C4709">
        <v>2026</v>
      </c>
      <c r="D4709">
        <v>7</v>
      </c>
      <c r="E4709" t="s">
        <v>690</v>
      </c>
      <c r="F4709" t="s">
        <v>691</v>
      </c>
      <c r="G4709" t="s">
        <v>44</v>
      </c>
      <c r="H4709" t="s">
        <v>53</v>
      </c>
      <c r="I4709" t="s">
        <v>33</v>
      </c>
      <c r="J4709">
        <v>57</v>
      </c>
      <c r="K4709">
        <v>1246.3</v>
      </c>
      <c r="L4709">
        <v>71038.83</v>
      </c>
      <c r="M4709">
        <v>35137.79</v>
      </c>
      <c r="N4709">
        <v>8448.0499999999993</v>
      </c>
      <c r="O4709">
        <v>4321.7299999999996</v>
      </c>
      <c r="P4709">
        <v>1382.9</v>
      </c>
      <c r="Q4709">
        <v>994.98</v>
      </c>
      <c r="R4709">
        <v>2853.3</v>
      </c>
      <c r="S4709">
        <v>1305.3900000000001</v>
      </c>
      <c r="T4709">
        <v>54444.13</v>
      </c>
      <c r="U4709">
        <v>35901.040000000001</v>
      </c>
      <c r="V4709">
        <v>16594.7</v>
      </c>
      <c r="W4709">
        <v>16590.259999999998</v>
      </c>
      <c r="X4709">
        <v>77100.509999999995</v>
      </c>
      <c r="Y4709">
        <v>55581.06</v>
      </c>
    </row>
    <row r="4710" spans="1:25" x14ac:dyDescent="0.25">
      <c r="A4710" t="s">
        <v>4766</v>
      </c>
      <c r="B4710" s="1">
        <v>46216</v>
      </c>
      <c r="C4710">
        <v>2026</v>
      </c>
      <c r="D4710">
        <v>7</v>
      </c>
      <c r="E4710" t="s">
        <v>690</v>
      </c>
      <c r="F4710" t="s">
        <v>691</v>
      </c>
      <c r="G4710" t="s">
        <v>28</v>
      </c>
      <c r="H4710" t="s">
        <v>32</v>
      </c>
      <c r="I4710" t="s">
        <v>33</v>
      </c>
      <c r="J4710">
        <v>70</v>
      </c>
      <c r="K4710">
        <v>1076.69</v>
      </c>
      <c r="L4710">
        <v>75368.53</v>
      </c>
      <c r="M4710">
        <v>38816.46</v>
      </c>
      <c r="N4710">
        <v>9723.2800000000007</v>
      </c>
      <c r="O4710">
        <v>3318.64</v>
      </c>
      <c r="P4710">
        <v>3327.05</v>
      </c>
      <c r="Q4710">
        <v>691.77</v>
      </c>
      <c r="R4710">
        <v>3625.26</v>
      </c>
      <c r="S4710">
        <v>1123.31</v>
      </c>
      <c r="T4710">
        <v>60625.77</v>
      </c>
      <c r="U4710">
        <v>36552.07</v>
      </c>
      <c r="V4710">
        <v>14742.76</v>
      </c>
      <c r="W4710">
        <v>14199.16</v>
      </c>
      <c r="X4710">
        <v>78256.91</v>
      </c>
      <c r="Y4710">
        <v>66030.05</v>
      </c>
    </row>
    <row r="4711" spans="1:25" x14ac:dyDescent="0.25">
      <c r="A4711" t="s">
        <v>4767</v>
      </c>
      <c r="B4711" s="1">
        <v>46216</v>
      </c>
      <c r="C4711">
        <v>2026</v>
      </c>
      <c r="D4711">
        <v>7</v>
      </c>
      <c r="E4711" t="s">
        <v>690</v>
      </c>
      <c r="F4711" t="s">
        <v>691</v>
      </c>
      <c r="G4711" t="s">
        <v>55</v>
      </c>
      <c r="H4711" t="s">
        <v>53</v>
      </c>
      <c r="I4711" t="s">
        <v>50</v>
      </c>
      <c r="J4711">
        <v>27</v>
      </c>
      <c r="K4711">
        <v>1573.28</v>
      </c>
      <c r="L4711">
        <v>42478.46</v>
      </c>
      <c r="M4711">
        <v>26267.86</v>
      </c>
      <c r="N4711">
        <v>5039.49</v>
      </c>
      <c r="O4711">
        <v>2878.42</v>
      </c>
      <c r="P4711">
        <v>1349.23</v>
      </c>
      <c r="Q4711">
        <v>752.59</v>
      </c>
      <c r="R4711">
        <v>1838.02</v>
      </c>
      <c r="S4711">
        <v>985.82</v>
      </c>
      <c r="T4711">
        <v>39111.440000000002</v>
      </c>
      <c r="U4711">
        <v>16210.6</v>
      </c>
      <c r="V4711">
        <v>3367.03</v>
      </c>
      <c r="W4711">
        <v>3325.29</v>
      </c>
      <c r="X4711">
        <v>45093.54</v>
      </c>
      <c r="Y4711">
        <v>40216.120000000003</v>
      </c>
    </row>
    <row r="4712" spans="1:25" x14ac:dyDescent="0.25">
      <c r="A4712" t="s">
        <v>4768</v>
      </c>
      <c r="B4712" s="1">
        <v>46217</v>
      </c>
      <c r="C4712">
        <v>2026</v>
      </c>
      <c r="D4712">
        <v>7</v>
      </c>
      <c r="E4712" t="s">
        <v>690</v>
      </c>
      <c r="F4712" t="s">
        <v>691</v>
      </c>
      <c r="G4712" t="s">
        <v>28</v>
      </c>
      <c r="H4712" t="s">
        <v>29</v>
      </c>
      <c r="I4712" t="s">
        <v>39</v>
      </c>
      <c r="J4712">
        <v>33</v>
      </c>
      <c r="K4712">
        <v>1589.26</v>
      </c>
      <c r="L4712">
        <v>52445.52</v>
      </c>
      <c r="M4712">
        <v>26266.58</v>
      </c>
      <c r="N4712">
        <v>4757.58</v>
      </c>
      <c r="O4712">
        <v>2373.58</v>
      </c>
      <c r="P4712">
        <v>2322.04</v>
      </c>
      <c r="Q4712">
        <v>898.8</v>
      </c>
      <c r="R4712">
        <v>3044.13</v>
      </c>
      <c r="S4712">
        <v>1139.57</v>
      </c>
      <c r="T4712">
        <v>40802.29</v>
      </c>
      <c r="U4712">
        <v>26178.94</v>
      </c>
      <c r="V4712">
        <v>11643.23</v>
      </c>
      <c r="W4712">
        <v>10777.93</v>
      </c>
      <c r="X4712">
        <v>53045.41</v>
      </c>
      <c r="Y4712">
        <v>40155.65</v>
      </c>
    </row>
    <row r="4713" spans="1:25" x14ac:dyDescent="0.25">
      <c r="A4713" t="s">
        <v>4769</v>
      </c>
      <c r="B4713" s="1">
        <v>46217</v>
      </c>
      <c r="C4713">
        <v>2026</v>
      </c>
      <c r="D4713">
        <v>7</v>
      </c>
      <c r="E4713" t="s">
        <v>690</v>
      </c>
      <c r="F4713" t="s">
        <v>691</v>
      </c>
      <c r="G4713" t="s">
        <v>55</v>
      </c>
      <c r="H4713" t="s">
        <v>29</v>
      </c>
      <c r="I4713" t="s">
        <v>45</v>
      </c>
      <c r="J4713">
        <v>32</v>
      </c>
      <c r="K4713">
        <v>1250.74</v>
      </c>
      <c r="L4713">
        <v>40023.82</v>
      </c>
      <c r="M4713">
        <v>26333.35</v>
      </c>
      <c r="N4713">
        <v>3280.61</v>
      </c>
      <c r="O4713">
        <v>2768.05</v>
      </c>
      <c r="P4713">
        <v>1791.27</v>
      </c>
      <c r="Q4713">
        <v>570.46</v>
      </c>
      <c r="R4713">
        <v>1606.69</v>
      </c>
      <c r="S4713">
        <v>939.6</v>
      </c>
      <c r="T4713">
        <v>37290.04</v>
      </c>
      <c r="U4713">
        <v>13690.46</v>
      </c>
      <c r="V4713">
        <v>2733.78</v>
      </c>
      <c r="W4713">
        <v>2708.32</v>
      </c>
      <c r="X4713">
        <v>43200.77</v>
      </c>
      <c r="Y4713">
        <v>40740.01</v>
      </c>
    </row>
    <row r="4714" spans="1:25" x14ac:dyDescent="0.25">
      <c r="A4714" t="s">
        <v>4770</v>
      </c>
      <c r="B4714" s="1">
        <v>46218</v>
      </c>
      <c r="C4714">
        <v>2026</v>
      </c>
      <c r="D4714">
        <v>7</v>
      </c>
      <c r="E4714" t="s">
        <v>690</v>
      </c>
      <c r="F4714" t="s">
        <v>691</v>
      </c>
      <c r="G4714" t="s">
        <v>28</v>
      </c>
      <c r="H4714" t="s">
        <v>29</v>
      </c>
      <c r="I4714" t="s">
        <v>50</v>
      </c>
      <c r="J4714">
        <v>50</v>
      </c>
      <c r="K4714">
        <v>1043.75</v>
      </c>
      <c r="L4714">
        <v>52187.37</v>
      </c>
      <c r="M4714">
        <v>34717.15</v>
      </c>
      <c r="N4714">
        <v>5044.42</v>
      </c>
      <c r="O4714">
        <v>2624.34</v>
      </c>
      <c r="P4714">
        <v>1752.58</v>
      </c>
      <c r="Q4714">
        <v>269.72000000000003</v>
      </c>
      <c r="R4714">
        <v>1874.69</v>
      </c>
      <c r="S4714">
        <v>953.33</v>
      </c>
      <c r="T4714">
        <v>47236.24</v>
      </c>
      <c r="U4714">
        <v>17470.21</v>
      </c>
      <c r="V4714">
        <v>4951.12</v>
      </c>
      <c r="W4714">
        <v>4937.5200000000004</v>
      </c>
      <c r="X4714">
        <v>53907.35</v>
      </c>
      <c r="Y4714">
        <v>45679.31</v>
      </c>
    </row>
    <row r="4715" spans="1:25" x14ac:dyDescent="0.25">
      <c r="A4715" t="s">
        <v>4771</v>
      </c>
      <c r="B4715" s="1">
        <v>46218</v>
      </c>
      <c r="C4715">
        <v>2026</v>
      </c>
      <c r="D4715">
        <v>7</v>
      </c>
      <c r="E4715" t="s">
        <v>690</v>
      </c>
      <c r="F4715" t="s">
        <v>691</v>
      </c>
      <c r="G4715" t="s">
        <v>28</v>
      </c>
      <c r="H4715" t="s">
        <v>36</v>
      </c>
      <c r="I4715" t="s">
        <v>45</v>
      </c>
      <c r="J4715">
        <v>41</v>
      </c>
      <c r="K4715">
        <v>910.15</v>
      </c>
      <c r="L4715">
        <v>37316.14</v>
      </c>
      <c r="M4715">
        <v>24622.11</v>
      </c>
      <c r="N4715">
        <v>4307.3900000000003</v>
      </c>
      <c r="O4715">
        <v>2280.9899999999998</v>
      </c>
      <c r="P4715">
        <v>1615.73</v>
      </c>
      <c r="Q4715">
        <v>590.83000000000004</v>
      </c>
      <c r="R4715">
        <v>1341.22</v>
      </c>
      <c r="S4715">
        <v>799.16</v>
      </c>
      <c r="T4715">
        <v>35557.43</v>
      </c>
      <c r="U4715">
        <v>12694.03</v>
      </c>
      <c r="V4715">
        <v>1758.71</v>
      </c>
      <c r="W4715">
        <v>1667.26</v>
      </c>
      <c r="X4715">
        <v>37662.33</v>
      </c>
      <c r="Y4715">
        <v>33979.620000000003</v>
      </c>
    </row>
    <row r="4716" spans="1:25" x14ac:dyDescent="0.25">
      <c r="A4716" t="s">
        <v>4772</v>
      </c>
      <c r="B4716" s="1">
        <v>46218</v>
      </c>
      <c r="C4716">
        <v>2026</v>
      </c>
      <c r="D4716">
        <v>7</v>
      </c>
      <c r="E4716" t="s">
        <v>690</v>
      </c>
      <c r="F4716" t="s">
        <v>691</v>
      </c>
      <c r="G4716" t="s">
        <v>44</v>
      </c>
      <c r="H4716" t="s">
        <v>53</v>
      </c>
      <c r="I4716" t="s">
        <v>65</v>
      </c>
      <c r="J4716">
        <v>54</v>
      </c>
      <c r="K4716">
        <v>1017.66</v>
      </c>
      <c r="L4716">
        <v>54953.85</v>
      </c>
      <c r="M4716">
        <v>36929.480000000003</v>
      </c>
      <c r="N4716">
        <v>6493.85</v>
      </c>
      <c r="O4716">
        <v>2078.31</v>
      </c>
      <c r="P4716">
        <v>982.43</v>
      </c>
      <c r="Q4716">
        <v>323.08999999999997</v>
      </c>
      <c r="R4716">
        <v>1953.51</v>
      </c>
      <c r="S4716">
        <v>552.98</v>
      </c>
      <c r="T4716">
        <v>49313.65</v>
      </c>
      <c r="U4716">
        <v>18024.37</v>
      </c>
      <c r="V4716">
        <v>5640.2</v>
      </c>
      <c r="W4716">
        <v>5426.74</v>
      </c>
      <c r="X4716">
        <v>51927.11</v>
      </c>
      <c r="Y4716">
        <v>47714.69</v>
      </c>
    </row>
    <row r="4717" spans="1:25" x14ac:dyDescent="0.25">
      <c r="A4717" t="s">
        <v>4773</v>
      </c>
      <c r="B4717" s="1">
        <v>46218</v>
      </c>
      <c r="C4717">
        <v>2026</v>
      </c>
      <c r="D4717">
        <v>7</v>
      </c>
      <c r="E4717" t="s">
        <v>690</v>
      </c>
      <c r="F4717" t="s">
        <v>691</v>
      </c>
      <c r="G4717" t="s">
        <v>28</v>
      </c>
      <c r="H4717" t="s">
        <v>29</v>
      </c>
      <c r="I4717" t="s">
        <v>39</v>
      </c>
      <c r="J4717">
        <v>35</v>
      </c>
      <c r="K4717">
        <v>1157.27</v>
      </c>
      <c r="L4717">
        <v>40504.400000000001</v>
      </c>
      <c r="M4717">
        <v>19672.509999999998</v>
      </c>
      <c r="N4717">
        <v>2923.8</v>
      </c>
      <c r="O4717">
        <v>2783.46</v>
      </c>
      <c r="P4717">
        <v>1761.82</v>
      </c>
      <c r="Q4717">
        <v>621.63</v>
      </c>
      <c r="R4717">
        <v>2083.4899999999998</v>
      </c>
      <c r="S4717">
        <v>345.85</v>
      </c>
      <c r="T4717">
        <v>30192.560000000001</v>
      </c>
      <c r="U4717">
        <v>20831.89</v>
      </c>
      <c r="V4717">
        <v>10311.83</v>
      </c>
      <c r="W4717">
        <v>9536.65</v>
      </c>
      <c r="X4717">
        <v>39594.44</v>
      </c>
      <c r="Y4717">
        <v>31135.4</v>
      </c>
    </row>
    <row r="4718" spans="1:25" x14ac:dyDescent="0.25">
      <c r="A4718" t="s">
        <v>4774</v>
      </c>
      <c r="B4718" s="1">
        <v>46218</v>
      </c>
      <c r="C4718">
        <v>2026</v>
      </c>
      <c r="D4718">
        <v>7</v>
      </c>
      <c r="E4718" t="s">
        <v>690</v>
      </c>
      <c r="F4718" t="s">
        <v>691</v>
      </c>
      <c r="G4718" t="s">
        <v>28</v>
      </c>
      <c r="H4718" t="s">
        <v>53</v>
      </c>
      <c r="I4718" t="s">
        <v>65</v>
      </c>
      <c r="J4718">
        <v>40</v>
      </c>
      <c r="K4718">
        <v>1214.3499999999999</v>
      </c>
      <c r="L4718">
        <v>48573.89</v>
      </c>
      <c r="M4718">
        <v>32011.65</v>
      </c>
      <c r="N4718">
        <v>4576.21</v>
      </c>
      <c r="O4718">
        <v>2688.13</v>
      </c>
      <c r="P4718">
        <v>1937.61</v>
      </c>
      <c r="Q4718">
        <v>391.42</v>
      </c>
      <c r="R4718">
        <v>2076.83</v>
      </c>
      <c r="S4718">
        <v>626.58000000000004</v>
      </c>
      <c r="T4718">
        <v>44308.44</v>
      </c>
      <c r="U4718">
        <v>16562.23</v>
      </c>
      <c r="V4718">
        <v>4265.45</v>
      </c>
      <c r="W4718">
        <v>4272.08</v>
      </c>
      <c r="X4718">
        <v>49187.68</v>
      </c>
      <c r="Y4718">
        <v>45865.14</v>
      </c>
    </row>
    <row r="4719" spans="1:25" x14ac:dyDescent="0.25">
      <c r="A4719" t="s">
        <v>4775</v>
      </c>
      <c r="B4719" s="1">
        <v>46218</v>
      </c>
      <c r="C4719">
        <v>2026</v>
      </c>
      <c r="D4719">
        <v>7</v>
      </c>
      <c r="E4719" t="s">
        <v>690</v>
      </c>
      <c r="F4719" t="s">
        <v>691</v>
      </c>
      <c r="G4719" t="s">
        <v>44</v>
      </c>
      <c r="H4719" t="s">
        <v>32</v>
      </c>
      <c r="I4719" t="s">
        <v>65</v>
      </c>
      <c r="J4719">
        <v>54</v>
      </c>
      <c r="K4719">
        <v>1180.9100000000001</v>
      </c>
      <c r="L4719">
        <v>63769.04</v>
      </c>
      <c r="M4719">
        <v>43334.16</v>
      </c>
      <c r="N4719">
        <v>4557.43</v>
      </c>
      <c r="O4719">
        <v>3365.17</v>
      </c>
      <c r="P4719">
        <v>1188.01</v>
      </c>
      <c r="Q4719">
        <v>678.77</v>
      </c>
      <c r="R4719">
        <v>1724.82</v>
      </c>
      <c r="S4719">
        <v>583.88</v>
      </c>
      <c r="T4719">
        <v>55432.24</v>
      </c>
      <c r="U4719">
        <v>20434.88</v>
      </c>
      <c r="V4719">
        <v>8336.7999999999993</v>
      </c>
      <c r="W4719">
        <v>7690.58</v>
      </c>
      <c r="X4719">
        <v>67033.62</v>
      </c>
      <c r="Y4719">
        <v>53231.67</v>
      </c>
    </row>
    <row r="4720" spans="1:25" x14ac:dyDescent="0.25">
      <c r="A4720" t="s">
        <v>4776</v>
      </c>
      <c r="B4720" s="1">
        <v>46218</v>
      </c>
      <c r="C4720">
        <v>2026</v>
      </c>
      <c r="D4720">
        <v>7</v>
      </c>
      <c r="E4720" t="s">
        <v>690</v>
      </c>
      <c r="F4720" t="s">
        <v>691</v>
      </c>
      <c r="G4720" t="s">
        <v>35</v>
      </c>
      <c r="H4720" t="s">
        <v>36</v>
      </c>
      <c r="I4720" t="s">
        <v>56</v>
      </c>
      <c r="J4720">
        <v>20</v>
      </c>
      <c r="K4720">
        <v>1597.96</v>
      </c>
      <c r="L4720">
        <v>31959.22</v>
      </c>
      <c r="M4720">
        <v>19073.099999999999</v>
      </c>
      <c r="N4720">
        <v>3325.59</v>
      </c>
      <c r="O4720">
        <v>2384.87</v>
      </c>
      <c r="P4720">
        <v>1413.29</v>
      </c>
      <c r="Q4720">
        <v>487.79</v>
      </c>
      <c r="R4720">
        <v>850.79</v>
      </c>
      <c r="S4720">
        <v>502.53</v>
      </c>
      <c r="T4720">
        <v>28037.95</v>
      </c>
      <c r="U4720">
        <v>12886.12</v>
      </c>
      <c r="V4720">
        <v>3921.27</v>
      </c>
      <c r="W4720">
        <v>3856.89</v>
      </c>
      <c r="X4720">
        <v>34292.9</v>
      </c>
      <c r="Y4720">
        <v>26736.18</v>
      </c>
    </row>
    <row r="4721" spans="1:25" x14ac:dyDescent="0.25">
      <c r="A4721" t="s">
        <v>4777</v>
      </c>
      <c r="B4721" s="1">
        <v>46218</v>
      </c>
      <c r="C4721">
        <v>2026</v>
      </c>
      <c r="D4721">
        <v>7</v>
      </c>
      <c r="E4721" t="s">
        <v>690</v>
      </c>
      <c r="F4721" t="s">
        <v>691</v>
      </c>
      <c r="G4721" t="s">
        <v>55</v>
      </c>
      <c r="H4721" t="s">
        <v>32</v>
      </c>
      <c r="I4721" t="s">
        <v>33</v>
      </c>
      <c r="J4721">
        <v>57</v>
      </c>
      <c r="K4721">
        <v>1313.31</v>
      </c>
      <c r="L4721">
        <v>74858.45</v>
      </c>
      <c r="M4721">
        <v>46640.54</v>
      </c>
      <c r="N4721">
        <v>6720.96</v>
      </c>
      <c r="O4721">
        <v>3812</v>
      </c>
      <c r="P4721">
        <v>2385.06</v>
      </c>
      <c r="Q4721">
        <v>622.33000000000004</v>
      </c>
      <c r="R4721">
        <v>3504.5</v>
      </c>
      <c r="S4721">
        <v>1718.72</v>
      </c>
      <c r="T4721">
        <v>65404.1</v>
      </c>
      <c r="U4721">
        <v>28217.919999999998</v>
      </c>
      <c r="V4721">
        <v>9454.35</v>
      </c>
      <c r="W4721">
        <v>8936.6299999999992</v>
      </c>
      <c r="X4721">
        <v>73970.7</v>
      </c>
      <c r="Y4721">
        <v>64518.55</v>
      </c>
    </row>
    <row r="4722" spans="1:25" x14ac:dyDescent="0.25">
      <c r="A4722" t="s">
        <v>4778</v>
      </c>
      <c r="B4722" s="1">
        <v>46219</v>
      </c>
      <c r="C4722">
        <v>2026</v>
      </c>
      <c r="D4722">
        <v>7</v>
      </c>
      <c r="E4722" t="s">
        <v>690</v>
      </c>
      <c r="F4722" t="s">
        <v>691</v>
      </c>
      <c r="G4722" t="s">
        <v>28</v>
      </c>
      <c r="H4722" t="s">
        <v>53</v>
      </c>
      <c r="I4722" t="s">
        <v>39</v>
      </c>
      <c r="J4722">
        <v>25</v>
      </c>
      <c r="K4722">
        <v>1766.04</v>
      </c>
      <c r="L4722">
        <v>44151.09</v>
      </c>
      <c r="M4722">
        <v>27482.240000000002</v>
      </c>
      <c r="N4722">
        <v>4108.5</v>
      </c>
      <c r="O4722">
        <v>2024.57</v>
      </c>
      <c r="P4722">
        <v>1184.03</v>
      </c>
      <c r="Q4722">
        <v>275.75</v>
      </c>
      <c r="R4722">
        <v>2699.2</v>
      </c>
      <c r="S4722">
        <v>853.73</v>
      </c>
      <c r="T4722">
        <v>38628.019999999997</v>
      </c>
      <c r="U4722">
        <v>16668.849999999999</v>
      </c>
      <c r="V4722">
        <v>5523.06</v>
      </c>
      <c r="W4722">
        <v>4967.2</v>
      </c>
      <c r="X4722">
        <v>40784.75</v>
      </c>
      <c r="Y4722">
        <v>36471.9</v>
      </c>
    </row>
    <row r="4723" spans="1:25" x14ac:dyDescent="0.25">
      <c r="A4723" t="s">
        <v>4779</v>
      </c>
      <c r="B4723" s="1">
        <v>46219</v>
      </c>
      <c r="C4723">
        <v>2026</v>
      </c>
      <c r="D4723">
        <v>7</v>
      </c>
      <c r="E4723" t="s">
        <v>690</v>
      </c>
      <c r="F4723" t="s">
        <v>691</v>
      </c>
      <c r="G4723" t="s">
        <v>35</v>
      </c>
      <c r="H4723" t="s">
        <v>32</v>
      </c>
      <c r="I4723" t="s">
        <v>45</v>
      </c>
      <c r="J4723">
        <v>28</v>
      </c>
      <c r="K4723">
        <v>1577.32</v>
      </c>
      <c r="L4723">
        <v>44164.87</v>
      </c>
      <c r="M4723">
        <v>21282.9</v>
      </c>
      <c r="N4723">
        <v>4236.42</v>
      </c>
      <c r="O4723">
        <v>1471.96</v>
      </c>
      <c r="P4723">
        <v>1124.55</v>
      </c>
      <c r="Q4723">
        <v>530.29999999999995</v>
      </c>
      <c r="R4723">
        <v>2283.38</v>
      </c>
      <c r="S4723">
        <v>523.1</v>
      </c>
      <c r="T4723">
        <v>31452.61</v>
      </c>
      <c r="U4723">
        <v>22881.97</v>
      </c>
      <c r="V4723">
        <v>12712.26</v>
      </c>
      <c r="W4723">
        <v>12797.83</v>
      </c>
      <c r="X4723">
        <v>42251.44</v>
      </c>
      <c r="Y4723">
        <v>29258.35</v>
      </c>
    </row>
    <row r="4724" spans="1:25" x14ac:dyDescent="0.25">
      <c r="A4724" t="s">
        <v>4780</v>
      </c>
      <c r="B4724" s="1">
        <v>46219</v>
      </c>
      <c r="C4724">
        <v>2026</v>
      </c>
      <c r="D4724">
        <v>7</v>
      </c>
      <c r="E4724" t="s">
        <v>690</v>
      </c>
      <c r="F4724" t="s">
        <v>691</v>
      </c>
      <c r="G4724" t="s">
        <v>44</v>
      </c>
      <c r="H4724" t="s">
        <v>36</v>
      </c>
      <c r="I4724" t="s">
        <v>33</v>
      </c>
      <c r="J4724">
        <v>67</v>
      </c>
      <c r="K4724">
        <v>1303.6600000000001</v>
      </c>
      <c r="L4724">
        <v>87345.53</v>
      </c>
      <c r="M4724">
        <v>51070.2</v>
      </c>
      <c r="N4724">
        <v>9114.32</v>
      </c>
      <c r="O4724">
        <v>5997.65</v>
      </c>
      <c r="P4724">
        <v>3733.22</v>
      </c>
      <c r="Q4724">
        <v>1440.92</v>
      </c>
      <c r="R4724">
        <v>4333.68</v>
      </c>
      <c r="S4724">
        <v>1344.74</v>
      </c>
      <c r="T4724">
        <v>77034.73</v>
      </c>
      <c r="U4724">
        <v>36275.33</v>
      </c>
      <c r="V4724">
        <v>10310.790000000001</v>
      </c>
      <c r="W4724">
        <v>9583.81</v>
      </c>
      <c r="X4724">
        <v>90544.31</v>
      </c>
      <c r="Y4724">
        <v>73668.69</v>
      </c>
    </row>
    <row r="4725" spans="1:25" x14ac:dyDescent="0.25">
      <c r="A4725" t="s">
        <v>4781</v>
      </c>
      <c r="B4725" s="1">
        <v>46220</v>
      </c>
      <c r="C4725">
        <v>2026</v>
      </c>
      <c r="D4725">
        <v>7</v>
      </c>
      <c r="E4725" t="s">
        <v>690</v>
      </c>
      <c r="F4725" t="s">
        <v>691</v>
      </c>
      <c r="G4725" t="s">
        <v>28</v>
      </c>
      <c r="H4725" t="s">
        <v>36</v>
      </c>
      <c r="I4725" t="s">
        <v>39</v>
      </c>
      <c r="J4725">
        <v>27</v>
      </c>
      <c r="K4725">
        <v>1236.3399999999999</v>
      </c>
      <c r="L4725">
        <v>33381.17</v>
      </c>
      <c r="M4725">
        <v>16748.73</v>
      </c>
      <c r="N4725">
        <v>2353.1999999999998</v>
      </c>
      <c r="O4725">
        <v>2296.85</v>
      </c>
      <c r="P4725">
        <v>1219.98</v>
      </c>
      <c r="Q4725">
        <v>209.13</v>
      </c>
      <c r="R4725">
        <v>1495.3</v>
      </c>
      <c r="S4725">
        <v>539.14</v>
      </c>
      <c r="T4725">
        <v>24862.34</v>
      </c>
      <c r="U4725">
        <v>16632.439999999999</v>
      </c>
      <c r="V4725">
        <v>8518.83</v>
      </c>
      <c r="W4725">
        <v>8576.35</v>
      </c>
      <c r="X4725">
        <v>35262.78</v>
      </c>
      <c r="Y4725">
        <v>26594.38</v>
      </c>
    </row>
    <row r="4726" spans="1:25" x14ac:dyDescent="0.25">
      <c r="A4726" t="s">
        <v>4782</v>
      </c>
      <c r="B4726" s="1">
        <v>46220</v>
      </c>
      <c r="C4726">
        <v>2026</v>
      </c>
      <c r="D4726">
        <v>7</v>
      </c>
      <c r="E4726" t="s">
        <v>690</v>
      </c>
      <c r="F4726" t="s">
        <v>691</v>
      </c>
      <c r="G4726" t="s">
        <v>35</v>
      </c>
      <c r="H4726" t="s">
        <v>58</v>
      </c>
      <c r="I4726" t="s">
        <v>30</v>
      </c>
      <c r="J4726">
        <v>82</v>
      </c>
      <c r="K4726">
        <v>992.06</v>
      </c>
      <c r="L4726">
        <v>81348.72</v>
      </c>
      <c r="M4726">
        <v>53487.68</v>
      </c>
      <c r="N4726">
        <v>6333.37</v>
      </c>
      <c r="O4726">
        <v>5133.1499999999996</v>
      </c>
      <c r="P4726">
        <v>3139.33</v>
      </c>
      <c r="Q4726">
        <v>1092.1099999999999</v>
      </c>
      <c r="R4726">
        <v>2058.2399999999998</v>
      </c>
      <c r="S4726">
        <v>1947.03</v>
      </c>
      <c r="T4726">
        <v>73190.899999999994</v>
      </c>
      <c r="U4726">
        <v>27861.040000000001</v>
      </c>
      <c r="V4726">
        <v>8157.81</v>
      </c>
      <c r="W4726">
        <v>8254.48</v>
      </c>
      <c r="X4726">
        <v>82005.850000000006</v>
      </c>
      <c r="Y4726">
        <v>75291.149999999994</v>
      </c>
    </row>
    <row r="4727" spans="1:25" x14ac:dyDescent="0.25">
      <c r="A4727" t="s">
        <v>4783</v>
      </c>
      <c r="B4727" s="1">
        <v>46221</v>
      </c>
      <c r="C4727">
        <v>2026</v>
      </c>
      <c r="D4727">
        <v>7</v>
      </c>
      <c r="E4727" t="s">
        <v>690</v>
      </c>
      <c r="F4727" t="s">
        <v>691</v>
      </c>
      <c r="G4727" t="s">
        <v>28</v>
      </c>
      <c r="H4727" t="s">
        <v>29</v>
      </c>
      <c r="I4727" t="s">
        <v>37</v>
      </c>
      <c r="J4727">
        <v>79</v>
      </c>
      <c r="K4727">
        <v>1044.74</v>
      </c>
      <c r="L4727">
        <v>82534.789999999994</v>
      </c>
      <c r="M4727">
        <v>41338.379999999997</v>
      </c>
      <c r="N4727">
        <v>8134.66</v>
      </c>
      <c r="O4727">
        <v>2320.23</v>
      </c>
      <c r="P4727">
        <v>1685.4</v>
      </c>
      <c r="Q4727">
        <v>760.75</v>
      </c>
      <c r="R4727">
        <v>4022.05</v>
      </c>
      <c r="S4727">
        <v>1810.86</v>
      </c>
      <c r="T4727">
        <v>60072.33</v>
      </c>
      <c r="U4727">
        <v>41196.410000000003</v>
      </c>
      <c r="V4727">
        <v>22462.46</v>
      </c>
      <c r="W4727">
        <v>21531.96</v>
      </c>
      <c r="X4727">
        <v>90132.19</v>
      </c>
      <c r="Y4727">
        <v>58193.86</v>
      </c>
    </row>
    <row r="4728" spans="1:25" x14ac:dyDescent="0.25">
      <c r="A4728" t="s">
        <v>4784</v>
      </c>
      <c r="B4728" s="1">
        <v>46221</v>
      </c>
      <c r="C4728">
        <v>2026</v>
      </c>
      <c r="D4728">
        <v>7</v>
      </c>
      <c r="E4728" t="s">
        <v>690</v>
      </c>
      <c r="F4728" t="s">
        <v>691</v>
      </c>
      <c r="G4728" t="s">
        <v>28</v>
      </c>
      <c r="H4728" t="s">
        <v>32</v>
      </c>
      <c r="I4728" t="s">
        <v>50</v>
      </c>
      <c r="J4728">
        <v>57</v>
      </c>
      <c r="K4728">
        <v>1289.8599999999999</v>
      </c>
      <c r="L4728">
        <v>73521.87</v>
      </c>
      <c r="M4728">
        <v>46506.32</v>
      </c>
      <c r="N4728">
        <v>5165.99</v>
      </c>
      <c r="O4728">
        <v>2215.4499999999998</v>
      </c>
      <c r="P4728">
        <v>1537.6</v>
      </c>
      <c r="Q4728">
        <v>919.57</v>
      </c>
      <c r="R4728">
        <v>3978</v>
      </c>
      <c r="S4728">
        <v>870.53</v>
      </c>
      <c r="T4728">
        <v>61193.46</v>
      </c>
      <c r="U4728">
        <v>27015.55</v>
      </c>
      <c r="V4728">
        <v>12328.41</v>
      </c>
      <c r="W4728">
        <v>11196.15</v>
      </c>
      <c r="X4728">
        <v>82193.31</v>
      </c>
      <c r="Y4728">
        <v>65229.599999999999</v>
      </c>
    </row>
    <row r="4729" spans="1:25" x14ac:dyDescent="0.25">
      <c r="A4729" t="s">
        <v>4785</v>
      </c>
      <c r="B4729" s="1">
        <v>46221</v>
      </c>
      <c r="C4729">
        <v>2026</v>
      </c>
      <c r="D4729">
        <v>7</v>
      </c>
      <c r="E4729" t="s">
        <v>690</v>
      </c>
      <c r="F4729" t="s">
        <v>691</v>
      </c>
      <c r="G4729" t="s">
        <v>44</v>
      </c>
      <c r="H4729" t="s">
        <v>32</v>
      </c>
      <c r="I4729" t="s">
        <v>65</v>
      </c>
      <c r="J4729">
        <v>31</v>
      </c>
      <c r="K4729">
        <v>1649.8</v>
      </c>
      <c r="L4729">
        <v>51143.87</v>
      </c>
      <c r="M4729">
        <v>26599.47</v>
      </c>
      <c r="N4729">
        <v>6096.22</v>
      </c>
      <c r="O4729">
        <v>1569.8</v>
      </c>
      <c r="P4729">
        <v>1252.6600000000001</v>
      </c>
      <c r="Q4729">
        <v>376.53</v>
      </c>
      <c r="R4729">
        <v>2599.65</v>
      </c>
      <c r="S4729">
        <v>545.6</v>
      </c>
      <c r="T4729">
        <v>39039.94</v>
      </c>
      <c r="U4729">
        <v>24544.400000000001</v>
      </c>
      <c r="V4729">
        <v>12103.93</v>
      </c>
      <c r="W4729">
        <v>11241.05</v>
      </c>
      <c r="X4729">
        <v>56645.32</v>
      </c>
      <c r="Y4729">
        <v>38936.559999999998</v>
      </c>
    </row>
    <row r="4730" spans="1:25" x14ac:dyDescent="0.25">
      <c r="A4730" t="s">
        <v>4786</v>
      </c>
      <c r="B4730" s="1">
        <v>46221</v>
      </c>
      <c r="C4730">
        <v>2026</v>
      </c>
      <c r="D4730">
        <v>7</v>
      </c>
      <c r="E4730" t="s">
        <v>690</v>
      </c>
      <c r="F4730" t="s">
        <v>691</v>
      </c>
      <c r="G4730" t="s">
        <v>35</v>
      </c>
      <c r="H4730" t="s">
        <v>36</v>
      </c>
      <c r="I4730" t="s">
        <v>30</v>
      </c>
      <c r="J4730">
        <v>62</v>
      </c>
      <c r="K4730">
        <v>1606.43</v>
      </c>
      <c r="L4730">
        <v>99598.78</v>
      </c>
      <c r="M4730">
        <v>50990.559999999998</v>
      </c>
      <c r="N4730">
        <v>11976.26</v>
      </c>
      <c r="O4730">
        <v>7329.37</v>
      </c>
      <c r="P4730">
        <v>2855.35</v>
      </c>
      <c r="Q4730">
        <v>1518.16</v>
      </c>
      <c r="R4730">
        <v>4823.84</v>
      </c>
      <c r="S4730">
        <v>1098.28</v>
      </c>
      <c r="T4730">
        <v>80591.83</v>
      </c>
      <c r="U4730">
        <v>48608.21</v>
      </c>
      <c r="V4730">
        <v>19006.95</v>
      </c>
      <c r="W4730">
        <v>18018.990000000002</v>
      </c>
      <c r="X4730">
        <v>100737.74</v>
      </c>
      <c r="Y4730">
        <v>79222.399999999994</v>
      </c>
    </row>
    <row r="4731" spans="1:25" x14ac:dyDescent="0.25">
      <c r="A4731" t="s">
        <v>4787</v>
      </c>
      <c r="B4731" s="1">
        <v>46221</v>
      </c>
      <c r="C4731">
        <v>2026</v>
      </c>
      <c r="D4731">
        <v>7</v>
      </c>
      <c r="E4731" t="s">
        <v>690</v>
      </c>
      <c r="F4731" t="s">
        <v>691</v>
      </c>
      <c r="G4731" t="s">
        <v>28</v>
      </c>
      <c r="H4731" t="s">
        <v>32</v>
      </c>
      <c r="I4731" t="s">
        <v>45</v>
      </c>
      <c r="J4731">
        <v>41</v>
      </c>
      <c r="K4731">
        <v>1725.24</v>
      </c>
      <c r="L4731">
        <v>70734.77</v>
      </c>
      <c r="M4731">
        <v>37204.980000000003</v>
      </c>
      <c r="N4731">
        <v>5446.01</v>
      </c>
      <c r="O4731">
        <v>5242.1400000000003</v>
      </c>
      <c r="P4731">
        <v>2329.2399999999998</v>
      </c>
      <c r="Q4731">
        <v>588.58000000000004</v>
      </c>
      <c r="R4731">
        <v>2646.72</v>
      </c>
      <c r="S4731">
        <v>1716.16</v>
      </c>
      <c r="T4731">
        <v>55173.84</v>
      </c>
      <c r="U4731">
        <v>33529.79</v>
      </c>
      <c r="V4731">
        <v>15560.93</v>
      </c>
      <c r="W4731">
        <v>14267.72</v>
      </c>
      <c r="X4731">
        <v>76127.31</v>
      </c>
      <c r="Y4731">
        <v>52423.61</v>
      </c>
    </row>
    <row r="4732" spans="1:25" x14ac:dyDescent="0.25">
      <c r="A4732" t="s">
        <v>4788</v>
      </c>
      <c r="B4732" s="1">
        <v>46221</v>
      </c>
      <c r="C4732">
        <v>2026</v>
      </c>
      <c r="D4732">
        <v>7</v>
      </c>
      <c r="E4732" t="s">
        <v>690</v>
      </c>
      <c r="F4732" t="s">
        <v>691</v>
      </c>
      <c r="G4732" t="s">
        <v>44</v>
      </c>
      <c r="H4732" t="s">
        <v>32</v>
      </c>
      <c r="I4732" t="s">
        <v>39</v>
      </c>
      <c r="J4732">
        <v>46</v>
      </c>
      <c r="K4732">
        <v>1152.22</v>
      </c>
      <c r="L4732">
        <v>53002.06</v>
      </c>
      <c r="M4732">
        <v>35793.89</v>
      </c>
      <c r="N4732">
        <v>6449.02</v>
      </c>
      <c r="O4732">
        <v>1912.78</v>
      </c>
      <c r="P4732">
        <v>2100.92</v>
      </c>
      <c r="Q4732">
        <v>342.88</v>
      </c>
      <c r="R4732">
        <v>1409.33</v>
      </c>
      <c r="S4732">
        <v>1255.42</v>
      </c>
      <c r="T4732">
        <v>49264.23</v>
      </c>
      <c r="U4732">
        <v>17208.169999999998</v>
      </c>
      <c r="V4732">
        <v>3737.83</v>
      </c>
      <c r="W4732">
        <v>3757.09</v>
      </c>
      <c r="X4732">
        <v>49939.8</v>
      </c>
      <c r="Y4732">
        <v>51759.41</v>
      </c>
    </row>
    <row r="4733" spans="1:25" x14ac:dyDescent="0.25">
      <c r="A4733" t="s">
        <v>4789</v>
      </c>
      <c r="B4733" s="1">
        <v>46222</v>
      </c>
      <c r="C4733">
        <v>2026</v>
      </c>
      <c r="D4733">
        <v>7</v>
      </c>
      <c r="E4733" t="s">
        <v>690</v>
      </c>
      <c r="F4733" t="s">
        <v>691</v>
      </c>
      <c r="G4733" t="s">
        <v>28</v>
      </c>
      <c r="H4733" t="s">
        <v>32</v>
      </c>
      <c r="I4733" t="s">
        <v>33</v>
      </c>
      <c r="J4733">
        <v>93</v>
      </c>
      <c r="K4733">
        <v>1129.54</v>
      </c>
      <c r="L4733">
        <v>105046.89</v>
      </c>
      <c r="M4733">
        <v>57663.67</v>
      </c>
      <c r="N4733">
        <v>9306.93</v>
      </c>
      <c r="O4733">
        <v>7188.97</v>
      </c>
      <c r="P4733">
        <v>2952.77</v>
      </c>
      <c r="Q4733">
        <v>1421.91</v>
      </c>
      <c r="R4733">
        <v>5244.88</v>
      </c>
      <c r="S4733">
        <v>1618.87</v>
      </c>
      <c r="T4733">
        <v>85398.01</v>
      </c>
      <c r="U4733">
        <v>47383.22</v>
      </c>
      <c r="V4733">
        <v>19648.89</v>
      </c>
      <c r="W4733">
        <v>18087</v>
      </c>
      <c r="X4733">
        <v>100101.26</v>
      </c>
      <c r="Y4733">
        <v>92577.53</v>
      </c>
    </row>
    <row r="4734" spans="1:25" x14ac:dyDescent="0.25">
      <c r="A4734" t="s">
        <v>4790</v>
      </c>
      <c r="B4734" s="1">
        <v>46222</v>
      </c>
      <c r="C4734">
        <v>2026</v>
      </c>
      <c r="D4734">
        <v>7</v>
      </c>
      <c r="E4734" t="s">
        <v>690</v>
      </c>
      <c r="F4734" t="s">
        <v>691</v>
      </c>
      <c r="G4734" t="s">
        <v>55</v>
      </c>
      <c r="H4734" t="s">
        <v>32</v>
      </c>
      <c r="I4734" t="s">
        <v>37</v>
      </c>
      <c r="J4734">
        <v>51</v>
      </c>
      <c r="K4734">
        <v>1687.78</v>
      </c>
      <c r="L4734">
        <v>86076.9</v>
      </c>
      <c r="M4734">
        <v>41931.65</v>
      </c>
      <c r="N4734">
        <v>11009.48</v>
      </c>
      <c r="O4734">
        <v>3328.13</v>
      </c>
      <c r="P4734">
        <v>1482.83</v>
      </c>
      <c r="Q4734">
        <v>700.33</v>
      </c>
      <c r="R4734">
        <v>5268.98</v>
      </c>
      <c r="S4734">
        <v>1212.5899999999999</v>
      </c>
      <c r="T4734">
        <v>64933.99</v>
      </c>
      <c r="U4734">
        <v>44145.25</v>
      </c>
      <c r="V4734">
        <v>21142.91</v>
      </c>
      <c r="W4734">
        <v>19430.099999999999</v>
      </c>
      <c r="X4734">
        <v>79551.75</v>
      </c>
      <c r="Y4734">
        <v>66556.69</v>
      </c>
    </row>
    <row r="4735" spans="1:25" x14ac:dyDescent="0.25">
      <c r="A4735" t="s">
        <v>4791</v>
      </c>
      <c r="B4735" s="1">
        <v>46223</v>
      </c>
      <c r="C4735">
        <v>2026</v>
      </c>
      <c r="D4735">
        <v>7</v>
      </c>
      <c r="E4735" t="s">
        <v>690</v>
      </c>
      <c r="F4735" t="s">
        <v>691</v>
      </c>
      <c r="G4735" t="s">
        <v>55</v>
      </c>
      <c r="H4735" t="s">
        <v>36</v>
      </c>
      <c r="I4735" t="s">
        <v>39</v>
      </c>
      <c r="J4735">
        <v>24</v>
      </c>
      <c r="K4735">
        <v>1623.07</v>
      </c>
      <c r="L4735">
        <v>38953.61</v>
      </c>
      <c r="M4735">
        <v>21865.43</v>
      </c>
      <c r="N4735">
        <v>4637.74</v>
      </c>
      <c r="O4735">
        <v>2211.2600000000002</v>
      </c>
      <c r="P4735">
        <v>1451.1</v>
      </c>
      <c r="Q4735">
        <v>363.14</v>
      </c>
      <c r="R4735">
        <v>2321.15</v>
      </c>
      <c r="S4735">
        <v>644.67999999999995</v>
      </c>
      <c r="T4735">
        <v>33494.51</v>
      </c>
      <c r="U4735">
        <v>17088.18</v>
      </c>
      <c r="V4735">
        <v>5459.1</v>
      </c>
      <c r="W4735">
        <v>5037.45</v>
      </c>
      <c r="X4735">
        <v>39659.199999999997</v>
      </c>
      <c r="Y4735">
        <v>34270.86</v>
      </c>
    </row>
    <row r="4736" spans="1:25" x14ac:dyDescent="0.25">
      <c r="A4736" t="s">
        <v>4792</v>
      </c>
      <c r="B4736" s="1">
        <v>46223</v>
      </c>
      <c r="C4736">
        <v>2026</v>
      </c>
      <c r="D4736">
        <v>7</v>
      </c>
      <c r="E4736" t="s">
        <v>690</v>
      </c>
      <c r="F4736" t="s">
        <v>691</v>
      </c>
      <c r="G4736" t="s">
        <v>55</v>
      </c>
      <c r="H4736" t="s">
        <v>53</v>
      </c>
      <c r="I4736" t="s">
        <v>37</v>
      </c>
      <c r="J4736">
        <v>48</v>
      </c>
      <c r="K4736">
        <v>1438.34</v>
      </c>
      <c r="L4736">
        <v>69040.460000000006</v>
      </c>
      <c r="M4736">
        <v>38590.32</v>
      </c>
      <c r="N4736">
        <v>8241.91</v>
      </c>
      <c r="O4736">
        <v>2489.87</v>
      </c>
      <c r="P4736">
        <v>3035.07</v>
      </c>
      <c r="Q4736">
        <v>568.23</v>
      </c>
      <c r="R4736">
        <v>2129.14</v>
      </c>
      <c r="S4736">
        <v>1474.95</v>
      </c>
      <c r="T4736">
        <v>56529.47</v>
      </c>
      <c r="U4736">
        <v>30450.14</v>
      </c>
      <c r="V4736">
        <v>12510.98</v>
      </c>
      <c r="W4736">
        <v>12073.41</v>
      </c>
      <c r="X4736">
        <v>73262.600000000006</v>
      </c>
      <c r="Y4736">
        <v>56197.78</v>
      </c>
    </row>
    <row r="4737" spans="1:25" x14ac:dyDescent="0.25">
      <c r="A4737" t="s">
        <v>4793</v>
      </c>
      <c r="B4737" s="1">
        <v>46223</v>
      </c>
      <c r="C4737">
        <v>2026</v>
      </c>
      <c r="D4737">
        <v>7</v>
      </c>
      <c r="E4737" t="s">
        <v>690</v>
      </c>
      <c r="F4737" t="s">
        <v>691</v>
      </c>
      <c r="G4737" t="s">
        <v>28</v>
      </c>
      <c r="H4737" t="s">
        <v>32</v>
      </c>
      <c r="I4737" t="s">
        <v>39</v>
      </c>
      <c r="J4737">
        <v>37</v>
      </c>
      <c r="K4737">
        <v>1184.32</v>
      </c>
      <c r="L4737">
        <v>43819.75</v>
      </c>
      <c r="M4737">
        <v>26549.33</v>
      </c>
      <c r="N4737">
        <v>5694.57</v>
      </c>
      <c r="O4737">
        <v>2777.78</v>
      </c>
      <c r="P4737">
        <v>969.43</v>
      </c>
      <c r="Q4737">
        <v>560.25</v>
      </c>
      <c r="R4737">
        <v>2798.68</v>
      </c>
      <c r="S4737">
        <v>608.59</v>
      </c>
      <c r="T4737">
        <v>39958.629999999997</v>
      </c>
      <c r="U4737">
        <v>17270.419999999998</v>
      </c>
      <c r="V4737">
        <v>3861.12</v>
      </c>
      <c r="W4737">
        <v>3798.45</v>
      </c>
      <c r="X4737">
        <v>46381.55</v>
      </c>
      <c r="Y4737">
        <v>42409.18</v>
      </c>
    </row>
    <row r="4738" spans="1:25" x14ac:dyDescent="0.25">
      <c r="A4738" t="s">
        <v>4794</v>
      </c>
      <c r="B4738" s="1">
        <v>46223</v>
      </c>
      <c r="C4738">
        <v>2026</v>
      </c>
      <c r="D4738">
        <v>7</v>
      </c>
      <c r="E4738" t="s">
        <v>690</v>
      </c>
      <c r="F4738" t="s">
        <v>691</v>
      </c>
      <c r="G4738" t="s">
        <v>28</v>
      </c>
      <c r="H4738" t="s">
        <v>32</v>
      </c>
      <c r="I4738" t="s">
        <v>50</v>
      </c>
      <c r="J4738">
        <v>39</v>
      </c>
      <c r="K4738">
        <v>1602.28</v>
      </c>
      <c r="L4738">
        <v>62488.93</v>
      </c>
      <c r="M4738">
        <v>35430.199999999997</v>
      </c>
      <c r="N4738">
        <v>5720.56</v>
      </c>
      <c r="O4738">
        <v>3000.96</v>
      </c>
      <c r="P4738">
        <v>2160.56</v>
      </c>
      <c r="Q4738">
        <v>543.22</v>
      </c>
      <c r="R4738">
        <v>3334.43</v>
      </c>
      <c r="S4738">
        <v>1058.58</v>
      </c>
      <c r="T4738">
        <v>51248.5</v>
      </c>
      <c r="U4738">
        <v>27058.73</v>
      </c>
      <c r="V4738">
        <v>11240.44</v>
      </c>
      <c r="W4738">
        <v>10162.15</v>
      </c>
      <c r="X4738">
        <v>69711.92</v>
      </c>
      <c r="Y4738">
        <v>54644.65</v>
      </c>
    </row>
    <row r="4739" spans="1:25" x14ac:dyDescent="0.25">
      <c r="A4739" t="s">
        <v>4795</v>
      </c>
      <c r="B4739" s="1">
        <v>46223</v>
      </c>
      <c r="C4739">
        <v>2026</v>
      </c>
      <c r="D4739">
        <v>7</v>
      </c>
      <c r="E4739" t="s">
        <v>690</v>
      </c>
      <c r="F4739" t="s">
        <v>691</v>
      </c>
      <c r="G4739" t="s">
        <v>44</v>
      </c>
      <c r="H4739" t="s">
        <v>29</v>
      </c>
      <c r="I4739" t="s">
        <v>56</v>
      </c>
      <c r="J4739">
        <v>30</v>
      </c>
      <c r="K4739">
        <v>937.36</v>
      </c>
      <c r="L4739">
        <v>28120.7</v>
      </c>
      <c r="M4739">
        <v>14853.48</v>
      </c>
      <c r="N4739">
        <v>3132.06</v>
      </c>
      <c r="O4739">
        <v>1314.06</v>
      </c>
      <c r="P4739">
        <v>936.59</v>
      </c>
      <c r="Q4739">
        <v>170.37</v>
      </c>
      <c r="R4739">
        <v>762.17</v>
      </c>
      <c r="S4739">
        <v>382.21</v>
      </c>
      <c r="T4739">
        <v>21550.94</v>
      </c>
      <c r="U4739">
        <v>13267.22</v>
      </c>
      <c r="V4739">
        <v>6569.75</v>
      </c>
      <c r="W4739">
        <v>6639.6</v>
      </c>
      <c r="X4739">
        <v>27287.43</v>
      </c>
      <c r="Y4739">
        <v>22962.36</v>
      </c>
    </row>
    <row r="4740" spans="1:25" x14ac:dyDescent="0.25">
      <c r="A4740" t="s">
        <v>4796</v>
      </c>
      <c r="B4740" s="1">
        <v>46223</v>
      </c>
      <c r="C4740">
        <v>2026</v>
      </c>
      <c r="D4740">
        <v>7</v>
      </c>
      <c r="E4740" t="s">
        <v>690</v>
      </c>
      <c r="F4740" t="s">
        <v>691</v>
      </c>
      <c r="G4740" t="s">
        <v>35</v>
      </c>
      <c r="H4740" t="s">
        <v>32</v>
      </c>
      <c r="I4740" t="s">
        <v>39</v>
      </c>
      <c r="J4740">
        <v>32</v>
      </c>
      <c r="K4740">
        <v>1306.05</v>
      </c>
      <c r="L4740">
        <v>41793.61</v>
      </c>
      <c r="M4740">
        <v>24906.23</v>
      </c>
      <c r="N4740">
        <v>4618.22</v>
      </c>
      <c r="O4740">
        <v>2513.12</v>
      </c>
      <c r="P4740">
        <v>1597.81</v>
      </c>
      <c r="Q4740">
        <v>382.46</v>
      </c>
      <c r="R4740">
        <v>2349.8000000000002</v>
      </c>
      <c r="S4740">
        <v>860.31</v>
      </c>
      <c r="T4740">
        <v>37227.96</v>
      </c>
      <c r="U4740">
        <v>16887.39</v>
      </c>
      <c r="V4740">
        <v>4565.66</v>
      </c>
      <c r="W4740">
        <v>4045.61</v>
      </c>
      <c r="X4740">
        <v>38830.58</v>
      </c>
      <c r="Y4740">
        <v>38130.22</v>
      </c>
    </row>
    <row r="4741" spans="1:25" x14ac:dyDescent="0.25">
      <c r="A4741" t="s">
        <v>4797</v>
      </c>
      <c r="B4741" s="1">
        <v>46224</v>
      </c>
      <c r="C4741">
        <v>2026</v>
      </c>
      <c r="D4741">
        <v>7</v>
      </c>
      <c r="E4741" t="s">
        <v>690</v>
      </c>
      <c r="F4741" t="s">
        <v>691</v>
      </c>
      <c r="G4741" t="s">
        <v>28</v>
      </c>
      <c r="H4741" t="s">
        <v>36</v>
      </c>
      <c r="I4741" t="s">
        <v>39</v>
      </c>
      <c r="J4741">
        <v>19</v>
      </c>
      <c r="K4741">
        <v>1724.36</v>
      </c>
      <c r="L4741">
        <v>32762.79</v>
      </c>
      <c r="M4741">
        <v>20199.98</v>
      </c>
      <c r="N4741">
        <v>2492.16</v>
      </c>
      <c r="O4741">
        <v>2044.68</v>
      </c>
      <c r="P4741">
        <v>901.36</v>
      </c>
      <c r="Q4741">
        <v>246</v>
      </c>
      <c r="R4741">
        <v>840.52</v>
      </c>
      <c r="S4741">
        <v>359.02</v>
      </c>
      <c r="T4741">
        <v>27083.72</v>
      </c>
      <c r="U4741">
        <v>12562.81</v>
      </c>
      <c r="V4741">
        <v>5679.07</v>
      </c>
      <c r="W4741">
        <v>5049.2</v>
      </c>
      <c r="X4741">
        <v>35110.15</v>
      </c>
      <c r="Y4741">
        <v>28204.82</v>
      </c>
    </row>
    <row r="4742" spans="1:25" x14ac:dyDescent="0.25">
      <c r="A4742" t="s">
        <v>4798</v>
      </c>
      <c r="B4742" s="1">
        <v>46224</v>
      </c>
      <c r="C4742">
        <v>2026</v>
      </c>
      <c r="D4742">
        <v>7</v>
      </c>
      <c r="E4742" t="s">
        <v>690</v>
      </c>
      <c r="F4742" t="s">
        <v>691</v>
      </c>
      <c r="G4742" t="s">
        <v>44</v>
      </c>
      <c r="H4742" t="s">
        <v>32</v>
      </c>
      <c r="I4742" t="s">
        <v>45</v>
      </c>
      <c r="J4742">
        <v>31</v>
      </c>
      <c r="K4742">
        <v>1739.52</v>
      </c>
      <c r="L4742">
        <v>53925.26</v>
      </c>
      <c r="M4742">
        <v>36419.33</v>
      </c>
      <c r="N4742">
        <v>5830.36</v>
      </c>
      <c r="O4742">
        <v>1533.21</v>
      </c>
      <c r="P4742">
        <v>1967.86</v>
      </c>
      <c r="Q4742">
        <v>596.97</v>
      </c>
      <c r="R4742">
        <v>1375.69</v>
      </c>
      <c r="S4742">
        <v>1256.43</v>
      </c>
      <c r="T4742">
        <v>48979.86</v>
      </c>
      <c r="U4742">
        <v>17505.93</v>
      </c>
      <c r="V4742">
        <v>4945.3999999999996</v>
      </c>
      <c r="W4742">
        <v>4600.22</v>
      </c>
      <c r="X4742">
        <v>56158.55</v>
      </c>
      <c r="Y4742">
        <v>51629.58</v>
      </c>
    </row>
    <row r="4743" spans="1:25" x14ac:dyDescent="0.25">
      <c r="A4743" t="s">
        <v>4799</v>
      </c>
      <c r="B4743" s="1">
        <v>46224</v>
      </c>
      <c r="C4743">
        <v>2026</v>
      </c>
      <c r="D4743">
        <v>7</v>
      </c>
      <c r="E4743" t="s">
        <v>690</v>
      </c>
      <c r="F4743" t="s">
        <v>691</v>
      </c>
      <c r="G4743" t="s">
        <v>28</v>
      </c>
      <c r="H4743" t="s">
        <v>58</v>
      </c>
      <c r="I4743" t="s">
        <v>37</v>
      </c>
      <c r="J4743">
        <v>50</v>
      </c>
      <c r="K4743">
        <v>1293.52</v>
      </c>
      <c r="L4743">
        <v>64675.94</v>
      </c>
      <c r="M4743">
        <v>36715.980000000003</v>
      </c>
      <c r="N4743">
        <v>4968.4799999999996</v>
      </c>
      <c r="O4743">
        <v>2419.42</v>
      </c>
      <c r="P4743">
        <v>2098.1999999999998</v>
      </c>
      <c r="Q4743">
        <v>432.84</v>
      </c>
      <c r="R4743">
        <v>2074.94</v>
      </c>
      <c r="S4743">
        <v>665.25</v>
      </c>
      <c r="T4743">
        <v>49375.11</v>
      </c>
      <c r="U4743">
        <v>27959.96</v>
      </c>
      <c r="V4743">
        <v>15300.83</v>
      </c>
      <c r="W4743">
        <v>14601.66</v>
      </c>
      <c r="X4743">
        <v>61014.39</v>
      </c>
      <c r="Y4743">
        <v>49021.99</v>
      </c>
    </row>
    <row r="4744" spans="1:25" x14ac:dyDescent="0.25">
      <c r="A4744" t="s">
        <v>4800</v>
      </c>
      <c r="B4744" s="1">
        <v>46225</v>
      </c>
      <c r="C4744">
        <v>2026</v>
      </c>
      <c r="D4744">
        <v>7</v>
      </c>
      <c r="E4744" t="s">
        <v>690</v>
      </c>
      <c r="F4744" t="s">
        <v>691</v>
      </c>
      <c r="G4744" t="s">
        <v>55</v>
      </c>
      <c r="H4744" t="s">
        <v>36</v>
      </c>
      <c r="I4744" t="s">
        <v>39</v>
      </c>
      <c r="J4744">
        <v>47</v>
      </c>
      <c r="K4744">
        <v>1106.93</v>
      </c>
      <c r="L4744">
        <v>52025.66</v>
      </c>
      <c r="M4744">
        <v>27146.16</v>
      </c>
      <c r="N4744">
        <v>4919.8599999999997</v>
      </c>
      <c r="O4744">
        <v>2978.48</v>
      </c>
      <c r="P4744">
        <v>2060.4499999999998</v>
      </c>
      <c r="Q4744">
        <v>703.82</v>
      </c>
      <c r="R4744">
        <v>3203.67</v>
      </c>
      <c r="S4744">
        <v>953.14</v>
      </c>
      <c r="T4744">
        <v>41965.58</v>
      </c>
      <c r="U4744">
        <v>24879.5</v>
      </c>
      <c r="V4744">
        <v>10060.08</v>
      </c>
      <c r="W4744">
        <v>10193.11</v>
      </c>
      <c r="X4744">
        <v>53910.42</v>
      </c>
      <c r="Y4744">
        <v>41253.11</v>
      </c>
    </row>
    <row r="4745" spans="1:25" x14ac:dyDescent="0.25">
      <c r="A4745" t="s">
        <v>4801</v>
      </c>
      <c r="B4745" s="1">
        <v>46226</v>
      </c>
      <c r="C4745">
        <v>2026</v>
      </c>
      <c r="D4745">
        <v>7</v>
      </c>
      <c r="E4745" t="s">
        <v>690</v>
      </c>
      <c r="F4745" t="s">
        <v>691</v>
      </c>
      <c r="G4745" t="s">
        <v>44</v>
      </c>
      <c r="H4745" t="s">
        <v>53</v>
      </c>
      <c r="I4745" t="s">
        <v>50</v>
      </c>
      <c r="J4745">
        <v>35</v>
      </c>
      <c r="K4745">
        <v>1340.25</v>
      </c>
      <c r="L4745">
        <v>46908.7</v>
      </c>
      <c r="M4745">
        <v>24226.74</v>
      </c>
      <c r="N4745">
        <v>5921.14</v>
      </c>
      <c r="O4745">
        <v>1180.42</v>
      </c>
      <c r="P4745">
        <v>1634.97</v>
      </c>
      <c r="Q4745">
        <v>239.81</v>
      </c>
      <c r="R4745">
        <v>1347.86</v>
      </c>
      <c r="S4745">
        <v>801.78</v>
      </c>
      <c r="T4745">
        <v>35352.720000000001</v>
      </c>
      <c r="U4745">
        <v>22681.96</v>
      </c>
      <c r="V4745">
        <v>11555.98</v>
      </c>
      <c r="W4745">
        <v>10221.56</v>
      </c>
      <c r="X4745">
        <v>45868.29</v>
      </c>
      <c r="Y4745">
        <v>38259.69</v>
      </c>
    </row>
    <row r="4746" spans="1:25" x14ac:dyDescent="0.25">
      <c r="A4746" t="s">
        <v>4802</v>
      </c>
      <c r="B4746" s="1">
        <v>46226</v>
      </c>
      <c r="C4746">
        <v>2026</v>
      </c>
      <c r="D4746">
        <v>7</v>
      </c>
      <c r="E4746" t="s">
        <v>690</v>
      </c>
      <c r="F4746" t="s">
        <v>691</v>
      </c>
      <c r="G4746" t="s">
        <v>55</v>
      </c>
      <c r="H4746" t="s">
        <v>32</v>
      </c>
      <c r="I4746" t="s">
        <v>45</v>
      </c>
      <c r="J4746">
        <v>39</v>
      </c>
      <c r="K4746">
        <v>1506.16</v>
      </c>
      <c r="L4746">
        <v>58740.42</v>
      </c>
      <c r="M4746">
        <v>36661.39</v>
      </c>
      <c r="N4746">
        <v>5050.51</v>
      </c>
      <c r="O4746">
        <v>1742.81</v>
      </c>
      <c r="P4746">
        <v>1541.91</v>
      </c>
      <c r="Q4746">
        <v>636.08000000000004</v>
      </c>
      <c r="R4746">
        <v>2322.39</v>
      </c>
      <c r="S4746">
        <v>794.21</v>
      </c>
      <c r="T4746">
        <v>48749.3</v>
      </c>
      <c r="U4746">
        <v>22079.03</v>
      </c>
      <c r="V4746">
        <v>9991.1200000000008</v>
      </c>
      <c r="W4746">
        <v>9089.81</v>
      </c>
      <c r="X4746">
        <v>65486.49</v>
      </c>
      <c r="Y4746">
        <v>46631.42</v>
      </c>
    </row>
    <row r="4747" spans="1:25" x14ac:dyDescent="0.25">
      <c r="A4747" t="s">
        <v>4803</v>
      </c>
      <c r="B4747" s="1">
        <v>46226</v>
      </c>
      <c r="C4747">
        <v>2026</v>
      </c>
      <c r="D4747">
        <v>7</v>
      </c>
      <c r="E4747" t="s">
        <v>690</v>
      </c>
      <c r="F4747" t="s">
        <v>691</v>
      </c>
      <c r="G4747" t="s">
        <v>44</v>
      </c>
      <c r="H4747" t="s">
        <v>32</v>
      </c>
      <c r="I4747" t="s">
        <v>33</v>
      </c>
      <c r="J4747">
        <v>55</v>
      </c>
      <c r="K4747">
        <v>1522.51</v>
      </c>
      <c r="L4747">
        <v>83738.19</v>
      </c>
      <c r="M4747">
        <v>48483.47</v>
      </c>
      <c r="N4747">
        <v>5962.78</v>
      </c>
      <c r="O4747">
        <v>4430.66</v>
      </c>
      <c r="P4747">
        <v>2261.25</v>
      </c>
      <c r="Q4747">
        <v>1102.58</v>
      </c>
      <c r="R4747">
        <v>4282.7</v>
      </c>
      <c r="S4747">
        <v>922.3</v>
      </c>
      <c r="T4747">
        <v>67445.740000000005</v>
      </c>
      <c r="U4747">
        <v>35254.720000000001</v>
      </c>
      <c r="V4747">
        <v>16292.45</v>
      </c>
      <c r="W4747">
        <v>15284.03</v>
      </c>
      <c r="X4747">
        <v>77803.850000000006</v>
      </c>
      <c r="Y4747">
        <v>62851.41</v>
      </c>
    </row>
    <row r="4748" spans="1:25" x14ac:dyDescent="0.25">
      <c r="A4748" t="s">
        <v>4804</v>
      </c>
      <c r="B4748" s="1">
        <v>46226</v>
      </c>
      <c r="C4748">
        <v>2026</v>
      </c>
      <c r="D4748">
        <v>7</v>
      </c>
      <c r="E4748" t="s">
        <v>690</v>
      </c>
      <c r="F4748" t="s">
        <v>691</v>
      </c>
      <c r="G4748" t="s">
        <v>44</v>
      </c>
      <c r="H4748" t="s">
        <v>32</v>
      </c>
      <c r="I4748" t="s">
        <v>39</v>
      </c>
      <c r="J4748">
        <v>22</v>
      </c>
      <c r="K4748">
        <v>1682.67</v>
      </c>
      <c r="L4748">
        <v>37018.68</v>
      </c>
      <c r="M4748">
        <v>22751.11</v>
      </c>
      <c r="N4748">
        <v>4731.63</v>
      </c>
      <c r="O4748">
        <v>1018.82</v>
      </c>
      <c r="P4748">
        <v>1219.93</v>
      </c>
      <c r="Q4748">
        <v>540.02</v>
      </c>
      <c r="R4748">
        <v>1092.33</v>
      </c>
      <c r="S4748">
        <v>426.83</v>
      </c>
      <c r="T4748">
        <v>31780.68</v>
      </c>
      <c r="U4748">
        <v>14267.56</v>
      </c>
      <c r="V4748">
        <v>5237.99</v>
      </c>
      <c r="W4748">
        <v>4885.6400000000003</v>
      </c>
      <c r="X4748">
        <v>36838.31</v>
      </c>
      <c r="Y4748">
        <v>33668.589999999997</v>
      </c>
    </row>
    <row r="4749" spans="1:25" x14ac:dyDescent="0.25">
      <c r="A4749" t="s">
        <v>4805</v>
      </c>
      <c r="B4749" s="1">
        <v>46227</v>
      </c>
      <c r="C4749">
        <v>2026</v>
      </c>
      <c r="D4749">
        <v>7</v>
      </c>
      <c r="E4749" t="s">
        <v>690</v>
      </c>
      <c r="F4749" t="s">
        <v>691</v>
      </c>
      <c r="G4749" t="s">
        <v>28</v>
      </c>
      <c r="H4749" t="s">
        <v>36</v>
      </c>
      <c r="I4749" t="s">
        <v>33</v>
      </c>
      <c r="J4749">
        <v>66</v>
      </c>
      <c r="K4749">
        <v>1510.47</v>
      </c>
      <c r="L4749">
        <v>99691.11</v>
      </c>
      <c r="M4749">
        <v>66349.460000000006</v>
      </c>
      <c r="N4749">
        <v>8939.43</v>
      </c>
      <c r="O4749">
        <v>6755.48</v>
      </c>
      <c r="P4749">
        <v>3166.8</v>
      </c>
      <c r="Q4749">
        <v>1313.1</v>
      </c>
      <c r="R4749">
        <v>5616.12</v>
      </c>
      <c r="S4749">
        <v>2214.67</v>
      </c>
      <c r="T4749">
        <v>94355.06</v>
      </c>
      <c r="U4749">
        <v>33341.65</v>
      </c>
      <c r="V4749">
        <v>5336.05</v>
      </c>
      <c r="W4749">
        <v>4880.6899999999996</v>
      </c>
      <c r="X4749">
        <v>106780.02</v>
      </c>
      <c r="Y4749">
        <v>92908.5</v>
      </c>
    </row>
    <row r="4750" spans="1:25" x14ac:dyDescent="0.25">
      <c r="A4750" t="s">
        <v>4806</v>
      </c>
      <c r="B4750" s="1">
        <v>46227</v>
      </c>
      <c r="C4750">
        <v>2026</v>
      </c>
      <c r="D4750">
        <v>7</v>
      </c>
      <c r="E4750" t="s">
        <v>690</v>
      </c>
      <c r="F4750" t="s">
        <v>691</v>
      </c>
      <c r="G4750" t="s">
        <v>55</v>
      </c>
      <c r="H4750" t="s">
        <v>32</v>
      </c>
      <c r="I4750" t="s">
        <v>30</v>
      </c>
      <c r="J4750">
        <v>70</v>
      </c>
      <c r="K4750">
        <v>1631.14</v>
      </c>
      <c r="L4750">
        <v>114179.57</v>
      </c>
      <c r="M4750">
        <v>69224.070000000007</v>
      </c>
      <c r="N4750">
        <v>12828.53</v>
      </c>
      <c r="O4750">
        <v>3669.92</v>
      </c>
      <c r="P4750">
        <v>3599.69</v>
      </c>
      <c r="Q4750">
        <v>1889.62</v>
      </c>
      <c r="R4750">
        <v>6397.42</v>
      </c>
      <c r="S4750">
        <v>2748.55</v>
      </c>
      <c r="T4750">
        <v>100357.81</v>
      </c>
      <c r="U4750">
        <v>44955.5</v>
      </c>
      <c r="V4750">
        <v>13821.76</v>
      </c>
      <c r="W4750">
        <v>13133.68</v>
      </c>
      <c r="X4750">
        <v>124556.15</v>
      </c>
      <c r="Y4750">
        <v>100856.65</v>
      </c>
    </row>
    <row r="4751" spans="1:25" x14ac:dyDescent="0.25">
      <c r="A4751" t="s">
        <v>4807</v>
      </c>
      <c r="B4751" s="1">
        <v>46227</v>
      </c>
      <c r="C4751">
        <v>2026</v>
      </c>
      <c r="D4751">
        <v>7</v>
      </c>
      <c r="E4751" t="s">
        <v>690</v>
      </c>
      <c r="F4751" t="s">
        <v>691</v>
      </c>
      <c r="G4751" t="s">
        <v>28</v>
      </c>
      <c r="H4751" t="s">
        <v>32</v>
      </c>
      <c r="I4751" t="s">
        <v>30</v>
      </c>
      <c r="J4751">
        <v>95</v>
      </c>
      <c r="K4751">
        <v>963.98</v>
      </c>
      <c r="L4751">
        <v>91577.81</v>
      </c>
      <c r="M4751">
        <v>57095.17</v>
      </c>
      <c r="N4751">
        <v>9865.98</v>
      </c>
      <c r="O4751">
        <v>4550.38</v>
      </c>
      <c r="P4751">
        <v>2304.12</v>
      </c>
      <c r="Q4751">
        <v>1500.1</v>
      </c>
      <c r="R4751">
        <v>4909.8100000000004</v>
      </c>
      <c r="S4751">
        <v>2127.13</v>
      </c>
      <c r="T4751">
        <v>82352.69</v>
      </c>
      <c r="U4751">
        <v>34482.639999999999</v>
      </c>
      <c r="V4751">
        <v>9225.1200000000008</v>
      </c>
      <c r="W4751">
        <v>8189.61</v>
      </c>
      <c r="X4751">
        <v>91859.9</v>
      </c>
      <c r="Y4751">
        <v>88287.23</v>
      </c>
    </row>
    <row r="4752" spans="1:25" x14ac:dyDescent="0.25">
      <c r="A4752" t="s">
        <v>4808</v>
      </c>
      <c r="B4752" s="1">
        <v>46227</v>
      </c>
      <c r="C4752">
        <v>2026</v>
      </c>
      <c r="D4752">
        <v>7</v>
      </c>
      <c r="E4752" t="s">
        <v>690</v>
      </c>
      <c r="F4752" t="s">
        <v>691</v>
      </c>
      <c r="G4752" t="s">
        <v>28</v>
      </c>
      <c r="H4752" t="s">
        <v>36</v>
      </c>
      <c r="I4752" t="s">
        <v>65</v>
      </c>
      <c r="J4752">
        <v>44</v>
      </c>
      <c r="K4752">
        <v>1387.22</v>
      </c>
      <c r="L4752">
        <v>61037.58</v>
      </c>
      <c r="M4752">
        <v>40429.19</v>
      </c>
      <c r="N4752">
        <v>7530</v>
      </c>
      <c r="O4752">
        <v>1931.57</v>
      </c>
      <c r="P4752">
        <v>1236.58</v>
      </c>
      <c r="Q4752">
        <v>314.52</v>
      </c>
      <c r="R4752">
        <v>1559.82</v>
      </c>
      <c r="S4752">
        <v>1128.5</v>
      </c>
      <c r="T4752">
        <v>54130.18</v>
      </c>
      <c r="U4752">
        <v>20608.400000000001</v>
      </c>
      <c r="V4752">
        <v>6907.4</v>
      </c>
      <c r="W4752">
        <v>6323.75</v>
      </c>
      <c r="X4752">
        <v>63899.74</v>
      </c>
      <c r="Y4752">
        <v>57358.99</v>
      </c>
    </row>
    <row r="4753" spans="1:25" x14ac:dyDescent="0.25">
      <c r="A4753" t="s">
        <v>4809</v>
      </c>
      <c r="B4753" s="1">
        <v>46227</v>
      </c>
      <c r="C4753">
        <v>2026</v>
      </c>
      <c r="D4753">
        <v>7</v>
      </c>
      <c r="E4753" t="s">
        <v>690</v>
      </c>
      <c r="F4753" t="s">
        <v>691</v>
      </c>
      <c r="G4753" t="s">
        <v>44</v>
      </c>
      <c r="H4753" t="s">
        <v>36</v>
      </c>
      <c r="I4753" t="s">
        <v>45</v>
      </c>
      <c r="J4753">
        <v>41</v>
      </c>
      <c r="K4753">
        <v>1152.1099999999999</v>
      </c>
      <c r="L4753">
        <v>47236.37</v>
      </c>
      <c r="M4753">
        <v>25163.66</v>
      </c>
      <c r="N4753">
        <v>3618.68</v>
      </c>
      <c r="O4753">
        <v>2634.88</v>
      </c>
      <c r="P4753">
        <v>1466.08</v>
      </c>
      <c r="Q4753">
        <v>379.95</v>
      </c>
      <c r="R4753">
        <v>2655.45</v>
      </c>
      <c r="S4753">
        <v>1136.48</v>
      </c>
      <c r="T4753">
        <v>37055.18</v>
      </c>
      <c r="U4753">
        <v>22072.71</v>
      </c>
      <c r="V4753">
        <v>10181.19</v>
      </c>
      <c r="W4753">
        <v>9348.61</v>
      </c>
      <c r="X4753">
        <v>51964.5</v>
      </c>
      <c r="Y4753">
        <v>37802.53</v>
      </c>
    </row>
    <row r="4754" spans="1:25" x14ac:dyDescent="0.25">
      <c r="A4754" t="s">
        <v>4810</v>
      </c>
      <c r="B4754" s="1">
        <v>46228</v>
      </c>
      <c r="C4754">
        <v>2026</v>
      </c>
      <c r="D4754">
        <v>7</v>
      </c>
      <c r="E4754" t="s">
        <v>690</v>
      </c>
      <c r="F4754" t="s">
        <v>691</v>
      </c>
      <c r="G4754" t="s">
        <v>55</v>
      </c>
      <c r="H4754" t="s">
        <v>36</v>
      </c>
      <c r="I4754" t="s">
        <v>45</v>
      </c>
      <c r="J4754">
        <v>45</v>
      </c>
      <c r="K4754">
        <v>1154.71</v>
      </c>
      <c r="L4754">
        <v>51962.17</v>
      </c>
      <c r="M4754">
        <v>25073.38</v>
      </c>
      <c r="N4754">
        <v>6337.19</v>
      </c>
      <c r="O4754">
        <v>1944.4</v>
      </c>
      <c r="P4754">
        <v>987.27</v>
      </c>
      <c r="Q4754">
        <v>625.58000000000004</v>
      </c>
      <c r="R4754">
        <v>2418.7399999999998</v>
      </c>
      <c r="S4754">
        <v>725.92</v>
      </c>
      <c r="T4754">
        <v>38112.49</v>
      </c>
      <c r="U4754">
        <v>26888.799999999999</v>
      </c>
      <c r="V4754">
        <v>13849.69</v>
      </c>
      <c r="W4754">
        <v>13812.88</v>
      </c>
      <c r="X4754">
        <v>47846.28</v>
      </c>
      <c r="Y4754">
        <v>41504.870000000003</v>
      </c>
    </row>
    <row r="4755" spans="1:25" x14ac:dyDescent="0.25">
      <c r="A4755" t="s">
        <v>4811</v>
      </c>
      <c r="B4755" s="1">
        <v>46228</v>
      </c>
      <c r="C4755">
        <v>2026</v>
      </c>
      <c r="D4755">
        <v>7</v>
      </c>
      <c r="E4755" t="s">
        <v>690</v>
      </c>
      <c r="F4755" t="s">
        <v>691</v>
      </c>
      <c r="G4755" t="s">
        <v>55</v>
      </c>
      <c r="H4755" t="s">
        <v>32</v>
      </c>
      <c r="I4755" t="s">
        <v>56</v>
      </c>
      <c r="J4755">
        <v>34</v>
      </c>
      <c r="K4755">
        <v>1454.92</v>
      </c>
      <c r="L4755">
        <v>49467.39</v>
      </c>
      <c r="M4755">
        <v>28503.05</v>
      </c>
      <c r="N4755">
        <v>5231</v>
      </c>
      <c r="O4755">
        <v>2732.45</v>
      </c>
      <c r="P4755">
        <v>2085.19</v>
      </c>
      <c r="Q4755">
        <v>514.45000000000005</v>
      </c>
      <c r="R4755">
        <v>1529.21</v>
      </c>
      <c r="S4755">
        <v>436.43</v>
      </c>
      <c r="T4755">
        <v>41031.769999999997</v>
      </c>
      <c r="U4755">
        <v>20964.34</v>
      </c>
      <c r="V4755">
        <v>8435.61</v>
      </c>
      <c r="W4755">
        <v>7699.51</v>
      </c>
      <c r="X4755">
        <v>54147.14</v>
      </c>
      <c r="Y4755">
        <v>42714.78</v>
      </c>
    </row>
    <row r="4756" spans="1:25" x14ac:dyDescent="0.25">
      <c r="A4756" t="s">
        <v>4812</v>
      </c>
      <c r="B4756" s="1">
        <v>46228</v>
      </c>
      <c r="C4756">
        <v>2026</v>
      </c>
      <c r="D4756">
        <v>7</v>
      </c>
      <c r="E4756" t="s">
        <v>690</v>
      </c>
      <c r="F4756" t="s">
        <v>691</v>
      </c>
      <c r="G4756" t="s">
        <v>55</v>
      </c>
      <c r="H4756" t="s">
        <v>32</v>
      </c>
      <c r="I4756" t="s">
        <v>50</v>
      </c>
      <c r="J4756">
        <v>32</v>
      </c>
      <c r="K4756">
        <v>1590.6</v>
      </c>
      <c r="L4756">
        <v>50899.06</v>
      </c>
      <c r="M4756">
        <v>34467.78</v>
      </c>
      <c r="N4756">
        <v>6025.8</v>
      </c>
      <c r="O4756">
        <v>2744.01</v>
      </c>
      <c r="P4756">
        <v>1015.81</v>
      </c>
      <c r="Q4756">
        <v>830.35</v>
      </c>
      <c r="R4756">
        <v>2275.92</v>
      </c>
      <c r="S4756">
        <v>990.55</v>
      </c>
      <c r="T4756">
        <v>48350.22</v>
      </c>
      <c r="U4756">
        <v>16431.28</v>
      </c>
      <c r="V4756">
        <v>2548.84</v>
      </c>
      <c r="W4756">
        <v>2543.2600000000002</v>
      </c>
      <c r="X4756">
        <v>56891.85</v>
      </c>
      <c r="Y4756">
        <v>49920.69</v>
      </c>
    </row>
    <row r="4757" spans="1:25" x14ac:dyDescent="0.25">
      <c r="A4757" t="s">
        <v>4813</v>
      </c>
      <c r="B4757" s="1">
        <v>46229</v>
      </c>
      <c r="C4757">
        <v>2026</v>
      </c>
      <c r="D4757">
        <v>7</v>
      </c>
      <c r="E4757" t="s">
        <v>690</v>
      </c>
      <c r="F4757" t="s">
        <v>691</v>
      </c>
      <c r="G4757" t="s">
        <v>44</v>
      </c>
      <c r="H4757" t="s">
        <v>36</v>
      </c>
      <c r="I4757" t="s">
        <v>37</v>
      </c>
      <c r="J4757">
        <v>38</v>
      </c>
      <c r="K4757">
        <v>1469.29</v>
      </c>
      <c r="L4757">
        <v>55833</v>
      </c>
      <c r="M4757">
        <v>37890.03</v>
      </c>
      <c r="N4757">
        <v>4897.7</v>
      </c>
      <c r="O4757">
        <v>3477.47</v>
      </c>
      <c r="P4757">
        <v>862.65</v>
      </c>
      <c r="Q4757">
        <v>565</v>
      </c>
      <c r="R4757">
        <v>2549.15</v>
      </c>
      <c r="S4757">
        <v>597.87</v>
      </c>
      <c r="T4757">
        <v>50839.87</v>
      </c>
      <c r="U4757">
        <v>17942.97</v>
      </c>
      <c r="V4757">
        <v>4993.13</v>
      </c>
      <c r="W4757">
        <v>4684.55</v>
      </c>
      <c r="X4757">
        <v>60338.39</v>
      </c>
      <c r="Y4757">
        <v>51109.85</v>
      </c>
    </row>
    <row r="4758" spans="1:25" x14ac:dyDescent="0.25">
      <c r="A4758" t="s">
        <v>4814</v>
      </c>
      <c r="B4758" s="1">
        <v>46229</v>
      </c>
      <c r="C4758">
        <v>2026</v>
      </c>
      <c r="D4758">
        <v>7</v>
      </c>
      <c r="E4758" t="s">
        <v>690</v>
      </c>
      <c r="F4758" t="s">
        <v>691</v>
      </c>
      <c r="G4758" t="s">
        <v>28</v>
      </c>
      <c r="H4758" t="s">
        <v>53</v>
      </c>
      <c r="I4758" t="s">
        <v>65</v>
      </c>
      <c r="J4758">
        <v>36</v>
      </c>
      <c r="K4758">
        <v>1315.84</v>
      </c>
      <c r="L4758">
        <v>47370.27</v>
      </c>
      <c r="M4758">
        <v>28590.12</v>
      </c>
      <c r="N4758">
        <v>3727.3</v>
      </c>
      <c r="O4758">
        <v>1854.07</v>
      </c>
      <c r="P4758">
        <v>1152.57</v>
      </c>
      <c r="Q4758">
        <v>250.68</v>
      </c>
      <c r="R4758">
        <v>1963.56</v>
      </c>
      <c r="S4758">
        <v>850.49</v>
      </c>
      <c r="T4758">
        <v>38388.79</v>
      </c>
      <c r="U4758">
        <v>18780.150000000001</v>
      </c>
      <c r="V4758">
        <v>8981.48</v>
      </c>
      <c r="W4758">
        <v>8904.83</v>
      </c>
      <c r="X4758">
        <v>46071.05</v>
      </c>
      <c r="Y4758">
        <v>39110.949999999997</v>
      </c>
    </row>
    <row r="4759" spans="1:25" x14ac:dyDescent="0.25">
      <c r="A4759" t="s">
        <v>4815</v>
      </c>
      <c r="B4759" s="1">
        <v>46229</v>
      </c>
      <c r="C4759">
        <v>2026</v>
      </c>
      <c r="D4759">
        <v>7</v>
      </c>
      <c r="E4759" t="s">
        <v>690</v>
      </c>
      <c r="F4759" t="s">
        <v>691</v>
      </c>
      <c r="G4759" t="s">
        <v>28</v>
      </c>
      <c r="H4759" t="s">
        <v>36</v>
      </c>
      <c r="I4759" t="s">
        <v>45</v>
      </c>
      <c r="J4759">
        <v>60</v>
      </c>
      <c r="K4759">
        <v>838.28</v>
      </c>
      <c r="L4759">
        <v>50296.67</v>
      </c>
      <c r="M4759">
        <v>25013.74</v>
      </c>
      <c r="N4759">
        <v>6176.97</v>
      </c>
      <c r="O4759">
        <v>2801.79</v>
      </c>
      <c r="P4759">
        <v>2158.3200000000002</v>
      </c>
      <c r="Q4759">
        <v>868.81</v>
      </c>
      <c r="R4759">
        <v>1910.99</v>
      </c>
      <c r="S4759">
        <v>936.07</v>
      </c>
      <c r="T4759">
        <v>39866.69</v>
      </c>
      <c r="U4759">
        <v>25282.93</v>
      </c>
      <c r="V4759">
        <v>10429.969999999999</v>
      </c>
      <c r="W4759">
        <v>10601.82</v>
      </c>
      <c r="X4759">
        <v>49967.32</v>
      </c>
      <c r="Y4759">
        <v>37921.43</v>
      </c>
    </row>
    <row r="4760" spans="1:25" x14ac:dyDescent="0.25">
      <c r="A4760" t="s">
        <v>4816</v>
      </c>
      <c r="B4760" s="1">
        <v>46229</v>
      </c>
      <c r="C4760">
        <v>2026</v>
      </c>
      <c r="D4760">
        <v>7</v>
      </c>
      <c r="E4760" t="s">
        <v>690</v>
      </c>
      <c r="F4760" t="s">
        <v>691</v>
      </c>
      <c r="G4760" t="s">
        <v>35</v>
      </c>
      <c r="H4760" t="s">
        <v>53</v>
      </c>
      <c r="I4760" t="s">
        <v>50</v>
      </c>
      <c r="J4760">
        <v>20</v>
      </c>
      <c r="K4760">
        <v>1565.7</v>
      </c>
      <c r="L4760">
        <v>31314.06</v>
      </c>
      <c r="M4760">
        <v>18419.560000000001</v>
      </c>
      <c r="N4760">
        <v>3504.34</v>
      </c>
      <c r="O4760">
        <v>1212.07</v>
      </c>
      <c r="P4760">
        <v>877.1</v>
      </c>
      <c r="Q4760">
        <v>259.36</v>
      </c>
      <c r="R4760">
        <v>1395.25</v>
      </c>
      <c r="S4760">
        <v>559.37</v>
      </c>
      <c r="T4760">
        <v>26227.040000000001</v>
      </c>
      <c r="U4760">
        <v>12894.5</v>
      </c>
      <c r="V4760">
        <v>5087.0200000000004</v>
      </c>
      <c r="W4760">
        <v>4772.28</v>
      </c>
      <c r="X4760">
        <v>33627.160000000003</v>
      </c>
      <c r="Y4760">
        <v>26067.7</v>
      </c>
    </row>
    <row r="4761" spans="1:25" x14ac:dyDescent="0.25">
      <c r="A4761" t="s">
        <v>4817</v>
      </c>
      <c r="B4761" s="1">
        <v>46230</v>
      </c>
      <c r="C4761">
        <v>2026</v>
      </c>
      <c r="D4761">
        <v>7</v>
      </c>
      <c r="E4761" t="s">
        <v>690</v>
      </c>
      <c r="F4761" t="s">
        <v>691</v>
      </c>
      <c r="G4761" t="s">
        <v>35</v>
      </c>
      <c r="H4761" t="s">
        <v>36</v>
      </c>
      <c r="I4761" t="s">
        <v>30</v>
      </c>
      <c r="J4761">
        <v>62</v>
      </c>
      <c r="K4761">
        <v>1320.93</v>
      </c>
      <c r="L4761">
        <v>81897.63</v>
      </c>
      <c r="M4761">
        <v>48537.96</v>
      </c>
      <c r="N4761">
        <v>7351.77</v>
      </c>
      <c r="O4761">
        <v>5231.99</v>
      </c>
      <c r="P4761">
        <v>1373.07</v>
      </c>
      <c r="Q4761">
        <v>583.96</v>
      </c>
      <c r="R4761">
        <v>3715</v>
      </c>
      <c r="S4761">
        <v>1307.71</v>
      </c>
      <c r="T4761">
        <v>68101.460000000006</v>
      </c>
      <c r="U4761">
        <v>33359.67</v>
      </c>
      <c r="V4761">
        <v>13796.17</v>
      </c>
      <c r="W4761">
        <v>12761.56</v>
      </c>
      <c r="X4761">
        <v>79477.240000000005</v>
      </c>
      <c r="Y4761">
        <v>67187.5</v>
      </c>
    </row>
    <row r="4762" spans="1:25" x14ac:dyDescent="0.25">
      <c r="A4762" t="s">
        <v>4818</v>
      </c>
      <c r="B4762" s="1">
        <v>46230</v>
      </c>
      <c r="C4762">
        <v>2026</v>
      </c>
      <c r="D4762">
        <v>7</v>
      </c>
      <c r="E4762" t="s">
        <v>690</v>
      </c>
      <c r="F4762" t="s">
        <v>691</v>
      </c>
      <c r="G4762" t="s">
        <v>55</v>
      </c>
      <c r="H4762" t="s">
        <v>53</v>
      </c>
      <c r="I4762" t="s">
        <v>37</v>
      </c>
      <c r="J4762">
        <v>36</v>
      </c>
      <c r="K4762">
        <v>1706.25</v>
      </c>
      <c r="L4762">
        <v>61425.11</v>
      </c>
      <c r="M4762">
        <v>38475.54</v>
      </c>
      <c r="N4762">
        <v>5833.43</v>
      </c>
      <c r="O4762">
        <v>3729.06</v>
      </c>
      <c r="P4762">
        <v>2677.97</v>
      </c>
      <c r="Q4762">
        <v>459.71</v>
      </c>
      <c r="R4762">
        <v>3460.24</v>
      </c>
      <c r="S4762">
        <v>541.96</v>
      </c>
      <c r="T4762">
        <v>55177.91</v>
      </c>
      <c r="U4762">
        <v>22949.57</v>
      </c>
      <c r="V4762">
        <v>6247.2</v>
      </c>
      <c r="W4762">
        <v>5955.06</v>
      </c>
      <c r="X4762">
        <v>62760.26</v>
      </c>
      <c r="Y4762">
        <v>53416.43</v>
      </c>
    </row>
    <row r="4763" spans="1:25" x14ac:dyDescent="0.25">
      <c r="A4763" t="s">
        <v>4819</v>
      </c>
      <c r="B4763" s="1">
        <v>46230</v>
      </c>
      <c r="C4763">
        <v>2026</v>
      </c>
      <c r="D4763">
        <v>7</v>
      </c>
      <c r="E4763" t="s">
        <v>690</v>
      </c>
      <c r="F4763" t="s">
        <v>691</v>
      </c>
      <c r="G4763" t="s">
        <v>35</v>
      </c>
      <c r="H4763" t="s">
        <v>32</v>
      </c>
      <c r="I4763" t="s">
        <v>50</v>
      </c>
      <c r="J4763">
        <v>36</v>
      </c>
      <c r="K4763">
        <v>1494.11</v>
      </c>
      <c r="L4763">
        <v>53787.839999999997</v>
      </c>
      <c r="M4763">
        <v>34422.69</v>
      </c>
      <c r="N4763">
        <v>5397.26</v>
      </c>
      <c r="O4763">
        <v>3457.06</v>
      </c>
      <c r="P4763">
        <v>966.55</v>
      </c>
      <c r="Q4763">
        <v>293.51</v>
      </c>
      <c r="R4763">
        <v>2607.64</v>
      </c>
      <c r="S4763">
        <v>590.26</v>
      </c>
      <c r="T4763">
        <v>47734.98</v>
      </c>
      <c r="U4763">
        <v>19365.150000000001</v>
      </c>
      <c r="V4763">
        <v>6052.86</v>
      </c>
      <c r="W4763">
        <v>5793.16</v>
      </c>
      <c r="X4763">
        <v>54320.53</v>
      </c>
      <c r="Y4763">
        <v>45885.15</v>
      </c>
    </row>
    <row r="4764" spans="1:25" x14ac:dyDescent="0.25">
      <c r="A4764" t="s">
        <v>4820</v>
      </c>
      <c r="B4764" s="1">
        <v>46230</v>
      </c>
      <c r="C4764">
        <v>2026</v>
      </c>
      <c r="D4764">
        <v>7</v>
      </c>
      <c r="E4764" t="s">
        <v>690</v>
      </c>
      <c r="F4764" t="s">
        <v>691</v>
      </c>
      <c r="G4764" t="s">
        <v>44</v>
      </c>
      <c r="H4764" t="s">
        <v>32</v>
      </c>
      <c r="I4764" t="s">
        <v>33</v>
      </c>
      <c r="J4764">
        <v>72</v>
      </c>
      <c r="K4764">
        <v>1162.29</v>
      </c>
      <c r="L4764">
        <v>83685.179999999993</v>
      </c>
      <c r="M4764">
        <v>45551.7</v>
      </c>
      <c r="N4764">
        <v>6259.41</v>
      </c>
      <c r="O4764">
        <v>4949.88</v>
      </c>
      <c r="P4764">
        <v>1508.53</v>
      </c>
      <c r="Q4764">
        <v>1054.4100000000001</v>
      </c>
      <c r="R4764">
        <v>3523.86</v>
      </c>
      <c r="S4764">
        <v>1900.19</v>
      </c>
      <c r="T4764">
        <v>64747.99</v>
      </c>
      <c r="U4764">
        <v>38133.49</v>
      </c>
      <c r="V4764">
        <v>18937.189999999999</v>
      </c>
      <c r="W4764">
        <v>18008.36</v>
      </c>
      <c r="X4764">
        <v>77917.14</v>
      </c>
      <c r="Y4764">
        <v>63322.65</v>
      </c>
    </row>
    <row r="4765" spans="1:25" x14ac:dyDescent="0.25">
      <c r="A4765" t="s">
        <v>4821</v>
      </c>
      <c r="B4765" s="1">
        <v>46231</v>
      </c>
      <c r="C4765">
        <v>2026</v>
      </c>
      <c r="D4765">
        <v>7</v>
      </c>
      <c r="E4765" t="s">
        <v>690</v>
      </c>
      <c r="F4765" t="s">
        <v>691</v>
      </c>
      <c r="G4765" t="s">
        <v>28</v>
      </c>
      <c r="H4765" t="s">
        <v>53</v>
      </c>
      <c r="I4765" t="s">
        <v>45</v>
      </c>
      <c r="J4765">
        <v>21</v>
      </c>
      <c r="K4765">
        <v>1757.25</v>
      </c>
      <c r="L4765">
        <v>36902.21</v>
      </c>
      <c r="M4765">
        <v>19571.28</v>
      </c>
      <c r="N4765">
        <v>2768.14</v>
      </c>
      <c r="O4765">
        <v>1038.68</v>
      </c>
      <c r="P4765">
        <v>900.14</v>
      </c>
      <c r="Q4765">
        <v>354.71</v>
      </c>
      <c r="R4765">
        <v>1161.96</v>
      </c>
      <c r="S4765">
        <v>720.73</v>
      </c>
      <c r="T4765">
        <v>26515.64</v>
      </c>
      <c r="U4765">
        <v>17330.93</v>
      </c>
      <c r="V4765">
        <v>10386.57</v>
      </c>
      <c r="W4765">
        <v>9907.6299999999992</v>
      </c>
      <c r="X4765">
        <v>37082.339999999997</v>
      </c>
      <c r="Y4765">
        <v>25627.93</v>
      </c>
    </row>
    <row r="4766" spans="1:25" x14ac:dyDescent="0.25">
      <c r="A4766" t="s">
        <v>4822</v>
      </c>
      <c r="B4766" s="1">
        <v>46231</v>
      </c>
      <c r="C4766">
        <v>2026</v>
      </c>
      <c r="D4766">
        <v>7</v>
      </c>
      <c r="E4766" t="s">
        <v>690</v>
      </c>
      <c r="F4766" t="s">
        <v>691</v>
      </c>
      <c r="G4766" t="s">
        <v>28</v>
      </c>
      <c r="H4766" t="s">
        <v>29</v>
      </c>
      <c r="I4766" t="s">
        <v>65</v>
      </c>
      <c r="J4766">
        <v>55</v>
      </c>
      <c r="K4766">
        <v>1510.76</v>
      </c>
      <c r="L4766">
        <v>83091.94</v>
      </c>
      <c r="M4766">
        <v>51025.66</v>
      </c>
      <c r="N4766">
        <v>8419.3799999999992</v>
      </c>
      <c r="O4766">
        <v>4138.63</v>
      </c>
      <c r="P4766">
        <v>2127.08</v>
      </c>
      <c r="Q4766">
        <v>1027.7</v>
      </c>
      <c r="R4766">
        <v>3232.22</v>
      </c>
      <c r="S4766">
        <v>719.32</v>
      </c>
      <c r="T4766">
        <v>70689.990000000005</v>
      </c>
      <c r="U4766">
        <v>32066.28</v>
      </c>
      <c r="V4766">
        <v>12401.94</v>
      </c>
      <c r="W4766">
        <v>11667.81</v>
      </c>
      <c r="X4766">
        <v>90183.05</v>
      </c>
      <c r="Y4766">
        <v>75820.25</v>
      </c>
    </row>
    <row r="4767" spans="1:25" x14ac:dyDescent="0.25">
      <c r="A4767" t="s">
        <v>4823</v>
      </c>
      <c r="B4767" s="1">
        <v>46231</v>
      </c>
      <c r="C4767">
        <v>2026</v>
      </c>
      <c r="D4767">
        <v>7</v>
      </c>
      <c r="E4767" t="s">
        <v>690</v>
      </c>
      <c r="F4767" t="s">
        <v>691</v>
      </c>
      <c r="G4767" t="s">
        <v>55</v>
      </c>
      <c r="H4767" t="s">
        <v>32</v>
      </c>
      <c r="I4767" t="s">
        <v>33</v>
      </c>
      <c r="J4767">
        <v>116</v>
      </c>
      <c r="K4767">
        <v>1046.28</v>
      </c>
      <c r="L4767">
        <v>121368.81</v>
      </c>
      <c r="M4767">
        <v>79891.06</v>
      </c>
      <c r="N4767">
        <v>13587.49</v>
      </c>
      <c r="O4767">
        <v>4866.72</v>
      </c>
      <c r="P4767">
        <v>5438.19</v>
      </c>
      <c r="Q4767">
        <v>1664.52</v>
      </c>
      <c r="R4767">
        <v>5299.23</v>
      </c>
      <c r="S4767">
        <v>1933.42</v>
      </c>
      <c r="T4767">
        <v>112680.64</v>
      </c>
      <c r="U4767">
        <v>41477.75</v>
      </c>
      <c r="V4767">
        <v>8688.17</v>
      </c>
      <c r="W4767">
        <v>8399.3799999999992</v>
      </c>
      <c r="X4767">
        <v>113757.73</v>
      </c>
      <c r="Y4767">
        <v>120103.62</v>
      </c>
    </row>
    <row r="4768" spans="1:25" x14ac:dyDescent="0.25">
      <c r="A4768" t="s">
        <v>4824</v>
      </c>
      <c r="B4768" s="1">
        <v>46232</v>
      </c>
      <c r="C4768">
        <v>2026</v>
      </c>
      <c r="D4768">
        <v>7</v>
      </c>
      <c r="E4768" t="s">
        <v>690</v>
      </c>
      <c r="F4768" t="s">
        <v>691</v>
      </c>
      <c r="G4768" t="s">
        <v>28</v>
      </c>
      <c r="H4768" t="s">
        <v>32</v>
      </c>
      <c r="I4768" t="s">
        <v>39</v>
      </c>
      <c r="J4768">
        <v>59</v>
      </c>
      <c r="K4768">
        <v>905.72</v>
      </c>
      <c r="L4768">
        <v>53437.23</v>
      </c>
      <c r="M4768">
        <v>27472.26</v>
      </c>
      <c r="N4768">
        <v>5945.22</v>
      </c>
      <c r="O4768">
        <v>3398.7</v>
      </c>
      <c r="P4768">
        <v>1573.28</v>
      </c>
      <c r="Q4768">
        <v>801.69</v>
      </c>
      <c r="R4768">
        <v>1954.42</v>
      </c>
      <c r="S4768">
        <v>1016.78</v>
      </c>
      <c r="T4768">
        <v>42162.36</v>
      </c>
      <c r="U4768">
        <v>25964.98</v>
      </c>
      <c r="V4768">
        <v>11274.87</v>
      </c>
      <c r="W4768">
        <v>10405.92</v>
      </c>
      <c r="X4768">
        <v>59086.51</v>
      </c>
      <c r="Y4768">
        <v>44580.82</v>
      </c>
    </row>
    <row r="4769" spans="1:25" x14ac:dyDescent="0.25">
      <c r="A4769" t="s">
        <v>4825</v>
      </c>
      <c r="B4769" s="1">
        <v>46232</v>
      </c>
      <c r="C4769">
        <v>2026</v>
      </c>
      <c r="D4769">
        <v>7</v>
      </c>
      <c r="E4769" t="s">
        <v>690</v>
      </c>
      <c r="F4769" t="s">
        <v>691</v>
      </c>
      <c r="G4769" t="s">
        <v>44</v>
      </c>
      <c r="H4769" t="s">
        <v>32</v>
      </c>
      <c r="I4769" t="s">
        <v>50</v>
      </c>
      <c r="J4769">
        <v>33</v>
      </c>
      <c r="K4769">
        <v>1639.98</v>
      </c>
      <c r="L4769">
        <v>54119.19</v>
      </c>
      <c r="M4769">
        <v>33450.699999999997</v>
      </c>
      <c r="N4769">
        <v>6931.61</v>
      </c>
      <c r="O4769">
        <v>1975.62</v>
      </c>
      <c r="P4769">
        <v>2229.25</v>
      </c>
      <c r="Q4769">
        <v>737.86</v>
      </c>
      <c r="R4769">
        <v>2481.1999999999998</v>
      </c>
      <c r="S4769">
        <v>935.96</v>
      </c>
      <c r="T4769">
        <v>48742.2</v>
      </c>
      <c r="U4769">
        <v>20668.490000000002</v>
      </c>
      <c r="V4769">
        <v>5376.99</v>
      </c>
      <c r="W4769">
        <v>5013.0200000000004</v>
      </c>
      <c r="X4769">
        <v>53467.519999999997</v>
      </c>
      <c r="Y4769">
        <v>49353.72</v>
      </c>
    </row>
    <row r="4770" spans="1:25" x14ac:dyDescent="0.25">
      <c r="A4770" t="s">
        <v>4826</v>
      </c>
      <c r="B4770" s="1">
        <v>46232</v>
      </c>
      <c r="C4770">
        <v>2026</v>
      </c>
      <c r="D4770">
        <v>7</v>
      </c>
      <c r="E4770" t="s">
        <v>690</v>
      </c>
      <c r="F4770" t="s">
        <v>691</v>
      </c>
      <c r="G4770" t="s">
        <v>28</v>
      </c>
      <c r="H4770" t="s">
        <v>32</v>
      </c>
      <c r="I4770" t="s">
        <v>37</v>
      </c>
      <c r="J4770">
        <v>47</v>
      </c>
      <c r="K4770">
        <v>1425.59</v>
      </c>
      <c r="L4770">
        <v>67002.63</v>
      </c>
      <c r="M4770">
        <v>32762.95</v>
      </c>
      <c r="N4770">
        <v>7034.82</v>
      </c>
      <c r="O4770">
        <v>3514.73</v>
      </c>
      <c r="P4770">
        <v>1782.44</v>
      </c>
      <c r="Q4770">
        <v>899.51</v>
      </c>
      <c r="R4770">
        <v>3933.22</v>
      </c>
      <c r="S4770">
        <v>890.3</v>
      </c>
      <c r="T4770">
        <v>50817.96</v>
      </c>
      <c r="U4770">
        <v>34239.68</v>
      </c>
      <c r="V4770">
        <v>16184.67</v>
      </c>
      <c r="W4770">
        <v>15240.5</v>
      </c>
      <c r="X4770">
        <v>64234.04</v>
      </c>
      <c r="Y4770">
        <v>50789.9</v>
      </c>
    </row>
    <row r="4771" spans="1:25" x14ac:dyDescent="0.25">
      <c r="A4771" t="s">
        <v>4827</v>
      </c>
      <c r="B4771" s="1">
        <v>46232</v>
      </c>
      <c r="C4771">
        <v>2026</v>
      </c>
      <c r="D4771">
        <v>7</v>
      </c>
      <c r="E4771" t="s">
        <v>690</v>
      </c>
      <c r="F4771" t="s">
        <v>691</v>
      </c>
      <c r="G4771" t="s">
        <v>44</v>
      </c>
      <c r="H4771" t="s">
        <v>32</v>
      </c>
      <c r="I4771" t="s">
        <v>50</v>
      </c>
      <c r="J4771">
        <v>37</v>
      </c>
      <c r="K4771">
        <v>1623.94</v>
      </c>
      <c r="L4771">
        <v>60085.67</v>
      </c>
      <c r="M4771">
        <v>34313.339999999997</v>
      </c>
      <c r="N4771">
        <v>6905.3</v>
      </c>
      <c r="O4771">
        <v>4196.8599999999997</v>
      </c>
      <c r="P4771">
        <v>2549.87</v>
      </c>
      <c r="Q4771">
        <v>664.31</v>
      </c>
      <c r="R4771">
        <v>1725.74</v>
      </c>
      <c r="S4771">
        <v>986.47</v>
      </c>
      <c r="T4771">
        <v>51341.87</v>
      </c>
      <c r="U4771">
        <v>25772.33</v>
      </c>
      <c r="V4771">
        <v>8743.7900000000009</v>
      </c>
      <c r="W4771">
        <v>7770.6</v>
      </c>
      <c r="X4771">
        <v>64434.55</v>
      </c>
      <c r="Y4771">
        <v>50758.25</v>
      </c>
    </row>
    <row r="4772" spans="1:25" x14ac:dyDescent="0.25">
      <c r="A4772" t="s">
        <v>4828</v>
      </c>
      <c r="B4772" s="1">
        <v>46232</v>
      </c>
      <c r="C4772">
        <v>2026</v>
      </c>
      <c r="D4772">
        <v>7</v>
      </c>
      <c r="E4772" t="s">
        <v>690</v>
      </c>
      <c r="F4772" t="s">
        <v>691</v>
      </c>
      <c r="G4772" t="s">
        <v>35</v>
      </c>
      <c r="H4772" t="s">
        <v>58</v>
      </c>
      <c r="I4772" t="s">
        <v>56</v>
      </c>
      <c r="J4772">
        <v>31</v>
      </c>
      <c r="K4772">
        <v>1079.68</v>
      </c>
      <c r="L4772">
        <v>33470.21</v>
      </c>
      <c r="M4772">
        <v>16695.37</v>
      </c>
      <c r="N4772">
        <v>4260.01</v>
      </c>
      <c r="O4772">
        <v>1918.98</v>
      </c>
      <c r="P4772">
        <v>1354.84</v>
      </c>
      <c r="Q4772">
        <v>274.52999999999997</v>
      </c>
      <c r="R4772">
        <v>1857.59</v>
      </c>
      <c r="S4772">
        <v>665.49</v>
      </c>
      <c r="T4772">
        <v>27026.82</v>
      </c>
      <c r="U4772">
        <v>16774.830000000002</v>
      </c>
      <c r="V4772">
        <v>6443.38</v>
      </c>
      <c r="W4772">
        <v>5771.57</v>
      </c>
      <c r="X4772">
        <v>36596.68</v>
      </c>
      <c r="Y4772">
        <v>28326.89</v>
      </c>
    </row>
    <row r="4773" spans="1:25" x14ac:dyDescent="0.25">
      <c r="A4773" t="s">
        <v>4829</v>
      </c>
      <c r="B4773" s="1">
        <v>46233</v>
      </c>
      <c r="C4773">
        <v>2026</v>
      </c>
      <c r="D4773">
        <v>7</v>
      </c>
      <c r="E4773" t="s">
        <v>690</v>
      </c>
      <c r="F4773" t="s">
        <v>691</v>
      </c>
      <c r="G4773" t="s">
        <v>35</v>
      </c>
      <c r="H4773" t="s">
        <v>53</v>
      </c>
      <c r="I4773" t="s">
        <v>39</v>
      </c>
      <c r="J4773">
        <v>23</v>
      </c>
      <c r="K4773">
        <v>1626.41</v>
      </c>
      <c r="L4773">
        <v>37407.46</v>
      </c>
      <c r="M4773">
        <v>18609.310000000001</v>
      </c>
      <c r="N4773">
        <v>3119.86</v>
      </c>
      <c r="O4773">
        <v>1784.98</v>
      </c>
      <c r="P4773">
        <v>1098.06</v>
      </c>
      <c r="Q4773">
        <v>658.43</v>
      </c>
      <c r="R4773">
        <v>963.67</v>
      </c>
      <c r="S4773">
        <v>569.16999999999996</v>
      </c>
      <c r="T4773">
        <v>26803.5</v>
      </c>
      <c r="U4773">
        <v>18798.14</v>
      </c>
      <c r="V4773">
        <v>10603.96</v>
      </c>
      <c r="W4773">
        <v>10149.25</v>
      </c>
      <c r="X4773">
        <v>37252.93</v>
      </c>
      <c r="Y4773">
        <v>25778.03</v>
      </c>
    </row>
    <row r="4774" spans="1:25" x14ac:dyDescent="0.25">
      <c r="A4774" t="s">
        <v>4830</v>
      </c>
      <c r="B4774" s="1">
        <v>46233</v>
      </c>
      <c r="C4774">
        <v>2026</v>
      </c>
      <c r="D4774">
        <v>7</v>
      </c>
      <c r="E4774" t="s">
        <v>690</v>
      </c>
      <c r="F4774" t="s">
        <v>691</v>
      </c>
      <c r="G4774" t="s">
        <v>28</v>
      </c>
      <c r="H4774" t="s">
        <v>58</v>
      </c>
      <c r="I4774" t="s">
        <v>39</v>
      </c>
      <c r="J4774">
        <v>25</v>
      </c>
      <c r="K4774">
        <v>1773.77</v>
      </c>
      <c r="L4774">
        <v>44344.33</v>
      </c>
      <c r="M4774">
        <v>28322.959999999999</v>
      </c>
      <c r="N4774">
        <v>5280.59</v>
      </c>
      <c r="O4774">
        <v>3133.61</v>
      </c>
      <c r="P4774">
        <v>678.89</v>
      </c>
      <c r="Q4774">
        <v>497.11</v>
      </c>
      <c r="R4774">
        <v>2589.92</v>
      </c>
      <c r="S4774">
        <v>408.5</v>
      </c>
      <c r="T4774">
        <v>40911.58</v>
      </c>
      <c r="U4774">
        <v>16021.37</v>
      </c>
      <c r="V4774">
        <v>3432.75</v>
      </c>
      <c r="W4774">
        <v>3059.04</v>
      </c>
      <c r="X4774">
        <v>42095.839999999997</v>
      </c>
      <c r="Y4774">
        <v>41313.93</v>
      </c>
    </row>
    <row r="4775" spans="1:25" x14ac:dyDescent="0.25">
      <c r="A4775" t="s">
        <v>4831</v>
      </c>
      <c r="B4775" s="1">
        <v>46233</v>
      </c>
      <c r="C4775">
        <v>2026</v>
      </c>
      <c r="D4775">
        <v>7</v>
      </c>
      <c r="E4775" t="s">
        <v>690</v>
      </c>
      <c r="F4775" t="s">
        <v>691</v>
      </c>
      <c r="G4775" t="s">
        <v>35</v>
      </c>
      <c r="H4775" t="s">
        <v>32</v>
      </c>
      <c r="I4775" t="s">
        <v>65</v>
      </c>
      <c r="J4775">
        <v>71</v>
      </c>
      <c r="K4775">
        <v>918.71</v>
      </c>
      <c r="L4775">
        <v>65228.56</v>
      </c>
      <c r="M4775">
        <v>36373</v>
      </c>
      <c r="N4775">
        <v>8455.0300000000007</v>
      </c>
      <c r="O4775">
        <v>2091.7800000000002</v>
      </c>
      <c r="P4775">
        <v>1474.58</v>
      </c>
      <c r="Q4775">
        <v>1125.81</v>
      </c>
      <c r="R4775">
        <v>2033.22</v>
      </c>
      <c r="S4775">
        <v>1182.79</v>
      </c>
      <c r="T4775">
        <v>52736.2</v>
      </c>
      <c r="U4775">
        <v>28855.57</v>
      </c>
      <c r="V4775">
        <v>12492.36</v>
      </c>
      <c r="W4775">
        <v>11213.31</v>
      </c>
      <c r="X4775">
        <v>63727.12</v>
      </c>
      <c r="Y4775">
        <v>51044.91</v>
      </c>
    </row>
    <row r="4776" spans="1:25" x14ac:dyDescent="0.25">
      <c r="A4776" t="s">
        <v>4832</v>
      </c>
      <c r="B4776" s="1">
        <v>46233</v>
      </c>
      <c r="C4776">
        <v>2026</v>
      </c>
      <c r="D4776">
        <v>7</v>
      </c>
      <c r="E4776" t="s">
        <v>690</v>
      </c>
      <c r="F4776" t="s">
        <v>691</v>
      </c>
      <c r="G4776" t="s">
        <v>35</v>
      </c>
      <c r="H4776" t="s">
        <v>32</v>
      </c>
      <c r="I4776" t="s">
        <v>33</v>
      </c>
      <c r="J4776">
        <v>37</v>
      </c>
      <c r="K4776">
        <v>1764.15</v>
      </c>
      <c r="L4776">
        <v>65273.38</v>
      </c>
      <c r="M4776">
        <v>38657.550000000003</v>
      </c>
      <c r="N4776">
        <v>4825.17</v>
      </c>
      <c r="O4776">
        <v>4430.93</v>
      </c>
      <c r="P4776">
        <v>2495.5500000000002</v>
      </c>
      <c r="Q4776">
        <v>394.88</v>
      </c>
      <c r="R4776">
        <v>2598.4699999999998</v>
      </c>
      <c r="S4776">
        <v>894.63</v>
      </c>
      <c r="T4776">
        <v>54297.18</v>
      </c>
      <c r="U4776">
        <v>26615.82</v>
      </c>
      <c r="V4776">
        <v>10976.2</v>
      </c>
      <c r="W4776">
        <v>10405.84</v>
      </c>
      <c r="X4776">
        <v>66403.13</v>
      </c>
      <c r="Y4776">
        <v>58789.96</v>
      </c>
    </row>
    <row r="4777" spans="1:25" x14ac:dyDescent="0.25">
      <c r="A4777" t="s">
        <v>4833</v>
      </c>
      <c r="B4777" s="1">
        <v>46233</v>
      </c>
      <c r="C4777">
        <v>2026</v>
      </c>
      <c r="D4777">
        <v>7</v>
      </c>
      <c r="E4777" t="s">
        <v>690</v>
      </c>
      <c r="F4777" t="s">
        <v>691</v>
      </c>
      <c r="G4777" t="s">
        <v>44</v>
      </c>
      <c r="H4777" t="s">
        <v>58</v>
      </c>
      <c r="I4777" t="s">
        <v>30</v>
      </c>
      <c r="J4777">
        <v>35</v>
      </c>
      <c r="K4777">
        <v>1661.89</v>
      </c>
      <c r="L4777">
        <v>58166.32</v>
      </c>
      <c r="M4777">
        <v>31824.35</v>
      </c>
      <c r="N4777">
        <v>4547.6099999999997</v>
      </c>
      <c r="O4777">
        <v>2724.55</v>
      </c>
      <c r="P4777">
        <v>1971.06</v>
      </c>
      <c r="Q4777">
        <v>713.22</v>
      </c>
      <c r="R4777">
        <v>3648</v>
      </c>
      <c r="S4777">
        <v>1141.68</v>
      </c>
      <c r="T4777">
        <v>46570.47</v>
      </c>
      <c r="U4777">
        <v>26341.97</v>
      </c>
      <c r="V4777">
        <v>11595.85</v>
      </c>
      <c r="W4777">
        <v>10475.73</v>
      </c>
      <c r="X4777">
        <v>57995.519999999997</v>
      </c>
      <c r="Y4777">
        <v>48388.04</v>
      </c>
    </row>
    <row r="4778" spans="1:25" x14ac:dyDescent="0.25">
      <c r="A4778" t="s">
        <v>4834</v>
      </c>
      <c r="B4778" s="1">
        <v>46233</v>
      </c>
      <c r="C4778">
        <v>2026</v>
      </c>
      <c r="D4778">
        <v>7</v>
      </c>
      <c r="E4778" t="s">
        <v>690</v>
      </c>
      <c r="F4778" t="s">
        <v>691</v>
      </c>
      <c r="G4778" t="s">
        <v>28</v>
      </c>
      <c r="H4778" t="s">
        <v>32</v>
      </c>
      <c r="I4778" t="s">
        <v>65</v>
      </c>
      <c r="J4778">
        <v>43</v>
      </c>
      <c r="K4778">
        <v>1608.16</v>
      </c>
      <c r="L4778">
        <v>69150.91</v>
      </c>
      <c r="M4778">
        <v>41811.599999999999</v>
      </c>
      <c r="N4778">
        <v>5586.74</v>
      </c>
      <c r="O4778">
        <v>4016.09</v>
      </c>
      <c r="P4778">
        <v>1963.01</v>
      </c>
      <c r="Q4778">
        <v>521.91999999999996</v>
      </c>
      <c r="R4778">
        <v>4197.03</v>
      </c>
      <c r="S4778">
        <v>1056.83</v>
      </c>
      <c r="T4778">
        <v>59153.22</v>
      </c>
      <c r="U4778">
        <v>27339.32</v>
      </c>
      <c r="V4778">
        <v>9997.69</v>
      </c>
      <c r="W4778">
        <v>9172.43</v>
      </c>
      <c r="X4778">
        <v>66646.67</v>
      </c>
      <c r="Y4778">
        <v>59411.88</v>
      </c>
    </row>
    <row r="4779" spans="1:25" x14ac:dyDescent="0.25">
      <c r="A4779" t="s">
        <v>4835</v>
      </c>
      <c r="B4779" s="1">
        <v>46233</v>
      </c>
      <c r="C4779">
        <v>2026</v>
      </c>
      <c r="D4779">
        <v>7</v>
      </c>
      <c r="E4779" t="s">
        <v>690</v>
      </c>
      <c r="F4779" t="s">
        <v>691</v>
      </c>
      <c r="G4779" t="s">
        <v>44</v>
      </c>
      <c r="H4779" t="s">
        <v>29</v>
      </c>
      <c r="I4779" t="s">
        <v>45</v>
      </c>
      <c r="J4779">
        <v>33</v>
      </c>
      <c r="K4779">
        <v>1181.93</v>
      </c>
      <c r="L4779">
        <v>39003.599999999999</v>
      </c>
      <c r="M4779">
        <v>19239.990000000002</v>
      </c>
      <c r="N4779">
        <v>4686.74</v>
      </c>
      <c r="O4779">
        <v>2641.54</v>
      </c>
      <c r="P4779">
        <v>1750.86</v>
      </c>
      <c r="Q4779">
        <v>219.56</v>
      </c>
      <c r="R4779">
        <v>1691.73</v>
      </c>
      <c r="S4779">
        <v>400.5</v>
      </c>
      <c r="T4779">
        <v>30630.92</v>
      </c>
      <c r="U4779">
        <v>19763.62</v>
      </c>
      <c r="V4779">
        <v>8372.69</v>
      </c>
      <c r="W4779">
        <v>7561.68</v>
      </c>
      <c r="X4779">
        <v>39532.879999999997</v>
      </c>
      <c r="Y4779">
        <v>31798.33</v>
      </c>
    </row>
    <row r="4780" spans="1:25" x14ac:dyDescent="0.25">
      <c r="A4780" t="s">
        <v>4836</v>
      </c>
      <c r="B4780" s="1">
        <v>46234</v>
      </c>
      <c r="C4780">
        <v>2026</v>
      </c>
      <c r="D4780">
        <v>7</v>
      </c>
      <c r="E4780" t="s">
        <v>690</v>
      </c>
      <c r="F4780" t="s">
        <v>691</v>
      </c>
      <c r="G4780" t="s">
        <v>28</v>
      </c>
      <c r="H4780" t="s">
        <v>36</v>
      </c>
      <c r="I4780" t="s">
        <v>45</v>
      </c>
      <c r="J4780">
        <v>30</v>
      </c>
      <c r="K4780">
        <v>1638.17</v>
      </c>
      <c r="L4780">
        <v>49145.21</v>
      </c>
      <c r="M4780">
        <v>27648.77</v>
      </c>
      <c r="N4780">
        <v>4585.17</v>
      </c>
      <c r="O4780">
        <v>1314.79</v>
      </c>
      <c r="P4780">
        <v>1093.9100000000001</v>
      </c>
      <c r="Q4780">
        <v>601.75</v>
      </c>
      <c r="R4780">
        <v>3134.25</v>
      </c>
      <c r="S4780">
        <v>1143.08</v>
      </c>
      <c r="T4780">
        <v>39521.72</v>
      </c>
      <c r="U4780">
        <v>21496.44</v>
      </c>
      <c r="V4780">
        <v>9623.49</v>
      </c>
      <c r="W4780">
        <v>9036.48</v>
      </c>
      <c r="X4780">
        <v>52898.04</v>
      </c>
      <c r="Y4780">
        <v>38066.730000000003</v>
      </c>
    </row>
    <row r="4781" spans="1:25" x14ac:dyDescent="0.25">
      <c r="A4781" t="s">
        <v>4837</v>
      </c>
      <c r="B4781" s="1">
        <v>46234</v>
      </c>
      <c r="C4781">
        <v>2026</v>
      </c>
      <c r="D4781">
        <v>7</v>
      </c>
      <c r="E4781" t="s">
        <v>690</v>
      </c>
      <c r="F4781" t="s">
        <v>691</v>
      </c>
      <c r="G4781" t="s">
        <v>55</v>
      </c>
      <c r="H4781" t="s">
        <v>29</v>
      </c>
      <c r="I4781" t="s">
        <v>39</v>
      </c>
      <c r="J4781">
        <v>45</v>
      </c>
      <c r="K4781">
        <v>1336.58</v>
      </c>
      <c r="L4781">
        <v>60146.21</v>
      </c>
      <c r="M4781">
        <v>36354.76</v>
      </c>
      <c r="N4781">
        <v>7618.69</v>
      </c>
      <c r="O4781">
        <v>2386.6999999999998</v>
      </c>
      <c r="P4781">
        <v>1507.28</v>
      </c>
      <c r="Q4781">
        <v>1074.6600000000001</v>
      </c>
      <c r="R4781">
        <v>3024.06</v>
      </c>
      <c r="S4781">
        <v>1373.85</v>
      </c>
      <c r="T4781">
        <v>53339.99</v>
      </c>
      <c r="U4781">
        <v>23791.45</v>
      </c>
      <c r="V4781">
        <v>6806.22</v>
      </c>
      <c r="W4781">
        <v>6376.04</v>
      </c>
      <c r="X4781">
        <v>57155.16</v>
      </c>
      <c r="Y4781">
        <v>57330.14</v>
      </c>
    </row>
    <row r="4782" spans="1:25" x14ac:dyDescent="0.25">
      <c r="A4782" t="s">
        <v>4838</v>
      </c>
      <c r="B4782" s="1">
        <v>46234</v>
      </c>
      <c r="C4782">
        <v>2026</v>
      </c>
      <c r="D4782">
        <v>7</v>
      </c>
      <c r="E4782" t="s">
        <v>690</v>
      </c>
      <c r="F4782" t="s">
        <v>691</v>
      </c>
      <c r="G4782" t="s">
        <v>55</v>
      </c>
      <c r="H4782" t="s">
        <v>53</v>
      </c>
      <c r="I4782" t="s">
        <v>39</v>
      </c>
      <c r="J4782">
        <v>31</v>
      </c>
      <c r="K4782">
        <v>1186.78</v>
      </c>
      <c r="L4782">
        <v>36790.050000000003</v>
      </c>
      <c r="M4782">
        <v>20831.740000000002</v>
      </c>
      <c r="N4782">
        <v>3213.61</v>
      </c>
      <c r="O4782">
        <v>1199.76</v>
      </c>
      <c r="P4782">
        <v>808.5</v>
      </c>
      <c r="Q4782">
        <v>252.02</v>
      </c>
      <c r="R4782">
        <v>997.32</v>
      </c>
      <c r="S4782">
        <v>419.25</v>
      </c>
      <c r="T4782">
        <v>27722.19</v>
      </c>
      <c r="U4782">
        <v>15958.31</v>
      </c>
      <c r="V4782">
        <v>9067.86</v>
      </c>
      <c r="W4782">
        <v>8550.41</v>
      </c>
      <c r="X4782">
        <v>35167.910000000003</v>
      </c>
      <c r="Y4782">
        <v>29905.26</v>
      </c>
    </row>
    <row r="4783" spans="1:25" x14ac:dyDescent="0.25">
      <c r="A4783" t="s">
        <v>4839</v>
      </c>
      <c r="B4783" s="1">
        <v>46235</v>
      </c>
      <c r="C4783">
        <v>2026</v>
      </c>
      <c r="D4783">
        <v>8</v>
      </c>
      <c r="E4783" t="s">
        <v>814</v>
      </c>
      <c r="F4783" t="s">
        <v>691</v>
      </c>
      <c r="G4783" t="s">
        <v>35</v>
      </c>
      <c r="H4783" t="s">
        <v>32</v>
      </c>
      <c r="I4783" t="s">
        <v>56</v>
      </c>
      <c r="J4783">
        <v>22</v>
      </c>
      <c r="K4783">
        <v>1757.67</v>
      </c>
      <c r="L4783">
        <v>38668.78</v>
      </c>
      <c r="M4783">
        <v>21551.64</v>
      </c>
      <c r="N4783">
        <v>4292.2299999999996</v>
      </c>
      <c r="O4783">
        <v>2369.5300000000002</v>
      </c>
      <c r="P4783">
        <v>1036.3599999999999</v>
      </c>
      <c r="Q4783">
        <v>544.29999999999995</v>
      </c>
      <c r="R4783">
        <v>2504.1799999999998</v>
      </c>
      <c r="S4783">
        <v>383.14</v>
      </c>
      <c r="T4783">
        <v>32681.38</v>
      </c>
      <c r="U4783">
        <v>17117.14</v>
      </c>
      <c r="V4783">
        <v>5987.4</v>
      </c>
      <c r="W4783">
        <v>5345.06</v>
      </c>
      <c r="X4783">
        <v>42379.77</v>
      </c>
      <c r="Y4783">
        <v>31118.02</v>
      </c>
    </row>
    <row r="4784" spans="1:25" x14ac:dyDescent="0.25">
      <c r="A4784" t="s">
        <v>4840</v>
      </c>
      <c r="B4784" s="1">
        <v>46235</v>
      </c>
      <c r="C4784">
        <v>2026</v>
      </c>
      <c r="D4784">
        <v>8</v>
      </c>
      <c r="E4784" t="s">
        <v>814</v>
      </c>
      <c r="F4784" t="s">
        <v>691</v>
      </c>
      <c r="G4784" t="s">
        <v>28</v>
      </c>
      <c r="H4784" t="s">
        <v>32</v>
      </c>
      <c r="I4784" t="s">
        <v>33</v>
      </c>
      <c r="J4784">
        <v>69</v>
      </c>
      <c r="K4784">
        <v>1496.69</v>
      </c>
      <c r="L4784">
        <v>103271.64</v>
      </c>
      <c r="M4784">
        <v>50615.06</v>
      </c>
      <c r="N4784">
        <v>11335.96</v>
      </c>
      <c r="O4784">
        <v>4889.51</v>
      </c>
      <c r="P4784">
        <v>2204.16</v>
      </c>
      <c r="Q4784">
        <v>1454.76</v>
      </c>
      <c r="R4784">
        <v>4010.84</v>
      </c>
      <c r="S4784">
        <v>1059.69</v>
      </c>
      <c r="T4784">
        <v>75569.97</v>
      </c>
      <c r="U4784">
        <v>52656.58</v>
      </c>
      <c r="V4784">
        <v>27701.67</v>
      </c>
      <c r="W4784">
        <v>24905</v>
      </c>
      <c r="X4784">
        <v>102881.07</v>
      </c>
      <c r="Y4784">
        <v>72391.56</v>
      </c>
    </row>
    <row r="4785" spans="1:25" x14ac:dyDescent="0.25">
      <c r="A4785" t="s">
        <v>4841</v>
      </c>
      <c r="B4785" s="1">
        <v>46235</v>
      </c>
      <c r="C4785">
        <v>2026</v>
      </c>
      <c r="D4785">
        <v>8</v>
      </c>
      <c r="E4785" t="s">
        <v>814</v>
      </c>
      <c r="F4785" t="s">
        <v>691</v>
      </c>
      <c r="G4785" t="s">
        <v>44</v>
      </c>
      <c r="H4785" t="s">
        <v>53</v>
      </c>
      <c r="I4785" t="s">
        <v>33</v>
      </c>
      <c r="J4785">
        <v>36</v>
      </c>
      <c r="K4785">
        <v>1589.47</v>
      </c>
      <c r="L4785">
        <v>57220.74</v>
      </c>
      <c r="M4785">
        <v>35572.39</v>
      </c>
      <c r="N4785">
        <v>5184.33</v>
      </c>
      <c r="O4785">
        <v>2101.77</v>
      </c>
      <c r="P4785">
        <v>1175.26</v>
      </c>
      <c r="Q4785">
        <v>535.26</v>
      </c>
      <c r="R4785">
        <v>3132.78</v>
      </c>
      <c r="S4785">
        <v>691.75</v>
      </c>
      <c r="T4785">
        <v>48393.53</v>
      </c>
      <c r="U4785">
        <v>21648.36</v>
      </c>
      <c r="V4785">
        <v>8827.2099999999991</v>
      </c>
      <c r="W4785">
        <v>8196.93</v>
      </c>
      <c r="X4785">
        <v>53871.27</v>
      </c>
      <c r="Y4785">
        <v>50589.91</v>
      </c>
    </row>
    <row r="4786" spans="1:25" x14ac:dyDescent="0.25">
      <c r="A4786" t="s">
        <v>4842</v>
      </c>
      <c r="B4786" s="1">
        <v>46235</v>
      </c>
      <c r="C4786">
        <v>2026</v>
      </c>
      <c r="D4786">
        <v>8</v>
      </c>
      <c r="E4786" t="s">
        <v>814</v>
      </c>
      <c r="F4786" t="s">
        <v>691</v>
      </c>
      <c r="G4786" t="s">
        <v>55</v>
      </c>
      <c r="H4786" t="s">
        <v>29</v>
      </c>
      <c r="I4786" t="s">
        <v>39</v>
      </c>
      <c r="J4786">
        <v>29</v>
      </c>
      <c r="K4786">
        <v>1592.91</v>
      </c>
      <c r="L4786">
        <v>46194.32</v>
      </c>
      <c r="M4786">
        <v>23206.03</v>
      </c>
      <c r="N4786">
        <v>5117.0200000000004</v>
      </c>
      <c r="O4786">
        <v>1253.3</v>
      </c>
      <c r="P4786">
        <v>1903.44</v>
      </c>
      <c r="Q4786">
        <v>377.7</v>
      </c>
      <c r="R4786">
        <v>2377.56</v>
      </c>
      <c r="S4786">
        <v>988.51</v>
      </c>
      <c r="T4786">
        <v>35223.57</v>
      </c>
      <c r="U4786">
        <v>22988.29</v>
      </c>
      <c r="V4786">
        <v>10970.75</v>
      </c>
      <c r="W4786">
        <v>9877.0400000000009</v>
      </c>
      <c r="X4786">
        <v>50630.99</v>
      </c>
      <c r="Y4786">
        <v>37825.199999999997</v>
      </c>
    </row>
    <row r="4787" spans="1:25" x14ac:dyDescent="0.25">
      <c r="A4787" t="s">
        <v>4843</v>
      </c>
      <c r="B4787" s="1">
        <v>46236</v>
      </c>
      <c r="C4787">
        <v>2026</v>
      </c>
      <c r="D4787">
        <v>8</v>
      </c>
      <c r="E4787" t="s">
        <v>814</v>
      </c>
      <c r="F4787" t="s">
        <v>691</v>
      </c>
      <c r="G4787" t="s">
        <v>44</v>
      </c>
      <c r="H4787" t="s">
        <v>58</v>
      </c>
      <c r="I4787" t="s">
        <v>50</v>
      </c>
      <c r="J4787">
        <v>29</v>
      </c>
      <c r="K4787">
        <v>1406.27</v>
      </c>
      <c r="L4787">
        <v>40781.74</v>
      </c>
      <c r="M4787">
        <v>25309.54</v>
      </c>
      <c r="N4787">
        <v>3925.95</v>
      </c>
      <c r="O4787">
        <v>1407.17</v>
      </c>
      <c r="P4787">
        <v>861.1</v>
      </c>
      <c r="Q4787">
        <v>259.97000000000003</v>
      </c>
      <c r="R4787">
        <v>2613.27</v>
      </c>
      <c r="S4787">
        <v>642.64</v>
      </c>
      <c r="T4787">
        <v>35019.65</v>
      </c>
      <c r="U4787">
        <v>15472.2</v>
      </c>
      <c r="V4787">
        <v>5762.09</v>
      </c>
      <c r="W4787">
        <v>5723.32</v>
      </c>
      <c r="X4787">
        <v>43743</v>
      </c>
      <c r="Y4787">
        <v>37280.53</v>
      </c>
    </row>
    <row r="4788" spans="1:25" x14ac:dyDescent="0.25">
      <c r="A4788" t="s">
        <v>4844</v>
      </c>
      <c r="B4788" s="1">
        <v>46236</v>
      </c>
      <c r="C4788">
        <v>2026</v>
      </c>
      <c r="D4788">
        <v>8</v>
      </c>
      <c r="E4788" t="s">
        <v>814</v>
      </c>
      <c r="F4788" t="s">
        <v>691</v>
      </c>
      <c r="G4788" t="s">
        <v>35</v>
      </c>
      <c r="H4788" t="s">
        <v>36</v>
      </c>
      <c r="I4788" t="s">
        <v>30</v>
      </c>
      <c r="J4788">
        <v>107</v>
      </c>
      <c r="K4788">
        <v>801.87</v>
      </c>
      <c r="L4788">
        <v>85799.78</v>
      </c>
      <c r="M4788">
        <v>58045.440000000002</v>
      </c>
      <c r="N4788">
        <v>10140.780000000001</v>
      </c>
      <c r="O4788">
        <v>6223.83</v>
      </c>
      <c r="P4788">
        <v>2114.15</v>
      </c>
      <c r="Q4788">
        <v>442.64</v>
      </c>
      <c r="R4788">
        <v>4759.33</v>
      </c>
      <c r="S4788">
        <v>1668.36</v>
      </c>
      <c r="T4788">
        <v>83394.53</v>
      </c>
      <c r="U4788">
        <v>27754.34</v>
      </c>
      <c r="V4788">
        <v>2405.25</v>
      </c>
      <c r="W4788">
        <v>2323.2600000000002</v>
      </c>
      <c r="X4788">
        <v>92876.81</v>
      </c>
      <c r="Y4788">
        <v>87049.5</v>
      </c>
    </row>
    <row r="4789" spans="1:25" x14ac:dyDescent="0.25">
      <c r="A4789" t="s">
        <v>4845</v>
      </c>
      <c r="B4789" s="1">
        <v>46237</v>
      </c>
      <c r="C4789">
        <v>2026</v>
      </c>
      <c r="D4789">
        <v>8</v>
      </c>
      <c r="E4789" t="s">
        <v>814</v>
      </c>
      <c r="F4789" t="s">
        <v>691</v>
      </c>
      <c r="G4789" t="s">
        <v>55</v>
      </c>
      <c r="H4789" t="s">
        <v>32</v>
      </c>
      <c r="I4789" t="s">
        <v>39</v>
      </c>
      <c r="J4789">
        <v>52</v>
      </c>
      <c r="K4789">
        <v>1298.3800000000001</v>
      </c>
      <c r="L4789">
        <v>67515.679999999993</v>
      </c>
      <c r="M4789">
        <v>35890.61</v>
      </c>
      <c r="N4789">
        <v>6772.32</v>
      </c>
      <c r="O4789">
        <v>1982.3</v>
      </c>
      <c r="P4789">
        <v>2639.91</v>
      </c>
      <c r="Q4789">
        <v>589.70000000000005</v>
      </c>
      <c r="R4789">
        <v>2005.65</v>
      </c>
      <c r="S4789">
        <v>1655.07</v>
      </c>
      <c r="T4789">
        <v>51535.56</v>
      </c>
      <c r="U4789">
        <v>31625.06</v>
      </c>
      <c r="V4789">
        <v>15980.12</v>
      </c>
      <c r="W4789">
        <v>16129.29</v>
      </c>
      <c r="X4789">
        <v>75162.039999999994</v>
      </c>
      <c r="Y4789">
        <v>55140.5</v>
      </c>
    </row>
    <row r="4790" spans="1:25" x14ac:dyDescent="0.25">
      <c r="A4790" t="s">
        <v>4846</v>
      </c>
      <c r="B4790" s="1">
        <v>46237</v>
      </c>
      <c r="C4790">
        <v>2026</v>
      </c>
      <c r="D4790">
        <v>8</v>
      </c>
      <c r="E4790" t="s">
        <v>814</v>
      </c>
      <c r="F4790" t="s">
        <v>691</v>
      </c>
      <c r="G4790" t="s">
        <v>44</v>
      </c>
      <c r="H4790" t="s">
        <v>29</v>
      </c>
      <c r="I4790" t="s">
        <v>39</v>
      </c>
      <c r="J4790">
        <v>31</v>
      </c>
      <c r="K4790">
        <v>1225.8800000000001</v>
      </c>
      <c r="L4790">
        <v>38002.29</v>
      </c>
      <c r="M4790">
        <v>22785.54</v>
      </c>
      <c r="N4790">
        <v>3146.87</v>
      </c>
      <c r="O4790">
        <v>1622.14</v>
      </c>
      <c r="P4790">
        <v>1107.1199999999999</v>
      </c>
      <c r="Q4790">
        <v>646.45000000000005</v>
      </c>
      <c r="R4790">
        <v>1070.25</v>
      </c>
      <c r="S4790">
        <v>611.03</v>
      </c>
      <c r="T4790">
        <v>30989.39</v>
      </c>
      <c r="U4790">
        <v>15216.75</v>
      </c>
      <c r="V4790">
        <v>7012.9</v>
      </c>
      <c r="W4790">
        <v>7126.02</v>
      </c>
      <c r="X4790">
        <v>42352.29</v>
      </c>
      <c r="Y4790">
        <v>33114.300000000003</v>
      </c>
    </row>
    <row r="4791" spans="1:25" x14ac:dyDescent="0.25">
      <c r="A4791" t="s">
        <v>4847</v>
      </c>
      <c r="B4791" s="1">
        <v>46237</v>
      </c>
      <c r="C4791">
        <v>2026</v>
      </c>
      <c r="D4791">
        <v>8</v>
      </c>
      <c r="E4791" t="s">
        <v>814</v>
      </c>
      <c r="F4791" t="s">
        <v>691</v>
      </c>
      <c r="G4791" t="s">
        <v>55</v>
      </c>
      <c r="H4791" t="s">
        <v>29</v>
      </c>
      <c r="I4791" t="s">
        <v>37</v>
      </c>
      <c r="J4791">
        <v>65</v>
      </c>
      <c r="K4791">
        <v>1448.39</v>
      </c>
      <c r="L4791">
        <v>94145.57</v>
      </c>
      <c r="M4791">
        <v>53357.440000000002</v>
      </c>
      <c r="N4791">
        <v>6689.02</v>
      </c>
      <c r="O4791">
        <v>2654.5</v>
      </c>
      <c r="P4791">
        <v>1954.09</v>
      </c>
      <c r="Q4791">
        <v>1270.06</v>
      </c>
      <c r="R4791">
        <v>3913.25</v>
      </c>
      <c r="S4791">
        <v>1935.31</v>
      </c>
      <c r="T4791">
        <v>71773.679999999993</v>
      </c>
      <c r="U4791">
        <v>40788.129999999997</v>
      </c>
      <c r="V4791">
        <v>22371.9</v>
      </c>
      <c r="W4791">
        <v>20732.38</v>
      </c>
      <c r="X4791">
        <v>104551.4</v>
      </c>
      <c r="Y4791">
        <v>70707.55</v>
      </c>
    </row>
    <row r="4792" spans="1:25" x14ac:dyDescent="0.25">
      <c r="A4792" t="s">
        <v>4848</v>
      </c>
      <c r="B4792" s="1">
        <v>46238</v>
      </c>
      <c r="C4792">
        <v>2026</v>
      </c>
      <c r="D4792">
        <v>8</v>
      </c>
      <c r="E4792" t="s">
        <v>814</v>
      </c>
      <c r="F4792" t="s">
        <v>691</v>
      </c>
      <c r="G4792" t="s">
        <v>35</v>
      </c>
      <c r="H4792" t="s">
        <v>36</v>
      </c>
      <c r="I4792" t="s">
        <v>30</v>
      </c>
      <c r="J4792">
        <v>92</v>
      </c>
      <c r="K4792">
        <v>797.02</v>
      </c>
      <c r="L4792">
        <v>73325.88</v>
      </c>
      <c r="M4792">
        <v>46163.88</v>
      </c>
      <c r="N4792">
        <v>5668.41</v>
      </c>
      <c r="O4792">
        <v>2175.38</v>
      </c>
      <c r="P4792">
        <v>2697.43</v>
      </c>
      <c r="Q4792">
        <v>370.6</v>
      </c>
      <c r="R4792">
        <v>4492.8</v>
      </c>
      <c r="S4792">
        <v>1585.37</v>
      </c>
      <c r="T4792">
        <v>63153.86</v>
      </c>
      <c r="U4792">
        <v>27162</v>
      </c>
      <c r="V4792">
        <v>10172.02</v>
      </c>
      <c r="W4792">
        <v>10178.98</v>
      </c>
      <c r="X4792">
        <v>77197.89</v>
      </c>
      <c r="Y4792">
        <v>59145.67</v>
      </c>
    </row>
    <row r="4793" spans="1:25" x14ac:dyDescent="0.25">
      <c r="A4793" t="s">
        <v>4849</v>
      </c>
      <c r="B4793" s="1">
        <v>46238</v>
      </c>
      <c r="C4793">
        <v>2026</v>
      </c>
      <c r="D4793">
        <v>8</v>
      </c>
      <c r="E4793" t="s">
        <v>814</v>
      </c>
      <c r="F4793" t="s">
        <v>691</v>
      </c>
      <c r="G4793" t="s">
        <v>35</v>
      </c>
      <c r="H4793" t="s">
        <v>58</v>
      </c>
      <c r="I4793" t="s">
        <v>56</v>
      </c>
      <c r="J4793">
        <v>20</v>
      </c>
      <c r="K4793">
        <v>1723.88</v>
      </c>
      <c r="L4793">
        <v>34477.64</v>
      </c>
      <c r="M4793">
        <v>21928.07</v>
      </c>
      <c r="N4793">
        <v>2585.86</v>
      </c>
      <c r="O4793">
        <v>1129.73</v>
      </c>
      <c r="P4793">
        <v>1293.21</v>
      </c>
      <c r="Q4793">
        <v>439.33</v>
      </c>
      <c r="R4793">
        <v>1236.99</v>
      </c>
      <c r="S4793">
        <v>375.54</v>
      </c>
      <c r="T4793">
        <v>28988.720000000001</v>
      </c>
      <c r="U4793">
        <v>12549.57</v>
      </c>
      <c r="V4793">
        <v>5488.92</v>
      </c>
      <c r="W4793">
        <v>5110.05</v>
      </c>
      <c r="X4793">
        <v>34900.5</v>
      </c>
      <c r="Y4793">
        <v>28432.35</v>
      </c>
    </row>
    <row r="4794" spans="1:25" x14ac:dyDescent="0.25">
      <c r="A4794" t="s">
        <v>4850</v>
      </c>
      <c r="B4794" s="1">
        <v>46238</v>
      </c>
      <c r="C4794">
        <v>2026</v>
      </c>
      <c r="D4794">
        <v>8</v>
      </c>
      <c r="E4794" t="s">
        <v>814</v>
      </c>
      <c r="F4794" t="s">
        <v>691</v>
      </c>
      <c r="G4794" t="s">
        <v>55</v>
      </c>
      <c r="H4794" t="s">
        <v>32</v>
      </c>
      <c r="I4794" t="s">
        <v>65</v>
      </c>
      <c r="J4794">
        <v>53</v>
      </c>
      <c r="K4794">
        <v>1504.66</v>
      </c>
      <c r="L4794">
        <v>79746.87</v>
      </c>
      <c r="M4794">
        <v>42994.87</v>
      </c>
      <c r="N4794">
        <v>6639.01</v>
      </c>
      <c r="O4794">
        <v>3292.73</v>
      </c>
      <c r="P4794">
        <v>2677.62</v>
      </c>
      <c r="Q4794">
        <v>1378.08</v>
      </c>
      <c r="R4794">
        <v>2425.6799999999998</v>
      </c>
      <c r="S4794">
        <v>1706.58</v>
      </c>
      <c r="T4794">
        <v>61114.559999999998</v>
      </c>
      <c r="U4794">
        <v>36752</v>
      </c>
      <c r="V4794">
        <v>18632.310000000001</v>
      </c>
      <c r="W4794">
        <v>17528.62</v>
      </c>
      <c r="X4794">
        <v>77027.13</v>
      </c>
      <c r="Y4794">
        <v>63822.51</v>
      </c>
    </row>
    <row r="4795" spans="1:25" x14ac:dyDescent="0.25">
      <c r="A4795" t="s">
        <v>4851</v>
      </c>
      <c r="B4795" s="1">
        <v>46238</v>
      </c>
      <c r="C4795">
        <v>2026</v>
      </c>
      <c r="D4795">
        <v>8</v>
      </c>
      <c r="E4795" t="s">
        <v>814</v>
      </c>
      <c r="F4795" t="s">
        <v>691</v>
      </c>
      <c r="G4795" t="s">
        <v>44</v>
      </c>
      <c r="H4795" t="s">
        <v>32</v>
      </c>
      <c r="I4795" t="s">
        <v>37</v>
      </c>
      <c r="J4795">
        <v>51</v>
      </c>
      <c r="K4795">
        <v>1542.51</v>
      </c>
      <c r="L4795">
        <v>78668.009999999995</v>
      </c>
      <c r="M4795">
        <v>50686.879999999997</v>
      </c>
      <c r="N4795">
        <v>7689.26</v>
      </c>
      <c r="O4795">
        <v>5892.38</v>
      </c>
      <c r="P4795">
        <v>1233.5899999999999</v>
      </c>
      <c r="Q4795">
        <v>848.92</v>
      </c>
      <c r="R4795">
        <v>3066.53</v>
      </c>
      <c r="S4795">
        <v>1483.38</v>
      </c>
      <c r="T4795">
        <v>70900.94</v>
      </c>
      <c r="U4795">
        <v>27981.13</v>
      </c>
      <c r="V4795">
        <v>7767.07</v>
      </c>
      <c r="W4795">
        <v>7468.29</v>
      </c>
      <c r="X4795">
        <v>77053.490000000005</v>
      </c>
      <c r="Y4795">
        <v>73901.960000000006</v>
      </c>
    </row>
    <row r="4796" spans="1:25" x14ac:dyDescent="0.25">
      <c r="A4796" t="s">
        <v>4852</v>
      </c>
      <c r="B4796" s="1">
        <v>46238</v>
      </c>
      <c r="C4796">
        <v>2026</v>
      </c>
      <c r="D4796">
        <v>8</v>
      </c>
      <c r="E4796" t="s">
        <v>814</v>
      </c>
      <c r="F4796" t="s">
        <v>691</v>
      </c>
      <c r="G4796" t="s">
        <v>55</v>
      </c>
      <c r="H4796" t="s">
        <v>29</v>
      </c>
      <c r="I4796" t="s">
        <v>45</v>
      </c>
      <c r="J4796">
        <v>55</v>
      </c>
      <c r="K4796">
        <v>1121.7</v>
      </c>
      <c r="L4796">
        <v>61693.72</v>
      </c>
      <c r="M4796">
        <v>29790.65</v>
      </c>
      <c r="N4796">
        <v>4602.41</v>
      </c>
      <c r="O4796">
        <v>3233.65</v>
      </c>
      <c r="P4796">
        <v>2407.5300000000002</v>
      </c>
      <c r="Q4796">
        <v>693.36</v>
      </c>
      <c r="R4796">
        <v>3531.68</v>
      </c>
      <c r="S4796">
        <v>1106.8</v>
      </c>
      <c r="T4796">
        <v>45366.07</v>
      </c>
      <c r="U4796">
        <v>31903.07</v>
      </c>
      <c r="V4796">
        <v>16327.64</v>
      </c>
      <c r="W4796">
        <v>16501.11</v>
      </c>
      <c r="X4796">
        <v>62775.27</v>
      </c>
      <c r="Y4796">
        <v>42869.22</v>
      </c>
    </row>
    <row r="4797" spans="1:25" x14ac:dyDescent="0.25">
      <c r="A4797" t="s">
        <v>4853</v>
      </c>
      <c r="B4797" s="1">
        <v>46238</v>
      </c>
      <c r="C4797">
        <v>2026</v>
      </c>
      <c r="D4797">
        <v>8</v>
      </c>
      <c r="E4797" t="s">
        <v>814</v>
      </c>
      <c r="F4797" t="s">
        <v>691</v>
      </c>
      <c r="G4797" t="s">
        <v>55</v>
      </c>
      <c r="H4797" t="s">
        <v>36</v>
      </c>
      <c r="I4797" t="s">
        <v>30</v>
      </c>
      <c r="J4797">
        <v>54</v>
      </c>
      <c r="K4797">
        <v>1685.24</v>
      </c>
      <c r="L4797">
        <v>91003.15</v>
      </c>
      <c r="M4797">
        <v>50854.94</v>
      </c>
      <c r="N4797">
        <v>8285.9599999999991</v>
      </c>
      <c r="O4797">
        <v>6715.49</v>
      </c>
      <c r="P4797">
        <v>3467.17</v>
      </c>
      <c r="Q4797">
        <v>494.63</v>
      </c>
      <c r="R4797">
        <v>4318.32</v>
      </c>
      <c r="S4797">
        <v>2138.5700000000002</v>
      </c>
      <c r="T4797">
        <v>76275.09</v>
      </c>
      <c r="U4797">
        <v>40148.21</v>
      </c>
      <c r="V4797">
        <v>14728.07</v>
      </c>
      <c r="W4797">
        <v>13858.79</v>
      </c>
      <c r="X4797">
        <v>94470.76</v>
      </c>
      <c r="Y4797">
        <v>75866.97</v>
      </c>
    </row>
    <row r="4798" spans="1:25" x14ac:dyDescent="0.25">
      <c r="A4798" t="s">
        <v>4854</v>
      </c>
      <c r="B4798" s="1">
        <v>46238</v>
      </c>
      <c r="C4798">
        <v>2026</v>
      </c>
      <c r="D4798">
        <v>8</v>
      </c>
      <c r="E4798" t="s">
        <v>814</v>
      </c>
      <c r="F4798" t="s">
        <v>691</v>
      </c>
      <c r="G4798" t="s">
        <v>55</v>
      </c>
      <c r="H4798" t="s">
        <v>36</v>
      </c>
      <c r="I4798" t="s">
        <v>45</v>
      </c>
      <c r="J4798">
        <v>33</v>
      </c>
      <c r="K4798">
        <v>1391.35</v>
      </c>
      <c r="L4798">
        <v>45914.54</v>
      </c>
      <c r="M4798">
        <v>30239.45</v>
      </c>
      <c r="N4798">
        <v>5679.8</v>
      </c>
      <c r="O4798">
        <v>2168.0100000000002</v>
      </c>
      <c r="P4798">
        <v>728.05</v>
      </c>
      <c r="Q4798">
        <v>574.24</v>
      </c>
      <c r="R4798">
        <v>1586.88</v>
      </c>
      <c r="S4798">
        <v>376.99</v>
      </c>
      <c r="T4798">
        <v>41353.42</v>
      </c>
      <c r="U4798">
        <v>15675.09</v>
      </c>
      <c r="V4798">
        <v>4561.1099999999997</v>
      </c>
      <c r="W4798">
        <v>4173.59</v>
      </c>
      <c r="X4798">
        <v>42962.19</v>
      </c>
      <c r="Y4798">
        <v>42410.33</v>
      </c>
    </row>
    <row r="4799" spans="1:25" x14ac:dyDescent="0.25">
      <c r="A4799" t="s">
        <v>4855</v>
      </c>
      <c r="B4799" s="1">
        <v>46239</v>
      </c>
      <c r="C4799">
        <v>2026</v>
      </c>
      <c r="D4799">
        <v>8</v>
      </c>
      <c r="E4799" t="s">
        <v>814</v>
      </c>
      <c r="F4799" t="s">
        <v>691</v>
      </c>
      <c r="G4799" t="s">
        <v>44</v>
      </c>
      <c r="H4799" t="s">
        <v>32</v>
      </c>
      <c r="I4799" t="s">
        <v>33</v>
      </c>
      <c r="J4799">
        <v>54</v>
      </c>
      <c r="K4799">
        <v>1527.86</v>
      </c>
      <c r="L4799">
        <v>82504.320000000007</v>
      </c>
      <c r="M4799">
        <v>54435.49</v>
      </c>
      <c r="N4799">
        <v>6438.29</v>
      </c>
      <c r="O4799">
        <v>4559.82</v>
      </c>
      <c r="P4799">
        <v>2551.9699999999998</v>
      </c>
      <c r="Q4799">
        <v>921.02</v>
      </c>
      <c r="R4799">
        <v>3447.03</v>
      </c>
      <c r="S4799">
        <v>1533.92</v>
      </c>
      <c r="T4799">
        <v>73887.55</v>
      </c>
      <c r="U4799">
        <v>28068.82</v>
      </c>
      <c r="V4799">
        <v>8616.77</v>
      </c>
      <c r="W4799">
        <v>8211.0499999999993</v>
      </c>
      <c r="X4799">
        <v>81495.850000000006</v>
      </c>
      <c r="Y4799">
        <v>71250.789999999994</v>
      </c>
    </row>
    <row r="4800" spans="1:25" x14ac:dyDescent="0.25">
      <c r="A4800" t="s">
        <v>4856</v>
      </c>
      <c r="B4800" s="1">
        <v>46239</v>
      </c>
      <c r="C4800">
        <v>2026</v>
      </c>
      <c r="D4800">
        <v>8</v>
      </c>
      <c r="E4800" t="s">
        <v>814</v>
      </c>
      <c r="F4800" t="s">
        <v>691</v>
      </c>
      <c r="G4800" t="s">
        <v>55</v>
      </c>
      <c r="H4800" t="s">
        <v>36</v>
      </c>
      <c r="I4800" t="s">
        <v>30</v>
      </c>
      <c r="J4800">
        <v>88</v>
      </c>
      <c r="K4800">
        <v>1161.3499999999999</v>
      </c>
      <c r="L4800">
        <v>102198.36</v>
      </c>
      <c r="M4800">
        <v>53676.87</v>
      </c>
      <c r="N4800">
        <v>7783.34</v>
      </c>
      <c r="O4800">
        <v>3819.56</v>
      </c>
      <c r="P4800">
        <v>1942.88</v>
      </c>
      <c r="Q4800">
        <v>549.29</v>
      </c>
      <c r="R4800">
        <v>6111.03</v>
      </c>
      <c r="S4800">
        <v>1123.1600000000001</v>
      </c>
      <c r="T4800">
        <v>75006.13</v>
      </c>
      <c r="U4800">
        <v>48521.49</v>
      </c>
      <c r="V4800">
        <v>27192.23</v>
      </c>
      <c r="W4800">
        <v>27202.41</v>
      </c>
      <c r="X4800">
        <v>108377.52</v>
      </c>
      <c r="Y4800">
        <v>75575.05</v>
      </c>
    </row>
    <row r="4801" spans="1:25" x14ac:dyDescent="0.25">
      <c r="A4801" t="s">
        <v>4857</v>
      </c>
      <c r="B4801" s="1">
        <v>46239</v>
      </c>
      <c r="C4801">
        <v>2026</v>
      </c>
      <c r="D4801">
        <v>8</v>
      </c>
      <c r="E4801" t="s">
        <v>814</v>
      </c>
      <c r="F4801" t="s">
        <v>691</v>
      </c>
      <c r="G4801" t="s">
        <v>44</v>
      </c>
      <c r="H4801" t="s">
        <v>36</v>
      </c>
      <c r="I4801" t="s">
        <v>30</v>
      </c>
      <c r="J4801">
        <v>57</v>
      </c>
      <c r="K4801">
        <v>1218.42</v>
      </c>
      <c r="L4801">
        <v>69450.05</v>
      </c>
      <c r="M4801">
        <v>34515.75</v>
      </c>
      <c r="N4801">
        <v>8187.03</v>
      </c>
      <c r="O4801">
        <v>4894.01</v>
      </c>
      <c r="P4801">
        <v>2193.7600000000002</v>
      </c>
      <c r="Q4801">
        <v>1068.8800000000001</v>
      </c>
      <c r="R4801">
        <v>3486.32</v>
      </c>
      <c r="S4801">
        <v>1405.89</v>
      </c>
      <c r="T4801">
        <v>55751.65</v>
      </c>
      <c r="U4801">
        <v>34934.29</v>
      </c>
      <c r="V4801">
        <v>13698.4</v>
      </c>
      <c r="W4801">
        <v>12408.66</v>
      </c>
      <c r="X4801">
        <v>64833.61</v>
      </c>
      <c r="Y4801">
        <v>58965.36</v>
      </c>
    </row>
    <row r="4802" spans="1:25" x14ac:dyDescent="0.25">
      <c r="A4802" t="s">
        <v>4858</v>
      </c>
      <c r="B4802" s="1">
        <v>46239</v>
      </c>
      <c r="C4802">
        <v>2026</v>
      </c>
      <c r="D4802">
        <v>8</v>
      </c>
      <c r="E4802" t="s">
        <v>814</v>
      </c>
      <c r="F4802" t="s">
        <v>691</v>
      </c>
      <c r="G4802" t="s">
        <v>35</v>
      </c>
      <c r="H4802" t="s">
        <v>36</v>
      </c>
      <c r="I4802" t="s">
        <v>33</v>
      </c>
      <c r="J4802">
        <v>40</v>
      </c>
      <c r="K4802">
        <v>1697.83</v>
      </c>
      <c r="L4802">
        <v>67913.17</v>
      </c>
      <c r="M4802">
        <v>42887.01</v>
      </c>
      <c r="N4802">
        <v>7134.61</v>
      </c>
      <c r="O4802">
        <v>3090.52</v>
      </c>
      <c r="P4802">
        <v>1811.44</v>
      </c>
      <c r="Q4802">
        <v>865.23</v>
      </c>
      <c r="R4802">
        <v>2601.9</v>
      </c>
      <c r="S4802">
        <v>711.87</v>
      </c>
      <c r="T4802">
        <v>59102.559999999998</v>
      </c>
      <c r="U4802">
        <v>25026.16</v>
      </c>
      <c r="V4802">
        <v>8810.61</v>
      </c>
      <c r="W4802">
        <v>8336.6299999999992</v>
      </c>
      <c r="X4802">
        <v>64656.25</v>
      </c>
      <c r="Y4802">
        <v>60863.31</v>
      </c>
    </row>
    <row r="4803" spans="1:25" x14ac:dyDescent="0.25">
      <c r="A4803" t="s">
        <v>4859</v>
      </c>
      <c r="B4803" s="1">
        <v>46239</v>
      </c>
      <c r="C4803">
        <v>2026</v>
      </c>
      <c r="D4803">
        <v>8</v>
      </c>
      <c r="E4803" t="s">
        <v>814</v>
      </c>
      <c r="F4803" t="s">
        <v>691</v>
      </c>
      <c r="G4803" t="s">
        <v>55</v>
      </c>
      <c r="H4803" t="s">
        <v>53</v>
      </c>
      <c r="I4803" t="s">
        <v>65</v>
      </c>
      <c r="J4803">
        <v>69</v>
      </c>
      <c r="K4803">
        <v>963.09</v>
      </c>
      <c r="L4803">
        <v>66452.91</v>
      </c>
      <c r="M4803">
        <v>41841.870000000003</v>
      </c>
      <c r="N4803">
        <v>4999.97</v>
      </c>
      <c r="O4803">
        <v>2719.36</v>
      </c>
      <c r="P4803">
        <v>1728.86</v>
      </c>
      <c r="Q4803">
        <v>1138.73</v>
      </c>
      <c r="R4803">
        <v>3121.44</v>
      </c>
      <c r="S4803">
        <v>1071.4100000000001</v>
      </c>
      <c r="T4803">
        <v>56621.63</v>
      </c>
      <c r="U4803">
        <v>24611.040000000001</v>
      </c>
      <c r="V4803">
        <v>9831.2800000000007</v>
      </c>
      <c r="W4803">
        <v>9174.5499999999993</v>
      </c>
      <c r="X4803">
        <v>63273.58</v>
      </c>
      <c r="Y4803">
        <v>55255.72</v>
      </c>
    </row>
    <row r="4804" spans="1:25" x14ac:dyDescent="0.25">
      <c r="A4804" t="s">
        <v>4860</v>
      </c>
      <c r="B4804" s="1">
        <v>46239</v>
      </c>
      <c r="C4804">
        <v>2026</v>
      </c>
      <c r="D4804">
        <v>8</v>
      </c>
      <c r="E4804" t="s">
        <v>814</v>
      </c>
      <c r="F4804" t="s">
        <v>691</v>
      </c>
      <c r="G4804" t="s">
        <v>28</v>
      </c>
      <c r="H4804" t="s">
        <v>29</v>
      </c>
      <c r="I4804" t="s">
        <v>37</v>
      </c>
      <c r="J4804">
        <v>98</v>
      </c>
      <c r="K4804">
        <v>834.68</v>
      </c>
      <c r="L4804">
        <v>81798.37</v>
      </c>
      <c r="M4804">
        <v>47749.58</v>
      </c>
      <c r="N4804">
        <v>7099.68</v>
      </c>
      <c r="O4804">
        <v>5994.23</v>
      </c>
      <c r="P4804">
        <v>2983.81</v>
      </c>
      <c r="Q4804">
        <v>669.49</v>
      </c>
      <c r="R4804">
        <v>4062.61</v>
      </c>
      <c r="S4804">
        <v>1060.1400000000001</v>
      </c>
      <c r="T4804">
        <v>69619.539999999994</v>
      </c>
      <c r="U4804">
        <v>34048.79</v>
      </c>
      <c r="V4804">
        <v>12178.83</v>
      </c>
      <c r="W4804">
        <v>11081.91</v>
      </c>
      <c r="X4804">
        <v>85655.24</v>
      </c>
      <c r="Y4804">
        <v>73632.399999999994</v>
      </c>
    </row>
    <row r="4805" spans="1:25" x14ac:dyDescent="0.25">
      <c r="A4805" t="s">
        <v>4861</v>
      </c>
      <c r="B4805" s="1">
        <v>46239</v>
      </c>
      <c r="C4805">
        <v>2026</v>
      </c>
      <c r="D4805">
        <v>8</v>
      </c>
      <c r="E4805" t="s">
        <v>814</v>
      </c>
      <c r="F4805" t="s">
        <v>691</v>
      </c>
      <c r="G4805" t="s">
        <v>28</v>
      </c>
      <c r="H4805" t="s">
        <v>36</v>
      </c>
      <c r="I4805" t="s">
        <v>39</v>
      </c>
      <c r="J4805">
        <v>27</v>
      </c>
      <c r="K4805">
        <v>1402.55</v>
      </c>
      <c r="L4805">
        <v>37868.94</v>
      </c>
      <c r="M4805">
        <v>23116.48</v>
      </c>
      <c r="N4805">
        <v>2697.83</v>
      </c>
      <c r="O4805">
        <v>2777.49</v>
      </c>
      <c r="P4805">
        <v>1653.5</v>
      </c>
      <c r="Q4805">
        <v>378.08</v>
      </c>
      <c r="R4805">
        <v>2258.9299999999998</v>
      </c>
      <c r="S4805">
        <v>891.16</v>
      </c>
      <c r="T4805">
        <v>33773.480000000003</v>
      </c>
      <c r="U4805">
        <v>14752.46</v>
      </c>
      <c r="V4805">
        <v>4095.46</v>
      </c>
      <c r="W4805">
        <v>4046.94</v>
      </c>
      <c r="X4805">
        <v>37547.199999999997</v>
      </c>
      <c r="Y4805">
        <v>31995.03</v>
      </c>
    </row>
    <row r="4806" spans="1:25" x14ac:dyDescent="0.25">
      <c r="A4806" t="s">
        <v>4862</v>
      </c>
      <c r="B4806" s="1">
        <v>46240</v>
      </c>
      <c r="C4806">
        <v>2026</v>
      </c>
      <c r="D4806">
        <v>8</v>
      </c>
      <c r="E4806" t="s">
        <v>814</v>
      </c>
      <c r="F4806" t="s">
        <v>691</v>
      </c>
      <c r="G4806" t="s">
        <v>44</v>
      </c>
      <c r="H4806" t="s">
        <v>32</v>
      </c>
      <c r="I4806" t="s">
        <v>45</v>
      </c>
      <c r="J4806">
        <v>50</v>
      </c>
      <c r="K4806">
        <v>1239.3699999999999</v>
      </c>
      <c r="L4806">
        <v>61968.34</v>
      </c>
      <c r="M4806">
        <v>41201.06</v>
      </c>
      <c r="N4806">
        <v>7636.76</v>
      </c>
      <c r="O4806">
        <v>4230.3</v>
      </c>
      <c r="P4806">
        <v>1598.6</v>
      </c>
      <c r="Q4806">
        <v>346.49</v>
      </c>
      <c r="R4806">
        <v>3433.23</v>
      </c>
      <c r="S4806">
        <v>801.33</v>
      </c>
      <c r="T4806">
        <v>59247.77</v>
      </c>
      <c r="U4806">
        <v>20767.28</v>
      </c>
      <c r="V4806">
        <v>2720.57</v>
      </c>
      <c r="W4806">
        <v>2578.46</v>
      </c>
      <c r="X4806">
        <v>61242.74</v>
      </c>
      <c r="Y4806">
        <v>63721.83</v>
      </c>
    </row>
    <row r="4807" spans="1:25" x14ac:dyDescent="0.25">
      <c r="A4807" t="s">
        <v>4863</v>
      </c>
      <c r="B4807" s="1">
        <v>46240</v>
      </c>
      <c r="C4807">
        <v>2026</v>
      </c>
      <c r="D4807">
        <v>8</v>
      </c>
      <c r="E4807" t="s">
        <v>814</v>
      </c>
      <c r="F4807" t="s">
        <v>691</v>
      </c>
      <c r="G4807" t="s">
        <v>28</v>
      </c>
      <c r="H4807" t="s">
        <v>36</v>
      </c>
      <c r="I4807" t="s">
        <v>37</v>
      </c>
      <c r="J4807">
        <v>46</v>
      </c>
      <c r="K4807">
        <v>1524.81</v>
      </c>
      <c r="L4807">
        <v>70141.039999999994</v>
      </c>
      <c r="M4807">
        <v>42931.48</v>
      </c>
      <c r="N4807">
        <v>5223.8100000000004</v>
      </c>
      <c r="O4807">
        <v>2759.24</v>
      </c>
      <c r="P4807">
        <v>1391.04</v>
      </c>
      <c r="Q4807">
        <v>408.93</v>
      </c>
      <c r="R4807">
        <v>2066.6799999999998</v>
      </c>
      <c r="S4807">
        <v>934.85</v>
      </c>
      <c r="T4807">
        <v>55716.03</v>
      </c>
      <c r="U4807">
        <v>27209.55</v>
      </c>
      <c r="V4807">
        <v>14425</v>
      </c>
      <c r="W4807">
        <v>12988.06</v>
      </c>
      <c r="X4807">
        <v>72032.34</v>
      </c>
      <c r="Y4807">
        <v>54306.66</v>
      </c>
    </row>
    <row r="4808" spans="1:25" x14ac:dyDescent="0.25">
      <c r="A4808" t="s">
        <v>4864</v>
      </c>
      <c r="B4808" s="1">
        <v>46240</v>
      </c>
      <c r="C4808">
        <v>2026</v>
      </c>
      <c r="D4808">
        <v>8</v>
      </c>
      <c r="E4808" t="s">
        <v>814</v>
      </c>
      <c r="F4808" t="s">
        <v>691</v>
      </c>
      <c r="G4808" t="s">
        <v>35</v>
      </c>
      <c r="H4808" t="s">
        <v>32</v>
      </c>
      <c r="I4808" t="s">
        <v>37</v>
      </c>
      <c r="J4808">
        <v>64</v>
      </c>
      <c r="K4808">
        <v>913.17</v>
      </c>
      <c r="L4808">
        <v>58442.91</v>
      </c>
      <c r="M4808">
        <v>39111.599999999999</v>
      </c>
      <c r="N4808">
        <v>4435.8900000000003</v>
      </c>
      <c r="O4808">
        <v>2551.83</v>
      </c>
      <c r="P4808">
        <v>1428.06</v>
      </c>
      <c r="Q4808">
        <v>688.29</v>
      </c>
      <c r="R4808">
        <v>2153.56</v>
      </c>
      <c r="S4808">
        <v>654.16999999999996</v>
      </c>
      <c r="T4808">
        <v>51023.4</v>
      </c>
      <c r="U4808">
        <v>19331.32</v>
      </c>
      <c r="V4808">
        <v>7419.51</v>
      </c>
      <c r="W4808">
        <v>6730.28</v>
      </c>
      <c r="X4808">
        <v>63106.28</v>
      </c>
      <c r="Y4808">
        <v>48376.76</v>
      </c>
    </row>
    <row r="4809" spans="1:25" x14ac:dyDescent="0.25">
      <c r="A4809" t="s">
        <v>4865</v>
      </c>
      <c r="B4809" s="1">
        <v>46240</v>
      </c>
      <c r="C4809">
        <v>2026</v>
      </c>
      <c r="D4809">
        <v>8</v>
      </c>
      <c r="E4809" t="s">
        <v>814</v>
      </c>
      <c r="F4809" t="s">
        <v>691</v>
      </c>
      <c r="G4809" t="s">
        <v>44</v>
      </c>
      <c r="H4809" t="s">
        <v>29</v>
      </c>
      <c r="I4809" t="s">
        <v>33</v>
      </c>
      <c r="J4809">
        <v>63</v>
      </c>
      <c r="K4809">
        <v>1239.5899999999999</v>
      </c>
      <c r="L4809">
        <v>78094.28</v>
      </c>
      <c r="M4809">
        <v>41604.67</v>
      </c>
      <c r="N4809">
        <v>7292.41</v>
      </c>
      <c r="O4809">
        <v>5600.52</v>
      </c>
      <c r="P4809">
        <v>1535.89</v>
      </c>
      <c r="Q4809">
        <v>502.16</v>
      </c>
      <c r="R4809">
        <v>4488.6400000000003</v>
      </c>
      <c r="S4809">
        <v>1365.26</v>
      </c>
      <c r="T4809">
        <v>62389.55</v>
      </c>
      <c r="U4809">
        <v>36489.61</v>
      </c>
      <c r="V4809">
        <v>15704.74</v>
      </c>
      <c r="W4809">
        <v>13920.61</v>
      </c>
      <c r="X4809">
        <v>77896.38</v>
      </c>
      <c r="Y4809">
        <v>67947.16</v>
      </c>
    </row>
    <row r="4810" spans="1:25" x14ac:dyDescent="0.25">
      <c r="A4810" t="s">
        <v>4866</v>
      </c>
      <c r="B4810" s="1">
        <v>46241</v>
      </c>
      <c r="C4810">
        <v>2026</v>
      </c>
      <c r="D4810">
        <v>8</v>
      </c>
      <c r="E4810" t="s">
        <v>814</v>
      </c>
      <c r="F4810" t="s">
        <v>691</v>
      </c>
      <c r="G4810" t="s">
        <v>55</v>
      </c>
      <c r="H4810" t="s">
        <v>32</v>
      </c>
      <c r="I4810" t="s">
        <v>33</v>
      </c>
      <c r="J4810">
        <v>99</v>
      </c>
      <c r="K4810">
        <v>1160.1500000000001</v>
      </c>
      <c r="L4810">
        <v>114854.38</v>
      </c>
      <c r="M4810">
        <v>56828.74</v>
      </c>
      <c r="N4810">
        <v>9638.1</v>
      </c>
      <c r="O4810">
        <v>7717.05</v>
      </c>
      <c r="P4810">
        <v>3523.71</v>
      </c>
      <c r="Q4810">
        <v>575.05999999999995</v>
      </c>
      <c r="R4810">
        <v>5456.44</v>
      </c>
      <c r="S4810">
        <v>1034.03</v>
      </c>
      <c r="T4810">
        <v>84773.119999999995</v>
      </c>
      <c r="U4810">
        <v>58025.65</v>
      </c>
      <c r="V4810">
        <v>30081.26</v>
      </c>
      <c r="W4810">
        <v>30167.96</v>
      </c>
      <c r="X4810">
        <v>125019.89</v>
      </c>
      <c r="Y4810">
        <v>85993.81</v>
      </c>
    </row>
    <row r="4811" spans="1:25" x14ac:dyDescent="0.25">
      <c r="A4811" t="s">
        <v>4867</v>
      </c>
      <c r="B4811" s="1">
        <v>46241</v>
      </c>
      <c r="C4811">
        <v>2026</v>
      </c>
      <c r="D4811">
        <v>8</v>
      </c>
      <c r="E4811" t="s">
        <v>814</v>
      </c>
      <c r="F4811" t="s">
        <v>691</v>
      </c>
      <c r="G4811" t="s">
        <v>55</v>
      </c>
      <c r="H4811" t="s">
        <v>36</v>
      </c>
      <c r="I4811" t="s">
        <v>39</v>
      </c>
      <c r="J4811">
        <v>45</v>
      </c>
      <c r="K4811">
        <v>960.87</v>
      </c>
      <c r="L4811">
        <v>43239.19</v>
      </c>
      <c r="M4811">
        <v>21735.25</v>
      </c>
      <c r="N4811">
        <v>4871.49</v>
      </c>
      <c r="O4811">
        <v>2342.5100000000002</v>
      </c>
      <c r="P4811">
        <v>1583.07</v>
      </c>
      <c r="Q4811">
        <v>452.77</v>
      </c>
      <c r="R4811">
        <v>1701.79</v>
      </c>
      <c r="S4811">
        <v>453.82</v>
      </c>
      <c r="T4811">
        <v>33140.71</v>
      </c>
      <c r="U4811">
        <v>21503.94</v>
      </c>
      <c r="V4811">
        <v>10098.49</v>
      </c>
      <c r="W4811">
        <v>10022.379999999999</v>
      </c>
      <c r="X4811">
        <v>41661.19</v>
      </c>
      <c r="Y4811">
        <v>33305.040000000001</v>
      </c>
    </row>
    <row r="4812" spans="1:25" x14ac:dyDescent="0.25">
      <c r="A4812" t="s">
        <v>4868</v>
      </c>
      <c r="B4812" s="1">
        <v>46242</v>
      </c>
      <c r="C4812">
        <v>2026</v>
      </c>
      <c r="D4812">
        <v>8</v>
      </c>
      <c r="E4812" t="s">
        <v>814</v>
      </c>
      <c r="F4812" t="s">
        <v>691</v>
      </c>
      <c r="G4812" t="s">
        <v>55</v>
      </c>
      <c r="H4812" t="s">
        <v>29</v>
      </c>
      <c r="I4812" t="s">
        <v>30</v>
      </c>
      <c r="J4812">
        <v>80</v>
      </c>
      <c r="K4812">
        <v>1511.58</v>
      </c>
      <c r="L4812">
        <v>120926.78</v>
      </c>
      <c r="M4812">
        <v>74973.78</v>
      </c>
      <c r="N4812">
        <v>11738.83</v>
      </c>
      <c r="O4812">
        <v>3650.91</v>
      </c>
      <c r="P4812">
        <v>2194.79</v>
      </c>
      <c r="Q4812">
        <v>1889.88</v>
      </c>
      <c r="R4812">
        <v>5616.42</v>
      </c>
      <c r="S4812">
        <v>2626.53</v>
      </c>
      <c r="T4812">
        <v>102691.15</v>
      </c>
      <c r="U4812">
        <v>45953</v>
      </c>
      <c r="V4812">
        <v>18235.63</v>
      </c>
      <c r="W4812">
        <v>17626.97</v>
      </c>
      <c r="X4812">
        <v>120314.02</v>
      </c>
      <c r="Y4812">
        <v>109268.13</v>
      </c>
    </row>
    <row r="4813" spans="1:25" x14ac:dyDescent="0.25">
      <c r="A4813" t="s">
        <v>4869</v>
      </c>
      <c r="B4813" s="1">
        <v>46242</v>
      </c>
      <c r="C4813">
        <v>2026</v>
      </c>
      <c r="D4813">
        <v>8</v>
      </c>
      <c r="E4813" t="s">
        <v>814</v>
      </c>
      <c r="F4813" t="s">
        <v>691</v>
      </c>
      <c r="G4813" t="s">
        <v>44</v>
      </c>
      <c r="H4813" t="s">
        <v>32</v>
      </c>
      <c r="I4813" t="s">
        <v>33</v>
      </c>
      <c r="J4813">
        <v>54</v>
      </c>
      <c r="K4813">
        <v>1291.53</v>
      </c>
      <c r="L4813">
        <v>69742.84</v>
      </c>
      <c r="M4813">
        <v>39349.199999999997</v>
      </c>
      <c r="N4813">
        <v>6424.73</v>
      </c>
      <c r="O4813">
        <v>4979.82</v>
      </c>
      <c r="P4813">
        <v>1158.06</v>
      </c>
      <c r="Q4813">
        <v>915.37</v>
      </c>
      <c r="R4813">
        <v>2622.74</v>
      </c>
      <c r="S4813">
        <v>884.98</v>
      </c>
      <c r="T4813">
        <v>56334.9</v>
      </c>
      <c r="U4813">
        <v>30393.64</v>
      </c>
      <c r="V4813">
        <v>13407.94</v>
      </c>
      <c r="W4813">
        <v>13133.17</v>
      </c>
      <c r="X4813">
        <v>69402.490000000005</v>
      </c>
      <c r="Y4813">
        <v>53271.03</v>
      </c>
    </row>
    <row r="4814" spans="1:25" x14ac:dyDescent="0.25">
      <c r="A4814" t="s">
        <v>4870</v>
      </c>
      <c r="B4814" s="1">
        <v>46242</v>
      </c>
      <c r="C4814">
        <v>2026</v>
      </c>
      <c r="D4814">
        <v>8</v>
      </c>
      <c r="E4814" t="s">
        <v>814</v>
      </c>
      <c r="F4814" t="s">
        <v>691</v>
      </c>
      <c r="G4814" t="s">
        <v>35</v>
      </c>
      <c r="H4814" t="s">
        <v>29</v>
      </c>
      <c r="I4814" t="s">
        <v>50</v>
      </c>
      <c r="J4814">
        <v>30</v>
      </c>
      <c r="K4814">
        <v>1714</v>
      </c>
      <c r="L4814">
        <v>51420.08</v>
      </c>
      <c r="M4814">
        <v>27811.03</v>
      </c>
      <c r="N4814">
        <v>4240.5200000000004</v>
      </c>
      <c r="O4814">
        <v>3808.6</v>
      </c>
      <c r="P4814">
        <v>1962.02</v>
      </c>
      <c r="Q4814">
        <v>860.94</v>
      </c>
      <c r="R4814">
        <v>2719.7</v>
      </c>
      <c r="S4814">
        <v>495.25</v>
      </c>
      <c r="T4814">
        <v>41898.080000000002</v>
      </c>
      <c r="U4814">
        <v>23609.05</v>
      </c>
      <c r="V4814">
        <v>9522</v>
      </c>
      <c r="W4814">
        <v>8861.61</v>
      </c>
      <c r="X4814">
        <v>54927.74</v>
      </c>
      <c r="Y4814">
        <v>41327.46</v>
      </c>
    </row>
    <row r="4815" spans="1:25" x14ac:dyDescent="0.25">
      <c r="A4815" t="s">
        <v>4871</v>
      </c>
      <c r="B4815" s="1">
        <v>46243</v>
      </c>
      <c r="C4815">
        <v>2026</v>
      </c>
      <c r="D4815">
        <v>8</v>
      </c>
      <c r="E4815" t="s">
        <v>814</v>
      </c>
      <c r="F4815" t="s">
        <v>691</v>
      </c>
      <c r="G4815" t="s">
        <v>44</v>
      </c>
      <c r="H4815" t="s">
        <v>53</v>
      </c>
      <c r="I4815" t="s">
        <v>45</v>
      </c>
      <c r="J4815">
        <v>22</v>
      </c>
      <c r="K4815">
        <v>1631.38</v>
      </c>
      <c r="L4815">
        <v>35890.26</v>
      </c>
      <c r="M4815">
        <v>18177.5</v>
      </c>
      <c r="N4815">
        <v>3214.76</v>
      </c>
      <c r="O4815">
        <v>2528.3000000000002</v>
      </c>
      <c r="P4815">
        <v>1611.21</v>
      </c>
      <c r="Q4815">
        <v>331.95</v>
      </c>
      <c r="R4815">
        <v>1635.21</v>
      </c>
      <c r="S4815">
        <v>735.48</v>
      </c>
      <c r="T4815">
        <v>28234.41</v>
      </c>
      <c r="U4815">
        <v>17712.75</v>
      </c>
      <c r="V4815">
        <v>7655.85</v>
      </c>
      <c r="W4815">
        <v>7339.56</v>
      </c>
      <c r="X4815">
        <v>38324.43</v>
      </c>
      <c r="Y4815">
        <v>29893.119999999999</v>
      </c>
    </row>
    <row r="4816" spans="1:25" x14ac:dyDescent="0.25">
      <c r="A4816" t="s">
        <v>4872</v>
      </c>
      <c r="B4816" s="1">
        <v>46243</v>
      </c>
      <c r="C4816">
        <v>2026</v>
      </c>
      <c r="D4816">
        <v>8</v>
      </c>
      <c r="E4816" t="s">
        <v>814</v>
      </c>
      <c r="F4816" t="s">
        <v>691</v>
      </c>
      <c r="G4816" t="s">
        <v>28</v>
      </c>
      <c r="H4816" t="s">
        <v>58</v>
      </c>
      <c r="I4816" t="s">
        <v>33</v>
      </c>
      <c r="J4816">
        <v>39</v>
      </c>
      <c r="K4816">
        <v>1725.95</v>
      </c>
      <c r="L4816">
        <v>67312.09</v>
      </c>
      <c r="M4816">
        <v>33002.21</v>
      </c>
      <c r="N4816">
        <v>7988.99</v>
      </c>
      <c r="O4816">
        <v>2297.37</v>
      </c>
      <c r="P4816">
        <v>2288.84</v>
      </c>
      <c r="Q4816">
        <v>746.08</v>
      </c>
      <c r="R4816">
        <v>2194.3000000000002</v>
      </c>
      <c r="S4816">
        <v>1407.24</v>
      </c>
      <c r="T4816">
        <v>49925.02</v>
      </c>
      <c r="U4816">
        <v>34309.879999999997</v>
      </c>
      <c r="V4816">
        <v>17387.07</v>
      </c>
      <c r="W4816">
        <v>16921.96</v>
      </c>
      <c r="X4816">
        <v>73777.16</v>
      </c>
      <c r="Y4816">
        <v>54320.51</v>
      </c>
    </row>
    <row r="4817" spans="1:25" x14ac:dyDescent="0.25">
      <c r="A4817" t="s">
        <v>4873</v>
      </c>
      <c r="B4817" s="1">
        <v>46243</v>
      </c>
      <c r="C4817">
        <v>2026</v>
      </c>
      <c r="D4817">
        <v>8</v>
      </c>
      <c r="E4817" t="s">
        <v>814</v>
      </c>
      <c r="F4817" t="s">
        <v>691</v>
      </c>
      <c r="G4817" t="s">
        <v>28</v>
      </c>
      <c r="H4817" t="s">
        <v>36</v>
      </c>
      <c r="I4817" t="s">
        <v>39</v>
      </c>
      <c r="J4817">
        <v>34</v>
      </c>
      <c r="K4817">
        <v>1134.6600000000001</v>
      </c>
      <c r="L4817">
        <v>38578.57</v>
      </c>
      <c r="M4817">
        <v>20192.91</v>
      </c>
      <c r="N4817">
        <v>5001.17</v>
      </c>
      <c r="O4817">
        <v>2770.36</v>
      </c>
      <c r="P4817">
        <v>1553.3</v>
      </c>
      <c r="Q4817">
        <v>514.08000000000004</v>
      </c>
      <c r="R4817">
        <v>1492.66</v>
      </c>
      <c r="S4817">
        <v>542.98</v>
      </c>
      <c r="T4817">
        <v>32067.47</v>
      </c>
      <c r="U4817">
        <v>18385.66</v>
      </c>
      <c r="V4817">
        <v>6511.11</v>
      </c>
      <c r="W4817">
        <v>6384.49</v>
      </c>
      <c r="X4817">
        <v>43131.51</v>
      </c>
      <c r="Y4817">
        <v>32678.53</v>
      </c>
    </row>
    <row r="4818" spans="1:25" x14ac:dyDescent="0.25">
      <c r="A4818" t="s">
        <v>4874</v>
      </c>
      <c r="B4818" s="1">
        <v>46243</v>
      </c>
      <c r="C4818">
        <v>2026</v>
      </c>
      <c r="D4818">
        <v>8</v>
      </c>
      <c r="E4818" t="s">
        <v>814</v>
      </c>
      <c r="F4818" t="s">
        <v>691</v>
      </c>
      <c r="G4818" t="s">
        <v>28</v>
      </c>
      <c r="H4818" t="s">
        <v>32</v>
      </c>
      <c r="I4818" t="s">
        <v>37</v>
      </c>
      <c r="J4818">
        <v>114</v>
      </c>
      <c r="K4818">
        <v>812.43</v>
      </c>
      <c r="L4818">
        <v>92617.1</v>
      </c>
      <c r="M4818">
        <v>56271.13</v>
      </c>
      <c r="N4818">
        <v>11867.54</v>
      </c>
      <c r="O4818">
        <v>3142.52</v>
      </c>
      <c r="P4818">
        <v>2360.61</v>
      </c>
      <c r="Q4818">
        <v>1050.67</v>
      </c>
      <c r="R4818">
        <v>3791.06</v>
      </c>
      <c r="S4818">
        <v>1153.42</v>
      </c>
      <c r="T4818">
        <v>79636.95</v>
      </c>
      <c r="U4818">
        <v>36345.97</v>
      </c>
      <c r="V4818">
        <v>12980.15</v>
      </c>
      <c r="W4818">
        <v>11441.61</v>
      </c>
      <c r="X4818">
        <v>86366.52</v>
      </c>
      <c r="Y4818">
        <v>77922.929999999993</v>
      </c>
    </row>
    <row r="4819" spans="1:25" x14ac:dyDescent="0.25">
      <c r="A4819" t="s">
        <v>4875</v>
      </c>
      <c r="B4819" s="1">
        <v>46244</v>
      </c>
      <c r="C4819">
        <v>2026</v>
      </c>
      <c r="D4819">
        <v>8</v>
      </c>
      <c r="E4819" t="s">
        <v>814</v>
      </c>
      <c r="F4819" t="s">
        <v>691</v>
      </c>
      <c r="G4819" t="s">
        <v>44</v>
      </c>
      <c r="H4819" t="s">
        <v>58</v>
      </c>
      <c r="I4819" t="s">
        <v>37</v>
      </c>
      <c r="J4819">
        <v>56</v>
      </c>
      <c r="K4819">
        <v>872.47</v>
      </c>
      <c r="L4819">
        <v>48858.07</v>
      </c>
      <c r="M4819">
        <v>28473.02</v>
      </c>
      <c r="N4819">
        <v>4067.54</v>
      </c>
      <c r="O4819">
        <v>3431.35</v>
      </c>
      <c r="P4819">
        <v>2013.73</v>
      </c>
      <c r="Q4819">
        <v>780.34</v>
      </c>
      <c r="R4819">
        <v>2399.3200000000002</v>
      </c>
      <c r="S4819">
        <v>737.53</v>
      </c>
      <c r="T4819">
        <v>41902.83</v>
      </c>
      <c r="U4819">
        <v>20385.060000000001</v>
      </c>
      <c r="V4819">
        <v>6955.24</v>
      </c>
      <c r="W4819">
        <v>6448</v>
      </c>
      <c r="X4819">
        <v>47265.93</v>
      </c>
      <c r="Y4819">
        <v>42286.93</v>
      </c>
    </row>
    <row r="4820" spans="1:25" x14ac:dyDescent="0.25">
      <c r="A4820" t="s">
        <v>4876</v>
      </c>
      <c r="B4820" s="1">
        <v>46244</v>
      </c>
      <c r="C4820">
        <v>2026</v>
      </c>
      <c r="D4820">
        <v>8</v>
      </c>
      <c r="E4820" t="s">
        <v>814</v>
      </c>
      <c r="F4820" t="s">
        <v>691</v>
      </c>
      <c r="G4820" t="s">
        <v>44</v>
      </c>
      <c r="H4820" t="s">
        <v>32</v>
      </c>
      <c r="I4820" t="s">
        <v>65</v>
      </c>
      <c r="J4820">
        <v>32</v>
      </c>
      <c r="K4820">
        <v>1766.94</v>
      </c>
      <c r="L4820">
        <v>56542.15</v>
      </c>
      <c r="M4820">
        <v>37007.61</v>
      </c>
      <c r="N4820">
        <v>4576.16</v>
      </c>
      <c r="O4820">
        <v>3232.02</v>
      </c>
      <c r="P4820">
        <v>1190.44</v>
      </c>
      <c r="Q4820">
        <v>478.45</v>
      </c>
      <c r="R4820">
        <v>3511.94</v>
      </c>
      <c r="S4820">
        <v>1359.34</v>
      </c>
      <c r="T4820">
        <v>51355.96</v>
      </c>
      <c r="U4820">
        <v>19534.54</v>
      </c>
      <c r="V4820">
        <v>5186.1899999999996</v>
      </c>
      <c r="W4820">
        <v>4663.2700000000004</v>
      </c>
      <c r="X4820">
        <v>53248.28</v>
      </c>
      <c r="Y4820">
        <v>51871.360000000001</v>
      </c>
    </row>
    <row r="4821" spans="1:25" x14ac:dyDescent="0.25">
      <c r="A4821" t="s">
        <v>4877</v>
      </c>
      <c r="B4821" s="1">
        <v>46244</v>
      </c>
      <c r="C4821">
        <v>2026</v>
      </c>
      <c r="D4821">
        <v>8</v>
      </c>
      <c r="E4821" t="s">
        <v>814</v>
      </c>
      <c r="F4821" t="s">
        <v>691</v>
      </c>
      <c r="G4821" t="s">
        <v>28</v>
      </c>
      <c r="H4821" t="s">
        <v>36</v>
      </c>
      <c r="I4821" t="s">
        <v>65</v>
      </c>
      <c r="J4821">
        <v>40</v>
      </c>
      <c r="K4821">
        <v>1775.07</v>
      </c>
      <c r="L4821">
        <v>71002.86</v>
      </c>
      <c r="M4821">
        <v>46737.94</v>
      </c>
      <c r="N4821">
        <v>5503.68</v>
      </c>
      <c r="O4821">
        <v>1803.21</v>
      </c>
      <c r="P4821">
        <v>1598.35</v>
      </c>
      <c r="Q4821">
        <v>1041.53</v>
      </c>
      <c r="R4821">
        <v>3507.3</v>
      </c>
      <c r="S4821">
        <v>1286.72</v>
      </c>
      <c r="T4821">
        <v>61478.74</v>
      </c>
      <c r="U4821">
        <v>24264.92</v>
      </c>
      <c r="V4821">
        <v>9524.1299999999992</v>
      </c>
      <c r="W4821">
        <v>8546.75</v>
      </c>
      <c r="X4821">
        <v>72141.509999999995</v>
      </c>
      <c r="Y4821">
        <v>63636.76</v>
      </c>
    </row>
    <row r="4822" spans="1:25" x14ac:dyDescent="0.25">
      <c r="A4822" t="s">
        <v>4878</v>
      </c>
      <c r="B4822" s="1">
        <v>46244</v>
      </c>
      <c r="C4822">
        <v>2026</v>
      </c>
      <c r="D4822">
        <v>8</v>
      </c>
      <c r="E4822" t="s">
        <v>814</v>
      </c>
      <c r="F4822" t="s">
        <v>691</v>
      </c>
      <c r="G4822" t="s">
        <v>35</v>
      </c>
      <c r="H4822" t="s">
        <v>32</v>
      </c>
      <c r="I4822" t="s">
        <v>33</v>
      </c>
      <c r="J4822">
        <v>56</v>
      </c>
      <c r="K4822">
        <v>1416.08</v>
      </c>
      <c r="L4822">
        <v>79300.44</v>
      </c>
      <c r="M4822">
        <v>46596.81</v>
      </c>
      <c r="N4822">
        <v>7203.15</v>
      </c>
      <c r="O4822">
        <v>3977.4</v>
      </c>
      <c r="P4822">
        <v>1319.53</v>
      </c>
      <c r="Q4822">
        <v>1206.3699999999999</v>
      </c>
      <c r="R4822">
        <v>4739.71</v>
      </c>
      <c r="S4822">
        <v>1352.47</v>
      </c>
      <c r="T4822">
        <v>66395.429999999993</v>
      </c>
      <c r="U4822">
        <v>32703.64</v>
      </c>
      <c r="V4822">
        <v>12905.01</v>
      </c>
      <c r="W4822">
        <v>12999.46</v>
      </c>
      <c r="X4822">
        <v>81854.41</v>
      </c>
      <c r="Y4822">
        <v>63761.23</v>
      </c>
    </row>
    <row r="4823" spans="1:25" x14ac:dyDescent="0.25">
      <c r="A4823" t="s">
        <v>4879</v>
      </c>
      <c r="B4823" s="1">
        <v>46245</v>
      </c>
      <c r="C4823">
        <v>2026</v>
      </c>
      <c r="D4823">
        <v>8</v>
      </c>
      <c r="E4823" t="s">
        <v>814</v>
      </c>
      <c r="F4823" t="s">
        <v>691</v>
      </c>
      <c r="G4823" t="s">
        <v>35</v>
      </c>
      <c r="H4823" t="s">
        <v>32</v>
      </c>
      <c r="I4823" t="s">
        <v>56</v>
      </c>
      <c r="J4823">
        <v>18</v>
      </c>
      <c r="K4823">
        <v>1596.76</v>
      </c>
      <c r="L4823">
        <v>28741.67</v>
      </c>
      <c r="M4823">
        <v>13796.72</v>
      </c>
      <c r="N4823">
        <v>3150.61</v>
      </c>
      <c r="O4823">
        <v>2034.71</v>
      </c>
      <c r="P4823">
        <v>753.27</v>
      </c>
      <c r="Q4823">
        <v>148.09</v>
      </c>
      <c r="R4823">
        <v>1373.99</v>
      </c>
      <c r="S4823">
        <v>486.28</v>
      </c>
      <c r="T4823">
        <v>21743.67</v>
      </c>
      <c r="U4823">
        <v>14944.95</v>
      </c>
      <c r="V4823">
        <v>6998</v>
      </c>
      <c r="W4823">
        <v>6272.96</v>
      </c>
      <c r="X4823">
        <v>31756.97</v>
      </c>
      <c r="Y4823">
        <v>22602.12</v>
      </c>
    </row>
    <row r="4824" spans="1:25" x14ac:dyDescent="0.25">
      <c r="A4824" t="s">
        <v>4880</v>
      </c>
      <c r="B4824" s="1">
        <v>46245</v>
      </c>
      <c r="C4824">
        <v>2026</v>
      </c>
      <c r="D4824">
        <v>8</v>
      </c>
      <c r="E4824" t="s">
        <v>814</v>
      </c>
      <c r="F4824" t="s">
        <v>691</v>
      </c>
      <c r="G4824" t="s">
        <v>55</v>
      </c>
      <c r="H4824" t="s">
        <v>36</v>
      </c>
      <c r="I4824" t="s">
        <v>37</v>
      </c>
      <c r="J4824">
        <v>67</v>
      </c>
      <c r="K4824">
        <v>1003.5</v>
      </c>
      <c r="L4824">
        <v>67234.789999999994</v>
      </c>
      <c r="M4824">
        <v>44331.71</v>
      </c>
      <c r="N4824">
        <v>8363.83</v>
      </c>
      <c r="O4824">
        <v>2353.89</v>
      </c>
      <c r="P4824">
        <v>2842.61</v>
      </c>
      <c r="Q4824">
        <v>1108.6199999999999</v>
      </c>
      <c r="R4824">
        <v>3449.73</v>
      </c>
      <c r="S4824">
        <v>601.38</v>
      </c>
      <c r="T4824">
        <v>63051.76</v>
      </c>
      <c r="U4824">
        <v>22903.08</v>
      </c>
      <c r="V4824">
        <v>4183.03</v>
      </c>
      <c r="W4824">
        <v>3902.74</v>
      </c>
      <c r="X4824">
        <v>67444.490000000005</v>
      </c>
      <c r="Y4824">
        <v>69283.600000000006</v>
      </c>
    </row>
    <row r="4825" spans="1:25" x14ac:dyDescent="0.25">
      <c r="A4825" t="s">
        <v>4881</v>
      </c>
      <c r="B4825" s="1">
        <v>46245</v>
      </c>
      <c r="C4825">
        <v>2026</v>
      </c>
      <c r="D4825">
        <v>8</v>
      </c>
      <c r="E4825" t="s">
        <v>814</v>
      </c>
      <c r="F4825" t="s">
        <v>691</v>
      </c>
      <c r="G4825" t="s">
        <v>55</v>
      </c>
      <c r="H4825" t="s">
        <v>53</v>
      </c>
      <c r="I4825" t="s">
        <v>30</v>
      </c>
      <c r="J4825">
        <v>104</v>
      </c>
      <c r="K4825">
        <v>844.24</v>
      </c>
      <c r="L4825">
        <v>87801.37</v>
      </c>
      <c r="M4825">
        <v>52925.919999999998</v>
      </c>
      <c r="N4825">
        <v>11338.33</v>
      </c>
      <c r="O4825">
        <v>2567.3000000000002</v>
      </c>
      <c r="P4825">
        <v>1436.08</v>
      </c>
      <c r="Q4825">
        <v>440.12</v>
      </c>
      <c r="R4825">
        <v>3078.19</v>
      </c>
      <c r="S4825">
        <v>1248.26</v>
      </c>
      <c r="T4825">
        <v>73034.210000000006</v>
      </c>
      <c r="U4825">
        <v>34875.449999999997</v>
      </c>
      <c r="V4825">
        <v>14767.16</v>
      </c>
      <c r="W4825">
        <v>14545.26</v>
      </c>
      <c r="X4825">
        <v>90169.279999999999</v>
      </c>
      <c r="Y4825">
        <v>75928.210000000006</v>
      </c>
    </row>
    <row r="4826" spans="1:25" x14ac:dyDescent="0.25">
      <c r="A4826" t="s">
        <v>4882</v>
      </c>
      <c r="B4826" s="1">
        <v>46246</v>
      </c>
      <c r="C4826">
        <v>2026</v>
      </c>
      <c r="D4826">
        <v>8</v>
      </c>
      <c r="E4826" t="s">
        <v>814</v>
      </c>
      <c r="F4826" t="s">
        <v>691</v>
      </c>
      <c r="G4826" t="s">
        <v>35</v>
      </c>
      <c r="H4826" t="s">
        <v>32</v>
      </c>
      <c r="I4826" t="s">
        <v>30</v>
      </c>
      <c r="J4826">
        <v>45</v>
      </c>
      <c r="K4826">
        <v>1780.93</v>
      </c>
      <c r="L4826">
        <v>80141.98</v>
      </c>
      <c r="M4826">
        <v>42188.480000000003</v>
      </c>
      <c r="N4826">
        <v>9689.52</v>
      </c>
      <c r="O4826">
        <v>4245.1499999999996</v>
      </c>
      <c r="P4826">
        <v>2656.91</v>
      </c>
      <c r="Q4826">
        <v>828.43</v>
      </c>
      <c r="R4826">
        <v>2650.36</v>
      </c>
      <c r="S4826">
        <v>1763.28</v>
      </c>
      <c r="T4826">
        <v>64022.14</v>
      </c>
      <c r="U4826">
        <v>37953.49</v>
      </c>
      <c r="V4826">
        <v>16119.84</v>
      </c>
      <c r="W4826">
        <v>16165.93</v>
      </c>
      <c r="X4826">
        <v>76425.63</v>
      </c>
      <c r="Y4826">
        <v>65837.97</v>
      </c>
    </row>
    <row r="4827" spans="1:25" x14ac:dyDescent="0.25">
      <c r="A4827" t="s">
        <v>4883</v>
      </c>
      <c r="B4827" s="1">
        <v>46246</v>
      </c>
      <c r="C4827">
        <v>2026</v>
      </c>
      <c r="D4827">
        <v>8</v>
      </c>
      <c r="E4827" t="s">
        <v>814</v>
      </c>
      <c r="F4827" t="s">
        <v>691</v>
      </c>
      <c r="G4827" t="s">
        <v>28</v>
      </c>
      <c r="H4827" t="s">
        <v>53</v>
      </c>
      <c r="I4827" t="s">
        <v>30</v>
      </c>
      <c r="J4827">
        <v>73</v>
      </c>
      <c r="K4827">
        <v>1188.81</v>
      </c>
      <c r="L4827">
        <v>86782.81</v>
      </c>
      <c r="M4827">
        <v>53977.17</v>
      </c>
      <c r="N4827">
        <v>9949.08</v>
      </c>
      <c r="O4827">
        <v>5329.48</v>
      </c>
      <c r="P4827">
        <v>2486.19</v>
      </c>
      <c r="Q4827">
        <v>993.35</v>
      </c>
      <c r="R4827">
        <v>3363.71</v>
      </c>
      <c r="S4827">
        <v>1439.86</v>
      </c>
      <c r="T4827">
        <v>77538.84</v>
      </c>
      <c r="U4827">
        <v>32805.64</v>
      </c>
      <c r="V4827">
        <v>9243.9699999999993</v>
      </c>
      <c r="W4827">
        <v>8166.22</v>
      </c>
      <c r="X4827">
        <v>92550.26</v>
      </c>
      <c r="Y4827">
        <v>74124.03</v>
      </c>
    </row>
    <row r="4828" spans="1:25" x14ac:dyDescent="0.25">
      <c r="A4828" t="s">
        <v>4884</v>
      </c>
      <c r="B4828" s="1">
        <v>46246</v>
      </c>
      <c r="C4828">
        <v>2026</v>
      </c>
      <c r="D4828">
        <v>8</v>
      </c>
      <c r="E4828" t="s">
        <v>814</v>
      </c>
      <c r="F4828" t="s">
        <v>691</v>
      </c>
      <c r="G4828" t="s">
        <v>55</v>
      </c>
      <c r="H4828" t="s">
        <v>58</v>
      </c>
      <c r="I4828" t="s">
        <v>37</v>
      </c>
      <c r="J4828">
        <v>53</v>
      </c>
      <c r="K4828">
        <v>1607.78</v>
      </c>
      <c r="L4828">
        <v>85212.34</v>
      </c>
      <c r="M4828">
        <v>46291.02</v>
      </c>
      <c r="N4828">
        <v>6687.41</v>
      </c>
      <c r="O4828">
        <v>5742.07</v>
      </c>
      <c r="P4828">
        <v>1324.42</v>
      </c>
      <c r="Q4828">
        <v>590.45000000000005</v>
      </c>
      <c r="R4828">
        <v>3556.92</v>
      </c>
      <c r="S4828">
        <v>1354.77</v>
      </c>
      <c r="T4828">
        <v>65547.05</v>
      </c>
      <c r="U4828">
        <v>38921.33</v>
      </c>
      <c r="V4828">
        <v>19665.29</v>
      </c>
      <c r="W4828">
        <v>19056.25</v>
      </c>
      <c r="X4828">
        <v>82560.72</v>
      </c>
      <c r="Y4828">
        <v>65228.58</v>
      </c>
    </row>
    <row r="4829" spans="1:25" x14ac:dyDescent="0.25">
      <c r="A4829" t="s">
        <v>4885</v>
      </c>
      <c r="B4829" s="1">
        <v>46246</v>
      </c>
      <c r="C4829">
        <v>2026</v>
      </c>
      <c r="D4829">
        <v>8</v>
      </c>
      <c r="E4829" t="s">
        <v>814</v>
      </c>
      <c r="F4829" t="s">
        <v>691</v>
      </c>
      <c r="G4829" t="s">
        <v>55</v>
      </c>
      <c r="H4829" t="s">
        <v>36</v>
      </c>
      <c r="I4829" t="s">
        <v>50</v>
      </c>
      <c r="J4829">
        <v>27</v>
      </c>
      <c r="K4829">
        <v>1676.28</v>
      </c>
      <c r="L4829">
        <v>45259.43</v>
      </c>
      <c r="M4829">
        <v>22447.29</v>
      </c>
      <c r="N4829">
        <v>3333.48</v>
      </c>
      <c r="O4829">
        <v>1301.25</v>
      </c>
      <c r="P4829">
        <v>817.7</v>
      </c>
      <c r="Q4829">
        <v>475.98</v>
      </c>
      <c r="R4829">
        <v>2107.67</v>
      </c>
      <c r="S4829">
        <v>576.15</v>
      </c>
      <c r="T4829">
        <v>31059.52</v>
      </c>
      <c r="U4829">
        <v>22812.14</v>
      </c>
      <c r="V4829">
        <v>14199.91</v>
      </c>
      <c r="W4829">
        <v>13611.31</v>
      </c>
      <c r="X4829">
        <v>50284.33</v>
      </c>
      <c r="Y4829">
        <v>29696.79</v>
      </c>
    </row>
    <row r="4830" spans="1:25" x14ac:dyDescent="0.25">
      <c r="A4830" t="s">
        <v>4886</v>
      </c>
      <c r="B4830" s="1">
        <v>46246</v>
      </c>
      <c r="C4830">
        <v>2026</v>
      </c>
      <c r="D4830">
        <v>8</v>
      </c>
      <c r="E4830" t="s">
        <v>814</v>
      </c>
      <c r="F4830" t="s">
        <v>691</v>
      </c>
      <c r="G4830" t="s">
        <v>28</v>
      </c>
      <c r="H4830" t="s">
        <v>58</v>
      </c>
      <c r="I4830" t="s">
        <v>65</v>
      </c>
      <c r="J4830">
        <v>42</v>
      </c>
      <c r="K4830">
        <v>1064.9000000000001</v>
      </c>
      <c r="L4830">
        <v>44725.61</v>
      </c>
      <c r="M4830">
        <v>23404.35</v>
      </c>
      <c r="N4830">
        <v>5378.98</v>
      </c>
      <c r="O4830">
        <v>1662.88</v>
      </c>
      <c r="P4830">
        <v>744.37</v>
      </c>
      <c r="Q4830">
        <v>563.67999999999995</v>
      </c>
      <c r="R4830">
        <v>1827.8</v>
      </c>
      <c r="S4830">
        <v>995.93</v>
      </c>
      <c r="T4830">
        <v>34578</v>
      </c>
      <c r="U4830">
        <v>21321.26</v>
      </c>
      <c r="V4830">
        <v>10147.6</v>
      </c>
      <c r="W4830">
        <v>9572.9699999999993</v>
      </c>
      <c r="X4830">
        <v>42955.74</v>
      </c>
      <c r="Y4830">
        <v>37197.660000000003</v>
      </c>
    </row>
    <row r="4831" spans="1:25" x14ac:dyDescent="0.25">
      <c r="A4831" t="s">
        <v>4887</v>
      </c>
      <c r="B4831" s="1">
        <v>46247</v>
      </c>
      <c r="C4831">
        <v>2026</v>
      </c>
      <c r="D4831">
        <v>8</v>
      </c>
      <c r="E4831" t="s">
        <v>814</v>
      </c>
      <c r="F4831" t="s">
        <v>691</v>
      </c>
      <c r="G4831" t="s">
        <v>55</v>
      </c>
      <c r="H4831" t="s">
        <v>32</v>
      </c>
      <c r="I4831" t="s">
        <v>50</v>
      </c>
      <c r="J4831">
        <v>75</v>
      </c>
      <c r="K4831">
        <v>864.86</v>
      </c>
      <c r="L4831">
        <v>64864.45</v>
      </c>
      <c r="M4831">
        <v>31163.14</v>
      </c>
      <c r="N4831">
        <v>7057.19</v>
      </c>
      <c r="O4831">
        <v>3558.79</v>
      </c>
      <c r="P4831">
        <v>1553.84</v>
      </c>
      <c r="Q4831">
        <v>660.45</v>
      </c>
      <c r="R4831">
        <v>4159.55</v>
      </c>
      <c r="S4831">
        <v>892.64</v>
      </c>
      <c r="T4831">
        <v>49045.59</v>
      </c>
      <c r="U4831">
        <v>33701.31</v>
      </c>
      <c r="V4831">
        <v>15818.86</v>
      </c>
      <c r="W4831">
        <v>15056.49</v>
      </c>
      <c r="X4831">
        <v>63904.4</v>
      </c>
      <c r="Y4831">
        <v>47963.07</v>
      </c>
    </row>
    <row r="4832" spans="1:25" x14ac:dyDescent="0.25">
      <c r="A4832" t="s">
        <v>4888</v>
      </c>
      <c r="B4832" s="1">
        <v>46247</v>
      </c>
      <c r="C4832">
        <v>2026</v>
      </c>
      <c r="D4832">
        <v>8</v>
      </c>
      <c r="E4832" t="s">
        <v>814</v>
      </c>
      <c r="F4832" t="s">
        <v>691</v>
      </c>
      <c r="G4832" t="s">
        <v>44</v>
      </c>
      <c r="H4832" t="s">
        <v>32</v>
      </c>
      <c r="I4832" t="s">
        <v>37</v>
      </c>
      <c r="J4832">
        <v>55</v>
      </c>
      <c r="K4832">
        <v>1748.21</v>
      </c>
      <c r="L4832">
        <v>96151.53</v>
      </c>
      <c r="M4832">
        <v>48921.61</v>
      </c>
      <c r="N4832">
        <v>12258.11</v>
      </c>
      <c r="O4832">
        <v>4171.08</v>
      </c>
      <c r="P4832">
        <v>1577.54</v>
      </c>
      <c r="Q4832">
        <v>635.33000000000004</v>
      </c>
      <c r="R4832">
        <v>4558.43</v>
      </c>
      <c r="S4832">
        <v>1439.5</v>
      </c>
      <c r="T4832">
        <v>73561.59</v>
      </c>
      <c r="U4832">
        <v>47229.919999999998</v>
      </c>
      <c r="V4832">
        <v>22589.94</v>
      </c>
      <c r="W4832">
        <v>22335.71</v>
      </c>
      <c r="X4832">
        <v>104739.75</v>
      </c>
      <c r="Y4832">
        <v>75311.490000000005</v>
      </c>
    </row>
    <row r="4833" spans="1:25" x14ac:dyDescent="0.25">
      <c r="A4833" t="s">
        <v>4889</v>
      </c>
      <c r="B4833" s="1">
        <v>46248</v>
      </c>
      <c r="C4833">
        <v>2026</v>
      </c>
      <c r="D4833">
        <v>8</v>
      </c>
      <c r="E4833" t="s">
        <v>814</v>
      </c>
      <c r="F4833" t="s">
        <v>691</v>
      </c>
      <c r="G4833" t="s">
        <v>35</v>
      </c>
      <c r="H4833" t="s">
        <v>29</v>
      </c>
      <c r="I4833" t="s">
        <v>50</v>
      </c>
      <c r="J4833">
        <v>38</v>
      </c>
      <c r="K4833">
        <v>1507.46</v>
      </c>
      <c r="L4833">
        <v>57283.32</v>
      </c>
      <c r="M4833">
        <v>30040.240000000002</v>
      </c>
      <c r="N4833">
        <v>5908.53</v>
      </c>
      <c r="O4833">
        <v>4231.66</v>
      </c>
      <c r="P4833">
        <v>1904</v>
      </c>
      <c r="Q4833">
        <v>451</v>
      </c>
      <c r="R4833">
        <v>3654.28</v>
      </c>
      <c r="S4833">
        <v>1394.33</v>
      </c>
      <c r="T4833">
        <v>47584.03</v>
      </c>
      <c r="U4833">
        <v>27243.08</v>
      </c>
      <c r="V4833">
        <v>9699.2800000000007</v>
      </c>
      <c r="W4833">
        <v>9197.0400000000009</v>
      </c>
      <c r="X4833">
        <v>53932.480000000003</v>
      </c>
      <c r="Y4833">
        <v>45793.86</v>
      </c>
    </row>
    <row r="4834" spans="1:25" x14ac:dyDescent="0.25">
      <c r="A4834" t="s">
        <v>4890</v>
      </c>
      <c r="B4834" s="1">
        <v>46248</v>
      </c>
      <c r="C4834">
        <v>2026</v>
      </c>
      <c r="D4834">
        <v>8</v>
      </c>
      <c r="E4834" t="s">
        <v>814</v>
      </c>
      <c r="F4834" t="s">
        <v>691</v>
      </c>
      <c r="G4834" t="s">
        <v>28</v>
      </c>
      <c r="H4834" t="s">
        <v>36</v>
      </c>
      <c r="I4834" t="s">
        <v>37</v>
      </c>
      <c r="J4834">
        <v>45</v>
      </c>
      <c r="K4834">
        <v>1530.98</v>
      </c>
      <c r="L4834">
        <v>68893.960000000006</v>
      </c>
      <c r="M4834">
        <v>36438.83</v>
      </c>
      <c r="N4834">
        <v>7818.09</v>
      </c>
      <c r="O4834">
        <v>3306.85</v>
      </c>
      <c r="P4834">
        <v>3035.18</v>
      </c>
      <c r="Q4834">
        <v>859.03</v>
      </c>
      <c r="R4834">
        <v>3706.06</v>
      </c>
      <c r="S4834">
        <v>1128.74</v>
      </c>
      <c r="T4834">
        <v>56292.78</v>
      </c>
      <c r="U4834">
        <v>32455.119999999999</v>
      </c>
      <c r="V4834">
        <v>12601.18</v>
      </c>
      <c r="W4834">
        <v>12394.86</v>
      </c>
      <c r="X4834">
        <v>63589.7</v>
      </c>
      <c r="Y4834">
        <v>53515.09</v>
      </c>
    </row>
    <row r="4835" spans="1:25" x14ac:dyDescent="0.25">
      <c r="A4835" t="s">
        <v>4891</v>
      </c>
      <c r="B4835" s="1">
        <v>46249</v>
      </c>
      <c r="C4835">
        <v>2026</v>
      </c>
      <c r="D4835">
        <v>8</v>
      </c>
      <c r="E4835" t="s">
        <v>814</v>
      </c>
      <c r="F4835" t="s">
        <v>691</v>
      </c>
      <c r="G4835" t="s">
        <v>44</v>
      </c>
      <c r="H4835" t="s">
        <v>58</v>
      </c>
      <c r="I4835" t="s">
        <v>45</v>
      </c>
      <c r="J4835">
        <v>38</v>
      </c>
      <c r="K4835">
        <v>1279.29</v>
      </c>
      <c r="L4835">
        <v>48613.02</v>
      </c>
      <c r="M4835">
        <v>24744.06</v>
      </c>
      <c r="N4835">
        <v>5867.89</v>
      </c>
      <c r="O4835">
        <v>3025.49</v>
      </c>
      <c r="P4835">
        <v>1379.72</v>
      </c>
      <c r="Q4835">
        <v>299.01</v>
      </c>
      <c r="R4835">
        <v>2360.37</v>
      </c>
      <c r="S4835">
        <v>524.76</v>
      </c>
      <c r="T4835">
        <v>38201.300000000003</v>
      </c>
      <c r="U4835">
        <v>23868.95</v>
      </c>
      <c r="V4835">
        <v>10411.719999999999</v>
      </c>
      <c r="W4835">
        <v>9867.14</v>
      </c>
      <c r="X4835">
        <v>52559.040000000001</v>
      </c>
      <c r="Y4835">
        <v>40032.18</v>
      </c>
    </row>
    <row r="4836" spans="1:25" x14ac:dyDescent="0.25">
      <c r="A4836" t="s">
        <v>4892</v>
      </c>
      <c r="B4836" s="1">
        <v>46250</v>
      </c>
      <c r="C4836">
        <v>2026</v>
      </c>
      <c r="D4836">
        <v>8</v>
      </c>
      <c r="E4836" t="s">
        <v>814</v>
      </c>
      <c r="F4836" t="s">
        <v>691</v>
      </c>
      <c r="G4836" t="s">
        <v>28</v>
      </c>
      <c r="H4836" t="s">
        <v>32</v>
      </c>
      <c r="I4836" t="s">
        <v>33</v>
      </c>
      <c r="J4836">
        <v>80</v>
      </c>
      <c r="K4836">
        <v>1284.43</v>
      </c>
      <c r="L4836">
        <v>102754.46</v>
      </c>
      <c r="M4836">
        <v>61209.440000000002</v>
      </c>
      <c r="N4836">
        <v>12122.53</v>
      </c>
      <c r="O4836">
        <v>5518.87</v>
      </c>
      <c r="P4836">
        <v>4020.48</v>
      </c>
      <c r="Q4836">
        <v>1531.9</v>
      </c>
      <c r="R4836">
        <v>3306.33</v>
      </c>
      <c r="S4836">
        <v>2041.44</v>
      </c>
      <c r="T4836">
        <v>89751</v>
      </c>
      <c r="U4836">
        <v>41545.019999999997</v>
      </c>
      <c r="V4836">
        <v>13003.46</v>
      </c>
      <c r="W4836">
        <v>12662.47</v>
      </c>
      <c r="X4836">
        <v>95207.08</v>
      </c>
      <c r="Y4836">
        <v>95333.42</v>
      </c>
    </row>
    <row r="4837" spans="1:25" x14ac:dyDescent="0.25">
      <c r="A4837" t="s">
        <v>4893</v>
      </c>
      <c r="B4837" s="1">
        <v>46250</v>
      </c>
      <c r="C4837">
        <v>2026</v>
      </c>
      <c r="D4837">
        <v>8</v>
      </c>
      <c r="E4837" t="s">
        <v>814</v>
      </c>
      <c r="F4837" t="s">
        <v>691</v>
      </c>
      <c r="G4837" t="s">
        <v>44</v>
      </c>
      <c r="H4837" t="s">
        <v>29</v>
      </c>
      <c r="I4837" t="s">
        <v>65</v>
      </c>
      <c r="J4837">
        <v>55</v>
      </c>
      <c r="K4837">
        <v>1048.3499999999999</v>
      </c>
      <c r="L4837">
        <v>57659.12</v>
      </c>
      <c r="M4837">
        <v>33351.21</v>
      </c>
      <c r="N4837">
        <v>7075.84</v>
      </c>
      <c r="O4837">
        <v>1667.92</v>
      </c>
      <c r="P4837">
        <v>1950.83</v>
      </c>
      <c r="Q4837">
        <v>933.17</v>
      </c>
      <c r="R4837">
        <v>1769.25</v>
      </c>
      <c r="S4837">
        <v>789.84</v>
      </c>
      <c r="T4837">
        <v>47538.06</v>
      </c>
      <c r="U4837">
        <v>24307.91</v>
      </c>
      <c r="V4837">
        <v>10121.06</v>
      </c>
      <c r="W4837">
        <v>10019.200000000001</v>
      </c>
      <c r="X4837">
        <v>53847.42</v>
      </c>
      <c r="Y4837">
        <v>50131.26</v>
      </c>
    </row>
    <row r="4838" spans="1:25" x14ac:dyDescent="0.25">
      <c r="A4838" t="s">
        <v>4894</v>
      </c>
      <c r="B4838" s="1">
        <v>46251</v>
      </c>
      <c r="C4838">
        <v>2026</v>
      </c>
      <c r="D4838">
        <v>8</v>
      </c>
      <c r="E4838" t="s">
        <v>814</v>
      </c>
      <c r="F4838" t="s">
        <v>691</v>
      </c>
      <c r="G4838" t="s">
        <v>28</v>
      </c>
      <c r="H4838" t="s">
        <v>36</v>
      </c>
      <c r="I4838" t="s">
        <v>56</v>
      </c>
      <c r="J4838">
        <v>33</v>
      </c>
      <c r="K4838">
        <v>1393.98</v>
      </c>
      <c r="L4838">
        <v>46001.43</v>
      </c>
      <c r="M4838">
        <v>24537.99</v>
      </c>
      <c r="N4838">
        <v>3410.22</v>
      </c>
      <c r="O4838">
        <v>1213.06</v>
      </c>
      <c r="P4838">
        <v>1465.16</v>
      </c>
      <c r="Q4838">
        <v>299.99</v>
      </c>
      <c r="R4838">
        <v>1560.46</v>
      </c>
      <c r="S4838">
        <v>612.63</v>
      </c>
      <c r="T4838">
        <v>33099.51</v>
      </c>
      <c r="U4838">
        <v>21463.439999999999</v>
      </c>
      <c r="V4838">
        <v>12901.92</v>
      </c>
      <c r="W4838">
        <v>12724.86</v>
      </c>
      <c r="X4838">
        <v>47714.66</v>
      </c>
      <c r="Y4838">
        <v>33008.94</v>
      </c>
    </row>
    <row r="4839" spans="1:25" x14ac:dyDescent="0.25">
      <c r="A4839" t="s">
        <v>4895</v>
      </c>
      <c r="B4839" s="1">
        <v>46251</v>
      </c>
      <c r="C4839">
        <v>2026</v>
      </c>
      <c r="D4839">
        <v>8</v>
      </c>
      <c r="E4839" t="s">
        <v>814</v>
      </c>
      <c r="F4839" t="s">
        <v>691</v>
      </c>
      <c r="G4839" t="s">
        <v>55</v>
      </c>
      <c r="H4839" t="s">
        <v>32</v>
      </c>
      <c r="I4839" t="s">
        <v>50</v>
      </c>
      <c r="J4839">
        <v>53</v>
      </c>
      <c r="K4839">
        <v>1379.85</v>
      </c>
      <c r="L4839">
        <v>73131.8</v>
      </c>
      <c r="M4839">
        <v>43976.99</v>
      </c>
      <c r="N4839">
        <v>6669.95</v>
      </c>
      <c r="O4839">
        <v>4870.25</v>
      </c>
      <c r="P4839">
        <v>1472.83</v>
      </c>
      <c r="Q4839">
        <v>1059.3699999999999</v>
      </c>
      <c r="R4839">
        <v>3856.13</v>
      </c>
      <c r="S4839">
        <v>980.52</v>
      </c>
      <c r="T4839">
        <v>62886.04</v>
      </c>
      <c r="U4839">
        <v>29154.81</v>
      </c>
      <c r="V4839">
        <v>10245.76</v>
      </c>
      <c r="W4839">
        <v>10152.89</v>
      </c>
      <c r="X4839">
        <v>75513.09</v>
      </c>
      <c r="Y4839">
        <v>63476.56</v>
      </c>
    </row>
    <row r="4840" spans="1:25" x14ac:dyDescent="0.25">
      <c r="A4840" t="s">
        <v>4896</v>
      </c>
      <c r="B4840" s="1">
        <v>46251</v>
      </c>
      <c r="C4840">
        <v>2026</v>
      </c>
      <c r="D4840">
        <v>8</v>
      </c>
      <c r="E4840" t="s">
        <v>814</v>
      </c>
      <c r="F4840" t="s">
        <v>691</v>
      </c>
      <c r="G4840" t="s">
        <v>44</v>
      </c>
      <c r="H4840" t="s">
        <v>53</v>
      </c>
      <c r="I4840" t="s">
        <v>50</v>
      </c>
      <c r="J4840">
        <v>37</v>
      </c>
      <c r="K4840">
        <v>1075.93</v>
      </c>
      <c r="L4840">
        <v>39809.35</v>
      </c>
      <c r="M4840">
        <v>25568.639999999999</v>
      </c>
      <c r="N4840">
        <v>3677.74</v>
      </c>
      <c r="O4840">
        <v>1955.78</v>
      </c>
      <c r="P4840">
        <v>1320.51</v>
      </c>
      <c r="Q4840">
        <v>710.19</v>
      </c>
      <c r="R4840">
        <v>2204.69</v>
      </c>
      <c r="S4840">
        <v>813.43</v>
      </c>
      <c r="T4840">
        <v>36250.980000000003</v>
      </c>
      <c r="U4840">
        <v>14240.71</v>
      </c>
      <c r="V4840">
        <v>3558.37</v>
      </c>
      <c r="W4840">
        <v>3624.97</v>
      </c>
      <c r="X4840">
        <v>41031.870000000003</v>
      </c>
      <c r="Y4840">
        <v>36065.769999999997</v>
      </c>
    </row>
    <row r="4841" spans="1:25" x14ac:dyDescent="0.25">
      <c r="A4841" t="s">
        <v>4897</v>
      </c>
      <c r="B4841" s="1">
        <v>46251</v>
      </c>
      <c r="C4841">
        <v>2026</v>
      </c>
      <c r="D4841">
        <v>8</v>
      </c>
      <c r="E4841" t="s">
        <v>814</v>
      </c>
      <c r="F4841" t="s">
        <v>691</v>
      </c>
      <c r="G4841" t="s">
        <v>28</v>
      </c>
      <c r="H4841" t="s">
        <v>36</v>
      </c>
      <c r="I4841" t="s">
        <v>37</v>
      </c>
      <c r="J4841">
        <v>91</v>
      </c>
      <c r="K4841">
        <v>910.99</v>
      </c>
      <c r="L4841">
        <v>82900.09</v>
      </c>
      <c r="M4841">
        <v>42829.93</v>
      </c>
      <c r="N4841">
        <v>9636.9</v>
      </c>
      <c r="O4841">
        <v>4625.8999999999996</v>
      </c>
      <c r="P4841">
        <v>2066.23</v>
      </c>
      <c r="Q4841">
        <v>1054.71</v>
      </c>
      <c r="R4841">
        <v>2680.36</v>
      </c>
      <c r="S4841">
        <v>1808.15</v>
      </c>
      <c r="T4841">
        <v>64702.18</v>
      </c>
      <c r="U4841">
        <v>40070.160000000003</v>
      </c>
      <c r="V4841">
        <v>18197.91</v>
      </c>
      <c r="W4841">
        <v>17433.91</v>
      </c>
      <c r="X4841">
        <v>92742.34</v>
      </c>
      <c r="Y4841">
        <v>63244.18</v>
      </c>
    </row>
    <row r="4842" spans="1:25" x14ac:dyDescent="0.25">
      <c r="A4842" t="s">
        <v>4898</v>
      </c>
      <c r="B4842" s="1">
        <v>46251</v>
      </c>
      <c r="C4842">
        <v>2026</v>
      </c>
      <c r="D4842">
        <v>8</v>
      </c>
      <c r="E4842" t="s">
        <v>814</v>
      </c>
      <c r="F4842" t="s">
        <v>691</v>
      </c>
      <c r="G4842" t="s">
        <v>35</v>
      </c>
      <c r="H4842" t="s">
        <v>53</v>
      </c>
      <c r="I4842" t="s">
        <v>50</v>
      </c>
      <c r="J4842">
        <v>22</v>
      </c>
      <c r="K4842">
        <v>1397.99</v>
      </c>
      <c r="L4842">
        <v>30755.73</v>
      </c>
      <c r="M4842">
        <v>19603.919999999998</v>
      </c>
      <c r="N4842">
        <v>3281.59</v>
      </c>
      <c r="O4842">
        <v>1950.87</v>
      </c>
      <c r="P4842">
        <v>1322.45</v>
      </c>
      <c r="Q4842">
        <v>519.21</v>
      </c>
      <c r="R4842">
        <v>1690.27</v>
      </c>
      <c r="S4842">
        <v>663.14</v>
      </c>
      <c r="T4842">
        <v>29031.47</v>
      </c>
      <c r="U4842">
        <v>11151.81</v>
      </c>
      <c r="V4842">
        <v>1724.26</v>
      </c>
      <c r="W4842">
        <v>1731.81</v>
      </c>
      <c r="X4842">
        <v>31812.27</v>
      </c>
      <c r="Y4842">
        <v>28777.46</v>
      </c>
    </row>
    <row r="4843" spans="1:25" x14ac:dyDescent="0.25">
      <c r="A4843" t="s">
        <v>4899</v>
      </c>
      <c r="B4843" s="1">
        <v>46251</v>
      </c>
      <c r="C4843">
        <v>2026</v>
      </c>
      <c r="D4843">
        <v>8</v>
      </c>
      <c r="E4843" t="s">
        <v>814</v>
      </c>
      <c r="F4843" t="s">
        <v>691</v>
      </c>
      <c r="G4843" t="s">
        <v>55</v>
      </c>
      <c r="H4843" t="s">
        <v>58</v>
      </c>
      <c r="I4843" t="s">
        <v>39</v>
      </c>
      <c r="J4843">
        <v>40</v>
      </c>
      <c r="K4843">
        <v>1273.83</v>
      </c>
      <c r="L4843">
        <v>50953.38</v>
      </c>
      <c r="M4843">
        <v>33838.76</v>
      </c>
      <c r="N4843">
        <v>6301.26</v>
      </c>
      <c r="O4843">
        <v>3351.62</v>
      </c>
      <c r="P4843">
        <v>1961.17</v>
      </c>
      <c r="Q4843">
        <v>612.98</v>
      </c>
      <c r="R4843">
        <v>2934.24</v>
      </c>
      <c r="S4843">
        <v>1271.3499999999999</v>
      </c>
      <c r="T4843">
        <v>50271.39</v>
      </c>
      <c r="U4843">
        <v>17114.62</v>
      </c>
      <c r="V4843">
        <v>681.99</v>
      </c>
      <c r="W4843">
        <v>628.29</v>
      </c>
      <c r="X4843">
        <v>57021.09</v>
      </c>
      <c r="Y4843">
        <v>50063.9</v>
      </c>
    </row>
    <row r="4844" spans="1:25" x14ac:dyDescent="0.25">
      <c r="A4844" t="s">
        <v>4900</v>
      </c>
      <c r="B4844" s="1">
        <v>46251</v>
      </c>
      <c r="C4844">
        <v>2026</v>
      </c>
      <c r="D4844">
        <v>8</v>
      </c>
      <c r="E4844" t="s">
        <v>814</v>
      </c>
      <c r="F4844" t="s">
        <v>691</v>
      </c>
      <c r="G4844" t="s">
        <v>28</v>
      </c>
      <c r="H4844" t="s">
        <v>32</v>
      </c>
      <c r="I4844" t="s">
        <v>50</v>
      </c>
      <c r="J4844">
        <v>91</v>
      </c>
      <c r="K4844">
        <v>871.42</v>
      </c>
      <c r="L4844">
        <v>79299.37</v>
      </c>
      <c r="M4844">
        <v>38763.279999999999</v>
      </c>
      <c r="N4844">
        <v>6786.32</v>
      </c>
      <c r="O4844">
        <v>5594.53</v>
      </c>
      <c r="P4844">
        <v>1926.98</v>
      </c>
      <c r="Q4844">
        <v>918.17</v>
      </c>
      <c r="R4844">
        <v>4963.6400000000003</v>
      </c>
      <c r="S4844">
        <v>1193.04</v>
      </c>
      <c r="T4844">
        <v>60145.96</v>
      </c>
      <c r="U4844">
        <v>40536.089999999997</v>
      </c>
      <c r="V4844">
        <v>19153.41</v>
      </c>
      <c r="W4844">
        <v>17620.02</v>
      </c>
      <c r="X4844">
        <v>81391.55</v>
      </c>
      <c r="Y4844">
        <v>63323.42</v>
      </c>
    </row>
    <row r="4845" spans="1:25" x14ac:dyDescent="0.25">
      <c r="A4845" t="s">
        <v>4901</v>
      </c>
      <c r="B4845" s="1">
        <v>46252</v>
      </c>
      <c r="C4845">
        <v>2026</v>
      </c>
      <c r="D4845">
        <v>8</v>
      </c>
      <c r="E4845" t="s">
        <v>814</v>
      </c>
      <c r="F4845" t="s">
        <v>691</v>
      </c>
      <c r="G4845" t="s">
        <v>35</v>
      </c>
      <c r="H4845" t="s">
        <v>32</v>
      </c>
      <c r="I4845" t="s">
        <v>30</v>
      </c>
      <c r="J4845">
        <v>50</v>
      </c>
      <c r="K4845">
        <v>1474.72</v>
      </c>
      <c r="L4845">
        <v>73735.759999999995</v>
      </c>
      <c r="M4845">
        <v>48395.9</v>
      </c>
      <c r="N4845">
        <v>9511.66</v>
      </c>
      <c r="O4845">
        <v>5387.48</v>
      </c>
      <c r="P4845">
        <v>1219.98</v>
      </c>
      <c r="Q4845">
        <v>418.84</v>
      </c>
      <c r="R4845">
        <v>2184.8200000000002</v>
      </c>
      <c r="S4845">
        <v>762.42</v>
      </c>
      <c r="T4845">
        <v>67881.100000000006</v>
      </c>
      <c r="U4845">
        <v>25339.86</v>
      </c>
      <c r="V4845">
        <v>5854.66</v>
      </c>
      <c r="W4845">
        <v>5396.62</v>
      </c>
      <c r="X4845">
        <v>68358.490000000005</v>
      </c>
      <c r="Y4845">
        <v>65761.23</v>
      </c>
    </row>
    <row r="4846" spans="1:25" x14ac:dyDescent="0.25">
      <c r="A4846" t="s">
        <v>4902</v>
      </c>
      <c r="B4846" s="1">
        <v>46252</v>
      </c>
      <c r="C4846">
        <v>2026</v>
      </c>
      <c r="D4846">
        <v>8</v>
      </c>
      <c r="E4846" t="s">
        <v>814</v>
      </c>
      <c r="F4846" t="s">
        <v>691</v>
      </c>
      <c r="G4846" t="s">
        <v>44</v>
      </c>
      <c r="H4846" t="s">
        <v>36</v>
      </c>
      <c r="I4846" t="s">
        <v>45</v>
      </c>
      <c r="J4846">
        <v>35</v>
      </c>
      <c r="K4846">
        <v>1499.14</v>
      </c>
      <c r="L4846">
        <v>52469.8</v>
      </c>
      <c r="M4846">
        <v>29434.15</v>
      </c>
      <c r="N4846">
        <v>6419.07</v>
      </c>
      <c r="O4846">
        <v>2470.92</v>
      </c>
      <c r="P4846">
        <v>1300.71</v>
      </c>
      <c r="Q4846">
        <v>673.21</v>
      </c>
      <c r="R4846">
        <v>1772.34</v>
      </c>
      <c r="S4846">
        <v>518.54999999999995</v>
      </c>
      <c r="T4846">
        <v>42588.95</v>
      </c>
      <c r="U4846">
        <v>23035.65</v>
      </c>
      <c r="V4846">
        <v>9880.85</v>
      </c>
      <c r="W4846">
        <v>9887.3799999999992</v>
      </c>
      <c r="X4846">
        <v>48745.19</v>
      </c>
      <c r="Y4846">
        <v>42261.599999999999</v>
      </c>
    </row>
    <row r="4847" spans="1:25" x14ac:dyDescent="0.25">
      <c r="A4847" t="s">
        <v>4903</v>
      </c>
      <c r="B4847" s="1">
        <v>46252</v>
      </c>
      <c r="C4847">
        <v>2026</v>
      </c>
      <c r="D4847">
        <v>8</v>
      </c>
      <c r="E4847" t="s">
        <v>814</v>
      </c>
      <c r="F4847" t="s">
        <v>691</v>
      </c>
      <c r="G4847" t="s">
        <v>55</v>
      </c>
      <c r="H4847" t="s">
        <v>53</v>
      </c>
      <c r="I4847" t="s">
        <v>65</v>
      </c>
      <c r="J4847">
        <v>46</v>
      </c>
      <c r="K4847">
        <v>1027.28</v>
      </c>
      <c r="L4847">
        <v>47254.69</v>
      </c>
      <c r="M4847">
        <v>28793.119999999999</v>
      </c>
      <c r="N4847">
        <v>5938.38</v>
      </c>
      <c r="O4847">
        <v>3181.11</v>
      </c>
      <c r="P4847">
        <v>1659.82</v>
      </c>
      <c r="Q4847">
        <v>819.39</v>
      </c>
      <c r="R4847">
        <v>2817.7</v>
      </c>
      <c r="S4847">
        <v>673.43</v>
      </c>
      <c r="T4847">
        <v>43882.95</v>
      </c>
      <c r="U4847">
        <v>18461.580000000002</v>
      </c>
      <c r="V4847">
        <v>3371.75</v>
      </c>
      <c r="W4847">
        <v>3358.67</v>
      </c>
      <c r="X4847">
        <v>51967.3</v>
      </c>
      <c r="Y4847">
        <v>41776.6</v>
      </c>
    </row>
    <row r="4848" spans="1:25" x14ac:dyDescent="0.25">
      <c r="A4848" t="s">
        <v>4904</v>
      </c>
      <c r="B4848" s="1">
        <v>46252</v>
      </c>
      <c r="C4848">
        <v>2026</v>
      </c>
      <c r="D4848">
        <v>8</v>
      </c>
      <c r="E4848" t="s">
        <v>814</v>
      </c>
      <c r="F4848" t="s">
        <v>691</v>
      </c>
      <c r="G4848" t="s">
        <v>44</v>
      </c>
      <c r="H4848" t="s">
        <v>32</v>
      </c>
      <c r="I4848" t="s">
        <v>37</v>
      </c>
      <c r="J4848">
        <v>67</v>
      </c>
      <c r="K4848">
        <v>1136.78</v>
      </c>
      <c r="L4848">
        <v>76164.39</v>
      </c>
      <c r="M4848">
        <v>51356.72</v>
      </c>
      <c r="N4848">
        <v>9783.25</v>
      </c>
      <c r="O4848">
        <v>2168.29</v>
      </c>
      <c r="P4848">
        <v>2824.67</v>
      </c>
      <c r="Q4848">
        <v>509.39</v>
      </c>
      <c r="R4848">
        <v>3184.4</v>
      </c>
      <c r="S4848">
        <v>1387.58</v>
      </c>
      <c r="T4848">
        <v>71214.3</v>
      </c>
      <c r="U4848">
        <v>24807.67</v>
      </c>
      <c r="V4848">
        <v>4950.09</v>
      </c>
      <c r="W4848">
        <v>4394.29</v>
      </c>
      <c r="X4848">
        <v>83460.210000000006</v>
      </c>
      <c r="Y4848">
        <v>76355.27</v>
      </c>
    </row>
    <row r="4849" spans="1:25" x14ac:dyDescent="0.25">
      <c r="A4849" t="s">
        <v>4905</v>
      </c>
      <c r="B4849" s="1">
        <v>46252</v>
      </c>
      <c r="C4849">
        <v>2026</v>
      </c>
      <c r="D4849">
        <v>8</v>
      </c>
      <c r="E4849" t="s">
        <v>814</v>
      </c>
      <c r="F4849" t="s">
        <v>691</v>
      </c>
      <c r="G4849" t="s">
        <v>55</v>
      </c>
      <c r="H4849" t="s">
        <v>29</v>
      </c>
      <c r="I4849" t="s">
        <v>30</v>
      </c>
      <c r="J4849">
        <v>66</v>
      </c>
      <c r="K4849">
        <v>1529.44</v>
      </c>
      <c r="L4849">
        <v>100942.76</v>
      </c>
      <c r="M4849">
        <v>57498.400000000001</v>
      </c>
      <c r="N4849">
        <v>11876.47</v>
      </c>
      <c r="O4849">
        <v>4210.59</v>
      </c>
      <c r="P4849">
        <v>1730.35</v>
      </c>
      <c r="Q4849">
        <v>1760.63</v>
      </c>
      <c r="R4849">
        <v>2840.69</v>
      </c>
      <c r="S4849">
        <v>1437.33</v>
      </c>
      <c r="T4849">
        <v>81354.460000000006</v>
      </c>
      <c r="U4849">
        <v>43444.36</v>
      </c>
      <c r="V4849">
        <v>19588.310000000001</v>
      </c>
      <c r="W4849">
        <v>19796.71</v>
      </c>
      <c r="X4849">
        <v>112652.31</v>
      </c>
      <c r="Y4849">
        <v>88511.51</v>
      </c>
    </row>
    <row r="4850" spans="1:25" x14ac:dyDescent="0.25">
      <c r="A4850" t="s">
        <v>4906</v>
      </c>
      <c r="B4850" s="1">
        <v>46252</v>
      </c>
      <c r="C4850">
        <v>2026</v>
      </c>
      <c r="D4850">
        <v>8</v>
      </c>
      <c r="E4850" t="s">
        <v>814</v>
      </c>
      <c r="F4850" t="s">
        <v>691</v>
      </c>
      <c r="G4850" t="s">
        <v>44</v>
      </c>
      <c r="H4850" t="s">
        <v>32</v>
      </c>
      <c r="I4850" t="s">
        <v>33</v>
      </c>
      <c r="J4850">
        <v>93</v>
      </c>
      <c r="K4850">
        <v>1101.5899999999999</v>
      </c>
      <c r="L4850">
        <v>102448.28</v>
      </c>
      <c r="M4850">
        <v>52282.87</v>
      </c>
      <c r="N4850">
        <v>12514.76</v>
      </c>
      <c r="O4850">
        <v>6933.59</v>
      </c>
      <c r="P4850">
        <v>3225.24</v>
      </c>
      <c r="Q4850">
        <v>603.04</v>
      </c>
      <c r="R4850">
        <v>4394.09</v>
      </c>
      <c r="S4850">
        <v>2135.6</v>
      </c>
      <c r="T4850">
        <v>82089.19</v>
      </c>
      <c r="U4850">
        <v>50165.41</v>
      </c>
      <c r="V4850">
        <v>20359.09</v>
      </c>
      <c r="W4850">
        <v>18303.09</v>
      </c>
      <c r="X4850">
        <v>101377.99</v>
      </c>
      <c r="Y4850">
        <v>83747.8</v>
      </c>
    </row>
    <row r="4851" spans="1:25" x14ac:dyDescent="0.25">
      <c r="A4851" t="s">
        <v>4907</v>
      </c>
      <c r="B4851" s="1">
        <v>46253</v>
      </c>
      <c r="C4851">
        <v>2026</v>
      </c>
      <c r="D4851">
        <v>8</v>
      </c>
      <c r="E4851" t="s">
        <v>814</v>
      </c>
      <c r="F4851" t="s">
        <v>691</v>
      </c>
      <c r="G4851" t="s">
        <v>55</v>
      </c>
      <c r="H4851" t="s">
        <v>29</v>
      </c>
      <c r="I4851" t="s">
        <v>39</v>
      </c>
      <c r="J4851">
        <v>35</v>
      </c>
      <c r="K4851">
        <v>1142.27</v>
      </c>
      <c r="L4851">
        <v>39979.47</v>
      </c>
      <c r="M4851">
        <v>22629.93</v>
      </c>
      <c r="N4851">
        <v>4170.7</v>
      </c>
      <c r="O4851">
        <v>1810.09</v>
      </c>
      <c r="P4851">
        <v>1324</v>
      </c>
      <c r="Q4851">
        <v>381.34</v>
      </c>
      <c r="R4851">
        <v>1619.72</v>
      </c>
      <c r="S4851">
        <v>614.71</v>
      </c>
      <c r="T4851">
        <v>32550.49</v>
      </c>
      <c r="U4851">
        <v>17349.54</v>
      </c>
      <c r="V4851">
        <v>7428.99</v>
      </c>
      <c r="W4851">
        <v>7238.26</v>
      </c>
      <c r="X4851">
        <v>43264.93</v>
      </c>
      <c r="Y4851">
        <v>34679.279999999999</v>
      </c>
    </row>
    <row r="4852" spans="1:25" x14ac:dyDescent="0.25">
      <c r="A4852" t="s">
        <v>4908</v>
      </c>
      <c r="B4852" s="1">
        <v>46253</v>
      </c>
      <c r="C4852">
        <v>2026</v>
      </c>
      <c r="D4852">
        <v>8</v>
      </c>
      <c r="E4852" t="s">
        <v>814</v>
      </c>
      <c r="F4852" t="s">
        <v>691</v>
      </c>
      <c r="G4852" t="s">
        <v>28</v>
      </c>
      <c r="H4852" t="s">
        <v>32</v>
      </c>
      <c r="I4852" t="s">
        <v>45</v>
      </c>
      <c r="J4852">
        <v>39</v>
      </c>
      <c r="K4852">
        <v>1182.5999999999999</v>
      </c>
      <c r="L4852">
        <v>46121.279999999999</v>
      </c>
      <c r="M4852">
        <v>23069.53</v>
      </c>
      <c r="N4852">
        <v>3908.01</v>
      </c>
      <c r="O4852">
        <v>1370.56</v>
      </c>
      <c r="P4852">
        <v>1475.47</v>
      </c>
      <c r="Q4852">
        <v>493.68</v>
      </c>
      <c r="R4852">
        <v>1915.19</v>
      </c>
      <c r="S4852">
        <v>482.89</v>
      </c>
      <c r="T4852">
        <v>32715.33</v>
      </c>
      <c r="U4852">
        <v>23051.75</v>
      </c>
      <c r="V4852">
        <v>13405.95</v>
      </c>
      <c r="W4852">
        <v>13388.07</v>
      </c>
      <c r="X4852">
        <v>49373.3</v>
      </c>
      <c r="Y4852">
        <v>32844.61</v>
      </c>
    </row>
    <row r="4853" spans="1:25" x14ac:dyDescent="0.25">
      <c r="A4853" t="s">
        <v>4909</v>
      </c>
      <c r="B4853" s="1">
        <v>46253</v>
      </c>
      <c r="C4853">
        <v>2026</v>
      </c>
      <c r="D4853">
        <v>8</v>
      </c>
      <c r="E4853" t="s">
        <v>814</v>
      </c>
      <c r="F4853" t="s">
        <v>691</v>
      </c>
      <c r="G4853" t="s">
        <v>44</v>
      </c>
      <c r="H4853" t="s">
        <v>53</v>
      </c>
      <c r="I4853" t="s">
        <v>45</v>
      </c>
      <c r="J4853">
        <v>30</v>
      </c>
      <c r="K4853">
        <v>1202.9100000000001</v>
      </c>
      <c r="L4853">
        <v>36087.32</v>
      </c>
      <c r="M4853">
        <v>23972.84</v>
      </c>
      <c r="N4853">
        <v>3691.78</v>
      </c>
      <c r="O4853">
        <v>2576.21</v>
      </c>
      <c r="P4853">
        <v>1565.34</v>
      </c>
      <c r="Q4853">
        <v>349.84</v>
      </c>
      <c r="R4853">
        <v>1357.5</v>
      </c>
      <c r="S4853">
        <v>587.58000000000004</v>
      </c>
      <c r="T4853">
        <v>34101.089999999997</v>
      </c>
      <c r="U4853">
        <v>12114.49</v>
      </c>
      <c r="V4853">
        <v>1986.23</v>
      </c>
      <c r="W4853">
        <v>1973.47</v>
      </c>
      <c r="X4853">
        <v>37403.129999999997</v>
      </c>
      <c r="Y4853">
        <v>36082.5</v>
      </c>
    </row>
    <row r="4854" spans="1:25" x14ac:dyDescent="0.25">
      <c r="A4854" t="s">
        <v>4910</v>
      </c>
      <c r="B4854" s="1">
        <v>46253</v>
      </c>
      <c r="C4854">
        <v>2026</v>
      </c>
      <c r="D4854">
        <v>8</v>
      </c>
      <c r="E4854" t="s">
        <v>814</v>
      </c>
      <c r="F4854" t="s">
        <v>691</v>
      </c>
      <c r="G4854" t="s">
        <v>28</v>
      </c>
      <c r="H4854" t="s">
        <v>36</v>
      </c>
      <c r="I4854" t="s">
        <v>37</v>
      </c>
      <c r="J4854">
        <v>38</v>
      </c>
      <c r="K4854">
        <v>1478.3</v>
      </c>
      <c r="L4854">
        <v>56175.5</v>
      </c>
      <c r="M4854">
        <v>34944.74</v>
      </c>
      <c r="N4854">
        <v>6057.37</v>
      </c>
      <c r="O4854">
        <v>3383.35</v>
      </c>
      <c r="P4854">
        <v>2410.4299999999998</v>
      </c>
      <c r="Q4854">
        <v>656.45</v>
      </c>
      <c r="R4854">
        <v>2867.81</v>
      </c>
      <c r="S4854">
        <v>1148.68</v>
      </c>
      <c r="T4854">
        <v>51468.84</v>
      </c>
      <c r="U4854">
        <v>21230.76</v>
      </c>
      <c r="V4854">
        <v>4706.66</v>
      </c>
      <c r="W4854">
        <v>4630.3900000000003</v>
      </c>
      <c r="X4854">
        <v>59864.83</v>
      </c>
      <c r="Y4854">
        <v>51282.9</v>
      </c>
    </row>
    <row r="4855" spans="1:25" x14ac:dyDescent="0.25">
      <c r="A4855" t="s">
        <v>4911</v>
      </c>
      <c r="B4855" s="1">
        <v>46253</v>
      </c>
      <c r="C4855">
        <v>2026</v>
      </c>
      <c r="D4855">
        <v>8</v>
      </c>
      <c r="E4855" t="s">
        <v>814</v>
      </c>
      <c r="F4855" t="s">
        <v>691</v>
      </c>
      <c r="G4855" t="s">
        <v>28</v>
      </c>
      <c r="H4855" t="s">
        <v>32</v>
      </c>
      <c r="I4855" t="s">
        <v>39</v>
      </c>
      <c r="J4855">
        <v>44</v>
      </c>
      <c r="K4855">
        <v>1388.5</v>
      </c>
      <c r="L4855">
        <v>61094.07</v>
      </c>
      <c r="M4855">
        <v>41332.769999999997</v>
      </c>
      <c r="N4855">
        <v>7606.51</v>
      </c>
      <c r="O4855">
        <v>1856.96</v>
      </c>
      <c r="P4855">
        <v>1900.71</v>
      </c>
      <c r="Q4855">
        <v>854.37</v>
      </c>
      <c r="R4855">
        <v>3358.7</v>
      </c>
      <c r="S4855">
        <v>679.19</v>
      </c>
      <c r="T4855">
        <v>57589.21</v>
      </c>
      <c r="U4855">
        <v>19761.310000000001</v>
      </c>
      <c r="V4855">
        <v>3504.87</v>
      </c>
      <c r="W4855">
        <v>3506.27</v>
      </c>
      <c r="X4855">
        <v>62898.99</v>
      </c>
      <c r="Y4855">
        <v>56692.38</v>
      </c>
    </row>
    <row r="4856" spans="1:25" x14ac:dyDescent="0.25">
      <c r="A4856" t="s">
        <v>4912</v>
      </c>
      <c r="B4856" s="1">
        <v>46253</v>
      </c>
      <c r="C4856">
        <v>2026</v>
      </c>
      <c r="D4856">
        <v>8</v>
      </c>
      <c r="E4856" t="s">
        <v>814</v>
      </c>
      <c r="F4856" t="s">
        <v>691</v>
      </c>
      <c r="G4856" t="s">
        <v>55</v>
      </c>
      <c r="H4856" t="s">
        <v>58</v>
      </c>
      <c r="I4856" t="s">
        <v>39</v>
      </c>
      <c r="J4856">
        <v>38</v>
      </c>
      <c r="K4856">
        <v>1019.79</v>
      </c>
      <c r="L4856">
        <v>38752.04</v>
      </c>
      <c r="M4856">
        <v>23860.59</v>
      </c>
      <c r="N4856">
        <v>4262.49</v>
      </c>
      <c r="O4856">
        <v>2416.4</v>
      </c>
      <c r="P4856">
        <v>1660.21</v>
      </c>
      <c r="Q4856">
        <v>201.23</v>
      </c>
      <c r="R4856">
        <v>1449.02</v>
      </c>
      <c r="S4856">
        <v>909.68</v>
      </c>
      <c r="T4856">
        <v>34759.620000000003</v>
      </c>
      <c r="U4856">
        <v>14891.45</v>
      </c>
      <c r="V4856">
        <v>3992.42</v>
      </c>
      <c r="W4856">
        <v>3811.62</v>
      </c>
      <c r="X4856">
        <v>40763.410000000003</v>
      </c>
      <c r="Y4856">
        <v>32716.01</v>
      </c>
    </row>
    <row r="4857" spans="1:25" x14ac:dyDescent="0.25">
      <c r="A4857" t="s">
        <v>4913</v>
      </c>
      <c r="B4857" s="1">
        <v>46253</v>
      </c>
      <c r="C4857">
        <v>2026</v>
      </c>
      <c r="D4857">
        <v>8</v>
      </c>
      <c r="E4857" t="s">
        <v>814</v>
      </c>
      <c r="F4857" t="s">
        <v>691</v>
      </c>
      <c r="G4857" t="s">
        <v>55</v>
      </c>
      <c r="H4857" t="s">
        <v>32</v>
      </c>
      <c r="I4857" t="s">
        <v>37</v>
      </c>
      <c r="J4857">
        <v>53</v>
      </c>
      <c r="K4857">
        <v>1396.41</v>
      </c>
      <c r="L4857">
        <v>74009.83</v>
      </c>
      <c r="M4857">
        <v>40414.85</v>
      </c>
      <c r="N4857">
        <v>6923.4</v>
      </c>
      <c r="O4857">
        <v>4580.42</v>
      </c>
      <c r="P4857">
        <v>1432.04</v>
      </c>
      <c r="Q4857">
        <v>1227.18</v>
      </c>
      <c r="R4857">
        <v>2466.2199999999998</v>
      </c>
      <c r="S4857">
        <v>635.9</v>
      </c>
      <c r="T4857">
        <v>57680.01</v>
      </c>
      <c r="U4857">
        <v>33594.980000000003</v>
      </c>
      <c r="V4857">
        <v>16329.83</v>
      </c>
      <c r="W4857">
        <v>16219.88</v>
      </c>
      <c r="X4857">
        <v>77133.72</v>
      </c>
      <c r="Y4857">
        <v>56795.82</v>
      </c>
    </row>
    <row r="4858" spans="1:25" x14ac:dyDescent="0.25">
      <c r="A4858" t="s">
        <v>4914</v>
      </c>
      <c r="B4858" s="1">
        <v>46254</v>
      </c>
      <c r="C4858">
        <v>2026</v>
      </c>
      <c r="D4858">
        <v>8</v>
      </c>
      <c r="E4858" t="s">
        <v>814</v>
      </c>
      <c r="F4858" t="s">
        <v>691</v>
      </c>
      <c r="G4858" t="s">
        <v>55</v>
      </c>
      <c r="H4858" t="s">
        <v>32</v>
      </c>
      <c r="I4858" t="s">
        <v>30</v>
      </c>
      <c r="J4858">
        <v>73</v>
      </c>
      <c r="K4858">
        <v>1536.05</v>
      </c>
      <c r="L4858">
        <v>112131.58</v>
      </c>
      <c r="M4858">
        <v>55541.86</v>
      </c>
      <c r="N4858">
        <v>11286.82</v>
      </c>
      <c r="O4858">
        <v>7823.63</v>
      </c>
      <c r="P4858">
        <v>3534.61</v>
      </c>
      <c r="Q4858">
        <v>1620.03</v>
      </c>
      <c r="R4858">
        <v>4257.96</v>
      </c>
      <c r="S4858">
        <v>2481.31</v>
      </c>
      <c r="T4858">
        <v>86546.23</v>
      </c>
      <c r="U4858">
        <v>56589.72</v>
      </c>
      <c r="V4858">
        <v>25585.35</v>
      </c>
      <c r="W4858">
        <v>23144.1</v>
      </c>
      <c r="X4858">
        <v>114405.45</v>
      </c>
      <c r="Y4858">
        <v>87468.64</v>
      </c>
    </row>
    <row r="4859" spans="1:25" x14ac:dyDescent="0.25">
      <c r="A4859" t="s">
        <v>4915</v>
      </c>
      <c r="B4859" s="1">
        <v>46254</v>
      </c>
      <c r="C4859">
        <v>2026</v>
      </c>
      <c r="D4859">
        <v>8</v>
      </c>
      <c r="E4859" t="s">
        <v>814</v>
      </c>
      <c r="F4859" t="s">
        <v>691</v>
      </c>
      <c r="G4859" t="s">
        <v>44</v>
      </c>
      <c r="H4859" t="s">
        <v>32</v>
      </c>
      <c r="I4859" t="s">
        <v>56</v>
      </c>
      <c r="J4859">
        <v>29</v>
      </c>
      <c r="K4859">
        <v>1200.3599999999999</v>
      </c>
      <c r="L4859">
        <v>34810.35</v>
      </c>
      <c r="M4859">
        <v>21494.98</v>
      </c>
      <c r="N4859">
        <v>2478.56</v>
      </c>
      <c r="O4859">
        <v>1709.68</v>
      </c>
      <c r="P4859">
        <v>735.4</v>
      </c>
      <c r="Q4859">
        <v>419.34</v>
      </c>
      <c r="R4859">
        <v>1833.03</v>
      </c>
      <c r="S4859">
        <v>279.70999999999998</v>
      </c>
      <c r="T4859">
        <v>28950.71</v>
      </c>
      <c r="U4859">
        <v>13315.37</v>
      </c>
      <c r="V4859">
        <v>5859.64</v>
      </c>
      <c r="W4859">
        <v>5488.19</v>
      </c>
      <c r="X4859">
        <v>34348.019999999997</v>
      </c>
      <c r="Y4859">
        <v>27447.72</v>
      </c>
    </row>
    <row r="4860" spans="1:25" x14ac:dyDescent="0.25">
      <c r="A4860" t="s">
        <v>4916</v>
      </c>
      <c r="B4860" s="1">
        <v>46254</v>
      </c>
      <c r="C4860">
        <v>2026</v>
      </c>
      <c r="D4860">
        <v>8</v>
      </c>
      <c r="E4860" t="s">
        <v>814</v>
      </c>
      <c r="F4860" t="s">
        <v>691</v>
      </c>
      <c r="G4860" t="s">
        <v>28</v>
      </c>
      <c r="H4860" t="s">
        <v>32</v>
      </c>
      <c r="I4860" t="s">
        <v>33</v>
      </c>
      <c r="J4860">
        <v>110</v>
      </c>
      <c r="K4860">
        <v>992.69</v>
      </c>
      <c r="L4860">
        <v>109195.78</v>
      </c>
      <c r="M4860">
        <v>69619.83</v>
      </c>
      <c r="N4860">
        <v>8779.07</v>
      </c>
      <c r="O4860">
        <v>3126.35</v>
      </c>
      <c r="P4860">
        <v>3217.82</v>
      </c>
      <c r="Q4860">
        <v>1445.93</v>
      </c>
      <c r="R4860">
        <v>5621.61</v>
      </c>
      <c r="S4860">
        <v>2158.35</v>
      </c>
      <c r="T4860">
        <v>93968.95</v>
      </c>
      <c r="U4860">
        <v>39575.949999999997</v>
      </c>
      <c r="V4860">
        <v>15226.83</v>
      </c>
      <c r="W4860">
        <v>13629.94</v>
      </c>
      <c r="X4860">
        <v>113900.62</v>
      </c>
      <c r="Y4860">
        <v>97947.29</v>
      </c>
    </row>
    <row r="4861" spans="1:25" x14ac:dyDescent="0.25">
      <c r="A4861" t="s">
        <v>4917</v>
      </c>
      <c r="B4861" s="1">
        <v>46254</v>
      </c>
      <c r="C4861">
        <v>2026</v>
      </c>
      <c r="D4861">
        <v>8</v>
      </c>
      <c r="E4861" t="s">
        <v>814</v>
      </c>
      <c r="F4861" t="s">
        <v>691</v>
      </c>
      <c r="G4861" t="s">
        <v>35</v>
      </c>
      <c r="H4861" t="s">
        <v>36</v>
      </c>
      <c r="I4861" t="s">
        <v>37</v>
      </c>
      <c r="J4861">
        <v>44</v>
      </c>
      <c r="K4861">
        <v>1097.75</v>
      </c>
      <c r="L4861">
        <v>48301.05</v>
      </c>
      <c r="M4861">
        <v>30776.19</v>
      </c>
      <c r="N4861">
        <v>5600.7</v>
      </c>
      <c r="O4861">
        <v>2558.71</v>
      </c>
      <c r="P4861">
        <v>1657.66</v>
      </c>
      <c r="Q4861">
        <v>799.17</v>
      </c>
      <c r="R4861">
        <v>2101.65</v>
      </c>
      <c r="S4861">
        <v>1134.02</v>
      </c>
      <c r="T4861">
        <v>44628.1</v>
      </c>
      <c r="U4861">
        <v>17524.86</v>
      </c>
      <c r="V4861">
        <v>3672.95</v>
      </c>
      <c r="W4861">
        <v>3711.36</v>
      </c>
      <c r="X4861">
        <v>50759.73</v>
      </c>
      <c r="Y4861">
        <v>41774.22</v>
      </c>
    </row>
    <row r="4862" spans="1:25" x14ac:dyDescent="0.25">
      <c r="A4862" t="s">
        <v>4918</v>
      </c>
      <c r="B4862" s="1">
        <v>46254</v>
      </c>
      <c r="C4862">
        <v>2026</v>
      </c>
      <c r="D4862">
        <v>8</v>
      </c>
      <c r="E4862" t="s">
        <v>814</v>
      </c>
      <c r="F4862" t="s">
        <v>691</v>
      </c>
      <c r="G4862" t="s">
        <v>35</v>
      </c>
      <c r="H4862" t="s">
        <v>32</v>
      </c>
      <c r="I4862" t="s">
        <v>37</v>
      </c>
      <c r="J4862">
        <v>64</v>
      </c>
      <c r="K4862">
        <v>1297.8599999999999</v>
      </c>
      <c r="L4862">
        <v>83062.990000000005</v>
      </c>
      <c r="M4862">
        <v>53475.57</v>
      </c>
      <c r="N4862">
        <v>7801.46</v>
      </c>
      <c r="O4862">
        <v>2683.91</v>
      </c>
      <c r="P4862">
        <v>3364.33</v>
      </c>
      <c r="Q4862">
        <v>789.99</v>
      </c>
      <c r="R4862">
        <v>4853.29</v>
      </c>
      <c r="S4862">
        <v>1678.52</v>
      </c>
      <c r="T4862">
        <v>74647.070000000007</v>
      </c>
      <c r="U4862">
        <v>29587.42</v>
      </c>
      <c r="V4862">
        <v>8415.92</v>
      </c>
      <c r="W4862">
        <v>7688.01</v>
      </c>
      <c r="X4862">
        <v>82947.490000000005</v>
      </c>
      <c r="Y4862">
        <v>74859.92</v>
      </c>
    </row>
    <row r="4863" spans="1:25" x14ac:dyDescent="0.25">
      <c r="A4863" t="s">
        <v>4919</v>
      </c>
      <c r="B4863" s="1">
        <v>46254</v>
      </c>
      <c r="C4863">
        <v>2026</v>
      </c>
      <c r="D4863">
        <v>8</v>
      </c>
      <c r="E4863" t="s">
        <v>814</v>
      </c>
      <c r="F4863" t="s">
        <v>691</v>
      </c>
      <c r="G4863" t="s">
        <v>35</v>
      </c>
      <c r="H4863" t="s">
        <v>36</v>
      </c>
      <c r="I4863" t="s">
        <v>56</v>
      </c>
      <c r="J4863">
        <v>17</v>
      </c>
      <c r="K4863">
        <v>1434.04</v>
      </c>
      <c r="L4863">
        <v>24378.76</v>
      </c>
      <c r="M4863">
        <v>15777.25</v>
      </c>
      <c r="N4863">
        <v>1980.85</v>
      </c>
      <c r="O4863">
        <v>938.76</v>
      </c>
      <c r="P4863">
        <v>1096.43</v>
      </c>
      <c r="Q4863">
        <v>221.29</v>
      </c>
      <c r="R4863">
        <v>1122.02</v>
      </c>
      <c r="S4863">
        <v>197.18</v>
      </c>
      <c r="T4863">
        <v>21333.79</v>
      </c>
      <c r="U4863">
        <v>8601.5</v>
      </c>
      <c r="V4863">
        <v>3044.97</v>
      </c>
      <c r="W4863">
        <v>2941.03</v>
      </c>
      <c r="X4863">
        <v>25056.95</v>
      </c>
      <c r="Y4863">
        <v>21441.35</v>
      </c>
    </row>
    <row r="4864" spans="1:25" x14ac:dyDescent="0.25">
      <c r="A4864" t="s">
        <v>4920</v>
      </c>
      <c r="B4864" s="1">
        <v>46254</v>
      </c>
      <c r="C4864">
        <v>2026</v>
      </c>
      <c r="D4864">
        <v>8</v>
      </c>
      <c r="E4864" t="s">
        <v>814</v>
      </c>
      <c r="F4864" t="s">
        <v>691</v>
      </c>
      <c r="G4864" t="s">
        <v>55</v>
      </c>
      <c r="H4864" t="s">
        <v>36</v>
      </c>
      <c r="I4864" t="s">
        <v>65</v>
      </c>
      <c r="J4864">
        <v>86</v>
      </c>
      <c r="K4864">
        <v>896.32</v>
      </c>
      <c r="L4864">
        <v>77083.39</v>
      </c>
      <c r="M4864">
        <v>43147.42</v>
      </c>
      <c r="N4864">
        <v>6412.25</v>
      </c>
      <c r="O4864">
        <v>4414.92</v>
      </c>
      <c r="P4864">
        <v>1872.69</v>
      </c>
      <c r="Q4864">
        <v>655.29999999999995</v>
      </c>
      <c r="R4864">
        <v>3460.23</v>
      </c>
      <c r="S4864">
        <v>1340.29</v>
      </c>
      <c r="T4864">
        <v>61303.09</v>
      </c>
      <c r="U4864">
        <v>33935.97</v>
      </c>
      <c r="V4864">
        <v>15780.3</v>
      </c>
      <c r="W4864">
        <v>15797.42</v>
      </c>
      <c r="X4864">
        <v>75485.03</v>
      </c>
      <c r="Y4864">
        <v>66431.789999999994</v>
      </c>
    </row>
    <row r="4865" spans="1:25" x14ac:dyDescent="0.25">
      <c r="A4865" t="s">
        <v>4921</v>
      </c>
      <c r="B4865" s="1">
        <v>46255</v>
      </c>
      <c r="C4865">
        <v>2026</v>
      </c>
      <c r="D4865">
        <v>8</v>
      </c>
      <c r="E4865" t="s">
        <v>814</v>
      </c>
      <c r="F4865" t="s">
        <v>691</v>
      </c>
      <c r="G4865" t="s">
        <v>28</v>
      </c>
      <c r="H4865" t="s">
        <v>36</v>
      </c>
      <c r="I4865" t="s">
        <v>39</v>
      </c>
      <c r="J4865">
        <v>49</v>
      </c>
      <c r="K4865">
        <v>1028.83</v>
      </c>
      <c r="L4865">
        <v>50412.46</v>
      </c>
      <c r="M4865">
        <v>25974.85</v>
      </c>
      <c r="N4865">
        <v>3870.69</v>
      </c>
      <c r="O4865">
        <v>2843.09</v>
      </c>
      <c r="P4865">
        <v>1042.48</v>
      </c>
      <c r="Q4865">
        <v>377.66</v>
      </c>
      <c r="R4865">
        <v>2019.27</v>
      </c>
      <c r="S4865">
        <v>498.99</v>
      </c>
      <c r="T4865">
        <v>36627.040000000001</v>
      </c>
      <c r="U4865">
        <v>24437.61</v>
      </c>
      <c r="V4865">
        <v>13785.42</v>
      </c>
      <c r="W4865">
        <v>13033.53</v>
      </c>
      <c r="X4865">
        <v>55148.47</v>
      </c>
      <c r="Y4865">
        <v>36013.160000000003</v>
      </c>
    </row>
    <row r="4866" spans="1:25" x14ac:dyDescent="0.25">
      <c r="A4866" t="s">
        <v>4922</v>
      </c>
      <c r="B4866" s="1">
        <v>46255</v>
      </c>
      <c r="C4866">
        <v>2026</v>
      </c>
      <c r="D4866">
        <v>8</v>
      </c>
      <c r="E4866" t="s">
        <v>814</v>
      </c>
      <c r="F4866" t="s">
        <v>691</v>
      </c>
      <c r="G4866" t="s">
        <v>44</v>
      </c>
      <c r="H4866" t="s">
        <v>36</v>
      </c>
      <c r="I4866" t="s">
        <v>39</v>
      </c>
      <c r="J4866">
        <v>34</v>
      </c>
      <c r="K4866">
        <v>977.22</v>
      </c>
      <c r="L4866">
        <v>33225.629999999997</v>
      </c>
      <c r="M4866">
        <v>17680.63</v>
      </c>
      <c r="N4866">
        <v>3284.45</v>
      </c>
      <c r="O4866">
        <v>1167.3</v>
      </c>
      <c r="P4866">
        <v>1428.02</v>
      </c>
      <c r="Q4866">
        <v>547.33000000000004</v>
      </c>
      <c r="R4866">
        <v>1763.3</v>
      </c>
      <c r="S4866">
        <v>777.14</v>
      </c>
      <c r="T4866">
        <v>26648.17</v>
      </c>
      <c r="U4866">
        <v>15545</v>
      </c>
      <c r="V4866">
        <v>6577.46</v>
      </c>
      <c r="W4866">
        <v>6370.64</v>
      </c>
      <c r="X4866">
        <v>32576.27</v>
      </c>
      <c r="Y4866">
        <v>26086.65</v>
      </c>
    </row>
    <row r="4867" spans="1:25" x14ac:dyDescent="0.25">
      <c r="A4867" t="s">
        <v>4923</v>
      </c>
      <c r="B4867" s="1">
        <v>46255</v>
      </c>
      <c r="C4867">
        <v>2026</v>
      </c>
      <c r="D4867">
        <v>8</v>
      </c>
      <c r="E4867" t="s">
        <v>814</v>
      </c>
      <c r="F4867" t="s">
        <v>691</v>
      </c>
      <c r="G4867" t="s">
        <v>44</v>
      </c>
      <c r="H4867" t="s">
        <v>32</v>
      </c>
      <c r="I4867" t="s">
        <v>56</v>
      </c>
      <c r="J4867">
        <v>38</v>
      </c>
      <c r="K4867">
        <v>977.4</v>
      </c>
      <c r="L4867">
        <v>37141.24</v>
      </c>
      <c r="M4867">
        <v>19774.52</v>
      </c>
      <c r="N4867">
        <v>3282.22</v>
      </c>
      <c r="O4867">
        <v>2161.02</v>
      </c>
      <c r="P4867">
        <v>751.11</v>
      </c>
      <c r="Q4867">
        <v>384.91</v>
      </c>
      <c r="R4867">
        <v>1832.32</v>
      </c>
      <c r="S4867">
        <v>890.59</v>
      </c>
      <c r="T4867">
        <v>29076.7</v>
      </c>
      <c r="U4867">
        <v>17366.72</v>
      </c>
      <c r="V4867">
        <v>8064.54</v>
      </c>
      <c r="W4867">
        <v>7457.39</v>
      </c>
      <c r="X4867">
        <v>37387.47</v>
      </c>
      <c r="Y4867">
        <v>30675.08</v>
      </c>
    </row>
    <row r="4868" spans="1:25" x14ac:dyDescent="0.25">
      <c r="A4868" t="s">
        <v>4924</v>
      </c>
      <c r="B4868" s="1">
        <v>46256</v>
      </c>
      <c r="C4868">
        <v>2026</v>
      </c>
      <c r="D4868">
        <v>8</v>
      </c>
      <c r="E4868" t="s">
        <v>814</v>
      </c>
      <c r="F4868" t="s">
        <v>691</v>
      </c>
      <c r="G4868" t="s">
        <v>44</v>
      </c>
      <c r="H4868" t="s">
        <v>32</v>
      </c>
      <c r="I4868" t="s">
        <v>45</v>
      </c>
      <c r="J4868">
        <v>36</v>
      </c>
      <c r="K4868">
        <v>1272.03</v>
      </c>
      <c r="L4868">
        <v>45792.98</v>
      </c>
      <c r="M4868">
        <v>22083.31</v>
      </c>
      <c r="N4868">
        <v>3268.81</v>
      </c>
      <c r="O4868">
        <v>1215.79</v>
      </c>
      <c r="P4868">
        <v>1753.48</v>
      </c>
      <c r="Q4868">
        <v>267.47000000000003</v>
      </c>
      <c r="R4868">
        <v>2122.02</v>
      </c>
      <c r="S4868">
        <v>471.2</v>
      </c>
      <c r="T4868">
        <v>31182.080000000002</v>
      </c>
      <c r="U4868">
        <v>23709.67</v>
      </c>
      <c r="V4868">
        <v>14610.9</v>
      </c>
      <c r="W4868">
        <v>13170.78</v>
      </c>
      <c r="X4868">
        <v>47337.33</v>
      </c>
      <c r="Y4868">
        <v>34135.120000000003</v>
      </c>
    </row>
    <row r="4869" spans="1:25" x14ac:dyDescent="0.25">
      <c r="A4869" t="s">
        <v>4925</v>
      </c>
      <c r="B4869" s="1">
        <v>46256</v>
      </c>
      <c r="C4869">
        <v>2026</v>
      </c>
      <c r="D4869">
        <v>8</v>
      </c>
      <c r="E4869" t="s">
        <v>814</v>
      </c>
      <c r="F4869" t="s">
        <v>691</v>
      </c>
      <c r="G4869" t="s">
        <v>28</v>
      </c>
      <c r="H4869" t="s">
        <v>36</v>
      </c>
      <c r="I4869" t="s">
        <v>45</v>
      </c>
      <c r="J4869">
        <v>36</v>
      </c>
      <c r="K4869">
        <v>1524.04</v>
      </c>
      <c r="L4869">
        <v>54865.48</v>
      </c>
      <c r="M4869">
        <v>29718.07</v>
      </c>
      <c r="N4869">
        <v>4657.53</v>
      </c>
      <c r="O4869">
        <v>2315</v>
      </c>
      <c r="P4869">
        <v>2194.2199999999998</v>
      </c>
      <c r="Q4869">
        <v>277.83</v>
      </c>
      <c r="R4869">
        <v>1715.28</v>
      </c>
      <c r="S4869">
        <v>1024.81</v>
      </c>
      <c r="T4869">
        <v>41902.74</v>
      </c>
      <c r="U4869">
        <v>25147.41</v>
      </c>
      <c r="V4869">
        <v>12962.74</v>
      </c>
      <c r="W4869">
        <v>12444.91</v>
      </c>
      <c r="X4869">
        <v>60895.26</v>
      </c>
      <c r="Y4869">
        <v>42906.73</v>
      </c>
    </row>
    <row r="4870" spans="1:25" x14ac:dyDescent="0.25">
      <c r="A4870" t="s">
        <v>4926</v>
      </c>
      <c r="B4870" s="1">
        <v>46256</v>
      </c>
      <c r="C4870">
        <v>2026</v>
      </c>
      <c r="D4870">
        <v>8</v>
      </c>
      <c r="E4870" t="s">
        <v>814</v>
      </c>
      <c r="F4870" t="s">
        <v>691</v>
      </c>
      <c r="G4870" t="s">
        <v>35</v>
      </c>
      <c r="H4870" t="s">
        <v>36</v>
      </c>
      <c r="I4870" t="s">
        <v>56</v>
      </c>
      <c r="J4870">
        <v>26</v>
      </c>
      <c r="K4870">
        <v>1475.44</v>
      </c>
      <c r="L4870">
        <v>38361.360000000001</v>
      </c>
      <c r="M4870">
        <v>25027.22</v>
      </c>
      <c r="N4870">
        <v>3529.73</v>
      </c>
      <c r="O4870">
        <v>1695.66</v>
      </c>
      <c r="P4870">
        <v>1598.59</v>
      </c>
      <c r="Q4870">
        <v>308.24</v>
      </c>
      <c r="R4870">
        <v>1615.48</v>
      </c>
      <c r="S4870">
        <v>736.09</v>
      </c>
      <c r="T4870">
        <v>34511.019999999997</v>
      </c>
      <c r="U4870">
        <v>13334.14</v>
      </c>
      <c r="V4870">
        <v>3850.33</v>
      </c>
      <c r="W4870">
        <v>3718.31</v>
      </c>
      <c r="X4870">
        <v>35599.089999999997</v>
      </c>
      <c r="Y4870">
        <v>34666.67</v>
      </c>
    </row>
    <row r="4871" spans="1:25" x14ac:dyDescent="0.25">
      <c r="A4871" t="s">
        <v>4927</v>
      </c>
      <c r="B4871" s="1">
        <v>46258</v>
      </c>
      <c r="C4871">
        <v>2026</v>
      </c>
      <c r="D4871">
        <v>8</v>
      </c>
      <c r="E4871" t="s">
        <v>814</v>
      </c>
      <c r="F4871" t="s">
        <v>691</v>
      </c>
      <c r="G4871" t="s">
        <v>35</v>
      </c>
      <c r="H4871" t="s">
        <v>32</v>
      </c>
      <c r="I4871" t="s">
        <v>33</v>
      </c>
      <c r="J4871">
        <v>54</v>
      </c>
      <c r="K4871">
        <v>1196.3900000000001</v>
      </c>
      <c r="L4871">
        <v>64605.3</v>
      </c>
      <c r="M4871">
        <v>35591.980000000003</v>
      </c>
      <c r="N4871">
        <v>5788.43</v>
      </c>
      <c r="O4871">
        <v>3179.69</v>
      </c>
      <c r="P4871">
        <v>2636.26</v>
      </c>
      <c r="Q4871">
        <v>497.82</v>
      </c>
      <c r="R4871">
        <v>4000.29</v>
      </c>
      <c r="S4871">
        <v>1197.9100000000001</v>
      </c>
      <c r="T4871">
        <v>52892.37</v>
      </c>
      <c r="U4871">
        <v>29013.32</v>
      </c>
      <c r="V4871">
        <v>11712.93</v>
      </c>
      <c r="W4871">
        <v>11062.01</v>
      </c>
      <c r="X4871">
        <v>62520.65</v>
      </c>
      <c r="Y4871">
        <v>49518.82</v>
      </c>
    </row>
    <row r="4872" spans="1:25" x14ac:dyDescent="0.25">
      <c r="A4872" t="s">
        <v>4928</v>
      </c>
      <c r="B4872" s="1">
        <v>46258</v>
      </c>
      <c r="C4872">
        <v>2026</v>
      </c>
      <c r="D4872">
        <v>8</v>
      </c>
      <c r="E4872" t="s">
        <v>814</v>
      </c>
      <c r="F4872" t="s">
        <v>691</v>
      </c>
      <c r="G4872" t="s">
        <v>44</v>
      </c>
      <c r="H4872" t="s">
        <v>36</v>
      </c>
      <c r="I4872" t="s">
        <v>37</v>
      </c>
      <c r="J4872">
        <v>40</v>
      </c>
      <c r="K4872">
        <v>1747.75</v>
      </c>
      <c r="L4872">
        <v>69909.899999999994</v>
      </c>
      <c r="M4872">
        <v>35687.24</v>
      </c>
      <c r="N4872">
        <v>9081.5</v>
      </c>
      <c r="O4872">
        <v>3829.18</v>
      </c>
      <c r="P4872">
        <v>1168.9000000000001</v>
      </c>
      <c r="Q4872">
        <v>463.61</v>
      </c>
      <c r="R4872">
        <v>1763.72</v>
      </c>
      <c r="S4872">
        <v>1513.13</v>
      </c>
      <c r="T4872">
        <v>53507.28</v>
      </c>
      <c r="U4872">
        <v>34222.660000000003</v>
      </c>
      <c r="V4872">
        <v>16402.62</v>
      </c>
      <c r="W4872">
        <v>14708.27</v>
      </c>
      <c r="X4872">
        <v>67835.259999999995</v>
      </c>
      <c r="Y4872">
        <v>57844.77</v>
      </c>
    </row>
    <row r="4873" spans="1:25" x14ac:dyDescent="0.25">
      <c r="A4873" t="s">
        <v>4929</v>
      </c>
      <c r="B4873" s="1">
        <v>46259</v>
      </c>
      <c r="C4873">
        <v>2026</v>
      </c>
      <c r="D4873">
        <v>8</v>
      </c>
      <c r="E4873" t="s">
        <v>814</v>
      </c>
      <c r="F4873" t="s">
        <v>691</v>
      </c>
      <c r="G4873" t="s">
        <v>55</v>
      </c>
      <c r="H4873" t="s">
        <v>36</v>
      </c>
      <c r="I4873" t="s">
        <v>30</v>
      </c>
      <c r="J4873">
        <v>97</v>
      </c>
      <c r="K4873">
        <v>1084.6400000000001</v>
      </c>
      <c r="L4873">
        <v>105210.11</v>
      </c>
      <c r="M4873">
        <v>55880.08</v>
      </c>
      <c r="N4873">
        <v>12071.69</v>
      </c>
      <c r="O4873">
        <v>7156.2</v>
      </c>
      <c r="P4873">
        <v>3016.47</v>
      </c>
      <c r="Q4873">
        <v>1781.15</v>
      </c>
      <c r="R4873">
        <v>5895.59</v>
      </c>
      <c r="S4873">
        <v>1750.05</v>
      </c>
      <c r="T4873">
        <v>87551.23</v>
      </c>
      <c r="U4873">
        <v>49330.03</v>
      </c>
      <c r="V4873">
        <v>17658.88</v>
      </c>
      <c r="W4873">
        <v>17194.36</v>
      </c>
      <c r="X4873">
        <v>102574.21</v>
      </c>
      <c r="Y4873">
        <v>85801.24</v>
      </c>
    </row>
    <row r="4874" spans="1:25" x14ac:dyDescent="0.25">
      <c r="A4874" t="s">
        <v>4930</v>
      </c>
      <c r="B4874" s="1">
        <v>46259</v>
      </c>
      <c r="C4874">
        <v>2026</v>
      </c>
      <c r="D4874">
        <v>8</v>
      </c>
      <c r="E4874" t="s">
        <v>814</v>
      </c>
      <c r="F4874" t="s">
        <v>691</v>
      </c>
      <c r="G4874" t="s">
        <v>28</v>
      </c>
      <c r="H4874" t="s">
        <v>58</v>
      </c>
      <c r="I4874" t="s">
        <v>33</v>
      </c>
      <c r="J4874">
        <v>101</v>
      </c>
      <c r="K4874">
        <v>893.65</v>
      </c>
      <c r="L4874">
        <v>90258.72</v>
      </c>
      <c r="M4874">
        <v>55186.82</v>
      </c>
      <c r="N4874">
        <v>11347.37</v>
      </c>
      <c r="O4874">
        <v>5798.17</v>
      </c>
      <c r="P4874">
        <v>2851.44</v>
      </c>
      <c r="Q4874">
        <v>492.81</v>
      </c>
      <c r="R4874">
        <v>4413.59</v>
      </c>
      <c r="S4874">
        <v>1398.86</v>
      </c>
      <c r="T4874">
        <v>81489.05</v>
      </c>
      <c r="U4874">
        <v>35071.9</v>
      </c>
      <c r="V4874">
        <v>8769.66</v>
      </c>
      <c r="W4874">
        <v>7821.04</v>
      </c>
      <c r="X4874">
        <v>98959.45</v>
      </c>
      <c r="Y4874">
        <v>77423.37</v>
      </c>
    </row>
    <row r="4875" spans="1:25" x14ac:dyDescent="0.25">
      <c r="A4875" t="s">
        <v>4931</v>
      </c>
      <c r="B4875" s="1">
        <v>46259</v>
      </c>
      <c r="C4875">
        <v>2026</v>
      </c>
      <c r="D4875">
        <v>8</v>
      </c>
      <c r="E4875" t="s">
        <v>814</v>
      </c>
      <c r="F4875" t="s">
        <v>691</v>
      </c>
      <c r="G4875" t="s">
        <v>55</v>
      </c>
      <c r="H4875" t="s">
        <v>32</v>
      </c>
      <c r="I4875" t="s">
        <v>33</v>
      </c>
      <c r="J4875">
        <v>84</v>
      </c>
      <c r="K4875">
        <v>967.85</v>
      </c>
      <c r="L4875">
        <v>81299.66</v>
      </c>
      <c r="M4875">
        <v>45799.34</v>
      </c>
      <c r="N4875">
        <v>10009.19</v>
      </c>
      <c r="O4875">
        <v>3719.07</v>
      </c>
      <c r="P4875">
        <v>3233.17</v>
      </c>
      <c r="Q4875">
        <v>1341.98</v>
      </c>
      <c r="R4875">
        <v>3794.42</v>
      </c>
      <c r="S4875">
        <v>764.09</v>
      </c>
      <c r="T4875">
        <v>68661.27</v>
      </c>
      <c r="U4875">
        <v>35500.32</v>
      </c>
      <c r="V4875">
        <v>12638.4</v>
      </c>
      <c r="W4875">
        <v>11922.69</v>
      </c>
      <c r="X4875">
        <v>88797.4</v>
      </c>
      <c r="Y4875">
        <v>73375.06</v>
      </c>
    </row>
    <row r="4876" spans="1:25" x14ac:dyDescent="0.25">
      <c r="A4876" t="s">
        <v>4932</v>
      </c>
      <c r="B4876" s="1">
        <v>46259</v>
      </c>
      <c r="C4876">
        <v>2026</v>
      </c>
      <c r="D4876">
        <v>8</v>
      </c>
      <c r="E4876" t="s">
        <v>814</v>
      </c>
      <c r="F4876" t="s">
        <v>691</v>
      </c>
      <c r="G4876" t="s">
        <v>44</v>
      </c>
      <c r="H4876" t="s">
        <v>36</v>
      </c>
      <c r="I4876" t="s">
        <v>39</v>
      </c>
      <c r="J4876">
        <v>24</v>
      </c>
      <c r="K4876">
        <v>1776.95</v>
      </c>
      <c r="L4876">
        <v>42646.86</v>
      </c>
      <c r="M4876">
        <v>21784.04</v>
      </c>
      <c r="N4876">
        <v>3618.7</v>
      </c>
      <c r="O4876">
        <v>2239.9699999999998</v>
      </c>
      <c r="P4876">
        <v>817.35</v>
      </c>
      <c r="Q4876">
        <v>330.49</v>
      </c>
      <c r="R4876">
        <v>1865.11</v>
      </c>
      <c r="S4876">
        <v>905.46</v>
      </c>
      <c r="T4876">
        <v>31561.13</v>
      </c>
      <c r="U4876">
        <v>20862.82</v>
      </c>
      <c r="V4876">
        <v>11085.73</v>
      </c>
      <c r="W4876">
        <v>10708.21</v>
      </c>
      <c r="X4876">
        <v>42963.05</v>
      </c>
      <c r="Y4876">
        <v>33144.01</v>
      </c>
    </row>
    <row r="4877" spans="1:25" x14ac:dyDescent="0.25">
      <c r="A4877" t="s">
        <v>4933</v>
      </c>
      <c r="B4877" s="1">
        <v>46259</v>
      </c>
      <c r="C4877">
        <v>2026</v>
      </c>
      <c r="D4877">
        <v>8</v>
      </c>
      <c r="E4877" t="s">
        <v>814</v>
      </c>
      <c r="F4877" t="s">
        <v>691</v>
      </c>
      <c r="G4877" t="s">
        <v>35</v>
      </c>
      <c r="H4877" t="s">
        <v>32</v>
      </c>
      <c r="I4877" t="s">
        <v>65</v>
      </c>
      <c r="J4877">
        <v>42</v>
      </c>
      <c r="K4877">
        <v>1408.8</v>
      </c>
      <c r="L4877">
        <v>59169.66</v>
      </c>
      <c r="M4877">
        <v>32639.98</v>
      </c>
      <c r="N4877">
        <v>7653.85</v>
      </c>
      <c r="O4877">
        <v>2815.8</v>
      </c>
      <c r="P4877">
        <v>2048.85</v>
      </c>
      <c r="Q4877">
        <v>506.31</v>
      </c>
      <c r="R4877">
        <v>1598.71</v>
      </c>
      <c r="S4877">
        <v>684.42</v>
      </c>
      <c r="T4877">
        <v>47947.91</v>
      </c>
      <c r="U4877">
        <v>26529.69</v>
      </c>
      <c r="V4877">
        <v>11221.75</v>
      </c>
      <c r="W4877">
        <v>11429.04</v>
      </c>
      <c r="X4877">
        <v>59940.11</v>
      </c>
      <c r="Y4877">
        <v>47174.36</v>
      </c>
    </row>
    <row r="4878" spans="1:25" x14ac:dyDescent="0.25">
      <c r="A4878" t="s">
        <v>4934</v>
      </c>
      <c r="B4878" s="1">
        <v>46260</v>
      </c>
      <c r="C4878">
        <v>2026</v>
      </c>
      <c r="D4878">
        <v>8</v>
      </c>
      <c r="E4878" t="s">
        <v>814</v>
      </c>
      <c r="F4878" t="s">
        <v>691</v>
      </c>
      <c r="G4878" t="s">
        <v>35</v>
      </c>
      <c r="H4878" t="s">
        <v>32</v>
      </c>
      <c r="I4878" t="s">
        <v>39</v>
      </c>
      <c r="J4878">
        <v>34</v>
      </c>
      <c r="K4878">
        <v>1087.58</v>
      </c>
      <c r="L4878">
        <v>36977.699999999997</v>
      </c>
      <c r="M4878">
        <v>20653.990000000002</v>
      </c>
      <c r="N4878">
        <v>4635.38</v>
      </c>
      <c r="O4878">
        <v>2100.4899999999998</v>
      </c>
      <c r="P4878">
        <v>713.58</v>
      </c>
      <c r="Q4878">
        <v>661.5</v>
      </c>
      <c r="R4878">
        <v>2120.9299999999998</v>
      </c>
      <c r="S4878">
        <v>644.36</v>
      </c>
      <c r="T4878">
        <v>31530.240000000002</v>
      </c>
      <c r="U4878">
        <v>16323.71</v>
      </c>
      <c r="V4878">
        <v>5447.47</v>
      </c>
      <c r="W4878">
        <v>5485.67</v>
      </c>
      <c r="X4878">
        <v>34646.449999999997</v>
      </c>
      <c r="Y4878">
        <v>30695.65</v>
      </c>
    </row>
    <row r="4879" spans="1:25" x14ac:dyDescent="0.25">
      <c r="A4879" t="s">
        <v>4935</v>
      </c>
      <c r="B4879" s="1">
        <v>46260</v>
      </c>
      <c r="C4879">
        <v>2026</v>
      </c>
      <c r="D4879">
        <v>8</v>
      </c>
      <c r="E4879" t="s">
        <v>814</v>
      </c>
      <c r="F4879" t="s">
        <v>691</v>
      </c>
      <c r="G4879" t="s">
        <v>28</v>
      </c>
      <c r="H4879" t="s">
        <v>36</v>
      </c>
      <c r="I4879" t="s">
        <v>50</v>
      </c>
      <c r="J4879">
        <v>51</v>
      </c>
      <c r="K4879">
        <v>888.8</v>
      </c>
      <c r="L4879">
        <v>45328.7</v>
      </c>
      <c r="M4879">
        <v>22690.07</v>
      </c>
      <c r="N4879">
        <v>3442.47</v>
      </c>
      <c r="O4879">
        <v>1186.56</v>
      </c>
      <c r="P4879">
        <v>1508.06</v>
      </c>
      <c r="Q4879">
        <v>412.05</v>
      </c>
      <c r="R4879">
        <v>1755.43</v>
      </c>
      <c r="S4879">
        <v>1008.42</v>
      </c>
      <c r="T4879">
        <v>32003.06</v>
      </c>
      <c r="U4879">
        <v>22638.62</v>
      </c>
      <c r="V4879">
        <v>13325.64</v>
      </c>
      <c r="W4879">
        <v>13001.93</v>
      </c>
      <c r="X4879">
        <v>50211.42</v>
      </c>
      <c r="Y4879">
        <v>34790.94</v>
      </c>
    </row>
    <row r="4880" spans="1:25" x14ac:dyDescent="0.25">
      <c r="A4880" t="s">
        <v>4936</v>
      </c>
      <c r="B4880" s="1">
        <v>46260</v>
      </c>
      <c r="C4880">
        <v>2026</v>
      </c>
      <c r="D4880">
        <v>8</v>
      </c>
      <c r="E4880" t="s">
        <v>814</v>
      </c>
      <c r="F4880" t="s">
        <v>691</v>
      </c>
      <c r="G4880" t="s">
        <v>28</v>
      </c>
      <c r="H4880" t="s">
        <v>58</v>
      </c>
      <c r="I4880" t="s">
        <v>56</v>
      </c>
      <c r="J4880">
        <v>20</v>
      </c>
      <c r="K4880">
        <v>1419.79</v>
      </c>
      <c r="L4880">
        <v>28395.759999999998</v>
      </c>
      <c r="M4880">
        <v>16623.55</v>
      </c>
      <c r="N4880">
        <v>2707.93</v>
      </c>
      <c r="O4880">
        <v>810.09</v>
      </c>
      <c r="P4880">
        <v>820.61</v>
      </c>
      <c r="Q4880">
        <v>386.98</v>
      </c>
      <c r="R4880">
        <v>1511.55</v>
      </c>
      <c r="S4880">
        <v>655.09</v>
      </c>
      <c r="T4880">
        <v>23515.8</v>
      </c>
      <c r="U4880">
        <v>11772.21</v>
      </c>
      <c r="V4880">
        <v>4879.96</v>
      </c>
      <c r="W4880">
        <v>4796.1099999999997</v>
      </c>
      <c r="X4880">
        <v>31131.96</v>
      </c>
      <c r="Y4880">
        <v>23658.880000000001</v>
      </c>
    </row>
    <row r="4881" spans="1:25" x14ac:dyDescent="0.25">
      <c r="A4881" t="s">
        <v>4937</v>
      </c>
      <c r="B4881" s="1">
        <v>46261</v>
      </c>
      <c r="C4881">
        <v>2026</v>
      </c>
      <c r="D4881">
        <v>8</v>
      </c>
      <c r="E4881" t="s">
        <v>814</v>
      </c>
      <c r="F4881" t="s">
        <v>691</v>
      </c>
      <c r="G4881" t="s">
        <v>35</v>
      </c>
      <c r="H4881" t="s">
        <v>32</v>
      </c>
      <c r="I4881" t="s">
        <v>65</v>
      </c>
      <c r="J4881">
        <v>85</v>
      </c>
      <c r="K4881">
        <v>892.68</v>
      </c>
      <c r="L4881">
        <v>75877.62</v>
      </c>
      <c r="M4881">
        <v>49322.57</v>
      </c>
      <c r="N4881">
        <v>8015.69</v>
      </c>
      <c r="O4881">
        <v>3692.2</v>
      </c>
      <c r="P4881">
        <v>1392.86</v>
      </c>
      <c r="Q4881">
        <v>1239.32</v>
      </c>
      <c r="R4881">
        <v>2443.81</v>
      </c>
      <c r="S4881">
        <v>1184.5999999999999</v>
      </c>
      <c r="T4881">
        <v>67291.05</v>
      </c>
      <c r="U4881">
        <v>26555.06</v>
      </c>
      <c r="V4881">
        <v>8586.57</v>
      </c>
      <c r="W4881">
        <v>8614.2900000000009</v>
      </c>
      <c r="X4881">
        <v>69964.91</v>
      </c>
      <c r="Y4881">
        <v>72050.44</v>
      </c>
    </row>
    <row r="4882" spans="1:25" x14ac:dyDescent="0.25">
      <c r="A4882" t="s">
        <v>4938</v>
      </c>
      <c r="B4882" s="1">
        <v>46261</v>
      </c>
      <c r="C4882">
        <v>2026</v>
      </c>
      <c r="D4882">
        <v>8</v>
      </c>
      <c r="E4882" t="s">
        <v>814</v>
      </c>
      <c r="F4882" t="s">
        <v>691</v>
      </c>
      <c r="G4882" t="s">
        <v>44</v>
      </c>
      <c r="H4882" t="s">
        <v>53</v>
      </c>
      <c r="I4882" t="s">
        <v>65</v>
      </c>
      <c r="J4882">
        <v>44</v>
      </c>
      <c r="K4882">
        <v>1081.75</v>
      </c>
      <c r="L4882">
        <v>47596.959999999999</v>
      </c>
      <c r="M4882">
        <v>28293.27</v>
      </c>
      <c r="N4882">
        <v>4379.78</v>
      </c>
      <c r="O4882">
        <v>2298.14</v>
      </c>
      <c r="P4882">
        <v>863.52</v>
      </c>
      <c r="Q4882">
        <v>776.01</v>
      </c>
      <c r="R4882">
        <v>2000.49</v>
      </c>
      <c r="S4882">
        <v>649.41999999999996</v>
      </c>
      <c r="T4882">
        <v>39260.639999999999</v>
      </c>
      <c r="U4882">
        <v>19303.689999999999</v>
      </c>
      <c r="V4882">
        <v>8336.32</v>
      </c>
      <c r="W4882">
        <v>7583.52</v>
      </c>
      <c r="X4882">
        <v>46541.96</v>
      </c>
      <c r="Y4882">
        <v>37703.18</v>
      </c>
    </row>
    <row r="4883" spans="1:25" x14ac:dyDescent="0.25">
      <c r="A4883" t="s">
        <v>4939</v>
      </c>
      <c r="B4883" s="1">
        <v>46262</v>
      </c>
      <c r="C4883">
        <v>2026</v>
      </c>
      <c r="D4883">
        <v>8</v>
      </c>
      <c r="E4883" t="s">
        <v>814</v>
      </c>
      <c r="F4883" t="s">
        <v>691</v>
      </c>
      <c r="G4883" t="s">
        <v>44</v>
      </c>
      <c r="H4883" t="s">
        <v>29</v>
      </c>
      <c r="I4883" t="s">
        <v>39</v>
      </c>
      <c r="J4883">
        <v>28</v>
      </c>
      <c r="K4883">
        <v>1540.61</v>
      </c>
      <c r="L4883">
        <v>43136.98</v>
      </c>
      <c r="M4883">
        <v>22938.19</v>
      </c>
      <c r="N4883">
        <v>3292.99</v>
      </c>
      <c r="O4883">
        <v>2784.99</v>
      </c>
      <c r="P4883">
        <v>1589.59</v>
      </c>
      <c r="Q4883">
        <v>719.25</v>
      </c>
      <c r="R4883">
        <v>1202.1199999999999</v>
      </c>
      <c r="S4883">
        <v>613.86</v>
      </c>
      <c r="T4883">
        <v>33140.99</v>
      </c>
      <c r="U4883">
        <v>20198.79</v>
      </c>
      <c r="V4883">
        <v>9995.99</v>
      </c>
      <c r="W4883">
        <v>9056.35</v>
      </c>
      <c r="X4883">
        <v>44057.06</v>
      </c>
      <c r="Y4883">
        <v>36246.949999999997</v>
      </c>
    </row>
    <row r="4884" spans="1:25" x14ac:dyDescent="0.25">
      <c r="A4884" t="s">
        <v>4940</v>
      </c>
      <c r="B4884" s="1">
        <v>46262</v>
      </c>
      <c r="C4884">
        <v>2026</v>
      </c>
      <c r="D4884">
        <v>8</v>
      </c>
      <c r="E4884" t="s">
        <v>814</v>
      </c>
      <c r="F4884" t="s">
        <v>691</v>
      </c>
      <c r="G4884" t="s">
        <v>55</v>
      </c>
      <c r="H4884" t="s">
        <v>29</v>
      </c>
      <c r="I4884" t="s">
        <v>45</v>
      </c>
      <c r="J4884">
        <v>45</v>
      </c>
      <c r="K4884">
        <v>887.32</v>
      </c>
      <c r="L4884">
        <v>39929.199999999997</v>
      </c>
      <c r="M4884">
        <v>24336.35</v>
      </c>
      <c r="N4884">
        <v>2933.35</v>
      </c>
      <c r="O4884">
        <v>1099.94</v>
      </c>
      <c r="P4884">
        <v>611.72</v>
      </c>
      <c r="Q4884">
        <v>326.52</v>
      </c>
      <c r="R4884">
        <v>1071.04</v>
      </c>
      <c r="S4884">
        <v>890.72</v>
      </c>
      <c r="T4884">
        <v>31269.64</v>
      </c>
      <c r="U4884">
        <v>15592.85</v>
      </c>
      <c r="V4884">
        <v>8659.56</v>
      </c>
      <c r="W4884">
        <v>8496.01</v>
      </c>
      <c r="X4884">
        <v>40373.550000000003</v>
      </c>
      <c r="Y4884">
        <v>29851.55</v>
      </c>
    </row>
    <row r="4885" spans="1:25" x14ac:dyDescent="0.25">
      <c r="A4885" t="s">
        <v>4941</v>
      </c>
      <c r="B4885" s="1">
        <v>46263</v>
      </c>
      <c r="C4885">
        <v>2026</v>
      </c>
      <c r="D4885">
        <v>8</v>
      </c>
      <c r="E4885" t="s">
        <v>814</v>
      </c>
      <c r="F4885" t="s">
        <v>691</v>
      </c>
      <c r="G4885" t="s">
        <v>44</v>
      </c>
      <c r="H4885" t="s">
        <v>29</v>
      </c>
      <c r="I4885" t="s">
        <v>45</v>
      </c>
      <c r="J4885">
        <v>33</v>
      </c>
      <c r="K4885">
        <v>1453.98</v>
      </c>
      <c r="L4885">
        <v>47981.42</v>
      </c>
      <c r="M4885">
        <v>24417.01</v>
      </c>
      <c r="N4885">
        <v>5399.64</v>
      </c>
      <c r="O4885">
        <v>1945.65</v>
      </c>
      <c r="P4885">
        <v>1952.18</v>
      </c>
      <c r="Q4885">
        <v>377.92</v>
      </c>
      <c r="R4885">
        <v>2730.72</v>
      </c>
      <c r="S4885">
        <v>903.41</v>
      </c>
      <c r="T4885">
        <v>37726.53</v>
      </c>
      <c r="U4885">
        <v>23564.41</v>
      </c>
      <c r="V4885">
        <v>10254.879999999999</v>
      </c>
      <c r="W4885">
        <v>9543.39</v>
      </c>
      <c r="X4885">
        <v>45180.4</v>
      </c>
      <c r="Y4885">
        <v>40400.39</v>
      </c>
    </row>
    <row r="4886" spans="1:25" x14ac:dyDescent="0.25">
      <c r="A4886" t="s">
        <v>4942</v>
      </c>
      <c r="B4886" s="1">
        <v>46263</v>
      </c>
      <c r="C4886">
        <v>2026</v>
      </c>
      <c r="D4886">
        <v>8</v>
      </c>
      <c r="E4886" t="s">
        <v>814</v>
      </c>
      <c r="F4886" t="s">
        <v>691</v>
      </c>
      <c r="G4886" t="s">
        <v>44</v>
      </c>
      <c r="H4886" t="s">
        <v>53</v>
      </c>
      <c r="I4886" t="s">
        <v>56</v>
      </c>
      <c r="J4886">
        <v>29</v>
      </c>
      <c r="K4886">
        <v>1215.53</v>
      </c>
      <c r="L4886">
        <v>35250.26</v>
      </c>
      <c r="M4886">
        <v>19905.79</v>
      </c>
      <c r="N4886">
        <v>4408.51</v>
      </c>
      <c r="O4886">
        <v>1306.2</v>
      </c>
      <c r="P4886">
        <v>783.36</v>
      </c>
      <c r="Q4886">
        <v>294.62</v>
      </c>
      <c r="R4886">
        <v>1562.7</v>
      </c>
      <c r="S4886">
        <v>496.6</v>
      </c>
      <c r="T4886">
        <v>28757.78</v>
      </c>
      <c r="U4886">
        <v>15344.47</v>
      </c>
      <c r="V4886">
        <v>6492.48</v>
      </c>
      <c r="W4886">
        <v>5906.83</v>
      </c>
      <c r="X4886">
        <v>33807.379999999997</v>
      </c>
      <c r="Y4886">
        <v>27870.47</v>
      </c>
    </row>
    <row r="4887" spans="1:25" x14ac:dyDescent="0.25">
      <c r="A4887" t="s">
        <v>4943</v>
      </c>
      <c r="B4887" s="1">
        <v>46263</v>
      </c>
      <c r="C4887">
        <v>2026</v>
      </c>
      <c r="D4887">
        <v>8</v>
      </c>
      <c r="E4887" t="s">
        <v>814</v>
      </c>
      <c r="F4887" t="s">
        <v>691</v>
      </c>
      <c r="G4887" t="s">
        <v>28</v>
      </c>
      <c r="H4887" t="s">
        <v>32</v>
      </c>
      <c r="I4887" t="s">
        <v>65</v>
      </c>
      <c r="J4887">
        <v>79</v>
      </c>
      <c r="K4887">
        <v>1145.77</v>
      </c>
      <c r="L4887">
        <v>90515.63</v>
      </c>
      <c r="M4887">
        <v>45682.15</v>
      </c>
      <c r="N4887">
        <v>6423.16</v>
      </c>
      <c r="O4887">
        <v>2488.6</v>
      </c>
      <c r="P4887">
        <v>2395.1</v>
      </c>
      <c r="Q4887">
        <v>748.52</v>
      </c>
      <c r="R4887">
        <v>4237.18</v>
      </c>
      <c r="S4887">
        <v>1795.72</v>
      </c>
      <c r="T4887">
        <v>63770.44</v>
      </c>
      <c r="U4887">
        <v>44833.48</v>
      </c>
      <c r="V4887">
        <v>26745.19</v>
      </c>
      <c r="W4887">
        <v>27114.46</v>
      </c>
      <c r="X4887">
        <v>89794</v>
      </c>
      <c r="Y4887">
        <v>59986.07</v>
      </c>
    </row>
    <row r="4888" spans="1:25" x14ac:dyDescent="0.25">
      <c r="A4888" t="s">
        <v>4944</v>
      </c>
      <c r="B4888" s="1">
        <v>46263</v>
      </c>
      <c r="C4888">
        <v>2026</v>
      </c>
      <c r="D4888">
        <v>8</v>
      </c>
      <c r="E4888" t="s">
        <v>814</v>
      </c>
      <c r="F4888" t="s">
        <v>691</v>
      </c>
      <c r="G4888" t="s">
        <v>35</v>
      </c>
      <c r="H4888" t="s">
        <v>32</v>
      </c>
      <c r="I4888" t="s">
        <v>50</v>
      </c>
      <c r="J4888">
        <v>33</v>
      </c>
      <c r="K4888">
        <v>1415.34</v>
      </c>
      <c r="L4888">
        <v>46706.29</v>
      </c>
      <c r="M4888">
        <v>28051.200000000001</v>
      </c>
      <c r="N4888">
        <v>3521.27</v>
      </c>
      <c r="O4888">
        <v>3285.61</v>
      </c>
      <c r="P4888">
        <v>1425.4</v>
      </c>
      <c r="Q4888">
        <v>352.93</v>
      </c>
      <c r="R4888">
        <v>2815.71</v>
      </c>
      <c r="S4888">
        <v>603.07000000000005</v>
      </c>
      <c r="T4888">
        <v>40055.199999999997</v>
      </c>
      <c r="U4888">
        <v>18655.09</v>
      </c>
      <c r="V4888">
        <v>6651.09</v>
      </c>
      <c r="W4888">
        <v>6519.82</v>
      </c>
      <c r="X4888">
        <v>44944.49</v>
      </c>
      <c r="Y4888">
        <v>43171.47</v>
      </c>
    </row>
    <row r="4889" spans="1:25" x14ac:dyDescent="0.25">
      <c r="A4889" t="s">
        <v>4945</v>
      </c>
      <c r="B4889" s="1">
        <v>46263</v>
      </c>
      <c r="C4889">
        <v>2026</v>
      </c>
      <c r="D4889">
        <v>8</v>
      </c>
      <c r="E4889" t="s">
        <v>814</v>
      </c>
      <c r="F4889" t="s">
        <v>691</v>
      </c>
      <c r="G4889" t="s">
        <v>55</v>
      </c>
      <c r="H4889" t="s">
        <v>29</v>
      </c>
      <c r="I4889" t="s">
        <v>33</v>
      </c>
      <c r="J4889">
        <v>51</v>
      </c>
      <c r="K4889">
        <v>1776.22</v>
      </c>
      <c r="L4889">
        <v>90587.15</v>
      </c>
      <c r="M4889">
        <v>48218.28</v>
      </c>
      <c r="N4889">
        <v>9729.5400000000009</v>
      </c>
      <c r="O4889">
        <v>3446.84</v>
      </c>
      <c r="P4889">
        <v>1959.32</v>
      </c>
      <c r="Q4889">
        <v>925.79</v>
      </c>
      <c r="R4889">
        <v>4047.02</v>
      </c>
      <c r="S4889">
        <v>1209.17</v>
      </c>
      <c r="T4889">
        <v>69535.960000000006</v>
      </c>
      <c r="U4889">
        <v>42368.86</v>
      </c>
      <c r="V4889">
        <v>21051.18</v>
      </c>
      <c r="W4889">
        <v>21398.22</v>
      </c>
      <c r="X4889">
        <v>95686.51</v>
      </c>
      <c r="Y4889">
        <v>73844.179999999993</v>
      </c>
    </row>
    <row r="4890" spans="1:25" x14ac:dyDescent="0.25">
      <c r="A4890" t="s">
        <v>4946</v>
      </c>
      <c r="B4890" s="1">
        <v>46264</v>
      </c>
      <c r="C4890">
        <v>2026</v>
      </c>
      <c r="D4890">
        <v>8</v>
      </c>
      <c r="E4890" t="s">
        <v>814</v>
      </c>
      <c r="F4890" t="s">
        <v>691</v>
      </c>
      <c r="G4890" t="s">
        <v>28</v>
      </c>
      <c r="H4890" t="s">
        <v>58</v>
      </c>
      <c r="I4890" t="s">
        <v>50</v>
      </c>
      <c r="J4890">
        <v>34</v>
      </c>
      <c r="K4890">
        <v>1297.8</v>
      </c>
      <c r="L4890">
        <v>44125.37</v>
      </c>
      <c r="M4890">
        <v>24553.759999999998</v>
      </c>
      <c r="N4890">
        <v>5063.25</v>
      </c>
      <c r="O4890">
        <v>3068.15</v>
      </c>
      <c r="P4890">
        <v>1199.8499999999999</v>
      </c>
      <c r="Q4890">
        <v>539.9</v>
      </c>
      <c r="R4890">
        <v>1863.58</v>
      </c>
      <c r="S4890">
        <v>735.4</v>
      </c>
      <c r="T4890">
        <v>37023.89</v>
      </c>
      <c r="U4890">
        <v>19571.61</v>
      </c>
      <c r="V4890">
        <v>7101.47</v>
      </c>
      <c r="W4890">
        <v>6932.62</v>
      </c>
      <c r="X4890">
        <v>41103.53</v>
      </c>
      <c r="Y4890">
        <v>37049.19</v>
      </c>
    </row>
    <row r="4891" spans="1:25" x14ac:dyDescent="0.25">
      <c r="A4891" t="s">
        <v>4947</v>
      </c>
      <c r="B4891" s="1">
        <v>46264</v>
      </c>
      <c r="C4891">
        <v>2026</v>
      </c>
      <c r="D4891">
        <v>8</v>
      </c>
      <c r="E4891" t="s">
        <v>814</v>
      </c>
      <c r="F4891" t="s">
        <v>691</v>
      </c>
      <c r="G4891" t="s">
        <v>35</v>
      </c>
      <c r="H4891" t="s">
        <v>58</v>
      </c>
      <c r="I4891" t="s">
        <v>50</v>
      </c>
      <c r="J4891">
        <v>34</v>
      </c>
      <c r="K4891">
        <v>1009.05</v>
      </c>
      <c r="L4891">
        <v>34307.74</v>
      </c>
      <c r="M4891">
        <v>21638.3</v>
      </c>
      <c r="N4891">
        <v>4198.55</v>
      </c>
      <c r="O4891">
        <v>1257.08</v>
      </c>
      <c r="P4891">
        <v>1406.41</v>
      </c>
      <c r="Q4891">
        <v>550.46</v>
      </c>
      <c r="R4891">
        <v>1751.11</v>
      </c>
      <c r="S4891">
        <v>320.27999999999997</v>
      </c>
      <c r="T4891">
        <v>31122.18</v>
      </c>
      <c r="U4891">
        <v>12669.45</v>
      </c>
      <c r="V4891">
        <v>3185.56</v>
      </c>
      <c r="W4891">
        <v>3159.83</v>
      </c>
      <c r="X4891">
        <v>35871.360000000001</v>
      </c>
      <c r="Y4891">
        <v>30610.84</v>
      </c>
    </row>
    <row r="4892" spans="1:25" x14ac:dyDescent="0.25">
      <c r="A4892" t="s">
        <v>4948</v>
      </c>
      <c r="B4892" s="1">
        <v>46264</v>
      </c>
      <c r="C4892">
        <v>2026</v>
      </c>
      <c r="D4892">
        <v>8</v>
      </c>
      <c r="E4892" t="s">
        <v>814</v>
      </c>
      <c r="F4892" t="s">
        <v>691</v>
      </c>
      <c r="G4892" t="s">
        <v>44</v>
      </c>
      <c r="H4892" t="s">
        <v>29</v>
      </c>
      <c r="I4892" t="s">
        <v>33</v>
      </c>
      <c r="J4892">
        <v>42</v>
      </c>
      <c r="K4892">
        <v>1481.07</v>
      </c>
      <c r="L4892">
        <v>62204.75</v>
      </c>
      <c r="M4892">
        <v>41899.39</v>
      </c>
      <c r="N4892">
        <v>7559.5</v>
      </c>
      <c r="O4892">
        <v>2811.96</v>
      </c>
      <c r="P4892">
        <v>1107.1099999999999</v>
      </c>
      <c r="Q4892">
        <v>448.26</v>
      </c>
      <c r="R4892">
        <v>3909.9</v>
      </c>
      <c r="S4892">
        <v>655.58</v>
      </c>
      <c r="T4892">
        <v>58391.7</v>
      </c>
      <c r="U4892">
        <v>20305.36</v>
      </c>
      <c r="V4892">
        <v>3813.05</v>
      </c>
      <c r="W4892">
        <v>3876.62</v>
      </c>
      <c r="X4892">
        <v>60322.23</v>
      </c>
      <c r="Y4892">
        <v>63194.36</v>
      </c>
    </row>
    <row r="4893" spans="1:25" x14ac:dyDescent="0.25">
      <c r="A4893" t="s">
        <v>4949</v>
      </c>
      <c r="B4893" s="1">
        <v>46264</v>
      </c>
      <c r="C4893">
        <v>2026</v>
      </c>
      <c r="D4893">
        <v>8</v>
      </c>
      <c r="E4893" t="s">
        <v>814</v>
      </c>
      <c r="F4893" t="s">
        <v>691</v>
      </c>
      <c r="G4893" t="s">
        <v>55</v>
      </c>
      <c r="H4893" t="s">
        <v>32</v>
      </c>
      <c r="I4893" t="s">
        <v>30</v>
      </c>
      <c r="J4893">
        <v>84</v>
      </c>
      <c r="K4893">
        <v>1241.6400000000001</v>
      </c>
      <c r="L4893">
        <v>104297.69</v>
      </c>
      <c r="M4893">
        <v>61619.28</v>
      </c>
      <c r="N4893">
        <v>13184.08</v>
      </c>
      <c r="O4893">
        <v>3867.87</v>
      </c>
      <c r="P4893">
        <v>4039.41</v>
      </c>
      <c r="Q4893">
        <v>565.89</v>
      </c>
      <c r="R4893">
        <v>3537.45</v>
      </c>
      <c r="S4893">
        <v>2288.09</v>
      </c>
      <c r="T4893">
        <v>89102.06</v>
      </c>
      <c r="U4893">
        <v>42678.41</v>
      </c>
      <c r="V4893">
        <v>15195.63</v>
      </c>
      <c r="W4893">
        <v>13832.34</v>
      </c>
      <c r="X4893">
        <v>110089.09</v>
      </c>
      <c r="Y4893">
        <v>89491.79</v>
      </c>
    </row>
    <row r="4894" spans="1:25" x14ac:dyDescent="0.25">
      <c r="A4894" t="s">
        <v>4950</v>
      </c>
      <c r="B4894" s="1">
        <v>46264</v>
      </c>
      <c r="C4894">
        <v>2026</v>
      </c>
      <c r="D4894">
        <v>8</v>
      </c>
      <c r="E4894" t="s">
        <v>814</v>
      </c>
      <c r="F4894" t="s">
        <v>691</v>
      </c>
      <c r="G4894" t="s">
        <v>55</v>
      </c>
      <c r="H4894" t="s">
        <v>29</v>
      </c>
      <c r="I4894" t="s">
        <v>65</v>
      </c>
      <c r="J4894">
        <v>48</v>
      </c>
      <c r="K4894">
        <v>1130.8399999999999</v>
      </c>
      <c r="L4894">
        <v>54280.44</v>
      </c>
      <c r="M4894">
        <v>31557.91</v>
      </c>
      <c r="N4894">
        <v>6695.08</v>
      </c>
      <c r="O4894">
        <v>3839.77</v>
      </c>
      <c r="P4894">
        <v>880.52</v>
      </c>
      <c r="Q4894">
        <v>967.54</v>
      </c>
      <c r="R4894">
        <v>2573.2399999999998</v>
      </c>
      <c r="S4894">
        <v>436.24</v>
      </c>
      <c r="T4894">
        <v>46950.3</v>
      </c>
      <c r="U4894">
        <v>22722.53</v>
      </c>
      <c r="V4894">
        <v>7330.15</v>
      </c>
      <c r="W4894">
        <v>7087.55</v>
      </c>
      <c r="X4894">
        <v>51504.37</v>
      </c>
      <c r="Y4894">
        <v>49449.78</v>
      </c>
    </row>
    <row r="4895" spans="1:25" x14ac:dyDescent="0.25">
      <c r="A4895" t="s">
        <v>4951</v>
      </c>
      <c r="B4895" s="1">
        <v>46264</v>
      </c>
      <c r="C4895">
        <v>2026</v>
      </c>
      <c r="D4895">
        <v>8</v>
      </c>
      <c r="E4895" t="s">
        <v>814</v>
      </c>
      <c r="F4895" t="s">
        <v>691</v>
      </c>
      <c r="G4895" t="s">
        <v>28</v>
      </c>
      <c r="H4895" t="s">
        <v>53</v>
      </c>
      <c r="I4895" t="s">
        <v>56</v>
      </c>
      <c r="J4895">
        <v>26</v>
      </c>
      <c r="K4895">
        <v>1578.31</v>
      </c>
      <c r="L4895">
        <v>41035.96</v>
      </c>
      <c r="M4895">
        <v>19854.04</v>
      </c>
      <c r="N4895">
        <v>3675.15</v>
      </c>
      <c r="O4895">
        <v>1764.9</v>
      </c>
      <c r="P4895">
        <v>1099.29</v>
      </c>
      <c r="Q4895">
        <v>523.02</v>
      </c>
      <c r="R4895">
        <v>1768.6</v>
      </c>
      <c r="S4895">
        <v>971.87</v>
      </c>
      <c r="T4895">
        <v>29656.86</v>
      </c>
      <c r="U4895">
        <v>21181.93</v>
      </c>
      <c r="V4895">
        <v>11379.1</v>
      </c>
      <c r="W4895">
        <v>10400.01</v>
      </c>
      <c r="X4895">
        <v>43527.92</v>
      </c>
      <c r="Y4895">
        <v>29616.86</v>
      </c>
    </row>
    <row r="4896" spans="1:25" x14ac:dyDescent="0.25">
      <c r="A4896" t="s">
        <v>4952</v>
      </c>
      <c r="B4896" s="1">
        <v>46264</v>
      </c>
      <c r="C4896">
        <v>2026</v>
      </c>
      <c r="D4896">
        <v>8</v>
      </c>
      <c r="E4896" t="s">
        <v>814</v>
      </c>
      <c r="F4896" t="s">
        <v>691</v>
      </c>
      <c r="G4896" t="s">
        <v>35</v>
      </c>
      <c r="H4896" t="s">
        <v>53</v>
      </c>
      <c r="I4896" t="s">
        <v>56</v>
      </c>
      <c r="J4896">
        <v>28</v>
      </c>
      <c r="K4896">
        <v>1093.3499999999999</v>
      </c>
      <c r="L4896">
        <v>30613.9</v>
      </c>
      <c r="M4896">
        <v>16889.59</v>
      </c>
      <c r="N4896">
        <v>3309.61</v>
      </c>
      <c r="O4896">
        <v>1356.74</v>
      </c>
      <c r="P4896">
        <v>802.11</v>
      </c>
      <c r="Q4896">
        <v>306.2</v>
      </c>
      <c r="R4896">
        <v>1381.9</v>
      </c>
      <c r="S4896">
        <v>464.52</v>
      </c>
      <c r="T4896">
        <v>24510.67</v>
      </c>
      <c r="U4896">
        <v>13724.31</v>
      </c>
      <c r="V4896">
        <v>6103.22</v>
      </c>
      <c r="W4896">
        <v>6090.27</v>
      </c>
      <c r="X4896">
        <v>29275.81</v>
      </c>
      <c r="Y4896">
        <v>23848.36</v>
      </c>
    </row>
    <row r="4897" spans="1:25" x14ac:dyDescent="0.25">
      <c r="A4897" t="s">
        <v>4953</v>
      </c>
      <c r="B4897" s="1">
        <v>46265</v>
      </c>
      <c r="C4897">
        <v>2026</v>
      </c>
      <c r="D4897">
        <v>8</v>
      </c>
      <c r="E4897" t="s">
        <v>814</v>
      </c>
      <c r="F4897" t="s">
        <v>691</v>
      </c>
      <c r="G4897" t="s">
        <v>28</v>
      </c>
      <c r="H4897" t="s">
        <v>32</v>
      </c>
      <c r="I4897" t="s">
        <v>65</v>
      </c>
      <c r="J4897">
        <v>99</v>
      </c>
      <c r="K4897">
        <v>878.82</v>
      </c>
      <c r="L4897">
        <v>87003.26</v>
      </c>
      <c r="M4897">
        <v>58842.86</v>
      </c>
      <c r="N4897">
        <v>10777.19</v>
      </c>
      <c r="O4897">
        <v>6228.78</v>
      </c>
      <c r="P4897">
        <v>2999.06</v>
      </c>
      <c r="Q4897">
        <v>1092.74</v>
      </c>
      <c r="R4897">
        <v>5024.28</v>
      </c>
      <c r="S4897">
        <v>1650.36</v>
      </c>
      <c r="T4897">
        <v>86615.28</v>
      </c>
      <c r="U4897">
        <v>28160.39</v>
      </c>
      <c r="V4897">
        <v>387.97</v>
      </c>
      <c r="W4897">
        <v>368.7</v>
      </c>
      <c r="X4897">
        <v>87497.82</v>
      </c>
      <c r="Y4897">
        <v>93865.33</v>
      </c>
    </row>
    <row r="4898" spans="1:25" x14ac:dyDescent="0.25">
      <c r="A4898" t="s">
        <v>4954</v>
      </c>
      <c r="B4898" s="1">
        <v>46265</v>
      </c>
      <c r="C4898">
        <v>2026</v>
      </c>
      <c r="D4898">
        <v>8</v>
      </c>
      <c r="E4898" t="s">
        <v>814</v>
      </c>
      <c r="F4898" t="s">
        <v>691</v>
      </c>
      <c r="G4898" t="s">
        <v>28</v>
      </c>
      <c r="H4898" t="s">
        <v>53</v>
      </c>
      <c r="I4898" t="s">
        <v>39</v>
      </c>
      <c r="J4898">
        <v>29</v>
      </c>
      <c r="K4898">
        <v>1580</v>
      </c>
      <c r="L4898">
        <v>45820.13</v>
      </c>
      <c r="M4898">
        <v>30206.71</v>
      </c>
      <c r="N4898">
        <v>4818.92</v>
      </c>
      <c r="O4898">
        <v>2180.41</v>
      </c>
      <c r="P4898">
        <v>1724.07</v>
      </c>
      <c r="Q4898">
        <v>643.69000000000005</v>
      </c>
      <c r="R4898">
        <v>1504.65</v>
      </c>
      <c r="S4898">
        <v>624.15</v>
      </c>
      <c r="T4898">
        <v>41702.6</v>
      </c>
      <c r="U4898">
        <v>15613.42</v>
      </c>
      <c r="V4898">
        <v>4117.5200000000004</v>
      </c>
      <c r="W4898">
        <v>3868.27</v>
      </c>
      <c r="X4898">
        <v>50127.68</v>
      </c>
      <c r="Y4898">
        <v>44480.11</v>
      </c>
    </row>
    <row r="4899" spans="1:25" x14ac:dyDescent="0.25">
      <c r="A4899" t="s">
        <v>4955</v>
      </c>
      <c r="B4899" s="1">
        <v>46265</v>
      </c>
      <c r="C4899">
        <v>2026</v>
      </c>
      <c r="D4899">
        <v>8</v>
      </c>
      <c r="E4899" t="s">
        <v>814</v>
      </c>
      <c r="F4899" t="s">
        <v>691</v>
      </c>
      <c r="G4899" t="s">
        <v>55</v>
      </c>
      <c r="H4899" t="s">
        <v>32</v>
      </c>
      <c r="I4899" t="s">
        <v>39</v>
      </c>
      <c r="J4899">
        <v>37</v>
      </c>
      <c r="K4899">
        <v>1339.87</v>
      </c>
      <c r="L4899">
        <v>49575.360000000001</v>
      </c>
      <c r="M4899">
        <v>27629.63</v>
      </c>
      <c r="N4899">
        <v>6236.75</v>
      </c>
      <c r="O4899">
        <v>1395.3</v>
      </c>
      <c r="P4899">
        <v>1581.28</v>
      </c>
      <c r="Q4899">
        <v>825.23</v>
      </c>
      <c r="R4899">
        <v>1319.2</v>
      </c>
      <c r="S4899">
        <v>558.87</v>
      </c>
      <c r="T4899">
        <v>39546.25</v>
      </c>
      <c r="U4899">
        <v>21945.74</v>
      </c>
      <c r="V4899">
        <v>10029.120000000001</v>
      </c>
      <c r="W4899">
        <v>8983.86</v>
      </c>
      <c r="X4899">
        <v>48142.95</v>
      </c>
      <c r="Y4899">
        <v>41570.49</v>
      </c>
    </row>
    <row r="4900" spans="1:25" x14ac:dyDescent="0.25">
      <c r="A4900" t="s">
        <v>4956</v>
      </c>
      <c r="B4900" s="1">
        <v>46266</v>
      </c>
      <c r="C4900">
        <v>2026</v>
      </c>
      <c r="D4900">
        <v>9</v>
      </c>
      <c r="E4900" t="s">
        <v>918</v>
      </c>
      <c r="F4900" t="s">
        <v>691</v>
      </c>
      <c r="G4900" t="s">
        <v>35</v>
      </c>
      <c r="H4900" t="s">
        <v>36</v>
      </c>
      <c r="I4900" t="s">
        <v>37</v>
      </c>
      <c r="J4900">
        <v>28</v>
      </c>
      <c r="K4900">
        <v>1600.66</v>
      </c>
      <c r="L4900">
        <v>44818.52</v>
      </c>
      <c r="M4900">
        <v>29441.57</v>
      </c>
      <c r="N4900">
        <v>3856.81</v>
      </c>
      <c r="O4900">
        <v>2635.21</v>
      </c>
      <c r="P4900">
        <v>1070.1600000000001</v>
      </c>
      <c r="Q4900">
        <v>363.02</v>
      </c>
      <c r="R4900">
        <v>2012.51</v>
      </c>
      <c r="S4900">
        <v>1035.72</v>
      </c>
      <c r="T4900">
        <v>40415</v>
      </c>
      <c r="U4900">
        <v>15376.95</v>
      </c>
      <c r="V4900">
        <v>4403.5200000000004</v>
      </c>
      <c r="W4900">
        <v>4050.5</v>
      </c>
      <c r="X4900">
        <v>44917.440000000002</v>
      </c>
      <c r="Y4900">
        <v>43133.41</v>
      </c>
    </row>
    <row r="4901" spans="1:25" x14ac:dyDescent="0.25">
      <c r="A4901" t="s">
        <v>4957</v>
      </c>
      <c r="B4901" s="1">
        <v>46266</v>
      </c>
      <c r="C4901">
        <v>2026</v>
      </c>
      <c r="D4901">
        <v>9</v>
      </c>
      <c r="E4901" t="s">
        <v>918</v>
      </c>
      <c r="F4901" t="s">
        <v>691</v>
      </c>
      <c r="G4901" t="s">
        <v>35</v>
      </c>
      <c r="H4901" t="s">
        <v>36</v>
      </c>
      <c r="I4901" t="s">
        <v>39</v>
      </c>
      <c r="J4901">
        <v>25</v>
      </c>
      <c r="K4901">
        <v>1615.44</v>
      </c>
      <c r="L4901">
        <v>40386.089999999997</v>
      </c>
      <c r="M4901">
        <v>23611.59</v>
      </c>
      <c r="N4901">
        <v>4695.04</v>
      </c>
      <c r="O4901">
        <v>2376.34</v>
      </c>
      <c r="P4901">
        <v>1531.3</v>
      </c>
      <c r="Q4901">
        <v>250.85</v>
      </c>
      <c r="R4901">
        <v>1212.01</v>
      </c>
      <c r="S4901">
        <v>632.51</v>
      </c>
      <c r="T4901">
        <v>34309.629999999997</v>
      </c>
      <c r="U4901">
        <v>16774.5</v>
      </c>
      <c r="V4901">
        <v>6076.46</v>
      </c>
      <c r="W4901">
        <v>6007.55</v>
      </c>
      <c r="X4901">
        <v>44472.54</v>
      </c>
      <c r="Y4901">
        <v>35843.57</v>
      </c>
    </row>
    <row r="4902" spans="1:25" x14ac:dyDescent="0.25">
      <c r="A4902" t="s">
        <v>4958</v>
      </c>
      <c r="B4902" s="1">
        <v>46266</v>
      </c>
      <c r="C4902">
        <v>2026</v>
      </c>
      <c r="D4902">
        <v>9</v>
      </c>
      <c r="E4902" t="s">
        <v>918</v>
      </c>
      <c r="F4902" t="s">
        <v>691</v>
      </c>
      <c r="G4902" t="s">
        <v>28</v>
      </c>
      <c r="H4902" t="s">
        <v>36</v>
      </c>
      <c r="I4902" t="s">
        <v>33</v>
      </c>
      <c r="J4902">
        <v>52</v>
      </c>
      <c r="K4902">
        <v>1693.68</v>
      </c>
      <c r="L4902">
        <v>88071.61</v>
      </c>
      <c r="M4902">
        <v>49046.96</v>
      </c>
      <c r="N4902">
        <v>10116.89</v>
      </c>
      <c r="O4902">
        <v>6238.43</v>
      </c>
      <c r="P4902">
        <v>2725.47</v>
      </c>
      <c r="Q4902">
        <v>1345.36</v>
      </c>
      <c r="R4902">
        <v>2322.1799999999998</v>
      </c>
      <c r="S4902">
        <v>1975.07</v>
      </c>
      <c r="T4902">
        <v>73770.37</v>
      </c>
      <c r="U4902">
        <v>39024.639999999999</v>
      </c>
      <c r="V4902">
        <v>14301.24</v>
      </c>
      <c r="W4902">
        <v>13999.57</v>
      </c>
      <c r="X4902">
        <v>95087.85</v>
      </c>
      <c r="Y4902">
        <v>79804.899999999994</v>
      </c>
    </row>
    <row r="4903" spans="1:25" x14ac:dyDescent="0.25">
      <c r="A4903" t="s">
        <v>4959</v>
      </c>
      <c r="B4903" s="1">
        <v>46267</v>
      </c>
      <c r="C4903">
        <v>2026</v>
      </c>
      <c r="D4903">
        <v>9</v>
      </c>
      <c r="E4903" t="s">
        <v>918</v>
      </c>
      <c r="F4903" t="s">
        <v>691</v>
      </c>
      <c r="G4903" t="s">
        <v>28</v>
      </c>
      <c r="H4903" t="s">
        <v>53</v>
      </c>
      <c r="I4903" t="s">
        <v>33</v>
      </c>
      <c r="J4903">
        <v>40</v>
      </c>
      <c r="K4903">
        <v>1443.96</v>
      </c>
      <c r="L4903">
        <v>57758.42</v>
      </c>
      <c r="M4903">
        <v>35994.33</v>
      </c>
      <c r="N4903">
        <v>4140.12</v>
      </c>
      <c r="O4903">
        <v>3164.62</v>
      </c>
      <c r="P4903">
        <v>2361.5500000000002</v>
      </c>
      <c r="Q4903">
        <v>561.9</v>
      </c>
      <c r="R4903">
        <v>3109.61</v>
      </c>
      <c r="S4903">
        <v>722.59</v>
      </c>
      <c r="T4903">
        <v>50054.720000000001</v>
      </c>
      <c r="U4903">
        <v>21764.09</v>
      </c>
      <c r="V4903">
        <v>7703.7</v>
      </c>
      <c r="W4903">
        <v>7165.82</v>
      </c>
      <c r="X4903">
        <v>53526.7</v>
      </c>
      <c r="Y4903">
        <v>53187.839999999997</v>
      </c>
    </row>
    <row r="4904" spans="1:25" x14ac:dyDescent="0.25">
      <c r="A4904" t="s">
        <v>4960</v>
      </c>
      <c r="B4904" s="1">
        <v>46267</v>
      </c>
      <c r="C4904">
        <v>2026</v>
      </c>
      <c r="D4904">
        <v>9</v>
      </c>
      <c r="E4904" t="s">
        <v>918</v>
      </c>
      <c r="F4904" t="s">
        <v>691</v>
      </c>
      <c r="G4904" t="s">
        <v>55</v>
      </c>
      <c r="H4904" t="s">
        <v>36</v>
      </c>
      <c r="I4904" t="s">
        <v>65</v>
      </c>
      <c r="J4904">
        <v>70</v>
      </c>
      <c r="K4904">
        <v>828.53</v>
      </c>
      <c r="L4904">
        <v>57997.36</v>
      </c>
      <c r="M4904">
        <v>28421.45</v>
      </c>
      <c r="N4904">
        <v>5223.04</v>
      </c>
      <c r="O4904">
        <v>3569.32</v>
      </c>
      <c r="P4904">
        <v>2378.81</v>
      </c>
      <c r="Q4904">
        <v>324.24</v>
      </c>
      <c r="R4904">
        <v>3380.48</v>
      </c>
      <c r="S4904">
        <v>568.83000000000004</v>
      </c>
      <c r="T4904">
        <v>43866.16</v>
      </c>
      <c r="U4904">
        <v>29575.9</v>
      </c>
      <c r="V4904">
        <v>14131.19</v>
      </c>
      <c r="W4904">
        <v>14235.71</v>
      </c>
      <c r="X4904">
        <v>63425.29</v>
      </c>
      <c r="Y4904">
        <v>41624.07</v>
      </c>
    </row>
    <row r="4905" spans="1:25" x14ac:dyDescent="0.25">
      <c r="A4905" t="s">
        <v>4961</v>
      </c>
      <c r="B4905" s="1">
        <v>46268</v>
      </c>
      <c r="C4905">
        <v>2026</v>
      </c>
      <c r="D4905">
        <v>9</v>
      </c>
      <c r="E4905" t="s">
        <v>918</v>
      </c>
      <c r="F4905" t="s">
        <v>691</v>
      </c>
      <c r="G4905" t="s">
        <v>55</v>
      </c>
      <c r="H4905" t="s">
        <v>36</v>
      </c>
      <c r="I4905" t="s">
        <v>37</v>
      </c>
      <c r="J4905">
        <v>71</v>
      </c>
      <c r="K4905">
        <v>1319.58</v>
      </c>
      <c r="L4905">
        <v>93689.99</v>
      </c>
      <c r="M4905">
        <v>57516.58</v>
      </c>
      <c r="N4905">
        <v>11707.68</v>
      </c>
      <c r="O4905">
        <v>4097.4799999999996</v>
      </c>
      <c r="P4905">
        <v>3023.09</v>
      </c>
      <c r="Q4905">
        <v>1572.65</v>
      </c>
      <c r="R4905">
        <v>3685.31</v>
      </c>
      <c r="S4905">
        <v>1296.26</v>
      </c>
      <c r="T4905">
        <v>82899.039999999994</v>
      </c>
      <c r="U4905">
        <v>36173.410000000003</v>
      </c>
      <c r="V4905">
        <v>10790.96</v>
      </c>
      <c r="W4905">
        <v>9592.51</v>
      </c>
      <c r="X4905">
        <v>96295.84</v>
      </c>
      <c r="Y4905">
        <v>83379.73</v>
      </c>
    </row>
    <row r="4906" spans="1:25" x14ac:dyDescent="0.25">
      <c r="A4906" t="s">
        <v>4962</v>
      </c>
      <c r="B4906" s="1">
        <v>46268</v>
      </c>
      <c r="C4906">
        <v>2026</v>
      </c>
      <c r="D4906">
        <v>9</v>
      </c>
      <c r="E4906" t="s">
        <v>918</v>
      </c>
      <c r="F4906" t="s">
        <v>691</v>
      </c>
      <c r="G4906" t="s">
        <v>28</v>
      </c>
      <c r="H4906" t="s">
        <v>36</v>
      </c>
      <c r="I4906" t="s">
        <v>33</v>
      </c>
      <c r="J4906">
        <v>45</v>
      </c>
      <c r="K4906">
        <v>1308.1600000000001</v>
      </c>
      <c r="L4906">
        <v>58867.38</v>
      </c>
      <c r="M4906">
        <v>29152.93</v>
      </c>
      <c r="N4906">
        <v>4158.96</v>
      </c>
      <c r="O4906">
        <v>1580.37</v>
      </c>
      <c r="P4906">
        <v>2131.48</v>
      </c>
      <c r="Q4906">
        <v>822.37</v>
      </c>
      <c r="R4906">
        <v>2303.56</v>
      </c>
      <c r="S4906">
        <v>842.08</v>
      </c>
      <c r="T4906">
        <v>40991.75</v>
      </c>
      <c r="U4906">
        <v>29714.45</v>
      </c>
      <c r="V4906">
        <v>17875.63</v>
      </c>
      <c r="W4906">
        <v>17614.96</v>
      </c>
      <c r="X4906">
        <v>54272.08</v>
      </c>
      <c r="Y4906">
        <v>43810.27</v>
      </c>
    </row>
    <row r="4907" spans="1:25" x14ac:dyDescent="0.25">
      <c r="A4907" t="s">
        <v>4963</v>
      </c>
      <c r="B4907" s="1">
        <v>46268</v>
      </c>
      <c r="C4907">
        <v>2026</v>
      </c>
      <c r="D4907">
        <v>9</v>
      </c>
      <c r="E4907" t="s">
        <v>918</v>
      </c>
      <c r="F4907" t="s">
        <v>691</v>
      </c>
      <c r="G4907" t="s">
        <v>55</v>
      </c>
      <c r="H4907" t="s">
        <v>32</v>
      </c>
      <c r="I4907" t="s">
        <v>50</v>
      </c>
      <c r="J4907">
        <v>58</v>
      </c>
      <c r="K4907">
        <v>1431.51</v>
      </c>
      <c r="L4907">
        <v>83027.5</v>
      </c>
      <c r="M4907">
        <v>46564.54</v>
      </c>
      <c r="N4907">
        <v>6896.62</v>
      </c>
      <c r="O4907">
        <v>4631.1499999999996</v>
      </c>
      <c r="P4907">
        <v>1811.12</v>
      </c>
      <c r="Q4907">
        <v>1422.63</v>
      </c>
      <c r="R4907">
        <v>5122.71</v>
      </c>
      <c r="S4907">
        <v>982.62</v>
      </c>
      <c r="T4907">
        <v>67431.399999999994</v>
      </c>
      <c r="U4907">
        <v>36462.959999999999</v>
      </c>
      <c r="V4907">
        <v>15596.1</v>
      </c>
      <c r="W4907">
        <v>15009.19</v>
      </c>
      <c r="X4907">
        <v>81037.919999999998</v>
      </c>
      <c r="Y4907">
        <v>71292.36</v>
      </c>
    </row>
    <row r="4908" spans="1:25" x14ac:dyDescent="0.25">
      <c r="A4908" t="s">
        <v>4964</v>
      </c>
      <c r="B4908" s="1">
        <v>46268</v>
      </c>
      <c r="C4908">
        <v>2026</v>
      </c>
      <c r="D4908">
        <v>9</v>
      </c>
      <c r="E4908" t="s">
        <v>918</v>
      </c>
      <c r="F4908" t="s">
        <v>691</v>
      </c>
      <c r="G4908" t="s">
        <v>44</v>
      </c>
      <c r="H4908" t="s">
        <v>32</v>
      </c>
      <c r="I4908" t="s">
        <v>50</v>
      </c>
      <c r="J4908">
        <v>46</v>
      </c>
      <c r="K4908">
        <v>1397.84</v>
      </c>
      <c r="L4908">
        <v>64300.68</v>
      </c>
      <c r="M4908">
        <v>36079.33</v>
      </c>
      <c r="N4908">
        <v>6375.5</v>
      </c>
      <c r="O4908">
        <v>3804.45</v>
      </c>
      <c r="P4908">
        <v>1993.69</v>
      </c>
      <c r="Q4908">
        <v>614.79999999999995</v>
      </c>
      <c r="R4908">
        <v>3735.41</v>
      </c>
      <c r="S4908">
        <v>1301.51</v>
      </c>
      <c r="T4908">
        <v>53904.69</v>
      </c>
      <c r="U4908">
        <v>28221.35</v>
      </c>
      <c r="V4908">
        <v>10395.99</v>
      </c>
      <c r="W4908">
        <v>9380.48</v>
      </c>
      <c r="X4908">
        <v>63173.39</v>
      </c>
      <c r="Y4908">
        <v>50165.25</v>
      </c>
    </row>
    <row r="4909" spans="1:25" x14ac:dyDescent="0.25">
      <c r="A4909" t="s">
        <v>4965</v>
      </c>
      <c r="B4909" s="1">
        <v>46268</v>
      </c>
      <c r="C4909">
        <v>2026</v>
      </c>
      <c r="D4909">
        <v>9</v>
      </c>
      <c r="E4909" t="s">
        <v>918</v>
      </c>
      <c r="F4909" t="s">
        <v>691</v>
      </c>
      <c r="G4909" t="s">
        <v>28</v>
      </c>
      <c r="H4909" t="s">
        <v>58</v>
      </c>
      <c r="I4909" t="s">
        <v>39</v>
      </c>
      <c r="J4909">
        <v>44</v>
      </c>
      <c r="K4909">
        <v>1106.46</v>
      </c>
      <c r="L4909">
        <v>48684.35</v>
      </c>
      <c r="M4909">
        <v>32625.99</v>
      </c>
      <c r="N4909">
        <v>6275.05</v>
      </c>
      <c r="O4909">
        <v>2444.16</v>
      </c>
      <c r="P4909">
        <v>1750.93</v>
      </c>
      <c r="Q4909">
        <v>407.41</v>
      </c>
      <c r="R4909">
        <v>2987.23</v>
      </c>
      <c r="S4909">
        <v>502.82</v>
      </c>
      <c r="T4909">
        <v>46993.59</v>
      </c>
      <c r="U4909">
        <v>16058.36</v>
      </c>
      <c r="V4909">
        <v>1690.76</v>
      </c>
      <c r="W4909">
        <v>1722.34</v>
      </c>
      <c r="X4909">
        <v>52982.52</v>
      </c>
      <c r="Y4909">
        <v>50994.64</v>
      </c>
    </row>
    <row r="4910" spans="1:25" x14ac:dyDescent="0.25">
      <c r="A4910" t="s">
        <v>4966</v>
      </c>
      <c r="B4910" s="1">
        <v>46268</v>
      </c>
      <c r="C4910">
        <v>2026</v>
      </c>
      <c r="D4910">
        <v>9</v>
      </c>
      <c r="E4910" t="s">
        <v>918</v>
      </c>
      <c r="F4910" t="s">
        <v>691</v>
      </c>
      <c r="G4910" t="s">
        <v>35</v>
      </c>
      <c r="H4910" t="s">
        <v>36</v>
      </c>
      <c r="I4910" t="s">
        <v>50</v>
      </c>
      <c r="J4910">
        <v>31</v>
      </c>
      <c r="K4910">
        <v>1599.89</v>
      </c>
      <c r="L4910">
        <v>49596.74</v>
      </c>
      <c r="M4910">
        <v>32972.480000000003</v>
      </c>
      <c r="N4910">
        <v>5335.15</v>
      </c>
      <c r="O4910">
        <v>1383.69</v>
      </c>
      <c r="P4910">
        <v>1883.3</v>
      </c>
      <c r="Q4910">
        <v>452.27</v>
      </c>
      <c r="R4910">
        <v>2066.29</v>
      </c>
      <c r="S4910">
        <v>831.86</v>
      </c>
      <c r="T4910">
        <v>44925.03</v>
      </c>
      <c r="U4910">
        <v>16624.259999999998</v>
      </c>
      <c r="V4910">
        <v>4671.7</v>
      </c>
      <c r="W4910">
        <v>4506.21</v>
      </c>
      <c r="X4910">
        <v>55486.04</v>
      </c>
      <c r="Y4910">
        <v>48416.39</v>
      </c>
    </row>
    <row r="4911" spans="1:25" x14ac:dyDescent="0.25">
      <c r="A4911" t="s">
        <v>4967</v>
      </c>
      <c r="B4911" s="1">
        <v>46268</v>
      </c>
      <c r="C4911">
        <v>2026</v>
      </c>
      <c r="D4911">
        <v>9</v>
      </c>
      <c r="E4911" t="s">
        <v>918</v>
      </c>
      <c r="F4911" t="s">
        <v>691</v>
      </c>
      <c r="G4911" t="s">
        <v>35</v>
      </c>
      <c r="H4911" t="s">
        <v>32</v>
      </c>
      <c r="I4911" t="s">
        <v>37</v>
      </c>
      <c r="J4911">
        <v>38</v>
      </c>
      <c r="K4911">
        <v>1777.81</v>
      </c>
      <c r="L4911">
        <v>67556.710000000006</v>
      </c>
      <c r="M4911">
        <v>33761.42</v>
      </c>
      <c r="N4911">
        <v>4793.1400000000003</v>
      </c>
      <c r="O4911">
        <v>2470.92</v>
      </c>
      <c r="P4911">
        <v>2792.65</v>
      </c>
      <c r="Q4911">
        <v>1036.93</v>
      </c>
      <c r="R4911">
        <v>2178.39</v>
      </c>
      <c r="S4911">
        <v>1683.82</v>
      </c>
      <c r="T4911">
        <v>48717.29</v>
      </c>
      <c r="U4911">
        <v>33795.29</v>
      </c>
      <c r="V4911">
        <v>18839.419999999998</v>
      </c>
      <c r="W4911">
        <v>16684.72</v>
      </c>
      <c r="X4911">
        <v>72050.350000000006</v>
      </c>
      <c r="Y4911">
        <v>50322.33</v>
      </c>
    </row>
    <row r="4912" spans="1:25" x14ac:dyDescent="0.25">
      <c r="A4912" t="s">
        <v>4968</v>
      </c>
      <c r="B4912" s="1">
        <v>46269</v>
      </c>
      <c r="C4912">
        <v>2026</v>
      </c>
      <c r="D4912">
        <v>9</v>
      </c>
      <c r="E4912" t="s">
        <v>918</v>
      </c>
      <c r="F4912" t="s">
        <v>691</v>
      </c>
      <c r="G4912" t="s">
        <v>35</v>
      </c>
      <c r="H4912" t="s">
        <v>29</v>
      </c>
      <c r="I4912" t="s">
        <v>65</v>
      </c>
      <c r="J4912">
        <v>63</v>
      </c>
      <c r="K4912">
        <v>804.98</v>
      </c>
      <c r="L4912">
        <v>50713.65</v>
      </c>
      <c r="M4912">
        <v>31269.53</v>
      </c>
      <c r="N4912">
        <v>3897.77</v>
      </c>
      <c r="O4912">
        <v>2928.95</v>
      </c>
      <c r="P4912">
        <v>2098.35</v>
      </c>
      <c r="Q4912">
        <v>325.56</v>
      </c>
      <c r="R4912">
        <v>2702.28</v>
      </c>
      <c r="S4912">
        <v>854.91</v>
      </c>
      <c r="T4912">
        <v>44077.35</v>
      </c>
      <c r="U4912">
        <v>19444.12</v>
      </c>
      <c r="V4912">
        <v>6636.3</v>
      </c>
      <c r="W4912">
        <v>6744.18</v>
      </c>
      <c r="X4912">
        <v>54787.62</v>
      </c>
      <c r="Y4912">
        <v>44158.54</v>
      </c>
    </row>
    <row r="4913" spans="1:25" x14ac:dyDescent="0.25">
      <c r="A4913" t="s">
        <v>4969</v>
      </c>
      <c r="B4913" s="1">
        <v>46269</v>
      </c>
      <c r="C4913">
        <v>2026</v>
      </c>
      <c r="D4913">
        <v>9</v>
      </c>
      <c r="E4913" t="s">
        <v>918</v>
      </c>
      <c r="F4913" t="s">
        <v>691</v>
      </c>
      <c r="G4913" t="s">
        <v>55</v>
      </c>
      <c r="H4913" t="s">
        <v>53</v>
      </c>
      <c r="I4913" t="s">
        <v>39</v>
      </c>
      <c r="J4913">
        <v>37</v>
      </c>
      <c r="K4913">
        <v>1070.5</v>
      </c>
      <c r="L4913">
        <v>39608.57</v>
      </c>
      <c r="M4913">
        <v>26813.439999999999</v>
      </c>
      <c r="N4913">
        <v>3229.45</v>
      </c>
      <c r="O4913">
        <v>2581.9499999999998</v>
      </c>
      <c r="P4913">
        <v>682.39</v>
      </c>
      <c r="Q4913">
        <v>527.62</v>
      </c>
      <c r="R4913">
        <v>1741.73</v>
      </c>
      <c r="S4913">
        <v>921.7</v>
      </c>
      <c r="T4913">
        <v>36498.29</v>
      </c>
      <c r="U4913">
        <v>12795.14</v>
      </c>
      <c r="V4913">
        <v>3110.28</v>
      </c>
      <c r="W4913">
        <v>2772.29</v>
      </c>
      <c r="X4913">
        <v>38997.39</v>
      </c>
      <c r="Y4913">
        <v>39905.68</v>
      </c>
    </row>
    <row r="4914" spans="1:25" x14ac:dyDescent="0.25">
      <c r="A4914" t="s">
        <v>4970</v>
      </c>
      <c r="B4914" s="1">
        <v>46269</v>
      </c>
      <c r="C4914">
        <v>2026</v>
      </c>
      <c r="D4914">
        <v>9</v>
      </c>
      <c r="E4914" t="s">
        <v>918</v>
      </c>
      <c r="F4914" t="s">
        <v>691</v>
      </c>
      <c r="G4914" t="s">
        <v>44</v>
      </c>
      <c r="H4914" t="s">
        <v>29</v>
      </c>
      <c r="I4914" t="s">
        <v>37</v>
      </c>
      <c r="J4914">
        <v>50</v>
      </c>
      <c r="K4914">
        <v>1040.6300000000001</v>
      </c>
      <c r="L4914">
        <v>52031.59</v>
      </c>
      <c r="M4914">
        <v>25291.25</v>
      </c>
      <c r="N4914">
        <v>4863.8100000000004</v>
      </c>
      <c r="O4914">
        <v>2850.51</v>
      </c>
      <c r="P4914">
        <v>1343.89</v>
      </c>
      <c r="Q4914">
        <v>812.15</v>
      </c>
      <c r="R4914">
        <v>1573.66</v>
      </c>
      <c r="S4914">
        <v>782.03</v>
      </c>
      <c r="T4914">
        <v>37517.29</v>
      </c>
      <c r="U4914">
        <v>26740.35</v>
      </c>
      <c r="V4914">
        <v>14514.3</v>
      </c>
      <c r="W4914">
        <v>14330.64</v>
      </c>
      <c r="X4914">
        <v>54378.51</v>
      </c>
      <c r="Y4914">
        <v>40636.199999999997</v>
      </c>
    </row>
    <row r="4915" spans="1:25" x14ac:dyDescent="0.25">
      <c r="A4915" t="s">
        <v>4971</v>
      </c>
      <c r="B4915" s="1">
        <v>46269</v>
      </c>
      <c r="C4915">
        <v>2026</v>
      </c>
      <c r="D4915">
        <v>9</v>
      </c>
      <c r="E4915" t="s">
        <v>918</v>
      </c>
      <c r="F4915" t="s">
        <v>691</v>
      </c>
      <c r="G4915" t="s">
        <v>44</v>
      </c>
      <c r="H4915" t="s">
        <v>36</v>
      </c>
      <c r="I4915" t="s">
        <v>50</v>
      </c>
      <c r="J4915">
        <v>42</v>
      </c>
      <c r="K4915">
        <v>1082.42</v>
      </c>
      <c r="L4915">
        <v>45461.46</v>
      </c>
      <c r="M4915">
        <v>22830.98</v>
      </c>
      <c r="N4915">
        <v>3790.05</v>
      </c>
      <c r="O4915">
        <v>2855.58</v>
      </c>
      <c r="P4915">
        <v>1432.9</v>
      </c>
      <c r="Q4915">
        <v>665.26</v>
      </c>
      <c r="R4915">
        <v>1554.8</v>
      </c>
      <c r="S4915">
        <v>460.15</v>
      </c>
      <c r="T4915">
        <v>33589.71</v>
      </c>
      <c r="U4915">
        <v>22630.48</v>
      </c>
      <c r="V4915">
        <v>11871.75</v>
      </c>
      <c r="W4915">
        <v>12055.29</v>
      </c>
      <c r="X4915">
        <v>45286.64</v>
      </c>
      <c r="Y4915">
        <v>36796.06</v>
      </c>
    </row>
    <row r="4916" spans="1:25" x14ac:dyDescent="0.25">
      <c r="A4916" t="s">
        <v>4972</v>
      </c>
      <c r="B4916" s="1">
        <v>46270</v>
      </c>
      <c r="C4916">
        <v>2026</v>
      </c>
      <c r="D4916">
        <v>9</v>
      </c>
      <c r="E4916" t="s">
        <v>918</v>
      </c>
      <c r="F4916" t="s">
        <v>691</v>
      </c>
      <c r="G4916" t="s">
        <v>28</v>
      </c>
      <c r="H4916" t="s">
        <v>32</v>
      </c>
      <c r="I4916" t="s">
        <v>30</v>
      </c>
      <c r="J4916">
        <v>113</v>
      </c>
      <c r="K4916">
        <v>1070.1300000000001</v>
      </c>
      <c r="L4916">
        <v>120924.19</v>
      </c>
      <c r="M4916">
        <v>60147.39</v>
      </c>
      <c r="N4916">
        <v>14589.59</v>
      </c>
      <c r="O4916">
        <v>3260.43</v>
      </c>
      <c r="P4916">
        <v>3283.24</v>
      </c>
      <c r="Q4916">
        <v>2157.11</v>
      </c>
      <c r="R4916">
        <v>6138.35</v>
      </c>
      <c r="S4916">
        <v>2530.98</v>
      </c>
      <c r="T4916">
        <v>92107.09</v>
      </c>
      <c r="U4916">
        <v>60776.800000000003</v>
      </c>
      <c r="V4916">
        <v>28817.11</v>
      </c>
      <c r="W4916">
        <v>28805.64</v>
      </c>
      <c r="X4916">
        <v>111996.22</v>
      </c>
      <c r="Y4916">
        <v>88988.12</v>
      </c>
    </row>
    <row r="4917" spans="1:25" x14ac:dyDescent="0.25">
      <c r="A4917" t="s">
        <v>4973</v>
      </c>
      <c r="B4917" s="1">
        <v>46270</v>
      </c>
      <c r="C4917">
        <v>2026</v>
      </c>
      <c r="D4917">
        <v>9</v>
      </c>
      <c r="E4917" t="s">
        <v>918</v>
      </c>
      <c r="F4917" t="s">
        <v>691</v>
      </c>
      <c r="G4917" t="s">
        <v>28</v>
      </c>
      <c r="H4917" t="s">
        <v>36</v>
      </c>
      <c r="I4917" t="s">
        <v>50</v>
      </c>
      <c r="J4917">
        <v>57</v>
      </c>
      <c r="K4917">
        <v>1094.26</v>
      </c>
      <c r="L4917">
        <v>62373.07</v>
      </c>
      <c r="M4917">
        <v>30218.6</v>
      </c>
      <c r="N4917">
        <v>4485.87</v>
      </c>
      <c r="O4917">
        <v>4225.5200000000004</v>
      </c>
      <c r="P4917">
        <v>2124.29</v>
      </c>
      <c r="Q4917">
        <v>756.18</v>
      </c>
      <c r="R4917">
        <v>2428.52</v>
      </c>
      <c r="S4917">
        <v>645.42999999999995</v>
      </c>
      <c r="T4917">
        <v>44884.4</v>
      </c>
      <c r="U4917">
        <v>32154.47</v>
      </c>
      <c r="V4917">
        <v>17488.669999999998</v>
      </c>
      <c r="W4917">
        <v>17660.97</v>
      </c>
      <c r="X4917">
        <v>58901.54</v>
      </c>
      <c r="Y4917">
        <v>46584.33</v>
      </c>
    </row>
    <row r="4918" spans="1:25" x14ac:dyDescent="0.25">
      <c r="A4918" t="s">
        <v>4974</v>
      </c>
      <c r="B4918" s="1">
        <v>46270</v>
      </c>
      <c r="C4918">
        <v>2026</v>
      </c>
      <c r="D4918">
        <v>9</v>
      </c>
      <c r="E4918" t="s">
        <v>918</v>
      </c>
      <c r="F4918" t="s">
        <v>691</v>
      </c>
      <c r="G4918" t="s">
        <v>44</v>
      </c>
      <c r="H4918" t="s">
        <v>36</v>
      </c>
      <c r="I4918" t="s">
        <v>56</v>
      </c>
      <c r="J4918">
        <v>21</v>
      </c>
      <c r="K4918">
        <v>1572.64</v>
      </c>
      <c r="L4918">
        <v>33025.379999999997</v>
      </c>
      <c r="M4918">
        <v>19151.650000000001</v>
      </c>
      <c r="N4918">
        <v>3694.93</v>
      </c>
      <c r="O4918">
        <v>1572.78</v>
      </c>
      <c r="P4918">
        <v>783.85</v>
      </c>
      <c r="Q4918">
        <v>498.31</v>
      </c>
      <c r="R4918">
        <v>1778.51</v>
      </c>
      <c r="S4918">
        <v>425.22</v>
      </c>
      <c r="T4918">
        <v>27905.24</v>
      </c>
      <c r="U4918">
        <v>13873.73</v>
      </c>
      <c r="V4918">
        <v>5120.1400000000003</v>
      </c>
      <c r="W4918">
        <v>4706.6499999999996</v>
      </c>
      <c r="X4918">
        <v>30439.29</v>
      </c>
      <c r="Y4918">
        <v>29046.01</v>
      </c>
    </row>
    <row r="4919" spans="1:25" x14ac:dyDescent="0.25">
      <c r="A4919" t="s">
        <v>4975</v>
      </c>
      <c r="B4919" s="1">
        <v>46270</v>
      </c>
      <c r="C4919">
        <v>2026</v>
      </c>
      <c r="D4919">
        <v>9</v>
      </c>
      <c r="E4919" t="s">
        <v>918</v>
      </c>
      <c r="F4919" t="s">
        <v>691</v>
      </c>
      <c r="G4919" t="s">
        <v>55</v>
      </c>
      <c r="H4919" t="s">
        <v>36</v>
      </c>
      <c r="I4919" t="s">
        <v>30</v>
      </c>
      <c r="J4919">
        <v>76</v>
      </c>
      <c r="K4919">
        <v>1115.27</v>
      </c>
      <c r="L4919">
        <v>84760.8</v>
      </c>
      <c r="M4919">
        <v>51416.03</v>
      </c>
      <c r="N4919">
        <v>9865.69</v>
      </c>
      <c r="O4919">
        <v>4780.55</v>
      </c>
      <c r="P4919">
        <v>3733.17</v>
      </c>
      <c r="Q4919">
        <v>996.1</v>
      </c>
      <c r="R4919">
        <v>4414.22</v>
      </c>
      <c r="S4919">
        <v>1879.93</v>
      </c>
      <c r="T4919">
        <v>77085.7</v>
      </c>
      <c r="U4919">
        <v>33344.76</v>
      </c>
      <c r="V4919">
        <v>7675.1</v>
      </c>
      <c r="W4919">
        <v>7557.95</v>
      </c>
      <c r="X4919">
        <v>79582.5</v>
      </c>
      <c r="Y4919">
        <v>80154.47</v>
      </c>
    </row>
    <row r="4920" spans="1:25" x14ac:dyDescent="0.25">
      <c r="A4920" t="s">
        <v>4976</v>
      </c>
      <c r="B4920" s="1">
        <v>46270</v>
      </c>
      <c r="C4920">
        <v>2026</v>
      </c>
      <c r="D4920">
        <v>9</v>
      </c>
      <c r="E4920" t="s">
        <v>918</v>
      </c>
      <c r="F4920" t="s">
        <v>691</v>
      </c>
      <c r="G4920" t="s">
        <v>35</v>
      </c>
      <c r="H4920" t="s">
        <v>36</v>
      </c>
      <c r="I4920" t="s">
        <v>50</v>
      </c>
      <c r="J4920">
        <v>29</v>
      </c>
      <c r="K4920">
        <v>1794.17</v>
      </c>
      <c r="L4920">
        <v>52030.93</v>
      </c>
      <c r="M4920">
        <v>30576.880000000001</v>
      </c>
      <c r="N4920">
        <v>6240.86</v>
      </c>
      <c r="O4920">
        <v>2652.59</v>
      </c>
      <c r="P4920">
        <v>1294.74</v>
      </c>
      <c r="Q4920">
        <v>372.61</v>
      </c>
      <c r="R4920">
        <v>2377.62</v>
      </c>
      <c r="S4920">
        <v>440.61</v>
      </c>
      <c r="T4920">
        <v>43955.91</v>
      </c>
      <c r="U4920">
        <v>21454.05</v>
      </c>
      <c r="V4920">
        <v>8075.02</v>
      </c>
      <c r="W4920">
        <v>7440.81</v>
      </c>
      <c r="X4920">
        <v>49088.57</v>
      </c>
      <c r="Y4920">
        <v>43992.93</v>
      </c>
    </row>
    <row r="4921" spans="1:25" x14ac:dyDescent="0.25">
      <c r="A4921" t="s">
        <v>4977</v>
      </c>
      <c r="B4921" s="1">
        <v>46271</v>
      </c>
      <c r="C4921">
        <v>2026</v>
      </c>
      <c r="D4921">
        <v>9</v>
      </c>
      <c r="E4921" t="s">
        <v>918</v>
      </c>
      <c r="F4921" t="s">
        <v>691</v>
      </c>
      <c r="G4921" t="s">
        <v>44</v>
      </c>
      <c r="H4921" t="s">
        <v>29</v>
      </c>
      <c r="I4921" t="s">
        <v>37</v>
      </c>
      <c r="J4921">
        <v>84</v>
      </c>
      <c r="K4921">
        <v>904.13</v>
      </c>
      <c r="L4921">
        <v>75946.62</v>
      </c>
      <c r="M4921">
        <v>51384.22</v>
      </c>
      <c r="N4921">
        <v>6087.16</v>
      </c>
      <c r="O4921">
        <v>5308.14</v>
      </c>
      <c r="P4921">
        <v>2953.43</v>
      </c>
      <c r="Q4921">
        <v>1026.83</v>
      </c>
      <c r="R4921">
        <v>4917.05</v>
      </c>
      <c r="S4921">
        <v>1730.41</v>
      </c>
      <c r="T4921">
        <v>73407.259999999995</v>
      </c>
      <c r="U4921">
        <v>24562.400000000001</v>
      </c>
      <c r="V4921">
        <v>2539.36</v>
      </c>
      <c r="W4921">
        <v>2564.3000000000002</v>
      </c>
      <c r="X4921">
        <v>76956.710000000006</v>
      </c>
      <c r="Y4921">
        <v>73771.31</v>
      </c>
    </row>
    <row r="4922" spans="1:25" x14ac:dyDescent="0.25">
      <c r="A4922" t="s">
        <v>4978</v>
      </c>
      <c r="B4922" s="1">
        <v>46272</v>
      </c>
      <c r="C4922">
        <v>2026</v>
      </c>
      <c r="D4922">
        <v>9</v>
      </c>
      <c r="E4922" t="s">
        <v>918</v>
      </c>
      <c r="F4922" t="s">
        <v>691</v>
      </c>
      <c r="G4922" t="s">
        <v>44</v>
      </c>
      <c r="H4922" t="s">
        <v>32</v>
      </c>
      <c r="I4922" t="s">
        <v>39</v>
      </c>
      <c r="J4922">
        <v>50</v>
      </c>
      <c r="K4922">
        <v>1025.1500000000001</v>
      </c>
      <c r="L4922">
        <v>51257.46</v>
      </c>
      <c r="M4922">
        <v>32536.22</v>
      </c>
      <c r="N4922">
        <v>4366.66</v>
      </c>
      <c r="O4922">
        <v>3835.67</v>
      </c>
      <c r="P4922">
        <v>1764.86</v>
      </c>
      <c r="Q4922">
        <v>693.9</v>
      </c>
      <c r="R4922">
        <v>1646.39</v>
      </c>
      <c r="S4922">
        <v>686.23</v>
      </c>
      <c r="T4922">
        <v>45529.93</v>
      </c>
      <c r="U4922">
        <v>18721.240000000002</v>
      </c>
      <c r="V4922">
        <v>5727.54</v>
      </c>
      <c r="W4922">
        <v>5221.8900000000003</v>
      </c>
      <c r="X4922">
        <v>52014.39</v>
      </c>
      <c r="Y4922">
        <v>47674.34</v>
      </c>
    </row>
    <row r="4923" spans="1:25" x14ac:dyDescent="0.25">
      <c r="A4923" t="s">
        <v>4979</v>
      </c>
      <c r="B4923" s="1">
        <v>46273</v>
      </c>
      <c r="C4923">
        <v>2026</v>
      </c>
      <c r="D4923">
        <v>9</v>
      </c>
      <c r="E4923" t="s">
        <v>918</v>
      </c>
      <c r="F4923" t="s">
        <v>691</v>
      </c>
      <c r="G4923" t="s">
        <v>44</v>
      </c>
      <c r="H4923" t="s">
        <v>29</v>
      </c>
      <c r="I4923" t="s">
        <v>50</v>
      </c>
      <c r="J4923">
        <v>28</v>
      </c>
      <c r="K4923">
        <v>1498.49</v>
      </c>
      <c r="L4923">
        <v>41957.64</v>
      </c>
      <c r="M4923">
        <v>26478.13</v>
      </c>
      <c r="N4923">
        <v>4557.8900000000003</v>
      </c>
      <c r="O4923">
        <v>1850.55</v>
      </c>
      <c r="P4923">
        <v>1151.31</v>
      </c>
      <c r="Q4923">
        <v>393.04</v>
      </c>
      <c r="R4923">
        <v>1152.57</v>
      </c>
      <c r="S4923">
        <v>350.98</v>
      </c>
      <c r="T4923">
        <v>35934.47</v>
      </c>
      <c r="U4923">
        <v>15479.52</v>
      </c>
      <c r="V4923">
        <v>6023.18</v>
      </c>
      <c r="W4923">
        <v>5480.09</v>
      </c>
      <c r="X4923">
        <v>43289.18</v>
      </c>
      <c r="Y4923">
        <v>38047.480000000003</v>
      </c>
    </row>
    <row r="4924" spans="1:25" x14ac:dyDescent="0.25">
      <c r="A4924" t="s">
        <v>4980</v>
      </c>
      <c r="B4924" s="1">
        <v>46273</v>
      </c>
      <c r="C4924">
        <v>2026</v>
      </c>
      <c r="D4924">
        <v>9</v>
      </c>
      <c r="E4924" t="s">
        <v>918</v>
      </c>
      <c r="F4924" t="s">
        <v>691</v>
      </c>
      <c r="G4924" t="s">
        <v>35</v>
      </c>
      <c r="H4924" t="s">
        <v>32</v>
      </c>
      <c r="I4924" t="s">
        <v>56</v>
      </c>
      <c r="J4924">
        <v>23</v>
      </c>
      <c r="K4924">
        <v>1679.09</v>
      </c>
      <c r="L4924">
        <v>38618.99</v>
      </c>
      <c r="M4924">
        <v>24820.799999999999</v>
      </c>
      <c r="N4924">
        <v>4781.62</v>
      </c>
      <c r="O4924">
        <v>1762.97</v>
      </c>
      <c r="P4924">
        <v>1609.27</v>
      </c>
      <c r="Q4924">
        <v>638.66</v>
      </c>
      <c r="R4924">
        <v>1854.25</v>
      </c>
      <c r="S4924">
        <v>559.36</v>
      </c>
      <c r="T4924">
        <v>36026.93</v>
      </c>
      <c r="U4924">
        <v>13798.19</v>
      </c>
      <c r="V4924">
        <v>2592.06</v>
      </c>
      <c r="W4924">
        <v>2334.0500000000002</v>
      </c>
      <c r="X4924">
        <v>41320.879999999997</v>
      </c>
      <c r="Y4924">
        <v>36345.120000000003</v>
      </c>
    </row>
    <row r="4925" spans="1:25" x14ac:dyDescent="0.25">
      <c r="A4925" t="s">
        <v>4981</v>
      </c>
      <c r="B4925" s="1">
        <v>46273</v>
      </c>
      <c r="C4925">
        <v>2026</v>
      </c>
      <c r="D4925">
        <v>9</v>
      </c>
      <c r="E4925" t="s">
        <v>918</v>
      </c>
      <c r="F4925" t="s">
        <v>691</v>
      </c>
      <c r="G4925" t="s">
        <v>35</v>
      </c>
      <c r="H4925" t="s">
        <v>32</v>
      </c>
      <c r="I4925" t="s">
        <v>33</v>
      </c>
      <c r="J4925">
        <v>51</v>
      </c>
      <c r="K4925">
        <v>1537.93</v>
      </c>
      <c r="L4925">
        <v>78434.61</v>
      </c>
      <c r="M4925">
        <v>43118.13</v>
      </c>
      <c r="N4925">
        <v>9974.8700000000008</v>
      </c>
      <c r="O4925">
        <v>4638.1899999999996</v>
      </c>
      <c r="P4925">
        <v>1975.97</v>
      </c>
      <c r="Q4925">
        <v>1369.71</v>
      </c>
      <c r="R4925">
        <v>3662.11</v>
      </c>
      <c r="S4925">
        <v>1755.96</v>
      </c>
      <c r="T4925">
        <v>66494.94</v>
      </c>
      <c r="U4925">
        <v>35316.480000000003</v>
      </c>
      <c r="V4925">
        <v>11939.66</v>
      </c>
      <c r="W4925">
        <v>12037.22</v>
      </c>
      <c r="X4925">
        <v>72814.86</v>
      </c>
      <c r="Y4925">
        <v>67150.22</v>
      </c>
    </row>
    <row r="4926" spans="1:25" x14ac:dyDescent="0.25">
      <c r="A4926" t="s">
        <v>4982</v>
      </c>
      <c r="B4926" s="1">
        <v>46273</v>
      </c>
      <c r="C4926">
        <v>2026</v>
      </c>
      <c r="D4926">
        <v>9</v>
      </c>
      <c r="E4926" t="s">
        <v>918</v>
      </c>
      <c r="F4926" t="s">
        <v>691</v>
      </c>
      <c r="G4926" t="s">
        <v>35</v>
      </c>
      <c r="H4926" t="s">
        <v>53</v>
      </c>
      <c r="I4926" t="s">
        <v>30</v>
      </c>
      <c r="J4926">
        <v>43</v>
      </c>
      <c r="K4926">
        <v>1439.43</v>
      </c>
      <c r="L4926">
        <v>61895.28</v>
      </c>
      <c r="M4926">
        <v>39863.300000000003</v>
      </c>
      <c r="N4926">
        <v>7548.68</v>
      </c>
      <c r="O4926">
        <v>2127.75</v>
      </c>
      <c r="P4926">
        <v>2149.46</v>
      </c>
      <c r="Q4926">
        <v>620.02</v>
      </c>
      <c r="R4926">
        <v>3269.1</v>
      </c>
      <c r="S4926">
        <v>1545.53</v>
      </c>
      <c r="T4926">
        <v>57123.82</v>
      </c>
      <c r="U4926">
        <v>22031.98</v>
      </c>
      <c r="V4926">
        <v>4771.46</v>
      </c>
      <c r="W4926">
        <v>4529.57</v>
      </c>
      <c r="X4926">
        <v>57118.81</v>
      </c>
      <c r="Y4926">
        <v>57372.98</v>
      </c>
    </row>
    <row r="4927" spans="1:25" x14ac:dyDescent="0.25">
      <c r="A4927" t="s">
        <v>4983</v>
      </c>
      <c r="B4927" s="1">
        <v>46273</v>
      </c>
      <c r="C4927">
        <v>2026</v>
      </c>
      <c r="D4927">
        <v>9</v>
      </c>
      <c r="E4927" t="s">
        <v>918</v>
      </c>
      <c r="F4927" t="s">
        <v>691</v>
      </c>
      <c r="G4927" t="s">
        <v>35</v>
      </c>
      <c r="H4927" t="s">
        <v>32</v>
      </c>
      <c r="I4927" t="s">
        <v>50</v>
      </c>
      <c r="J4927">
        <v>59</v>
      </c>
      <c r="K4927">
        <v>979.44</v>
      </c>
      <c r="L4927">
        <v>57786.95</v>
      </c>
      <c r="M4927">
        <v>30852.53</v>
      </c>
      <c r="N4927">
        <v>5490.85</v>
      </c>
      <c r="O4927">
        <v>4193.8500000000004</v>
      </c>
      <c r="P4927">
        <v>2481.1799999999998</v>
      </c>
      <c r="Q4927">
        <v>991.43</v>
      </c>
      <c r="R4927">
        <v>2068.94</v>
      </c>
      <c r="S4927">
        <v>1238.78</v>
      </c>
      <c r="T4927">
        <v>47317.56</v>
      </c>
      <c r="U4927">
        <v>26934.42</v>
      </c>
      <c r="V4927">
        <v>10469.4</v>
      </c>
      <c r="W4927">
        <v>10576.19</v>
      </c>
      <c r="X4927">
        <v>62526.66</v>
      </c>
      <c r="Y4927">
        <v>45167.33</v>
      </c>
    </row>
    <row r="4928" spans="1:25" x14ac:dyDescent="0.25">
      <c r="A4928" t="s">
        <v>4984</v>
      </c>
      <c r="B4928" s="1">
        <v>46274</v>
      </c>
      <c r="C4928">
        <v>2026</v>
      </c>
      <c r="D4928">
        <v>9</v>
      </c>
      <c r="E4928" t="s">
        <v>918</v>
      </c>
      <c r="F4928" t="s">
        <v>691</v>
      </c>
      <c r="G4928" t="s">
        <v>55</v>
      </c>
      <c r="H4928" t="s">
        <v>36</v>
      </c>
      <c r="I4928" t="s">
        <v>45</v>
      </c>
      <c r="J4928">
        <v>50</v>
      </c>
      <c r="K4928">
        <v>1028.49</v>
      </c>
      <c r="L4928">
        <v>51424.41</v>
      </c>
      <c r="M4928">
        <v>31521.47</v>
      </c>
      <c r="N4928">
        <v>5664.39</v>
      </c>
      <c r="O4928">
        <v>2193.4499999999998</v>
      </c>
      <c r="P4928">
        <v>1744.88</v>
      </c>
      <c r="Q4928">
        <v>529.59</v>
      </c>
      <c r="R4928">
        <v>2791.2</v>
      </c>
      <c r="S4928">
        <v>817.99</v>
      </c>
      <c r="T4928">
        <v>45262.98</v>
      </c>
      <c r="U4928">
        <v>19902.93</v>
      </c>
      <c r="V4928">
        <v>6161.43</v>
      </c>
      <c r="W4928">
        <v>6012.53</v>
      </c>
      <c r="X4928">
        <v>50142.48</v>
      </c>
      <c r="Y4928">
        <v>48259.98</v>
      </c>
    </row>
    <row r="4929" spans="1:25" x14ac:dyDescent="0.25">
      <c r="A4929" t="s">
        <v>4985</v>
      </c>
      <c r="B4929" s="1">
        <v>46274</v>
      </c>
      <c r="C4929">
        <v>2026</v>
      </c>
      <c r="D4929">
        <v>9</v>
      </c>
      <c r="E4929" t="s">
        <v>918</v>
      </c>
      <c r="F4929" t="s">
        <v>691</v>
      </c>
      <c r="G4929" t="s">
        <v>35</v>
      </c>
      <c r="H4929" t="s">
        <v>36</v>
      </c>
      <c r="I4929" t="s">
        <v>33</v>
      </c>
      <c r="J4929">
        <v>48</v>
      </c>
      <c r="K4929">
        <v>1372.38</v>
      </c>
      <c r="L4929">
        <v>65874.44</v>
      </c>
      <c r="M4929">
        <v>40827.120000000003</v>
      </c>
      <c r="N4929">
        <v>6062.7</v>
      </c>
      <c r="O4929">
        <v>4027.13</v>
      </c>
      <c r="P4929">
        <v>1616.19</v>
      </c>
      <c r="Q4929">
        <v>1063.2</v>
      </c>
      <c r="R4929">
        <v>4248.2299999999996</v>
      </c>
      <c r="S4929">
        <v>1173.53</v>
      </c>
      <c r="T4929">
        <v>59018.1</v>
      </c>
      <c r="U4929">
        <v>25047.32</v>
      </c>
      <c r="V4929">
        <v>6856.33</v>
      </c>
      <c r="W4929">
        <v>6551.49</v>
      </c>
      <c r="X4929">
        <v>61490.1</v>
      </c>
      <c r="Y4929">
        <v>56797.89</v>
      </c>
    </row>
    <row r="4930" spans="1:25" x14ac:dyDescent="0.25">
      <c r="A4930" t="s">
        <v>4986</v>
      </c>
      <c r="B4930" s="1">
        <v>46274</v>
      </c>
      <c r="C4930">
        <v>2026</v>
      </c>
      <c r="D4930">
        <v>9</v>
      </c>
      <c r="E4930" t="s">
        <v>918</v>
      </c>
      <c r="F4930" t="s">
        <v>691</v>
      </c>
      <c r="G4930" t="s">
        <v>44</v>
      </c>
      <c r="H4930" t="s">
        <v>58</v>
      </c>
      <c r="I4930" t="s">
        <v>65</v>
      </c>
      <c r="J4930">
        <v>37</v>
      </c>
      <c r="K4930">
        <v>1460.44</v>
      </c>
      <c r="L4930">
        <v>54036.44</v>
      </c>
      <c r="M4930">
        <v>34524.25</v>
      </c>
      <c r="N4930">
        <v>7020.23</v>
      </c>
      <c r="O4930">
        <v>1705.6</v>
      </c>
      <c r="P4930">
        <v>1659.02</v>
      </c>
      <c r="Q4930">
        <v>556.14</v>
      </c>
      <c r="R4930">
        <v>1476.82</v>
      </c>
      <c r="S4930">
        <v>1071.08</v>
      </c>
      <c r="T4930">
        <v>48013.13</v>
      </c>
      <c r="U4930">
        <v>19512.189999999999</v>
      </c>
      <c r="V4930">
        <v>6023.31</v>
      </c>
      <c r="W4930">
        <v>5600.87</v>
      </c>
      <c r="X4930">
        <v>55880.78</v>
      </c>
      <c r="Y4930">
        <v>50327.91</v>
      </c>
    </row>
    <row r="4931" spans="1:25" x14ac:dyDescent="0.25">
      <c r="A4931" t="s">
        <v>4987</v>
      </c>
      <c r="B4931" s="1">
        <v>46274</v>
      </c>
      <c r="C4931">
        <v>2026</v>
      </c>
      <c r="D4931">
        <v>9</v>
      </c>
      <c r="E4931" t="s">
        <v>918</v>
      </c>
      <c r="F4931" t="s">
        <v>691</v>
      </c>
      <c r="G4931" t="s">
        <v>44</v>
      </c>
      <c r="H4931" t="s">
        <v>32</v>
      </c>
      <c r="I4931" t="s">
        <v>50</v>
      </c>
      <c r="J4931">
        <v>37</v>
      </c>
      <c r="K4931">
        <v>1227.21</v>
      </c>
      <c r="L4931">
        <v>45406.92</v>
      </c>
      <c r="M4931">
        <v>28815.87</v>
      </c>
      <c r="N4931">
        <v>4796.21</v>
      </c>
      <c r="O4931">
        <v>2450.14</v>
      </c>
      <c r="P4931">
        <v>1237.9000000000001</v>
      </c>
      <c r="Q4931">
        <v>341.21</v>
      </c>
      <c r="R4931">
        <v>2158.94</v>
      </c>
      <c r="S4931">
        <v>717.51</v>
      </c>
      <c r="T4931">
        <v>40517.79</v>
      </c>
      <c r="U4931">
        <v>16591.05</v>
      </c>
      <c r="V4931">
        <v>4889.13</v>
      </c>
      <c r="W4931">
        <v>4378.5</v>
      </c>
      <c r="X4931">
        <v>44196.18</v>
      </c>
      <c r="Y4931">
        <v>38533.160000000003</v>
      </c>
    </row>
    <row r="4932" spans="1:25" x14ac:dyDescent="0.25">
      <c r="A4932" t="s">
        <v>4988</v>
      </c>
      <c r="B4932" s="1">
        <v>46274</v>
      </c>
      <c r="C4932">
        <v>2026</v>
      </c>
      <c r="D4932">
        <v>9</v>
      </c>
      <c r="E4932" t="s">
        <v>918</v>
      </c>
      <c r="F4932" t="s">
        <v>691</v>
      </c>
      <c r="G4932" t="s">
        <v>44</v>
      </c>
      <c r="H4932" t="s">
        <v>32</v>
      </c>
      <c r="I4932" t="s">
        <v>37</v>
      </c>
      <c r="J4932">
        <v>69</v>
      </c>
      <c r="K4932">
        <v>946.29</v>
      </c>
      <c r="L4932">
        <v>65293.81</v>
      </c>
      <c r="M4932">
        <v>38758.92</v>
      </c>
      <c r="N4932">
        <v>7053.84</v>
      </c>
      <c r="O4932">
        <v>4640.6499999999996</v>
      </c>
      <c r="P4932">
        <v>2471.83</v>
      </c>
      <c r="Q4932">
        <v>618.82000000000005</v>
      </c>
      <c r="R4932">
        <v>2783.99</v>
      </c>
      <c r="S4932">
        <v>966.12</v>
      </c>
      <c r="T4932">
        <v>57294.18</v>
      </c>
      <c r="U4932">
        <v>26534.89</v>
      </c>
      <c r="V4932">
        <v>7999.63</v>
      </c>
      <c r="W4932">
        <v>7477.59</v>
      </c>
      <c r="X4932">
        <v>70339.460000000006</v>
      </c>
      <c r="Y4932">
        <v>54200.84</v>
      </c>
    </row>
    <row r="4933" spans="1:25" x14ac:dyDescent="0.25">
      <c r="A4933" t="s">
        <v>4989</v>
      </c>
      <c r="B4933" s="1">
        <v>46275</v>
      </c>
      <c r="C4933">
        <v>2026</v>
      </c>
      <c r="D4933">
        <v>9</v>
      </c>
      <c r="E4933" t="s">
        <v>918</v>
      </c>
      <c r="F4933" t="s">
        <v>691</v>
      </c>
      <c r="G4933" t="s">
        <v>55</v>
      </c>
      <c r="H4933" t="s">
        <v>58</v>
      </c>
      <c r="I4933" t="s">
        <v>56</v>
      </c>
      <c r="J4933">
        <v>41</v>
      </c>
      <c r="K4933">
        <v>1044.45</v>
      </c>
      <c r="L4933">
        <v>42822.61</v>
      </c>
      <c r="M4933">
        <v>22750.67</v>
      </c>
      <c r="N4933">
        <v>5346.67</v>
      </c>
      <c r="O4933">
        <v>3002.44</v>
      </c>
      <c r="P4933">
        <v>1319.22</v>
      </c>
      <c r="Q4933">
        <v>453.78</v>
      </c>
      <c r="R4933">
        <v>1736.84</v>
      </c>
      <c r="S4933">
        <v>971.58</v>
      </c>
      <c r="T4933">
        <v>35581.21</v>
      </c>
      <c r="U4933">
        <v>20071.939999999999</v>
      </c>
      <c r="V4933">
        <v>7241.4</v>
      </c>
      <c r="W4933">
        <v>7375.78</v>
      </c>
      <c r="X4933">
        <v>44309.85</v>
      </c>
      <c r="Y4933">
        <v>38503.54</v>
      </c>
    </row>
    <row r="4934" spans="1:25" x14ac:dyDescent="0.25">
      <c r="A4934" t="s">
        <v>4990</v>
      </c>
      <c r="B4934" s="1">
        <v>46275</v>
      </c>
      <c r="C4934">
        <v>2026</v>
      </c>
      <c r="D4934">
        <v>9</v>
      </c>
      <c r="E4934" t="s">
        <v>918</v>
      </c>
      <c r="F4934" t="s">
        <v>691</v>
      </c>
      <c r="G4934" t="s">
        <v>28</v>
      </c>
      <c r="H4934" t="s">
        <v>32</v>
      </c>
      <c r="I4934" t="s">
        <v>39</v>
      </c>
      <c r="J4934">
        <v>70</v>
      </c>
      <c r="K4934">
        <v>896.67</v>
      </c>
      <c r="L4934">
        <v>62766.71</v>
      </c>
      <c r="M4934">
        <v>35302.589999999997</v>
      </c>
      <c r="N4934">
        <v>6765.6</v>
      </c>
      <c r="O4934">
        <v>3375.27</v>
      </c>
      <c r="P4934">
        <v>1762.16</v>
      </c>
      <c r="Q4934">
        <v>439.29</v>
      </c>
      <c r="R4934">
        <v>2826.43</v>
      </c>
      <c r="S4934">
        <v>1469.04</v>
      </c>
      <c r="T4934">
        <v>51940.39</v>
      </c>
      <c r="U4934">
        <v>27464.12</v>
      </c>
      <c r="V4934">
        <v>10826.33</v>
      </c>
      <c r="W4934">
        <v>9803.25</v>
      </c>
      <c r="X4934">
        <v>61254.97</v>
      </c>
      <c r="Y4934">
        <v>52207.8</v>
      </c>
    </row>
    <row r="4935" spans="1:25" x14ac:dyDescent="0.25">
      <c r="A4935" t="s">
        <v>4991</v>
      </c>
      <c r="B4935" s="1">
        <v>46275</v>
      </c>
      <c r="C4935">
        <v>2026</v>
      </c>
      <c r="D4935">
        <v>9</v>
      </c>
      <c r="E4935" t="s">
        <v>918</v>
      </c>
      <c r="F4935" t="s">
        <v>691</v>
      </c>
      <c r="G4935" t="s">
        <v>44</v>
      </c>
      <c r="H4935" t="s">
        <v>36</v>
      </c>
      <c r="I4935" t="s">
        <v>45</v>
      </c>
      <c r="J4935">
        <v>33</v>
      </c>
      <c r="K4935">
        <v>1100.6600000000001</v>
      </c>
      <c r="L4935">
        <v>36321.64</v>
      </c>
      <c r="M4935">
        <v>18457.03</v>
      </c>
      <c r="N4935">
        <v>3458.15</v>
      </c>
      <c r="O4935">
        <v>2486.96</v>
      </c>
      <c r="P4935">
        <v>762.9</v>
      </c>
      <c r="Q4935">
        <v>406</v>
      </c>
      <c r="R4935">
        <v>1348.24</v>
      </c>
      <c r="S4935">
        <v>528.77</v>
      </c>
      <c r="T4935">
        <v>27448.06</v>
      </c>
      <c r="U4935">
        <v>17864.61</v>
      </c>
      <c r="V4935">
        <v>8873.58</v>
      </c>
      <c r="W4935">
        <v>7820.84</v>
      </c>
      <c r="X4935">
        <v>34202.839999999997</v>
      </c>
      <c r="Y4935">
        <v>25788.799999999999</v>
      </c>
    </row>
    <row r="4936" spans="1:25" x14ac:dyDescent="0.25">
      <c r="A4936" t="s">
        <v>4992</v>
      </c>
      <c r="B4936" s="1">
        <v>46275</v>
      </c>
      <c r="C4936">
        <v>2026</v>
      </c>
      <c r="D4936">
        <v>9</v>
      </c>
      <c r="E4936" t="s">
        <v>918</v>
      </c>
      <c r="F4936" t="s">
        <v>691</v>
      </c>
      <c r="G4936" t="s">
        <v>55</v>
      </c>
      <c r="H4936" t="s">
        <v>32</v>
      </c>
      <c r="I4936" t="s">
        <v>30</v>
      </c>
      <c r="J4936">
        <v>134</v>
      </c>
      <c r="K4936">
        <v>960.67</v>
      </c>
      <c r="L4936">
        <v>128729.87</v>
      </c>
      <c r="M4936">
        <v>74488.55</v>
      </c>
      <c r="N4936">
        <v>15789.48</v>
      </c>
      <c r="O4936">
        <v>4321.09</v>
      </c>
      <c r="P4936">
        <v>2751.27</v>
      </c>
      <c r="Q4936">
        <v>1864.12</v>
      </c>
      <c r="R4936">
        <v>6156.22</v>
      </c>
      <c r="S4936">
        <v>1520.75</v>
      </c>
      <c r="T4936">
        <v>106891.48</v>
      </c>
      <c r="U4936">
        <v>54241.32</v>
      </c>
      <c r="V4936">
        <v>21838.39</v>
      </c>
      <c r="W4936">
        <v>21490.17</v>
      </c>
      <c r="X4936">
        <v>128320.73</v>
      </c>
      <c r="Y4936">
        <v>101506.76</v>
      </c>
    </row>
    <row r="4937" spans="1:25" x14ac:dyDescent="0.25">
      <c r="A4937" t="s">
        <v>4993</v>
      </c>
      <c r="B4937" s="1">
        <v>46276</v>
      </c>
      <c r="C4937">
        <v>2026</v>
      </c>
      <c r="D4937">
        <v>9</v>
      </c>
      <c r="E4937" t="s">
        <v>918</v>
      </c>
      <c r="F4937" t="s">
        <v>691</v>
      </c>
      <c r="G4937" t="s">
        <v>55</v>
      </c>
      <c r="H4937" t="s">
        <v>29</v>
      </c>
      <c r="I4937" t="s">
        <v>30</v>
      </c>
      <c r="J4937">
        <v>70</v>
      </c>
      <c r="K4937">
        <v>1736.29</v>
      </c>
      <c r="L4937">
        <v>121540.35</v>
      </c>
      <c r="M4937">
        <v>78341.56</v>
      </c>
      <c r="N4937">
        <v>8695.1</v>
      </c>
      <c r="O4937">
        <v>8411.6299999999992</v>
      </c>
      <c r="P4937">
        <v>4513.45</v>
      </c>
      <c r="Q4937">
        <v>1175.28</v>
      </c>
      <c r="R4937">
        <v>4172.97</v>
      </c>
      <c r="S4937">
        <v>2818.29</v>
      </c>
      <c r="T4937">
        <v>108128.27</v>
      </c>
      <c r="U4937">
        <v>43198.79</v>
      </c>
      <c r="V4937">
        <v>13412.08</v>
      </c>
      <c r="W4937">
        <v>13490.51</v>
      </c>
      <c r="X4937">
        <v>133554.15</v>
      </c>
      <c r="Y4937">
        <v>109939.29</v>
      </c>
    </row>
    <row r="4938" spans="1:25" x14ac:dyDescent="0.25">
      <c r="A4938" t="s">
        <v>4994</v>
      </c>
      <c r="B4938" s="1">
        <v>46276</v>
      </c>
      <c r="C4938">
        <v>2026</v>
      </c>
      <c r="D4938">
        <v>9</v>
      </c>
      <c r="E4938" t="s">
        <v>918</v>
      </c>
      <c r="F4938" t="s">
        <v>691</v>
      </c>
      <c r="G4938" t="s">
        <v>28</v>
      </c>
      <c r="H4938" t="s">
        <v>36</v>
      </c>
      <c r="I4938" t="s">
        <v>56</v>
      </c>
      <c r="J4938">
        <v>45</v>
      </c>
      <c r="K4938">
        <v>809.83</v>
      </c>
      <c r="L4938">
        <v>36442.239999999998</v>
      </c>
      <c r="M4938">
        <v>18649.8</v>
      </c>
      <c r="N4938">
        <v>4614.18</v>
      </c>
      <c r="O4938">
        <v>1357.61</v>
      </c>
      <c r="P4938">
        <v>977.61</v>
      </c>
      <c r="Q4938">
        <v>542.1</v>
      </c>
      <c r="R4938">
        <v>1726.13</v>
      </c>
      <c r="S4938">
        <v>416.85</v>
      </c>
      <c r="T4938">
        <v>28284.27</v>
      </c>
      <c r="U4938">
        <v>17792.439999999999</v>
      </c>
      <c r="V4938">
        <v>8157.97</v>
      </c>
      <c r="W4938">
        <v>7690.52</v>
      </c>
      <c r="X4938">
        <v>39479.339999999997</v>
      </c>
      <c r="Y4938">
        <v>29121.24</v>
      </c>
    </row>
    <row r="4939" spans="1:25" x14ac:dyDescent="0.25">
      <c r="A4939" t="s">
        <v>4995</v>
      </c>
      <c r="B4939" s="1">
        <v>46276</v>
      </c>
      <c r="C4939">
        <v>2026</v>
      </c>
      <c r="D4939">
        <v>9</v>
      </c>
      <c r="E4939" t="s">
        <v>918</v>
      </c>
      <c r="F4939" t="s">
        <v>691</v>
      </c>
      <c r="G4939" t="s">
        <v>28</v>
      </c>
      <c r="H4939" t="s">
        <v>32</v>
      </c>
      <c r="I4939" t="s">
        <v>39</v>
      </c>
      <c r="J4939">
        <v>36</v>
      </c>
      <c r="K4939">
        <v>1373.08</v>
      </c>
      <c r="L4939">
        <v>49430.73</v>
      </c>
      <c r="M4939">
        <v>24080.03</v>
      </c>
      <c r="N4939">
        <v>5799.52</v>
      </c>
      <c r="O4939">
        <v>2014.53</v>
      </c>
      <c r="P4939">
        <v>2159.4499999999998</v>
      </c>
      <c r="Q4939">
        <v>318.98</v>
      </c>
      <c r="R4939">
        <v>1497.67</v>
      </c>
      <c r="S4939">
        <v>1090.57</v>
      </c>
      <c r="T4939">
        <v>36960.76</v>
      </c>
      <c r="U4939">
        <v>25350.69</v>
      </c>
      <c r="V4939">
        <v>12469.97</v>
      </c>
      <c r="W4939">
        <v>11584.8</v>
      </c>
      <c r="X4939">
        <v>51144.5</v>
      </c>
      <c r="Y4939">
        <v>40071.379999999997</v>
      </c>
    </row>
    <row r="4940" spans="1:25" x14ac:dyDescent="0.25">
      <c r="A4940" t="s">
        <v>4996</v>
      </c>
      <c r="B4940" s="1">
        <v>46276</v>
      </c>
      <c r="C4940">
        <v>2026</v>
      </c>
      <c r="D4940">
        <v>9</v>
      </c>
      <c r="E4940" t="s">
        <v>918</v>
      </c>
      <c r="F4940" t="s">
        <v>691</v>
      </c>
      <c r="G4940" t="s">
        <v>44</v>
      </c>
      <c r="H4940" t="s">
        <v>53</v>
      </c>
      <c r="I4940" t="s">
        <v>33</v>
      </c>
      <c r="J4940">
        <v>77</v>
      </c>
      <c r="K4940">
        <v>899.32</v>
      </c>
      <c r="L4940">
        <v>69247.48</v>
      </c>
      <c r="M4940">
        <v>35025.769999999997</v>
      </c>
      <c r="N4940">
        <v>7633.04</v>
      </c>
      <c r="O4940">
        <v>3570.91</v>
      </c>
      <c r="P4940">
        <v>2099.34</v>
      </c>
      <c r="Q4940">
        <v>777.98</v>
      </c>
      <c r="R4940">
        <v>3266.15</v>
      </c>
      <c r="S4940">
        <v>1049.76</v>
      </c>
      <c r="T4940">
        <v>53422.95</v>
      </c>
      <c r="U4940">
        <v>34221.699999999997</v>
      </c>
      <c r="V4940">
        <v>15824.53</v>
      </c>
      <c r="W4940">
        <v>15321.51</v>
      </c>
      <c r="X4940">
        <v>64966.26</v>
      </c>
      <c r="Y4940">
        <v>50877.57</v>
      </c>
    </row>
    <row r="4941" spans="1:25" x14ac:dyDescent="0.25">
      <c r="A4941" t="s">
        <v>4997</v>
      </c>
      <c r="B4941" s="1">
        <v>46276</v>
      </c>
      <c r="C4941">
        <v>2026</v>
      </c>
      <c r="D4941">
        <v>9</v>
      </c>
      <c r="E4941" t="s">
        <v>918</v>
      </c>
      <c r="F4941" t="s">
        <v>691</v>
      </c>
      <c r="G4941" t="s">
        <v>28</v>
      </c>
      <c r="H4941" t="s">
        <v>36</v>
      </c>
      <c r="I4941" t="s">
        <v>37</v>
      </c>
      <c r="J4941">
        <v>36</v>
      </c>
      <c r="K4941">
        <v>1659.11</v>
      </c>
      <c r="L4941">
        <v>59727.8</v>
      </c>
      <c r="M4941">
        <v>36526.879999999997</v>
      </c>
      <c r="N4941">
        <v>4756.1400000000003</v>
      </c>
      <c r="O4941">
        <v>2949.72</v>
      </c>
      <c r="P4941">
        <v>2348.94</v>
      </c>
      <c r="Q4941">
        <v>1065.04</v>
      </c>
      <c r="R4941">
        <v>3567.34</v>
      </c>
      <c r="S4941">
        <v>524.29</v>
      </c>
      <c r="T4941">
        <v>51738.35</v>
      </c>
      <c r="U4941">
        <v>23200.92</v>
      </c>
      <c r="V4941">
        <v>7989.45</v>
      </c>
      <c r="W4941">
        <v>7549.17</v>
      </c>
      <c r="X4941">
        <v>59868.08</v>
      </c>
      <c r="Y4941">
        <v>56776.45</v>
      </c>
    </row>
    <row r="4942" spans="1:25" x14ac:dyDescent="0.25">
      <c r="A4942" t="s">
        <v>4998</v>
      </c>
      <c r="B4942" s="1">
        <v>46277</v>
      </c>
      <c r="C4942">
        <v>2026</v>
      </c>
      <c r="D4942">
        <v>9</v>
      </c>
      <c r="E4942" t="s">
        <v>918</v>
      </c>
      <c r="F4942" t="s">
        <v>691</v>
      </c>
      <c r="G4942" t="s">
        <v>28</v>
      </c>
      <c r="H4942" t="s">
        <v>29</v>
      </c>
      <c r="I4942" t="s">
        <v>33</v>
      </c>
      <c r="J4942">
        <v>83</v>
      </c>
      <c r="K4942">
        <v>1218.3599999999999</v>
      </c>
      <c r="L4942">
        <v>101124.21</v>
      </c>
      <c r="M4942">
        <v>53202.23</v>
      </c>
      <c r="N4942">
        <v>9476.8799999999992</v>
      </c>
      <c r="O4942">
        <v>7123.62</v>
      </c>
      <c r="P4942">
        <v>4306.3900000000003</v>
      </c>
      <c r="Q4942">
        <v>1132.1300000000001</v>
      </c>
      <c r="R4942">
        <v>2733.72</v>
      </c>
      <c r="S4942">
        <v>2407.4499999999998</v>
      </c>
      <c r="T4942">
        <v>80382.42</v>
      </c>
      <c r="U4942">
        <v>47921.98</v>
      </c>
      <c r="V4942">
        <v>20741.79</v>
      </c>
      <c r="W4942">
        <v>20769.830000000002</v>
      </c>
      <c r="X4942">
        <v>98740.12</v>
      </c>
      <c r="Y4942">
        <v>78487.350000000006</v>
      </c>
    </row>
    <row r="4943" spans="1:25" x14ac:dyDescent="0.25">
      <c r="A4943" t="s">
        <v>4999</v>
      </c>
      <c r="B4943" s="1">
        <v>46277</v>
      </c>
      <c r="C4943">
        <v>2026</v>
      </c>
      <c r="D4943">
        <v>9</v>
      </c>
      <c r="E4943" t="s">
        <v>918</v>
      </c>
      <c r="F4943" t="s">
        <v>691</v>
      </c>
      <c r="G4943" t="s">
        <v>55</v>
      </c>
      <c r="H4943" t="s">
        <v>32</v>
      </c>
      <c r="I4943" t="s">
        <v>39</v>
      </c>
      <c r="J4943">
        <v>72</v>
      </c>
      <c r="K4943">
        <v>953.51</v>
      </c>
      <c r="L4943">
        <v>68652.83</v>
      </c>
      <c r="M4943">
        <v>44697.16</v>
      </c>
      <c r="N4943">
        <v>5233.75</v>
      </c>
      <c r="O4943">
        <v>2045.17</v>
      </c>
      <c r="P4943">
        <v>2460</v>
      </c>
      <c r="Q4943">
        <v>822.18</v>
      </c>
      <c r="R4943">
        <v>3692.12</v>
      </c>
      <c r="S4943">
        <v>1095.25</v>
      </c>
      <c r="T4943">
        <v>60045.63</v>
      </c>
      <c r="U4943">
        <v>23955.67</v>
      </c>
      <c r="V4943">
        <v>8607.2000000000007</v>
      </c>
      <c r="W4943">
        <v>8127.4</v>
      </c>
      <c r="X4943">
        <v>72466.77</v>
      </c>
      <c r="Y4943">
        <v>63370.32</v>
      </c>
    </row>
    <row r="4944" spans="1:25" x14ac:dyDescent="0.25">
      <c r="A4944" t="s">
        <v>5000</v>
      </c>
      <c r="B4944" s="1">
        <v>46277</v>
      </c>
      <c r="C4944">
        <v>2026</v>
      </c>
      <c r="D4944">
        <v>9</v>
      </c>
      <c r="E4944" t="s">
        <v>918</v>
      </c>
      <c r="F4944" t="s">
        <v>691</v>
      </c>
      <c r="G4944" t="s">
        <v>28</v>
      </c>
      <c r="H4944" t="s">
        <v>32</v>
      </c>
      <c r="I4944" t="s">
        <v>50</v>
      </c>
      <c r="J4944">
        <v>43</v>
      </c>
      <c r="K4944">
        <v>1482.73</v>
      </c>
      <c r="L4944">
        <v>63757.3</v>
      </c>
      <c r="M4944">
        <v>37457.64</v>
      </c>
      <c r="N4944">
        <v>7626.36</v>
      </c>
      <c r="O4944">
        <v>1623.1</v>
      </c>
      <c r="P4944">
        <v>2014.23</v>
      </c>
      <c r="Q4944">
        <v>736.19</v>
      </c>
      <c r="R4944">
        <v>2621.08</v>
      </c>
      <c r="S4944">
        <v>572.83000000000004</v>
      </c>
      <c r="T4944">
        <v>52651.43</v>
      </c>
      <c r="U4944">
        <v>26299.66</v>
      </c>
      <c r="V4944">
        <v>11105.88</v>
      </c>
      <c r="W4944">
        <v>10814.35</v>
      </c>
      <c r="X4944">
        <v>59090.77</v>
      </c>
      <c r="Y4944">
        <v>49154.52</v>
      </c>
    </row>
    <row r="4945" spans="1:25" x14ac:dyDescent="0.25">
      <c r="A4945" t="s">
        <v>5001</v>
      </c>
      <c r="B4945" s="1">
        <v>46277</v>
      </c>
      <c r="C4945">
        <v>2026</v>
      </c>
      <c r="D4945">
        <v>9</v>
      </c>
      <c r="E4945" t="s">
        <v>918</v>
      </c>
      <c r="F4945" t="s">
        <v>691</v>
      </c>
      <c r="G4945" t="s">
        <v>44</v>
      </c>
      <c r="H4945" t="s">
        <v>36</v>
      </c>
      <c r="I4945" t="s">
        <v>56</v>
      </c>
      <c r="J4945">
        <v>20</v>
      </c>
      <c r="K4945">
        <v>1640.43</v>
      </c>
      <c r="L4945">
        <v>32808.620000000003</v>
      </c>
      <c r="M4945">
        <v>21238.560000000001</v>
      </c>
      <c r="N4945">
        <v>3231.7</v>
      </c>
      <c r="O4945">
        <v>1203.44</v>
      </c>
      <c r="P4945">
        <v>1037.33</v>
      </c>
      <c r="Q4945">
        <v>514.62</v>
      </c>
      <c r="R4945">
        <v>982.13</v>
      </c>
      <c r="S4945">
        <v>768.5</v>
      </c>
      <c r="T4945">
        <v>28976.28</v>
      </c>
      <c r="U4945">
        <v>11570.06</v>
      </c>
      <c r="V4945">
        <v>3832.35</v>
      </c>
      <c r="W4945">
        <v>3885.6</v>
      </c>
      <c r="X4945">
        <v>34725.019999999997</v>
      </c>
      <c r="Y4945">
        <v>28618.62</v>
      </c>
    </row>
    <row r="4946" spans="1:25" x14ac:dyDescent="0.25">
      <c r="A4946" t="s">
        <v>5002</v>
      </c>
      <c r="B4946" s="1">
        <v>46278</v>
      </c>
      <c r="C4946">
        <v>2026</v>
      </c>
      <c r="D4946">
        <v>9</v>
      </c>
      <c r="E4946" t="s">
        <v>918</v>
      </c>
      <c r="F4946" t="s">
        <v>691</v>
      </c>
      <c r="G4946" t="s">
        <v>55</v>
      </c>
      <c r="H4946" t="s">
        <v>32</v>
      </c>
      <c r="I4946" t="s">
        <v>45</v>
      </c>
      <c r="J4946">
        <v>59</v>
      </c>
      <c r="K4946">
        <v>1099.45</v>
      </c>
      <c r="L4946">
        <v>64867.41</v>
      </c>
      <c r="M4946">
        <v>34837.69</v>
      </c>
      <c r="N4946">
        <v>7226.01</v>
      </c>
      <c r="O4946">
        <v>3394.8</v>
      </c>
      <c r="P4946">
        <v>1826.53</v>
      </c>
      <c r="Q4946">
        <v>708.93</v>
      </c>
      <c r="R4946">
        <v>4099.83</v>
      </c>
      <c r="S4946">
        <v>1478.38</v>
      </c>
      <c r="T4946">
        <v>53572.17</v>
      </c>
      <c r="U4946">
        <v>30029.72</v>
      </c>
      <c r="V4946">
        <v>11295.24</v>
      </c>
      <c r="W4946">
        <v>10656.61</v>
      </c>
      <c r="X4946">
        <v>71012.039999999994</v>
      </c>
      <c r="Y4946">
        <v>55357.599999999999</v>
      </c>
    </row>
    <row r="4947" spans="1:25" x14ac:dyDescent="0.25">
      <c r="A4947" t="s">
        <v>5003</v>
      </c>
      <c r="B4947" s="1">
        <v>46279</v>
      </c>
      <c r="C4947">
        <v>2026</v>
      </c>
      <c r="D4947">
        <v>9</v>
      </c>
      <c r="E4947" t="s">
        <v>918</v>
      </c>
      <c r="F4947" t="s">
        <v>691</v>
      </c>
      <c r="G4947" t="s">
        <v>35</v>
      </c>
      <c r="H4947" t="s">
        <v>36</v>
      </c>
      <c r="I4947" t="s">
        <v>30</v>
      </c>
      <c r="J4947">
        <v>114</v>
      </c>
      <c r="K4947">
        <v>841.69</v>
      </c>
      <c r="L4947">
        <v>95952.2</v>
      </c>
      <c r="M4947">
        <v>51918.8</v>
      </c>
      <c r="N4947">
        <v>8293.42</v>
      </c>
      <c r="O4947">
        <v>5829.59</v>
      </c>
      <c r="P4947">
        <v>2281.0700000000002</v>
      </c>
      <c r="Q4947">
        <v>1357.22</v>
      </c>
      <c r="R4947">
        <v>2973.38</v>
      </c>
      <c r="S4947">
        <v>1439.61</v>
      </c>
      <c r="T4947">
        <v>74093.11</v>
      </c>
      <c r="U4947">
        <v>44033.4</v>
      </c>
      <c r="V4947">
        <v>21859.09</v>
      </c>
      <c r="W4947">
        <v>19332.71</v>
      </c>
      <c r="X4947">
        <v>100028.43</v>
      </c>
      <c r="Y4947">
        <v>72807.59</v>
      </c>
    </row>
    <row r="4948" spans="1:25" x14ac:dyDescent="0.25">
      <c r="A4948" t="s">
        <v>5004</v>
      </c>
      <c r="B4948" s="1">
        <v>46279</v>
      </c>
      <c r="C4948">
        <v>2026</v>
      </c>
      <c r="D4948">
        <v>9</v>
      </c>
      <c r="E4948" t="s">
        <v>918</v>
      </c>
      <c r="F4948" t="s">
        <v>691</v>
      </c>
      <c r="G4948" t="s">
        <v>35</v>
      </c>
      <c r="H4948" t="s">
        <v>32</v>
      </c>
      <c r="I4948" t="s">
        <v>45</v>
      </c>
      <c r="J4948">
        <v>39</v>
      </c>
      <c r="K4948">
        <v>1197.3599999999999</v>
      </c>
      <c r="L4948">
        <v>46696.91</v>
      </c>
      <c r="M4948">
        <v>30077.279999999999</v>
      </c>
      <c r="N4948">
        <v>5028.8500000000004</v>
      </c>
      <c r="O4948">
        <v>2629.43</v>
      </c>
      <c r="P4948">
        <v>1814.98</v>
      </c>
      <c r="Q4948">
        <v>799.92</v>
      </c>
      <c r="R4948">
        <v>2614.8000000000002</v>
      </c>
      <c r="S4948">
        <v>469.62</v>
      </c>
      <c r="T4948">
        <v>43434.879999999997</v>
      </c>
      <c r="U4948">
        <v>16619.63</v>
      </c>
      <c r="V4948">
        <v>3262.03</v>
      </c>
      <c r="W4948">
        <v>3088.25</v>
      </c>
      <c r="X4948">
        <v>44720.97</v>
      </c>
      <c r="Y4948">
        <v>46149.01</v>
      </c>
    </row>
    <row r="4949" spans="1:25" x14ac:dyDescent="0.25">
      <c r="A4949" t="s">
        <v>5005</v>
      </c>
      <c r="B4949" s="1">
        <v>46280</v>
      </c>
      <c r="C4949">
        <v>2026</v>
      </c>
      <c r="D4949">
        <v>9</v>
      </c>
      <c r="E4949" t="s">
        <v>918</v>
      </c>
      <c r="F4949" t="s">
        <v>691</v>
      </c>
      <c r="G4949" t="s">
        <v>28</v>
      </c>
      <c r="H4949" t="s">
        <v>58</v>
      </c>
      <c r="I4949" t="s">
        <v>45</v>
      </c>
      <c r="J4949">
        <v>30</v>
      </c>
      <c r="K4949">
        <v>1773.62</v>
      </c>
      <c r="L4949">
        <v>53208.61</v>
      </c>
      <c r="M4949">
        <v>32666.38</v>
      </c>
      <c r="N4949">
        <v>5052.16</v>
      </c>
      <c r="O4949">
        <v>2277.0100000000002</v>
      </c>
      <c r="P4949">
        <v>1967.08</v>
      </c>
      <c r="Q4949">
        <v>514.58000000000004</v>
      </c>
      <c r="R4949">
        <v>1629.04</v>
      </c>
      <c r="S4949">
        <v>1171.98</v>
      </c>
      <c r="T4949">
        <v>45278.239999999998</v>
      </c>
      <c r="U4949">
        <v>20542.240000000002</v>
      </c>
      <c r="V4949">
        <v>7930.37</v>
      </c>
      <c r="W4949">
        <v>7807.64</v>
      </c>
      <c r="X4949">
        <v>54173.85</v>
      </c>
      <c r="Y4949">
        <v>48447.59</v>
      </c>
    </row>
    <row r="4950" spans="1:25" x14ac:dyDescent="0.25">
      <c r="A4950" t="s">
        <v>5006</v>
      </c>
      <c r="B4950" s="1">
        <v>46280</v>
      </c>
      <c r="C4950">
        <v>2026</v>
      </c>
      <c r="D4950">
        <v>9</v>
      </c>
      <c r="E4950" t="s">
        <v>918</v>
      </c>
      <c r="F4950" t="s">
        <v>691</v>
      </c>
      <c r="G4950" t="s">
        <v>28</v>
      </c>
      <c r="H4950" t="s">
        <v>29</v>
      </c>
      <c r="I4950" t="s">
        <v>45</v>
      </c>
      <c r="J4950">
        <v>32</v>
      </c>
      <c r="K4950">
        <v>1395.57</v>
      </c>
      <c r="L4950">
        <v>44658.31</v>
      </c>
      <c r="M4950">
        <v>26974.639999999999</v>
      </c>
      <c r="N4950">
        <v>4448.87</v>
      </c>
      <c r="O4950">
        <v>2065.7800000000002</v>
      </c>
      <c r="P4950">
        <v>1826.26</v>
      </c>
      <c r="Q4950">
        <v>749.85</v>
      </c>
      <c r="R4950">
        <v>2400.04</v>
      </c>
      <c r="S4950">
        <v>1026.71</v>
      </c>
      <c r="T4950">
        <v>39492.129999999997</v>
      </c>
      <c r="U4950">
        <v>17683.669999999998</v>
      </c>
      <c r="V4950">
        <v>5166.18</v>
      </c>
      <c r="W4950">
        <v>5030.72</v>
      </c>
      <c r="X4950">
        <v>48162.879999999997</v>
      </c>
      <c r="Y4950">
        <v>39670.6</v>
      </c>
    </row>
    <row r="4951" spans="1:25" x14ac:dyDescent="0.25">
      <c r="A4951" t="s">
        <v>5007</v>
      </c>
      <c r="B4951" s="1">
        <v>46280</v>
      </c>
      <c r="C4951">
        <v>2026</v>
      </c>
      <c r="D4951">
        <v>9</v>
      </c>
      <c r="E4951" t="s">
        <v>918</v>
      </c>
      <c r="F4951" t="s">
        <v>691</v>
      </c>
      <c r="G4951" t="s">
        <v>28</v>
      </c>
      <c r="H4951" t="s">
        <v>32</v>
      </c>
      <c r="I4951" t="s">
        <v>39</v>
      </c>
      <c r="J4951">
        <v>47</v>
      </c>
      <c r="K4951">
        <v>874.39</v>
      </c>
      <c r="L4951">
        <v>41096.33</v>
      </c>
      <c r="M4951">
        <v>20394.53</v>
      </c>
      <c r="N4951">
        <v>4465.57</v>
      </c>
      <c r="O4951">
        <v>2444.41</v>
      </c>
      <c r="P4951">
        <v>1539.82</v>
      </c>
      <c r="Q4951">
        <v>696.47</v>
      </c>
      <c r="R4951">
        <v>1911.02</v>
      </c>
      <c r="S4951">
        <v>555.17999999999995</v>
      </c>
      <c r="T4951">
        <v>32006.98</v>
      </c>
      <c r="U4951">
        <v>20701.8</v>
      </c>
      <c r="V4951">
        <v>9089.35</v>
      </c>
      <c r="W4951">
        <v>8822.02</v>
      </c>
      <c r="X4951">
        <v>45917.05</v>
      </c>
      <c r="Y4951">
        <v>29892.87</v>
      </c>
    </row>
    <row r="4952" spans="1:25" x14ac:dyDescent="0.25">
      <c r="A4952" t="s">
        <v>5008</v>
      </c>
      <c r="B4952" s="1">
        <v>46281</v>
      </c>
      <c r="C4952">
        <v>2026</v>
      </c>
      <c r="D4952">
        <v>9</v>
      </c>
      <c r="E4952" t="s">
        <v>918</v>
      </c>
      <c r="F4952" t="s">
        <v>691</v>
      </c>
      <c r="G4952" t="s">
        <v>55</v>
      </c>
      <c r="H4952" t="s">
        <v>36</v>
      </c>
      <c r="I4952" t="s">
        <v>56</v>
      </c>
      <c r="J4952">
        <v>46</v>
      </c>
      <c r="K4952">
        <v>932.59</v>
      </c>
      <c r="L4952">
        <v>42899.31</v>
      </c>
      <c r="M4952">
        <v>24074.05</v>
      </c>
      <c r="N4952">
        <v>5105.04</v>
      </c>
      <c r="O4952">
        <v>1302.74</v>
      </c>
      <c r="P4952">
        <v>1841.98</v>
      </c>
      <c r="Q4952">
        <v>229.22</v>
      </c>
      <c r="R4952">
        <v>2507.5100000000002</v>
      </c>
      <c r="S4952">
        <v>708.4</v>
      </c>
      <c r="T4952">
        <v>35768.94</v>
      </c>
      <c r="U4952">
        <v>18825.25</v>
      </c>
      <c r="V4952">
        <v>7130.37</v>
      </c>
      <c r="W4952">
        <v>7104.71</v>
      </c>
      <c r="X4952">
        <v>43698.97</v>
      </c>
      <c r="Y4952">
        <v>34390.080000000002</v>
      </c>
    </row>
    <row r="4953" spans="1:25" x14ac:dyDescent="0.25">
      <c r="A4953" t="s">
        <v>5009</v>
      </c>
      <c r="B4953" s="1">
        <v>46281</v>
      </c>
      <c r="C4953">
        <v>2026</v>
      </c>
      <c r="D4953">
        <v>9</v>
      </c>
      <c r="E4953" t="s">
        <v>918</v>
      </c>
      <c r="F4953" t="s">
        <v>691</v>
      </c>
      <c r="G4953" t="s">
        <v>55</v>
      </c>
      <c r="H4953" t="s">
        <v>32</v>
      </c>
      <c r="I4953" t="s">
        <v>30</v>
      </c>
      <c r="J4953">
        <v>89</v>
      </c>
      <c r="K4953">
        <v>1534.66</v>
      </c>
      <c r="L4953">
        <v>136585.18</v>
      </c>
      <c r="M4953">
        <v>66478.990000000005</v>
      </c>
      <c r="N4953">
        <v>12615.36</v>
      </c>
      <c r="O4953">
        <v>6275.87</v>
      </c>
      <c r="P4953">
        <v>5405.91</v>
      </c>
      <c r="Q4953">
        <v>851.49</v>
      </c>
      <c r="R4953">
        <v>3605.55</v>
      </c>
      <c r="S4953">
        <v>2680.45</v>
      </c>
      <c r="T4953">
        <v>97913.61</v>
      </c>
      <c r="U4953">
        <v>70106.19</v>
      </c>
      <c r="V4953">
        <v>38671.57</v>
      </c>
      <c r="W4953">
        <v>34435.949999999997</v>
      </c>
      <c r="X4953">
        <v>133461.95000000001</v>
      </c>
      <c r="Y4953">
        <v>99097.47</v>
      </c>
    </row>
    <row r="4954" spans="1:25" x14ac:dyDescent="0.25">
      <c r="A4954" t="s">
        <v>5010</v>
      </c>
      <c r="B4954" s="1">
        <v>46281</v>
      </c>
      <c r="C4954">
        <v>2026</v>
      </c>
      <c r="D4954">
        <v>9</v>
      </c>
      <c r="E4954" t="s">
        <v>918</v>
      </c>
      <c r="F4954" t="s">
        <v>691</v>
      </c>
      <c r="G4954" t="s">
        <v>35</v>
      </c>
      <c r="H4954" t="s">
        <v>53</v>
      </c>
      <c r="I4954" t="s">
        <v>56</v>
      </c>
      <c r="J4954">
        <v>22</v>
      </c>
      <c r="K4954">
        <v>978.73</v>
      </c>
      <c r="L4954">
        <v>21532.01</v>
      </c>
      <c r="M4954">
        <v>11152.74</v>
      </c>
      <c r="N4954">
        <v>2752.69</v>
      </c>
      <c r="O4954">
        <v>1374.83</v>
      </c>
      <c r="P4954">
        <v>572.71</v>
      </c>
      <c r="Q4954">
        <v>238.91</v>
      </c>
      <c r="R4954">
        <v>868.68</v>
      </c>
      <c r="S4954">
        <v>368.07</v>
      </c>
      <c r="T4954">
        <v>17328.62</v>
      </c>
      <c r="U4954">
        <v>10379.27</v>
      </c>
      <c r="V4954">
        <v>4203.3900000000003</v>
      </c>
      <c r="W4954">
        <v>3971.58</v>
      </c>
      <c r="X4954">
        <v>21705.89</v>
      </c>
      <c r="Y4954">
        <v>16804.34</v>
      </c>
    </row>
    <row r="4955" spans="1:25" x14ac:dyDescent="0.25">
      <c r="A4955" t="s">
        <v>5011</v>
      </c>
      <c r="B4955" s="1">
        <v>46282</v>
      </c>
      <c r="C4955">
        <v>2026</v>
      </c>
      <c r="D4955">
        <v>9</v>
      </c>
      <c r="E4955" t="s">
        <v>918</v>
      </c>
      <c r="F4955" t="s">
        <v>691</v>
      </c>
      <c r="G4955" t="s">
        <v>28</v>
      </c>
      <c r="H4955" t="s">
        <v>53</v>
      </c>
      <c r="I4955" t="s">
        <v>30</v>
      </c>
      <c r="J4955">
        <v>84</v>
      </c>
      <c r="K4955">
        <v>802.47</v>
      </c>
      <c r="L4955">
        <v>67407.850000000006</v>
      </c>
      <c r="M4955">
        <v>43518.17</v>
      </c>
      <c r="N4955">
        <v>8234.07</v>
      </c>
      <c r="O4955">
        <v>3170.66</v>
      </c>
      <c r="P4955">
        <v>1502.64</v>
      </c>
      <c r="Q4955">
        <v>532.70000000000005</v>
      </c>
      <c r="R4955">
        <v>2979.86</v>
      </c>
      <c r="S4955">
        <v>1508.09</v>
      </c>
      <c r="T4955">
        <v>61446.2</v>
      </c>
      <c r="U4955">
        <v>23889.68</v>
      </c>
      <c r="V4955">
        <v>5961.65</v>
      </c>
      <c r="W4955">
        <v>5338.2</v>
      </c>
      <c r="X4955">
        <v>65928.38</v>
      </c>
      <c r="Y4955">
        <v>61324.31</v>
      </c>
    </row>
    <row r="4956" spans="1:25" x14ac:dyDescent="0.25">
      <c r="A4956" t="s">
        <v>5012</v>
      </c>
      <c r="B4956" s="1">
        <v>46282</v>
      </c>
      <c r="C4956">
        <v>2026</v>
      </c>
      <c r="D4956">
        <v>9</v>
      </c>
      <c r="E4956" t="s">
        <v>918</v>
      </c>
      <c r="F4956" t="s">
        <v>691</v>
      </c>
      <c r="G4956" t="s">
        <v>55</v>
      </c>
      <c r="H4956" t="s">
        <v>58</v>
      </c>
      <c r="I4956" t="s">
        <v>50</v>
      </c>
      <c r="J4956">
        <v>34</v>
      </c>
      <c r="K4956">
        <v>1374.99</v>
      </c>
      <c r="L4956">
        <v>46749.68</v>
      </c>
      <c r="M4956">
        <v>28549.98</v>
      </c>
      <c r="N4956">
        <v>4507.2</v>
      </c>
      <c r="O4956">
        <v>2292</v>
      </c>
      <c r="P4956">
        <v>1335.27</v>
      </c>
      <c r="Q4956">
        <v>583.59</v>
      </c>
      <c r="R4956">
        <v>2733.32</v>
      </c>
      <c r="S4956">
        <v>797.44</v>
      </c>
      <c r="T4956">
        <v>40798.81</v>
      </c>
      <c r="U4956">
        <v>18199.7</v>
      </c>
      <c r="V4956">
        <v>5950.87</v>
      </c>
      <c r="W4956">
        <v>5547.9</v>
      </c>
      <c r="X4956">
        <v>50625.71</v>
      </c>
      <c r="Y4956">
        <v>41504.06</v>
      </c>
    </row>
    <row r="4957" spans="1:25" x14ac:dyDescent="0.25">
      <c r="A4957" t="s">
        <v>5013</v>
      </c>
      <c r="B4957" s="1">
        <v>46282</v>
      </c>
      <c r="C4957">
        <v>2026</v>
      </c>
      <c r="D4957">
        <v>9</v>
      </c>
      <c r="E4957" t="s">
        <v>918</v>
      </c>
      <c r="F4957" t="s">
        <v>691</v>
      </c>
      <c r="G4957" t="s">
        <v>55</v>
      </c>
      <c r="H4957" t="s">
        <v>53</v>
      </c>
      <c r="I4957" t="s">
        <v>39</v>
      </c>
      <c r="J4957">
        <v>37</v>
      </c>
      <c r="K4957">
        <v>1340.67</v>
      </c>
      <c r="L4957">
        <v>49604.71</v>
      </c>
      <c r="M4957">
        <v>25027.07</v>
      </c>
      <c r="N4957">
        <v>4749.5600000000004</v>
      </c>
      <c r="O4957">
        <v>3597.77</v>
      </c>
      <c r="P4957">
        <v>1024.67</v>
      </c>
      <c r="Q4957">
        <v>351.78</v>
      </c>
      <c r="R4957">
        <v>3080.91</v>
      </c>
      <c r="S4957">
        <v>874.78</v>
      </c>
      <c r="T4957">
        <v>38706.54</v>
      </c>
      <c r="U4957">
        <v>24577.65</v>
      </c>
      <c r="V4957">
        <v>10898.17</v>
      </c>
      <c r="W4957">
        <v>11100.8</v>
      </c>
      <c r="X4957">
        <v>46064.61</v>
      </c>
      <c r="Y4957">
        <v>42074.99</v>
      </c>
    </row>
    <row r="4958" spans="1:25" x14ac:dyDescent="0.25">
      <c r="A4958" t="s">
        <v>5014</v>
      </c>
      <c r="B4958" s="1">
        <v>46282</v>
      </c>
      <c r="C4958">
        <v>2026</v>
      </c>
      <c r="D4958">
        <v>9</v>
      </c>
      <c r="E4958" t="s">
        <v>918</v>
      </c>
      <c r="F4958" t="s">
        <v>691</v>
      </c>
      <c r="G4958" t="s">
        <v>35</v>
      </c>
      <c r="H4958" t="s">
        <v>53</v>
      </c>
      <c r="I4958" t="s">
        <v>65</v>
      </c>
      <c r="J4958">
        <v>56</v>
      </c>
      <c r="K4958">
        <v>850.02</v>
      </c>
      <c r="L4958">
        <v>47601.120000000003</v>
      </c>
      <c r="M4958">
        <v>23460.93</v>
      </c>
      <c r="N4958">
        <v>3577.3</v>
      </c>
      <c r="O4958">
        <v>2751.02</v>
      </c>
      <c r="P4958">
        <v>2076.96</v>
      </c>
      <c r="Q4958">
        <v>453.66</v>
      </c>
      <c r="R4958">
        <v>3042.69</v>
      </c>
      <c r="S4958">
        <v>892.76</v>
      </c>
      <c r="T4958">
        <v>36255.31</v>
      </c>
      <c r="U4958">
        <v>24140.19</v>
      </c>
      <c r="V4958">
        <v>11345.81</v>
      </c>
      <c r="W4958">
        <v>10804.35</v>
      </c>
      <c r="X4958">
        <v>52941.120000000003</v>
      </c>
      <c r="Y4958">
        <v>38066.550000000003</v>
      </c>
    </row>
    <row r="4959" spans="1:25" x14ac:dyDescent="0.25">
      <c r="A4959" t="s">
        <v>5015</v>
      </c>
      <c r="B4959" s="1">
        <v>46283</v>
      </c>
      <c r="C4959">
        <v>2026</v>
      </c>
      <c r="D4959">
        <v>9</v>
      </c>
      <c r="E4959" t="s">
        <v>918</v>
      </c>
      <c r="F4959" t="s">
        <v>691</v>
      </c>
      <c r="G4959" t="s">
        <v>55</v>
      </c>
      <c r="H4959" t="s">
        <v>58</v>
      </c>
      <c r="I4959" t="s">
        <v>50</v>
      </c>
      <c r="J4959">
        <v>51</v>
      </c>
      <c r="K4959">
        <v>957.7</v>
      </c>
      <c r="L4959">
        <v>48842.57</v>
      </c>
      <c r="M4959">
        <v>29523.42</v>
      </c>
      <c r="N4959">
        <v>3426.78</v>
      </c>
      <c r="O4959">
        <v>3292.76</v>
      </c>
      <c r="P4959">
        <v>1832.23</v>
      </c>
      <c r="Q4959">
        <v>379.49</v>
      </c>
      <c r="R4959">
        <v>2062.0700000000002</v>
      </c>
      <c r="S4959">
        <v>671.91</v>
      </c>
      <c r="T4959">
        <v>41188.660000000003</v>
      </c>
      <c r="U4959">
        <v>19319.16</v>
      </c>
      <c r="V4959">
        <v>7653.91</v>
      </c>
      <c r="W4959">
        <v>6926.04</v>
      </c>
      <c r="X4959">
        <v>45087.87</v>
      </c>
      <c r="Y4959">
        <v>41132.07</v>
      </c>
    </row>
    <row r="4960" spans="1:25" x14ac:dyDescent="0.25">
      <c r="A4960" t="s">
        <v>5016</v>
      </c>
      <c r="B4960" s="1">
        <v>46284</v>
      </c>
      <c r="C4960">
        <v>2026</v>
      </c>
      <c r="D4960">
        <v>9</v>
      </c>
      <c r="E4960" t="s">
        <v>918</v>
      </c>
      <c r="F4960" t="s">
        <v>691</v>
      </c>
      <c r="G4960" t="s">
        <v>44</v>
      </c>
      <c r="H4960" t="s">
        <v>29</v>
      </c>
      <c r="I4960" t="s">
        <v>45</v>
      </c>
      <c r="J4960">
        <v>47</v>
      </c>
      <c r="K4960">
        <v>863.97</v>
      </c>
      <c r="L4960">
        <v>40606.550000000003</v>
      </c>
      <c r="M4960">
        <v>19637.53</v>
      </c>
      <c r="N4960">
        <v>5223.0600000000004</v>
      </c>
      <c r="O4960">
        <v>1471.41</v>
      </c>
      <c r="P4960">
        <v>1441.9</v>
      </c>
      <c r="Q4960">
        <v>713.24</v>
      </c>
      <c r="R4960">
        <v>1747.02</v>
      </c>
      <c r="S4960">
        <v>602.69000000000005</v>
      </c>
      <c r="T4960">
        <v>30836.84</v>
      </c>
      <c r="U4960">
        <v>20969.03</v>
      </c>
      <c r="V4960">
        <v>9769.7099999999991</v>
      </c>
      <c r="W4960">
        <v>9712.0499999999993</v>
      </c>
      <c r="X4960">
        <v>39848.83</v>
      </c>
      <c r="Y4960">
        <v>33441.67</v>
      </c>
    </row>
    <row r="4961" spans="1:25" x14ac:dyDescent="0.25">
      <c r="A4961" t="s">
        <v>5017</v>
      </c>
      <c r="B4961" s="1">
        <v>46285</v>
      </c>
      <c r="C4961">
        <v>2026</v>
      </c>
      <c r="D4961">
        <v>9</v>
      </c>
      <c r="E4961" t="s">
        <v>918</v>
      </c>
      <c r="F4961" t="s">
        <v>691</v>
      </c>
      <c r="G4961" t="s">
        <v>55</v>
      </c>
      <c r="H4961" t="s">
        <v>29</v>
      </c>
      <c r="I4961" t="s">
        <v>50</v>
      </c>
      <c r="J4961">
        <v>68</v>
      </c>
      <c r="K4961">
        <v>986.9</v>
      </c>
      <c r="L4961">
        <v>67109.45</v>
      </c>
      <c r="M4961">
        <v>41609.919999999998</v>
      </c>
      <c r="N4961">
        <v>6620.78</v>
      </c>
      <c r="O4961">
        <v>4575.72</v>
      </c>
      <c r="P4961">
        <v>2080.5100000000002</v>
      </c>
      <c r="Q4961">
        <v>612.73</v>
      </c>
      <c r="R4961">
        <v>2924.55</v>
      </c>
      <c r="S4961">
        <v>856.66</v>
      </c>
      <c r="T4961">
        <v>59280.87</v>
      </c>
      <c r="U4961">
        <v>25499.53</v>
      </c>
      <c r="V4961">
        <v>7828.58</v>
      </c>
      <c r="W4961">
        <v>7451.87</v>
      </c>
      <c r="X4961">
        <v>68774.63</v>
      </c>
      <c r="Y4961">
        <v>64640.22</v>
      </c>
    </row>
    <row r="4962" spans="1:25" x14ac:dyDescent="0.25">
      <c r="A4962" t="s">
        <v>5018</v>
      </c>
      <c r="B4962" s="1">
        <v>46285</v>
      </c>
      <c r="C4962">
        <v>2026</v>
      </c>
      <c r="D4962">
        <v>9</v>
      </c>
      <c r="E4962" t="s">
        <v>918</v>
      </c>
      <c r="F4962" t="s">
        <v>691</v>
      </c>
      <c r="G4962" t="s">
        <v>55</v>
      </c>
      <c r="H4962" t="s">
        <v>53</v>
      </c>
      <c r="I4962" t="s">
        <v>30</v>
      </c>
      <c r="J4962">
        <v>67</v>
      </c>
      <c r="K4962">
        <v>1288.9000000000001</v>
      </c>
      <c r="L4962">
        <v>86356.11</v>
      </c>
      <c r="M4962">
        <v>46520.7</v>
      </c>
      <c r="N4962">
        <v>6177.09</v>
      </c>
      <c r="O4962">
        <v>3743.79</v>
      </c>
      <c r="P4962">
        <v>2533.87</v>
      </c>
      <c r="Q4962">
        <v>493.06</v>
      </c>
      <c r="R4962">
        <v>5411.43</v>
      </c>
      <c r="S4962">
        <v>843.8</v>
      </c>
      <c r="T4962">
        <v>65723.740000000005</v>
      </c>
      <c r="U4962">
        <v>39835.410000000003</v>
      </c>
      <c r="V4962">
        <v>20632.37</v>
      </c>
      <c r="W4962">
        <v>19019.64</v>
      </c>
      <c r="X4962">
        <v>89325.77</v>
      </c>
      <c r="Y4962">
        <v>69978.33</v>
      </c>
    </row>
    <row r="4963" spans="1:25" x14ac:dyDescent="0.25">
      <c r="A4963" t="s">
        <v>5019</v>
      </c>
      <c r="B4963" s="1">
        <v>46285</v>
      </c>
      <c r="C4963">
        <v>2026</v>
      </c>
      <c r="D4963">
        <v>9</v>
      </c>
      <c r="E4963" t="s">
        <v>918</v>
      </c>
      <c r="F4963" t="s">
        <v>691</v>
      </c>
      <c r="G4963" t="s">
        <v>35</v>
      </c>
      <c r="H4963" t="s">
        <v>29</v>
      </c>
      <c r="I4963" t="s">
        <v>65</v>
      </c>
      <c r="J4963">
        <v>42</v>
      </c>
      <c r="K4963">
        <v>1170.4000000000001</v>
      </c>
      <c r="L4963">
        <v>49156.98</v>
      </c>
      <c r="M4963">
        <v>32703.74</v>
      </c>
      <c r="N4963">
        <v>5536.53</v>
      </c>
      <c r="O4963">
        <v>2309.5100000000002</v>
      </c>
      <c r="P4963">
        <v>2094.48</v>
      </c>
      <c r="Q4963">
        <v>299.27999999999997</v>
      </c>
      <c r="R4963">
        <v>3072.17</v>
      </c>
      <c r="S4963">
        <v>996.06</v>
      </c>
      <c r="T4963">
        <v>47011.76</v>
      </c>
      <c r="U4963">
        <v>16453.240000000002</v>
      </c>
      <c r="V4963">
        <v>2145.21</v>
      </c>
      <c r="W4963">
        <v>1896.2</v>
      </c>
      <c r="X4963">
        <v>46236.83</v>
      </c>
      <c r="Y4963">
        <v>44566.38</v>
      </c>
    </row>
    <row r="4964" spans="1:25" x14ac:dyDescent="0.25">
      <c r="A4964" t="s">
        <v>5020</v>
      </c>
      <c r="B4964" s="1">
        <v>46285</v>
      </c>
      <c r="C4964">
        <v>2026</v>
      </c>
      <c r="D4964">
        <v>9</v>
      </c>
      <c r="E4964" t="s">
        <v>918</v>
      </c>
      <c r="F4964" t="s">
        <v>691</v>
      </c>
      <c r="G4964" t="s">
        <v>28</v>
      </c>
      <c r="H4964" t="s">
        <v>32</v>
      </c>
      <c r="I4964" t="s">
        <v>50</v>
      </c>
      <c r="J4964">
        <v>61</v>
      </c>
      <c r="K4964">
        <v>1236.8699999999999</v>
      </c>
      <c r="L4964">
        <v>75449.19</v>
      </c>
      <c r="M4964">
        <v>36650.730000000003</v>
      </c>
      <c r="N4964">
        <v>6053.6</v>
      </c>
      <c r="O4964">
        <v>2441.14</v>
      </c>
      <c r="P4964">
        <v>2203.98</v>
      </c>
      <c r="Q4964">
        <v>525.35</v>
      </c>
      <c r="R4964">
        <v>2462.13</v>
      </c>
      <c r="S4964">
        <v>1302.51</v>
      </c>
      <c r="T4964">
        <v>51639.44</v>
      </c>
      <c r="U4964">
        <v>38798.46</v>
      </c>
      <c r="V4964">
        <v>23809.75</v>
      </c>
      <c r="W4964">
        <v>21256.26</v>
      </c>
      <c r="X4964">
        <v>76514.710000000006</v>
      </c>
      <c r="Y4964">
        <v>51264.39</v>
      </c>
    </row>
    <row r="4965" spans="1:25" x14ac:dyDescent="0.25">
      <c r="A4965" t="s">
        <v>5021</v>
      </c>
      <c r="B4965" s="1">
        <v>46286</v>
      </c>
      <c r="C4965">
        <v>2026</v>
      </c>
      <c r="D4965">
        <v>9</v>
      </c>
      <c r="E4965" t="s">
        <v>918</v>
      </c>
      <c r="F4965" t="s">
        <v>691</v>
      </c>
      <c r="G4965" t="s">
        <v>44</v>
      </c>
      <c r="H4965" t="s">
        <v>53</v>
      </c>
      <c r="I4965" t="s">
        <v>39</v>
      </c>
      <c r="J4965">
        <v>37</v>
      </c>
      <c r="K4965">
        <v>1141.45</v>
      </c>
      <c r="L4965">
        <v>42233.79</v>
      </c>
      <c r="M4965">
        <v>24010.2</v>
      </c>
      <c r="N4965">
        <v>3560.61</v>
      </c>
      <c r="O4965">
        <v>2709.95</v>
      </c>
      <c r="P4965">
        <v>976.34</v>
      </c>
      <c r="Q4965">
        <v>567.14</v>
      </c>
      <c r="R4965">
        <v>2604.98</v>
      </c>
      <c r="S4965">
        <v>994.52</v>
      </c>
      <c r="T4965">
        <v>35423.75</v>
      </c>
      <c r="U4965">
        <v>18223.59</v>
      </c>
      <c r="V4965">
        <v>6810.04</v>
      </c>
      <c r="W4965">
        <v>6685.16</v>
      </c>
      <c r="X4965">
        <v>43383.53</v>
      </c>
      <c r="Y4965">
        <v>37422.49</v>
      </c>
    </row>
    <row r="4966" spans="1:25" x14ac:dyDescent="0.25">
      <c r="A4966" t="s">
        <v>5022</v>
      </c>
      <c r="B4966" s="1">
        <v>46286</v>
      </c>
      <c r="C4966">
        <v>2026</v>
      </c>
      <c r="D4966">
        <v>9</v>
      </c>
      <c r="E4966" t="s">
        <v>918</v>
      </c>
      <c r="F4966" t="s">
        <v>691</v>
      </c>
      <c r="G4966" t="s">
        <v>55</v>
      </c>
      <c r="H4966" t="s">
        <v>58</v>
      </c>
      <c r="I4966" t="s">
        <v>65</v>
      </c>
      <c r="J4966">
        <v>60</v>
      </c>
      <c r="K4966">
        <v>1128</v>
      </c>
      <c r="L4966">
        <v>67679.960000000006</v>
      </c>
      <c r="M4966">
        <v>43964.56</v>
      </c>
      <c r="N4966">
        <v>6713.5</v>
      </c>
      <c r="O4966">
        <v>4566.79</v>
      </c>
      <c r="P4966">
        <v>1497.63</v>
      </c>
      <c r="Q4966">
        <v>563.57000000000005</v>
      </c>
      <c r="R4966">
        <v>2831.05</v>
      </c>
      <c r="S4966">
        <v>611.54999999999995</v>
      </c>
      <c r="T4966">
        <v>60748.65</v>
      </c>
      <c r="U4966">
        <v>23715.4</v>
      </c>
      <c r="V4966">
        <v>6931.31</v>
      </c>
      <c r="W4966">
        <v>6932.56</v>
      </c>
      <c r="X4966">
        <v>67210.880000000005</v>
      </c>
      <c r="Y4966">
        <v>58111.54</v>
      </c>
    </row>
    <row r="4967" spans="1:25" x14ac:dyDescent="0.25">
      <c r="A4967" t="s">
        <v>5023</v>
      </c>
      <c r="B4967" s="1">
        <v>46286</v>
      </c>
      <c r="C4967">
        <v>2026</v>
      </c>
      <c r="D4967">
        <v>9</v>
      </c>
      <c r="E4967" t="s">
        <v>918</v>
      </c>
      <c r="F4967" t="s">
        <v>691</v>
      </c>
      <c r="G4967" t="s">
        <v>35</v>
      </c>
      <c r="H4967" t="s">
        <v>53</v>
      </c>
      <c r="I4967" t="s">
        <v>37</v>
      </c>
      <c r="J4967">
        <v>42</v>
      </c>
      <c r="K4967">
        <v>1082.48</v>
      </c>
      <c r="L4967">
        <v>45463.98</v>
      </c>
      <c r="M4967">
        <v>30843.34</v>
      </c>
      <c r="N4967">
        <v>4085.83</v>
      </c>
      <c r="O4967">
        <v>2808.91</v>
      </c>
      <c r="P4967">
        <v>1884.07</v>
      </c>
      <c r="Q4967">
        <v>683.44</v>
      </c>
      <c r="R4967">
        <v>1774.62</v>
      </c>
      <c r="S4967">
        <v>416.42</v>
      </c>
      <c r="T4967">
        <v>42496.63</v>
      </c>
      <c r="U4967">
        <v>14620.64</v>
      </c>
      <c r="V4967">
        <v>2967.35</v>
      </c>
      <c r="W4967">
        <v>2681.05</v>
      </c>
      <c r="X4967">
        <v>48610.82</v>
      </c>
      <c r="Y4967">
        <v>40169.919999999998</v>
      </c>
    </row>
    <row r="4968" spans="1:25" x14ac:dyDescent="0.25">
      <c r="A4968" t="s">
        <v>5024</v>
      </c>
      <c r="B4968" s="1">
        <v>46287</v>
      </c>
      <c r="C4968">
        <v>2026</v>
      </c>
      <c r="D4968">
        <v>9</v>
      </c>
      <c r="E4968" t="s">
        <v>918</v>
      </c>
      <c r="F4968" t="s">
        <v>691</v>
      </c>
      <c r="G4968" t="s">
        <v>28</v>
      </c>
      <c r="H4968" t="s">
        <v>58</v>
      </c>
      <c r="I4968" t="s">
        <v>39</v>
      </c>
      <c r="J4968">
        <v>41</v>
      </c>
      <c r="K4968">
        <v>934.75</v>
      </c>
      <c r="L4968">
        <v>38324.620000000003</v>
      </c>
      <c r="M4968">
        <v>19763.07</v>
      </c>
      <c r="N4968">
        <v>3049.24</v>
      </c>
      <c r="O4968">
        <v>2058.75</v>
      </c>
      <c r="P4968">
        <v>581.63</v>
      </c>
      <c r="Q4968">
        <v>411.26</v>
      </c>
      <c r="R4968">
        <v>2350.36</v>
      </c>
      <c r="S4968">
        <v>508.11</v>
      </c>
      <c r="T4968">
        <v>28722.41</v>
      </c>
      <c r="U4968">
        <v>18561.55</v>
      </c>
      <c r="V4968">
        <v>9602.2000000000007</v>
      </c>
      <c r="W4968">
        <v>8647.44</v>
      </c>
      <c r="X4968">
        <v>35675.07</v>
      </c>
      <c r="Y4968">
        <v>28651.68</v>
      </c>
    </row>
    <row r="4969" spans="1:25" x14ac:dyDescent="0.25">
      <c r="A4969" t="s">
        <v>5025</v>
      </c>
      <c r="B4969" s="1">
        <v>46287</v>
      </c>
      <c r="C4969">
        <v>2026</v>
      </c>
      <c r="D4969">
        <v>9</v>
      </c>
      <c r="E4969" t="s">
        <v>918</v>
      </c>
      <c r="F4969" t="s">
        <v>691</v>
      </c>
      <c r="G4969" t="s">
        <v>35</v>
      </c>
      <c r="H4969" t="s">
        <v>58</v>
      </c>
      <c r="I4969" t="s">
        <v>37</v>
      </c>
      <c r="J4969">
        <v>27</v>
      </c>
      <c r="K4969">
        <v>1677.03</v>
      </c>
      <c r="L4969">
        <v>45279.79</v>
      </c>
      <c r="M4969">
        <v>24760.86</v>
      </c>
      <c r="N4969">
        <v>4772.87</v>
      </c>
      <c r="O4969">
        <v>3057.19</v>
      </c>
      <c r="P4969">
        <v>1901.83</v>
      </c>
      <c r="Q4969">
        <v>370.67</v>
      </c>
      <c r="R4969">
        <v>2580.2399999999998</v>
      </c>
      <c r="S4969">
        <v>711.41</v>
      </c>
      <c r="T4969">
        <v>38155.07</v>
      </c>
      <c r="U4969">
        <v>20518.93</v>
      </c>
      <c r="V4969">
        <v>7124.72</v>
      </c>
      <c r="W4969">
        <v>7238.2</v>
      </c>
      <c r="X4969">
        <v>43901.31</v>
      </c>
      <c r="Y4969">
        <v>41930.22</v>
      </c>
    </row>
    <row r="4970" spans="1:25" x14ac:dyDescent="0.25">
      <c r="A4970" t="s">
        <v>5026</v>
      </c>
      <c r="B4970" s="1">
        <v>46288</v>
      </c>
      <c r="C4970">
        <v>2026</v>
      </c>
      <c r="D4970">
        <v>9</v>
      </c>
      <c r="E4970" t="s">
        <v>918</v>
      </c>
      <c r="F4970" t="s">
        <v>691</v>
      </c>
      <c r="G4970" t="s">
        <v>35</v>
      </c>
      <c r="H4970" t="s">
        <v>58</v>
      </c>
      <c r="I4970" t="s">
        <v>65</v>
      </c>
      <c r="J4970">
        <v>32</v>
      </c>
      <c r="K4970">
        <v>1542.41</v>
      </c>
      <c r="L4970">
        <v>49357.25</v>
      </c>
      <c r="M4970">
        <v>27201.42</v>
      </c>
      <c r="N4970">
        <v>6243.35</v>
      </c>
      <c r="O4970">
        <v>2589.9</v>
      </c>
      <c r="P4970">
        <v>1123.08</v>
      </c>
      <c r="Q4970">
        <v>624.09</v>
      </c>
      <c r="R4970">
        <v>1764.24</v>
      </c>
      <c r="S4970">
        <v>540.35</v>
      </c>
      <c r="T4970">
        <v>40086.43</v>
      </c>
      <c r="U4970">
        <v>22155.83</v>
      </c>
      <c r="V4970">
        <v>9270.83</v>
      </c>
      <c r="W4970">
        <v>8365.92</v>
      </c>
      <c r="X4970">
        <v>53929.57</v>
      </c>
      <c r="Y4970">
        <v>37805.599999999999</v>
      </c>
    </row>
    <row r="4971" spans="1:25" x14ac:dyDescent="0.25">
      <c r="A4971" t="s">
        <v>5027</v>
      </c>
      <c r="B4971" s="1">
        <v>46288</v>
      </c>
      <c r="C4971">
        <v>2026</v>
      </c>
      <c r="D4971">
        <v>9</v>
      </c>
      <c r="E4971" t="s">
        <v>918</v>
      </c>
      <c r="F4971" t="s">
        <v>691</v>
      </c>
      <c r="G4971" t="s">
        <v>28</v>
      </c>
      <c r="H4971" t="s">
        <v>53</v>
      </c>
      <c r="I4971" t="s">
        <v>33</v>
      </c>
      <c r="J4971">
        <v>55</v>
      </c>
      <c r="K4971">
        <v>1225.8599999999999</v>
      </c>
      <c r="L4971">
        <v>67422.210000000006</v>
      </c>
      <c r="M4971">
        <v>40315.69</v>
      </c>
      <c r="N4971">
        <v>7957.11</v>
      </c>
      <c r="O4971">
        <v>3913.77</v>
      </c>
      <c r="P4971">
        <v>1831.21</v>
      </c>
      <c r="Q4971">
        <v>555.24</v>
      </c>
      <c r="R4971">
        <v>4201.58</v>
      </c>
      <c r="S4971">
        <v>832.51</v>
      </c>
      <c r="T4971">
        <v>59607.11</v>
      </c>
      <c r="U4971">
        <v>27106.52</v>
      </c>
      <c r="V4971">
        <v>7815.1</v>
      </c>
      <c r="W4971">
        <v>7475.98</v>
      </c>
      <c r="X4971">
        <v>71623.02</v>
      </c>
      <c r="Y4971">
        <v>57097.2</v>
      </c>
    </row>
    <row r="4972" spans="1:25" x14ac:dyDescent="0.25">
      <c r="A4972" t="s">
        <v>5028</v>
      </c>
      <c r="B4972" s="1">
        <v>46288</v>
      </c>
      <c r="C4972">
        <v>2026</v>
      </c>
      <c r="D4972">
        <v>9</v>
      </c>
      <c r="E4972" t="s">
        <v>918</v>
      </c>
      <c r="F4972" t="s">
        <v>691</v>
      </c>
      <c r="G4972" t="s">
        <v>44</v>
      </c>
      <c r="H4972" t="s">
        <v>32</v>
      </c>
      <c r="I4972" t="s">
        <v>33</v>
      </c>
      <c r="J4972">
        <v>42</v>
      </c>
      <c r="K4972">
        <v>1542.2</v>
      </c>
      <c r="L4972">
        <v>64772.23</v>
      </c>
      <c r="M4972">
        <v>40489.120000000003</v>
      </c>
      <c r="N4972">
        <v>6727.28</v>
      </c>
      <c r="O4972">
        <v>3546.63</v>
      </c>
      <c r="P4972">
        <v>2593.06</v>
      </c>
      <c r="Q4972">
        <v>397.98</v>
      </c>
      <c r="R4972">
        <v>1949.08</v>
      </c>
      <c r="S4972">
        <v>726.83</v>
      </c>
      <c r="T4972">
        <v>56429.98</v>
      </c>
      <c r="U4972">
        <v>24283.11</v>
      </c>
      <c r="V4972">
        <v>8342.25</v>
      </c>
      <c r="W4972">
        <v>7775.51</v>
      </c>
      <c r="X4972">
        <v>67398.31</v>
      </c>
      <c r="Y4972">
        <v>60106.39</v>
      </c>
    </row>
    <row r="4973" spans="1:25" x14ac:dyDescent="0.25">
      <c r="A4973" t="s">
        <v>5029</v>
      </c>
      <c r="B4973" s="1">
        <v>46289</v>
      </c>
      <c r="C4973">
        <v>2026</v>
      </c>
      <c r="D4973">
        <v>9</v>
      </c>
      <c r="E4973" t="s">
        <v>918</v>
      </c>
      <c r="F4973" t="s">
        <v>691</v>
      </c>
      <c r="G4973" t="s">
        <v>28</v>
      </c>
      <c r="H4973" t="s">
        <v>58</v>
      </c>
      <c r="I4973" t="s">
        <v>65</v>
      </c>
      <c r="J4973">
        <v>51</v>
      </c>
      <c r="K4973">
        <v>930.25</v>
      </c>
      <c r="L4973">
        <v>47442.65</v>
      </c>
      <c r="M4973">
        <v>23735.02</v>
      </c>
      <c r="N4973">
        <v>5246.66</v>
      </c>
      <c r="O4973">
        <v>2533.17</v>
      </c>
      <c r="P4973">
        <v>1342.27</v>
      </c>
      <c r="Q4973">
        <v>555.45000000000005</v>
      </c>
      <c r="R4973">
        <v>2450.89</v>
      </c>
      <c r="S4973">
        <v>994.52</v>
      </c>
      <c r="T4973">
        <v>36857.99</v>
      </c>
      <c r="U4973">
        <v>23707.63</v>
      </c>
      <c r="V4973">
        <v>10584.66</v>
      </c>
      <c r="W4973">
        <v>9619.2000000000007</v>
      </c>
      <c r="X4973">
        <v>48669.75</v>
      </c>
      <c r="Y4973">
        <v>37226.81</v>
      </c>
    </row>
    <row r="4974" spans="1:25" x14ac:dyDescent="0.25">
      <c r="A4974" t="s">
        <v>5030</v>
      </c>
      <c r="B4974" s="1">
        <v>46290</v>
      </c>
      <c r="C4974">
        <v>2026</v>
      </c>
      <c r="D4974">
        <v>9</v>
      </c>
      <c r="E4974" t="s">
        <v>918</v>
      </c>
      <c r="F4974" t="s">
        <v>691</v>
      </c>
      <c r="G4974" t="s">
        <v>35</v>
      </c>
      <c r="H4974" t="s">
        <v>32</v>
      </c>
      <c r="I4974" t="s">
        <v>45</v>
      </c>
      <c r="J4974">
        <v>30</v>
      </c>
      <c r="K4974">
        <v>1675.74</v>
      </c>
      <c r="L4974">
        <v>50272.05</v>
      </c>
      <c r="M4974">
        <v>32329.07</v>
      </c>
      <c r="N4974">
        <v>5336.29</v>
      </c>
      <c r="O4974">
        <v>1675.79</v>
      </c>
      <c r="P4974">
        <v>1479.67</v>
      </c>
      <c r="Q4974">
        <v>837.95</v>
      </c>
      <c r="R4974">
        <v>2830.35</v>
      </c>
      <c r="S4974">
        <v>966.65</v>
      </c>
      <c r="T4974">
        <v>45455.76</v>
      </c>
      <c r="U4974">
        <v>17942.98</v>
      </c>
      <c r="V4974">
        <v>4816.29</v>
      </c>
      <c r="W4974">
        <v>4791.05</v>
      </c>
      <c r="X4974">
        <v>50143.66</v>
      </c>
      <c r="Y4974">
        <v>42734.13</v>
      </c>
    </row>
    <row r="4975" spans="1:25" x14ac:dyDescent="0.25">
      <c r="A4975" t="s">
        <v>5031</v>
      </c>
      <c r="B4975" s="1">
        <v>46290</v>
      </c>
      <c r="C4975">
        <v>2026</v>
      </c>
      <c r="D4975">
        <v>9</v>
      </c>
      <c r="E4975" t="s">
        <v>918</v>
      </c>
      <c r="F4975" t="s">
        <v>691</v>
      </c>
      <c r="G4975" t="s">
        <v>44</v>
      </c>
      <c r="H4975" t="s">
        <v>32</v>
      </c>
      <c r="I4975" t="s">
        <v>37</v>
      </c>
      <c r="J4975">
        <v>45</v>
      </c>
      <c r="K4975">
        <v>1615.16</v>
      </c>
      <c r="L4975">
        <v>72682.27</v>
      </c>
      <c r="M4975">
        <v>44535.42</v>
      </c>
      <c r="N4975">
        <v>7237.63</v>
      </c>
      <c r="O4975">
        <v>2249.46</v>
      </c>
      <c r="P4975">
        <v>2322.5100000000002</v>
      </c>
      <c r="Q4975">
        <v>1089.83</v>
      </c>
      <c r="R4975">
        <v>2213.7600000000002</v>
      </c>
      <c r="S4975">
        <v>832.34</v>
      </c>
      <c r="T4975">
        <v>60480.959999999999</v>
      </c>
      <c r="U4975">
        <v>28146.85</v>
      </c>
      <c r="V4975">
        <v>12201.31</v>
      </c>
      <c r="W4975">
        <v>12273.77</v>
      </c>
      <c r="X4975">
        <v>70348.429999999993</v>
      </c>
      <c r="Y4975">
        <v>59393.67</v>
      </c>
    </row>
    <row r="4976" spans="1:25" x14ac:dyDescent="0.25">
      <c r="A4976" t="s">
        <v>5032</v>
      </c>
      <c r="B4976" s="1">
        <v>46290</v>
      </c>
      <c r="C4976">
        <v>2026</v>
      </c>
      <c r="D4976">
        <v>9</v>
      </c>
      <c r="E4976" t="s">
        <v>918</v>
      </c>
      <c r="F4976" t="s">
        <v>691</v>
      </c>
      <c r="G4976" t="s">
        <v>55</v>
      </c>
      <c r="H4976" t="s">
        <v>36</v>
      </c>
      <c r="I4976" t="s">
        <v>30</v>
      </c>
      <c r="J4976">
        <v>88</v>
      </c>
      <c r="K4976">
        <v>843.31</v>
      </c>
      <c r="L4976">
        <v>74211.66</v>
      </c>
      <c r="M4976">
        <v>42980.31</v>
      </c>
      <c r="N4976">
        <v>6238.75</v>
      </c>
      <c r="O4976">
        <v>2213.31</v>
      </c>
      <c r="P4976">
        <v>1655.43</v>
      </c>
      <c r="Q4976">
        <v>482.37</v>
      </c>
      <c r="R4976">
        <v>3273.46</v>
      </c>
      <c r="S4976">
        <v>1553.87</v>
      </c>
      <c r="T4976">
        <v>58397.51</v>
      </c>
      <c r="U4976">
        <v>31231.35</v>
      </c>
      <c r="V4976">
        <v>15814.15</v>
      </c>
      <c r="W4976">
        <v>16039.99</v>
      </c>
      <c r="X4976">
        <v>81536.39</v>
      </c>
      <c r="Y4976">
        <v>59721.26</v>
      </c>
    </row>
    <row r="4977" spans="1:25" x14ac:dyDescent="0.25">
      <c r="A4977" t="s">
        <v>5033</v>
      </c>
      <c r="B4977" s="1">
        <v>46290</v>
      </c>
      <c r="C4977">
        <v>2026</v>
      </c>
      <c r="D4977">
        <v>9</v>
      </c>
      <c r="E4977" t="s">
        <v>918</v>
      </c>
      <c r="F4977" t="s">
        <v>691</v>
      </c>
      <c r="G4977" t="s">
        <v>44</v>
      </c>
      <c r="H4977" t="s">
        <v>53</v>
      </c>
      <c r="I4977" t="s">
        <v>45</v>
      </c>
      <c r="J4977">
        <v>27</v>
      </c>
      <c r="K4977">
        <v>1533.55</v>
      </c>
      <c r="L4977">
        <v>41405.980000000003</v>
      </c>
      <c r="M4977">
        <v>28152.74</v>
      </c>
      <c r="N4977">
        <v>3876.92</v>
      </c>
      <c r="O4977">
        <v>1595.98</v>
      </c>
      <c r="P4977">
        <v>1676.89</v>
      </c>
      <c r="Q4977">
        <v>583.65</v>
      </c>
      <c r="R4977">
        <v>1576.32</v>
      </c>
      <c r="S4977">
        <v>1022.37</v>
      </c>
      <c r="T4977">
        <v>38484.86</v>
      </c>
      <c r="U4977">
        <v>13253.24</v>
      </c>
      <c r="V4977">
        <v>2921.12</v>
      </c>
      <c r="W4977">
        <v>2742.64</v>
      </c>
      <c r="X4977">
        <v>42165.09</v>
      </c>
      <c r="Y4977">
        <v>41615.78</v>
      </c>
    </row>
    <row r="4978" spans="1:25" x14ac:dyDescent="0.25">
      <c r="A4978" t="s">
        <v>5034</v>
      </c>
      <c r="B4978" s="1">
        <v>46291</v>
      </c>
      <c r="C4978">
        <v>2026</v>
      </c>
      <c r="D4978">
        <v>9</v>
      </c>
      <c r="E4978" t="s">
        <v>918</v>
      </c>
      <c r="F4978" t="s">
        <v>691</v>
      </c>
      <c r="G4978" t="s">
        <v>44</v>
      </c>
      <c r="H4978" t="s">
        <v>32</v>
      </c>
      <c r="I4978" t="s">
        <v>39</v>
      </c>
      <c r="J4978">
        <v>47</v>
      </c>
      <c r="K4978">
        <v>1260.25</v>
      </c>
      <c r="L4978">
        <v>59231.95</v>
      </c>
      <c r="M4978">
        <v>36881.199999999997</v>
      </c>
      <c r="N4978">
        <v>5932.08</v>
      </c>
      <c r="O4978">
        <v>2359.34</v>
      </c>
      <c r="P4978">
        <v>2330.4499999999998</v>
      </c>
      <c r="Q4978">
        <v>723.59</v>
      </c>
      <c r="R4978">
        <v>2012.17</v>
      </c>
      <c r="S4978">
        <v>1012.64</v>
      </c>
      <c r="T4978">
        <v>51251.47</v>
      </c>
      <c r="U4978">
        <v>22350.76</v>
      </c>
      <c r="V4978">
        <v>7980.48</v>
      </c>
      <c r="W4978">
        <v>8066.91</v>
      </c>
      <c r="X4978">
        <v>66147.210000000006</v>
      </c>
      <c r="Y4978">
        <v>53209.58</v>
      </c>
    </row>
    <row r="4979" spans="1:25" x14ac:dyDescent="0.25">
      <c r="A4979" t="s">
        <v>5035</v>
      </c>
      <c r="B4979" s="1">
        <v>46291</v>
      </c>
      <c r="C4979">
        <v>2026</v>
      </c>
      <c r="D4979">
        <v>9</v>
      </c>
      <c r="E4979" t="s">
        <v>918</v>
      </c>
      <c r="F4979" t="s">
        <v>691</v>
      </c>
      <c r="G4979" t="s">
        <v>28</v>
      </c>
      <c r="H4979" t="s">
        <v>36</v>
      </c>
      <c r="I4979" t="s">
        <v>33</v>
      </c>
      <c r="J4979">
        <v>59</v>
      </c>
      <c r="K4979">
        <v>1521.78</v>
      </c>
      <c r="L4979">
        <v>89785.05</v>
      </c>
      <c r="M4979">
        <v>53400.9</v>
      </c>
      <c r="N4979">
        <v>6293.16</v>
      </c>
      <c r="O4979">
        <v>3988.6</v>
      </c>
      <c r="P4979">
        <v>2532.84</v>
      </c>
      <c r="Q4979">
        <v>1071.9100000000001</v>
      </c>
      <c r="R4979">
        <v>3092.94</v>
      </c>
      <c r="S4979">
        <v>1401</v>
      </c>
      <c r="T4979">
        <v>71781.34</v>
      </c>
      <c r="U4979">
        <v>36384.160000000003</v>
      </c>
      <c r="V4979">
        <v>18003.71</v>
      </c>
      <c r="W4979">
        <v>18223.2</v>
      </c>
      <c r="X4979">
        <v>87553.27</v>
      </c>
      <c r="Y4979">
        <v>72072.710000000006</v>
      </c>
    </row>
    <row r="4980" spans="1:25" x14ac:dyDescent="0.25">
      <c r="A4980" t="s">
        <v>5036</v>
      </c>
      <c r="B4980" s="1">
        <v>46291</v>
      </c>
      <c r="C4980">
        <v>2026</v>
      </c>
      <c r="D4980">
        <v>9</v>
      </c>
      <c r="E4980" t="s">
        <v>918</v>
      </c>
      <c r="F4980" t="s">
        <v>691</v>
      </c>
      <c r="G4980" t="s">
        <v>35</v>
      </c>
      <c r="H4980" t="s">
        <v>53</v>
      </c>
      <c r="I4980" t="s">
        <v>56</v>
      </c>
      <c r="J4980">
        <v>14</v>
      </c>
      <c r="K4980">
        <v>1589.13</v>
      </c>
      <c r="L4980">
        <v>22247.78</v>
      </c>
      <c r="M4980">
        <v>12229.38</v>
      </c>
      <c r="N4980">
        <v>2389.5700000000002</v>
      </c>
      <c r="O4980">
        <v>1406.59</v>
      </c>
      <c r="P4980">
        <v>612.54999999999995</v>
      </c>
      <c r="Q4980">
        <v>318.72000000000003</v>
      </c>
      <c r="R4980">
        <v>826.41</v>
      </c>
      <c r="S4980">
        <v>469.59</v>
      </c>
      <c r="T4980">
        <v>18252.79</v>
      </c>
      <c r="U4980">
        <v>10018.4</v>
      </c>
      <c r="V4980">
        <v>3994.99</v>
      </c>
      <c r="W4980">
        <v>3845.9</v>
      </c>
      <c r="X4980">
        <v>23643.42</v>
      </c>
      <c r="Y4980">
        <v>17235.419999999998</v>
      </c>
    </row>
    <row r="4981" spans="1:25" x14ac:dyDescent="0.25">
      <c r="A4981" t="s">
        <v>5037</v>
      </c>
      <c r="B4981" s="1">
        <v>46292</v>
      </c>
      <c r="C4981">
        <v>2026</v>
      </c>
      <c r="D4981">
        <v>9</v>
      </c>
      <c r="E4981" t="s">
        <v>918</v>
      </c>
      <c r="F4981" t="s">
        <v>691</v>
      </c>
      <c r="G4981" t="s">
        <v>28</v>
      </c>
      <c r="H4981" t="s">
        <v>32</v>
      </c>
      <c r="I4981" t="s">
        <v>56</v>
      </c>
      <c r="J4981">
        <v>49</v>
      </c>
      <c r="K4981">
        <v>818.77</v>
      </c>
      <c r="L4981">
        <v>40119.57</v>
      </c>
      <c r="M4981">
        <v>22651.07</v>
      </c>
      <c r="N4981">
        <v>3955.8</v>
      </c>
      <c r="O4981">
        <v>2381.02</v>
      </c>
      <c r="P4981">
        <v>756.66</v>
      </c>
      <c r="Q4981">
        <v>593.16999999999996</v>
      </c>
      <c r="R4981">
        <v>1054.77</v>
      </c>
      <c r="S4981">
        <v>453.67</v>
      </c>
      <c r="T4981">
        <v>31846.17</v>
      </c>
      <c r="U4981">
        <v>17468.5</v>
      </c>
      <c r="V4981">
        <v>8273.4</v>
      </c>
      <c r="W4981">
        <v>7395.41</v>
      </c>
      <c r="X4981">
        <v>37831.019999999997</v>
      </c>
      <c r="Y4981">
        <v>33280.629999999997</v>
      </c>
    </row>
    <row r="4982" spans="1:25" x14ac:dyDescent="0.25">
      <c r="A4982" t="s">
        <v>5038</v>
      </c>
      <c r="B4982" s="1">
        <v>46292</v>
      </c>
      <c r="C4982">
        <v>2026</v>
      </c>
      <c r="D4982">
        <v>9</v>
      </c>
      <c r="E4982" t="s">
        <v>918</v>
      </c>
      <c r="F4982" t="s">
        <v>691</v>
      </c>
      <c r="G4982" t="s">
        <v>28</v>
      </c>
      <c r="H4982" t="s">
        <v>29</v>
      </c>
      <c r="I4982" t="s">
        <v>56</v>
      </c>
      <c r="J4982">
        <v>30</v>
      </c>
      <c r="K4982">
        <v>1337.69</v>
      </c>
      <c r="L4982">
        <v>40130.78</v>
      </c>
      <c r="M4982">
        <v>19466.330000000002</v>
      </c>
      <c r="N4982">
        <v>3779.02</v>
      </c>
      <c r="O4982">
        <v>2572.0500000000002</v>
      </c>
      <c r="P4982">
        <v>1210.8399999999999</v>
      </c>
      <c r="Q4982">
        <v>597.03</v>
      </c>
      <c r="R4982">
        <v>2075.38</v>
      </c>
      <c r="S4982">
        <v>656.11</v>
      </c>
      <c r="T4982">
        <v>30356.76</v>
      </c>
      <c r="U4982">
        <v>20664.45</v>
      </c>
      <c r="V4982">
        <v>9774.02</v>
      </c>
      <c r="W4982">
        <v>8857.0400000000009</v>
      </c>
      <c r="X4982">
        <v>42874.53</v>
      </c>
      <c r="Y4982">
        <v>30041.94</v>
      </c>
    </row>
    <row r="4983" spans="1:25" x14ac:dyDescent="0.25">
      <c r="A4983" t="s">
        <v>5039</v>
      </c>
      <c r="B4983" s="1">
        <v>46292</v>
      </c>
      <c r="C4983">
        <v>2026</v>
      </c>
      <c r="D4983">
        <v>9</v>
      </c>
      <c r="E4983" t="s">
        <v>918</v>
      </c>
      <c r="F4983" t="s">
        <v>691</v>
      </c>
      <c r="G4983" t="s">
        <v>55</v>
      </c>
      <c r="H4983" t="s">
        <v>32</v>
      </c>
      <c r="I4983" t="s">
        <v>45</v>
      </c>
      <c r="J4983">
        <v>44</v>
      </c>
      <c r="K4983">
        <v>1691.33</v>
      </c>
      <c r="L4983">
        <v>74418.67</v>
      </c>
      <c r="M4983">
        <v>44649.88</v>
      </c>
      <c r="N4983">
        <v>7997.35</v>
      </c>
      <c r="O4983">
        <v>2185.0100000000002</v>
      </c>
      <c r="P4983">
        <v>3194.89</v>
      </c>
      <c r="Q4983">
        <v>707.03</v>
      </c>
      <c r="R4983">
        <v>4024.16</v>
      </c>
      <c r="S4983">
        <v>1644.43</v>
      </c>
      <c r="T4983">
        <v>64402.76</v>
      </c>
      <c r="U4983">
        <v>29768.79</v>
      </c>
      <c r="V4983">
        <v>10015.91</v>
      </c>
      <c r="W4983">
        <v>9488.2999999999993</v>
      </c>
      <c r="X4983">
        <v>68857.2</v>
      </c>
      <c r="Y4983">
        <v>70347.56</v>
      </c>
    </row>
    <row r="4984" spans="1:25" x14ac:dyDescent="0.25">
      <c r="A4984" t="s">
        <v>5040</v>
      </c>
      <c r="B4984" s="1">
        <v>46292</v>
      </c>
      <c r="C4984">
        <v>2026</v>
      </c>
      <c r="D4984">
        <v>9</v>
      </c>
      <c r="E4984" t="s">
        <v>918</v>
      </c>
      <c r="F4984" t="s">
        <v>691</v>
      </c>
      <c r="G4984" t="s">
        <v>55</v>
      </c>
      <c r="H4984" t="s">
        <v>53</v>
      </c>
      <c r="I4984" t="s">
        <v>33</v>
      </c>
      <c r="J4984">
        <v>66</v>
      </c>
      <c r="K4984">
        <v>1211.3499999999999</v>
      </c>
      <c r="L4984">
        <v>79949.36</v>
      </c>
      <c r="M4984">
        <v>45311.5</v>
      </c>
      <c r="N4984">
        <v>9824.1200000000008</v>
      </c>
      <c r="O4984">
        <v>4417.18</v>
      </c>
      <c r="P4984">
        <v>2381.89</v>
      </c>
      <c r="Q4984">
        <v>705.15</v>
      </c>
      <c r="R4984">
        <v>3001.82</v>
      </c>
      <c r="S4984">
        <v>1225.24</v>
      </c>
      <c r="T4984">
        <v>66866.899999999994</v>
      </c>
      <c r="U4984">
        <v>34637.85</v>
      </c>
      <c r="V4984">
        <v>13082.45</v>
      </c>
      <c r="W4984">
        <v>11609.08</v>
      </c>
      <c r="X4984">
        <v>80811.63</v>
      </c>
      <c r="Y4984">
        <v>71994.48</v>
      </c>
    </row>
    <row r="4985" spans="1:25" x14ac:dyDescent="0.25">
      <c r="A4985" t="s">
        <v>5041</v>
      </c>
      <c r="B4985" s="1">
        <v>46293</v>
      </c>
      <c r="C4985">
        <v>2026</v>
      </c>
      <c r="D4985">
        <v>9</v>
      </c>
      <c r="E4985" t="s">
        <v>918</v>
      </c>
      <c r="F4985" t="s">
        <v>691</v>
      </c>
      <c r="G4985" t="s">
        <v>55</v>
      </c>
      <c r="H4985" t="s">
        <v>32</v>
      </c>
      <c r="I4985" t="s">
        <v>45</v>
      </c>
      <c r="J4985">
        <v>39</v>
      </c>
      <c r="K4985">
        <v>1743.45</v>
      </c>
      <c r="L4985">
        <v>67994.53</v>
      </c>
      <c r="M4985">
        <v>33911.730000000003</v>
      </c>
      <c r="N4985">
        <v>6153.51</v>
      </c>
      <c r="O4985">
        <v>2989.65</v>
      </c>
      <c r="P4985">
        <v>2322.64</v>
      </c>
      <c r="Q4985">
        <v>721.25</v>
      </c>
      <c r="R4985">
        <v>2148.35</v>
      </c>
      <c r="S4985">
        <v>1517.02</v>
      </c>
      <c r="T4985">
        <v>49764.160000000003</v>
      </c>
      <c r="U4985">
        <v>34082.79</v>
      </c>
      <c r="V4985">
        <v>18230.37</v>
      </c>
      <c r="W4985">
        <v>16330.92</v>
      </c>
      <c r="X4985">
        <v>64101.68</v>
      </c>
      <c r="Y4985">
        <v>52046.37</v>
      </c>
    </row>
    <row r="4986" spans="1:25" x14ac:dyDescent="0.25">
      <c r="A4986" t="s">
        <v>5042</v>
      </c>
      <c r="B4986" s="1">
        <v>46293</v>
      </c>
      <c r="C4986">
        <v>2026</v>
      </c>
      <c r="D4986">
        <v>9</v>
      </c>
      <c r="E4986" t="s">
        <v>918</v>
      </c>
      <c r="F4986" t="s">
        <v>691</v>
      </c>
      <c r="G4986" t="s">
        <v>55</v>
      </c>
      <c r="H4986" t="s">
        <v>32</v>
      </c>
      <c r="I4986" t="s">
        <v>30</v>
      </c>
      <c r="J4986">
        <v>104</v>
      </c>
      <c r="K4986">
        <v>1142.06</v>
      </c>
      <c r="L4986">
        <v>118774.34</v>
      </c>
      <c r="M4986">
        <v>73143.679999999993</v>
      </c>
      <c r="N4986">
        <v>11618.19</v>
      </c>
      <c r="O4986">
        <v>4290.9399999999996</v>
      </c>
      <c r="P4986">
        <v>2273.08</v>
      </c>
      <c r="Q4986">
        <v>1379.6</v>
      </c>
      <c r="R4986">
        <v>6058.74</v>
      </c>
      <c r="S4986">
        <v>1911.46</v>
      </c>
      <c r="T4986">
        <v>100675.7</v>
      </c>
      <c r="U4986">
        <v>45630.66</v>
      </c>
      <c r="V4986">
        <v>18098.64</v>
      </c>
      <c r="W4986">
        <v>17158.47</v>
      </c>
      <c r="X4986">
        <v>114033.38</v>
      </c>
      <c r="Y4986">
        <v>109478.73</v>
      </c>
    </row>
    <row r="4987" spans="1:25" x14ac:dyDescent="0.25">
      <c r="A4987" t="s">
        <v>5043</v>
      </c>
      <c r="B4987" s="1">
        <v>46293</v>
      </c>
      <c r="C4987">
        <v>2026</v>
      </c>
      <c r="D4987">
        <v>9</v>
      </c>
      <c r="E4987" t="s">
        <v>918</v>
      </c>
      <c r="F4987" t="s">
        <v>691</v>
      </c>
      <c r="G4987" t="s">
        <v>55</v>
      </c>
      <c r="H4987" t="s">
        <v>32</v>
      </c>
      <c r="I4987" t="s">
        <v>33</v>
      </c>
      <c r="J4987">
        <v>103</v>
      </c>
      <c r="K4987">
        <v>810.52</v>
      </c>
      <c r="L4987">
        <v>83483.75</v>
      </c>
      <c r="M4987">
        <v>48726.37</v>
      </c>
      <c r="N4987">
        <v>8528.94</v>
      </c>
      <c r="O4987">
        <v>5412.69</v>
      </c>
      <c r="P4987">
        <v>2145.79</v>
      </c>
      <c r="Q4987">
        <v>1348.12</v>
      </c>
      <c r="R4987">
        <v>4453.62</v>
      </c>
      <c r="S4987">
        <v>1929.64</v>
      </c>
      <c r="T4987">
        <v>72545.179999999993</v>
      </c>
      <c r="U4987">
        <v>34757.379999999997</v>
      </c>
      <c r="V4987">
        <v>10938.58</v>
      </c>
      <c r="W4987">
        <v>10275.6</v>
      </c>
      <c r="X4987">
        <v>87866.75</v>
      </c>
      <c r="Y4987">
        <v>71394.94</v>
      </c>
    </row>
    <row r="4988" spans="1:25" x14ac:dyDescent="0.25">
      <c r="A4988" t="s">
        <v>5044</v>
      </c>
      <c r="B4988" s="1">
        <v>46293</v>
      </c>
      <c r="C4988">
        <v>2026</v>
      </c>
      <c r="D4988">
        <v>9</v>
      </c>
      <c r="E4988" t="s">
        <v>918</v>
      </c>
      <c r="F4988" t="s">
        <v>691</v>
      </c>
      <c r="G4988" t="s">
        <v>35</v>
      </c>
      <c r="H4988" t="s">
        <v>32</v>
      </c>
      <c r="I4988" t="s">
        <v>56</v>
      </c>
      <c r="J4988">
        <v>33</v>
      </c>
      <c r="K4988">
        <v>1353.05</v>
      </c>
      <c r="L4988">
        <v>44650.81</v>
      </c>
      <c r="M4988">
        <v>22316.97</v>
      </c>
      <c r="N4988">
        <v>3337.58</v>
      </c>
      <c r="O4988">
        <v>1193.29</v>
      </c>
      <c r="P4988">
        <v>1806.32</v>
      </c>
      <c r="Q4988">
        <v>639.01</v>
      </c>
      <c r="R4988">
        <v>1381.25</v>
      </c>
      <c r="S4988">
        <v>910.22</v>
      </c>
      <c r="T4988">
        <v>31584.639999999999</v>
      </c>
      <c r="U4988">
        <v>22333.84</v>
      </c>
      <c r="V4988">
        <v>13066.17</v>
      </c>
      <c r="W4988">
        <v>12400.71</v>
      </c>
      <c r="X4988">
        <v>46935.48</v>
      </c>
      <c r="Y4988">
        <v>31828.44</v>
      </c>
    </row>
    <row r="4989" spans="1:25" x14ac:dyDescent="0.25">
      <c r="A4989" t="s">
        <v>5045</v>
      </c>
      <c r="B4989" s="1">
        <v>46293</v>
      </c>
      <c r="C4989">
        <v>2026</v>
      </c>
      <c r="D4989">
        <v>9</v>
      </c>
      <c r="E4989" t="s">
        <v>918</v>
      </c>
      <c r="F4989" t="s">
        <v>691</v>
      </c>
      <c r="G4989" t="s">
        <v>28</v>
      </c>
      <c r="H4989" t="s">
        <v>53</v>
      </c>
      <c r="I4989" t="s">
        <v>33</v>
      </c>
      <c r="J4989">
        <v>47</v>
      </c>
      <c r="K4989">
        <v>1529.54</v>
      </c>
      <c r="L4989">
        <v>71888.539999999994</v>
      </c>
      <c r="M4989">
        <v>38718.339999999997</v>
      </c>
      <c r="N4989">
        <v>7521.67</v>
      </c>
      <c r="O4989">
        <v>4141.8</v>
      </c>
      <c r="P4989">
        <v>1781.42</v>
      </c>
      <c r="Q4989">
        <v>1266.94</v>
      </c>
      <c r="R4989">
        <v>4239.83</v>
      </c>
      <c r="S4989">
        <v>1273.68</v>
      </c>
      <c r="T4989">
        <v>58943.67</v>
      </c>
      <c r="U4989">
        <v>33170.21</v>
      </c>
      <c r="V4989">
        <v>12944.87</v>
      </c>
      <c r="W4989">
        <v>13107.59</v>
      </c>
      <c r="X4989">
        <v>73708.55</v>
      </c>
      <c r="Y4989">
        <v>60826.82</v>
      </c>
    </row>
    <row r="4990" spans="1:25" x14ac:dyDescent="0.25">
      <c r="A4990" t="s">
        <v>5046</v>
      </c>
      <c r="B4990" s="1">
        <v>46294</v>
      </c>
      <c r="C4990">
        <v>2026</v>
      </c>
      <c r="D4990">
        <v>9</v>
      </c>
      <c r="E4990" t="s">
        <v>918</v>
      </c>
      <c r="F4990" t="s">
        <v>691</v>
      </c>
      <c r="G4990" t="s">
        <v>44</v>
      </c>
      <c r="H4990" t="s">
        <v>32</v>
      </c>
      <c r="I4990" t="s">
        <v>39</v>
      </c>
      <c r="J4990">
        <v>39</v>
      </c>
      <c r="K4990">
        <v>1357.69</v>
      </c>
      <c r="L4990">
        <v>52949.95</v>
      </c>
      <c r="M4990">
        <v>32140.48</v>
      </c>
      <c r="N4990">
        <v>4099.49</v>
      </c>
      <c r="O4990">
        <v>2152.1</v>
      </c>
      <c r="P4990">
        <v>2307.21</v>
      </c>
      <c r="Q4990">
        <v>410.93</v>
      </c>
      <c r="R4990">
        <v>3405.52</v>
      </c>
      <c r="S4990">
        <v>551.84</v>
      </c>
      <c r="T4990">
        <v>45067.56</v>
      </c>
      <c r="U4990">
        <v>20809.47</v>
      </c>
      <c r="V4990">
        <v>7882.39</v>
      </c>
      <c r="W4990">
        <v>7655.63</v>
      </c>
      <c r="X4990">
        <v>52404.95</v>
      </c>
      <c r="Y4990">
        <v>48009.15</v>
      </c>
    </row>
    <row r="4991" spans="1:25" x14ac:dyDescent="0.25">
      <c r="A4991" t="s">
        <v>5047</v>
      </c>
      <c r="B4991" s="1">
        <v>46294</v>
      </c>
      <c r="C4991">
        <v>2026</v>
      </c>
      <c r="D4991">
        <v>9</v>
      </c>
      <c r="E4991" t="s">
        <v>918</v>
      </c>
      <c r="F4991" t="s">
        <v>691</v>
      </c>
      <c r="G4991" t="s">
        <v>44</v>
      </c>
      <c r="H4991" t="s">
        <v>32</v>
      </c>
      <c r="I4991" t="s">
        <v>37</v>
      </c>
      <c r="J4991">
        <v>45</v>
      </c>
      <c r="K4991">
        <v>1350.54</v>
      </c>
      <c r="L4991">
        <v>60774.3</v>
      </c>
      <c r="M4991">
        <v>29802.47</v>
      </c>
      <c r="N4991">
        <v>6939.23</v>
      </c>
      <c r="O4991">
        <v>3273.98</v>
      </c>
      <c r="P4991">
        <v>2336.2600000000002</v>
      </c>
      <c r="Q4991">
        <v>907.09</v>
      </c>
      <c r="R4991">
        <v>2638.88</v>
      </c>
      <c r="S4991">
        <v>1266.27</v>
      </c>
      <c r="T4991">
        <v>47164.17</v>
      </c>
      <c r="U4991">
        <v>30971.83</v>
      </c>
      <c r="V4991">
        <v>13610.13</v>
      </c>
      <c r="W4991">
        <v>12723.78</v>
      </c>
      <c r="X4991">
        <v>65967.740000000005</v>
      </c>
      <c r="Y4991">
        <v>45523.839999999997</v>
      </c>
    </row>
    <row r="4992" spans="1:25" x14ac:dyDescent="0.25">
      <c r="A4992" t="s">
        <v>5048</v>
      </c>
      <c r="B4992" s="1">
        <v>46294</v>
      </c>
      <c r="C4992">
        <v>2026</v>
      </c>
      <c r="D4992">
        <v>9</v>
      </c>
      <c r="E4992" t="s">
        <v>918</v>
      </c>
      <c r="F4992" t="s">
        <v>691</v>
      </c>
      <c r="G4992" t="s">
        <v>28</v>
      </c>
      <c r="H4992" t="s">
        <v>53</v>
      </c>
      <c r="I4992" t="s">
        <v>45</v>
      </c>
      <c r="J4992">
        <v>34</v>
      </c>
      <c r="K4992">
        <v>1157.3800000000001</v>
      </c>
      <c r="L4992">
        <v>39350.839999999997</v>
      </c>
      <c r="M4992">
        <v>20526.849999999999</v>
      </c>
      <c r="N4992">
        <v>3296.34</v>
      </c>
      <c r="O4992">
        <v>1074.67</v>
      </c>
      <c r="P4992">
        <v>838.04</v>
      </c>
      <c r="Q4992">
        <v>509.19</v>
      </c>
      <c r="R4992">
        <v>1762.82</v>
      </c>
      <c r="S4992">
        <v>663.79</v>
      </c>
      <c r="T4992">
        <v>28671.71</v>
      </c>
      <c r="U4992">
        <v>18823.98</v>
      </c>
      <c r="V4992">
        <v>10679.13</v>
      </c>
      <c r="W4992">
        <v>10830.24</v>
      </c>
      <c r="X4992">
        <v>38971.78</v>
      </c>
      <c r="Y4992">
        <v>30687.74</v>
      </c>
    </row>
    <row r="4993" spans="1:25" x14ac:dyDescent="0.25">
      <c r="A4993" t="s">
        <v>5049</v>
      </c>
      <c r="B4993" s="1">
        <v>46294</v>
      </c>
      <c r="C4993">
        <v>2026</v>
      </c>
      <c r="D4993">
        <v>9</v>
      </c>
      <c r="E4993" t="s">
        <v>918</v>
      </c>
      <c r="F4993" t="s">
        <v>691</v>
      </c>
      <c r="G4993" t="s">
        <v>55</v>
      </c>
      <c r="H4993" t="s">
        <v>53</v>
      </c>
      <c r="I4993" t="s">
        <v>45</v>
      </c>
      <c r="J4993">
        <v>35</v>
      </c>
      <c r="K4993">
        <v>1295.43</v>
      </c>
      <c r="L4993">
        <v>45340.2</v>
      </c>
      <c r="M4993">
        <v>27475.68</v>
      </c>
      <c r="N4993">
        <v>4950.42</v>
      </c>
      <c r="O4993">
        <v>3330.33</v>
      </c>
      <c r="P4993">
        <v>1056.1300000000001</v>
      </c>
      <c r="Q4993">
        <v>263.52</v>
      </c>
      <c r="R4993">
        <v>2028.8</v>
      </c>
      <c r="S4993">
        <v>784.75</v>
      </c>
      <c r="T4993">
        <v>39889.629999999997</v>
      </c>
      <c r="U4993">
        <v>17864.52</v>
      </c>
      <c r="V4993">
        <v>5450.57</v>
      </c>
      <c r="W4993">
        <v>5558.1</v>
      </c>
      <c r="X4993">
        <v>45036.1</v>
      </c>
      <c r="Y4993">
        <v>37438.04</v>
      </c>
    </row>
    <row r="4994" spans="1:25" x14ac:dyDescent="0.25">
      <c r="A4994" t="s">
        <v>5050</v>
      </c>
      <c r="B4994" s="1">
        <v>46294</v>
      </c>
      <c r="C4994">
        <v>2026</v>
      </c>
      <c r="D4994">
        <v>9</v>
      </c>
      <c r="E4994" t="s">
        <v>918</v>
      </c>
      <c r="F4994" t="s">
        <v>691</v>
      </c>
      <c r="G4994" t="s">
        <v>55</v>
      </c>
      <c r="H4994" t="s">
        <v>32</v>
      </c>
      <c r="I4994" t="s">
        <v>50</v>
      </c>
      <c r="J4994">
        <v>34</v>
      </c>
      <c r="K4994">
        <v>1537.38</v>
      </c>
      <c r="L4994">
        <v>52271.07</v>
      </c>
      <c r="M4994">
        <v>35257.440000000002</v>
      </c>
      <c r="N4994">
        <v>5113.07</v>
      </c>
      <c r="O4994">
        <v>2671.49</v>
      </c>
      <c r="P4994">
        <v>2104.41</v>
      </c>
      <c r="Q4994">
        <v>813.11</v>
      </c>
      <c r="R4994">
        <v>2368.96</v>
      </c>
      <c r="S4994">
        <v>494.09</v>
      </c>
      <c r="T4994">
        <v>48822.559999999998</v>
      </c>
      <c r="U4994">
        <v>17013.63</v>
      </c>
      <c r="V4994">
        <v>3448.5</v>
      </c>
      <c r="W4994">
        <v>3106.14</v>
      </c>
      <c r="X4994">
        <v>56579.96</v>
      </c>
      <c r="Y4994">
        <v>48742.41</v>
      </c>
    </row>
    <row r="4995" spans="1:25" x14ac:dyDescent="0.25">
      <c r="A4995" t="s">
        <v>5051</v>
      </c>
      <c r="B4995" s="1">
        <v>46294</v>
      </c>
      <c r="C4995">
        <v>2026</v>
      </c>
      <c r="D4995">
        <v>9</v>
      </c>
      <c r="E4995" t="s">
        <v>918</v>
      </c>
      <c r="F4995" t="s">
        <v>691</v>
      </c>
      <c r="G4995" t="s">
        <v>35</v>
      </c>
      <c r="H4995" t="s">
        <v>32</v>
      </c>
      <c r="I4995" t="s">
        <v>39</v>
      </c>
      <c r="J4995">
        <v>33</v>
      </c>
      <c r="K4995">
        <v>1694.7</v>
      </c>
      <c r="L4995">
        <v>55925.01</v>
      </c>
      <c r="M4995">
        <v>35711.599999999999</v>
      </c>
      <c r="N4995">
        <v>5977.92</v>
      </c>
      <c r="O4995">
        <v>3036.16</v>
      </c>
      <c r="P4995">
        <v>1859.15</v>
      </c>
      <c r="Q4995">
        <v>727.97</v>
      </c>
      <c r="R4995">
        <v>2054.69</v>
      </c>
      <c r="S4995">
        <v>1334.02</v>
      </c>
      <c r="T4995">
        <v>50701.5</v>
      </c>
      <c r="U4995">
        <v>20213.419999999998</v>
      </c>
      <c r="V4995">
        <v>5223.51</v>
      </c>
      <c r="W4995">
        <v>4895.2</v>
      </c>
      <c r="X4995">
        <v>57360.84</v>
      </c>
      <c r="Y4995">
        <v>47441.51</v>
      </c>
    </row>
    <row r="4996" spans="1:25" x14ac:dyDescent="0.25">
      <c r="A4996" t="s">
        <v>5052</v>
      </c>
      <c r="B4996" s="1">
        <v>46294</v>
      </c>
      <c r="C4996">
        <v>2026</v>
      </c>
      <c r="D4996">
        <v>9</v>
      </c>
      <c r="E4996" t="s">
        <v>918</v>
      </c>
      <c r="F4996" t="s">
        <v>691</v>
      </c>
      <c r="G4996" t="s">
        <v>44</v>
      </c>
      <c r="H4996" t="s">
        <v>29</v>
      </c>
      <c r="I4996" t="s">
        <v>39</v>
      </c>
      <c r="J4996">
        <v>38</v>
      </c>
      <c r="K4996">
        <v>1241.6300000000001</v>
      </c>
      <c r="L4996">
        <v>47181.760000000002</v>
      </c>
      <c r="M4996">
        <v>23116.74</v>
      </c>
      <c r="N4996">
        <v>4732.6099999999997</v>
      </c>
      <c r="O4996">
        <v>1969.14</v>
      </c>
      <c r="P4996">
        <v>1626.88</v>
      </c>
      <c r="Q4996">
        <v>435.71</v>
      </c>
      <c r="R4996">
        <v>1261.54</v>
      </c>
      <c r="S4996">
        <v>618.89</v>
      </c>
      <c r="T4996">
        <v>33761.5</v>
      </c>
      <c r="U4996">
        <v>24065.02</v>
      </c>
      <c r="V4996">
        <v>13420.26</v>
      </c>
      <c r="W4996">
        <v>12301.28</v>
      </c>
      <c r="X4996">
        <v>45600.66</v>
      </c>
      <c r="Y4996">
        <v>33736.85</v>
      </c>
    </row>
    <row r="4997" spans="1:25" x14ac:dyDescent="0.25">
      <c r="A4997" t="s">
        <v>5053</v>
      </c>
      <c r="B4997" s="1">
        <v>46295</v>
      </c>
      <c r="C4997">
        <v>2026</v>
      </c>
      <c r="D4997">
        <v>9</v>
      </c>
      <c r="E4997" t="s">
        <v>918</v>
      </c>
      <c r="F4997" t="s">
        <v>691</v>
      </c>
      <c r="G4997" t="s">
        <v>44</v>
      </c>
      <c r="H4997" t="s">
        <v>36</v>
      </c>
      <c r="I4997" t="s">
        <v>39</v>
      </c>
      <c r="J4997">
        <v>34</v>
      </c>
      <c r="K4997">
        <v>1093.98</v>
      </c>
      <c r="L4997">
        <v>37195.440000000002</v>
      </c>
      <c r="M4997">
        <v>21519.52</v>
      </c>
      <c r="N4997">
        <v>2709.72</v>
      </c>
      <c r="O4997">
        <v>2023.23</v>
      </c>
      <c r="P4997">
        <v>906.56</v>
      </c>
      <c r="Q4997">
        <v>511.83</v>
      </c>
      <c r="R4997">
        <v>1565</v>
      </c>
      <c r="S4997">
        <v>655.65</v>
      </c>
      <c r="T4997">
        <v>29891.52</v>
      </c>
      <c r="U4997">
        <v>15675.93</v>
      </c>
      <c r="V4997">
        <v>7303.92</v>
      </c>
      <c r="W4997">
        <v>6654.35</v>
      </c>
      <c r="X4997">
        <v>34311.1</v>
      </c>
      <c r="Y4997">
        <v>29316.51</v>
      </c>
    </row>
    <row r="4998" spans="1:25" x14ac:dyDescent="0.25">
      <c r="A4998" t="s">
        <v>5054</v>
      </c>
      <c r="B4998" s="1">
        <v>46295</v>
      </c>
      <c r="C4998">
        <v>2026</v>
      </c>
      <c r="D4998">
        <v>9</v>
      </c>
      <c r="E4998" t="s">
        <v>918</v>
      </c>
      <c r="F4998" t="s">
        <v>691</v>
      </c>
      <c r="G4998" t="s">
        <v>28</v>
      </c>
      <c r="H4998" t="s">
        <v>32</v>
      </c>
      <c r="I4998" t="s">
        <v>56</v>
      </c>
      <c r="J4998">
        <v>32</v>
      </c>
      <c r="K4998">
        <v>1734.21</v>
      </c>
      <c r="L4998">
        <v>55494.66</v>
      </c>
      <c r="M4998">
        <v>31017.64</v>
      </c>
      <c r="N4998">
        <v>4144.6899999999996</v>
      </c>
      <c r="O4998">
        <v>2549.7399999999998</v>
      </c>
      <c r="P4998">
        <v>1586.86</v>
      </c>
      <c r="Q4998">
        <v>846.64</v>
      </c>
      <c r="R4998">
        <v>2639.07</v>
      </c>
      <c r="S4998">
        <v>599.54999999999995</v>
      </c>
      <c r="T4998">
        <v>43384.19</v>
      </c>
      <c r="U4998">
        <v>24477.02</v>
      </c>
      <c r="V4998">
        <v>12110.48</v>
      </c>
      <c r="W4998">
        <v>11144.87</v>
      </c>
      <c r="X4998">
        <v>57060.15</v>
      </c>
      <c r="Y4998">
        <v>41709.01</v>
      </c>
    </row>
    <row r="4999" spans="1:25" x14ac:dyDescent="0.25">
      <c r="A4999" t="s">
        <v>5055</v>
      </c>
      <c r="B4999" s="1">
        <v>46295</v>
      </c>
      <c r="C4999">
        <v>2026</v>
      </c>
      <c r="D4999">
        <v>9</v>
      </c>
      <c r="E4999" t="s">
        <v>918</v>
      </c>
      <c r="F4999" t="s">
        <v>691</v>
      </c>
      <c r="G4999" t="s">
        <v>55</v>
      </c>
      <c r="H4999" t="s">
        <v>32</v>
      </c>
      <c r="I4999" t="s">
        <v>30</v>
      </c>
      <c r="J4999">
        <v>121</v>
      </c>
      <c r="K4999">
        <v>1131.8499999999999</v>
      </c>
      <c r="L4999">
        <v>136954.13</v>
      </c>
      <c r="M4999">
        <v>68440.77</v>
      </c>
      <c r="N4999">
        <v>13731.05</v>
      </c>
      <c r="O4999">
        <v>6910.41</v>
      </c>
      <c r="P4999">
        <v>2868.87</v>
      </c>
      <c r="Q4999">
        <v>1300</v>
      </c>
      <c r="R4999">
        <v>7532.28</v>
      </c>
      <c r="S4999">
        <v>3213.17</v>
      </c>
      <c r="T4999">
        <v>103996.56</v>
      </c>
      <c r="U4999">
        <v>68513.36</v>
      </c>
      <c r="V4999">
        <v>32957.57</v>
      </c>
      <c r="W4999">
        <v>33214.199999999997</v>
      </c>
      <c r="X4999">
        <v>145189.66</v>
      </c>
      <c r="Y4999">
        <v>106723.37</v>
      </c>
    </row>
    <row r="5000" spans="1:25" x14ac:dyDescent="0.25">
      <c r="A5000" t="s">
        <v>5056</v>
      </c>
      <c r="B5000" s="1">
        <v>46295</v>
      </c>
      <c r="C5000">
        <v>2026</v>
      </c>
      <c r="D5000">
        <v>9</v>
      </c>
      <c r="E5000" t="s">
        <v>918</v>
      </c>
      <c r="F5000" t="s">
        <v>691</v>
      </c>
      <c r="G5000" t="s">
        <v>28</v>
      </c>
      <c r="H5000" t="s">
        <v>36</v>
      </c>
      <c r="I5000" t="s">
        <v>45</v>
      </c>
      <c r="J5000">
        <v>43</v>
      </c>
      <c r="K5000">
        <v>986.66</v>
      </c>
      <c r="L5000">
        <v>42426.37</v>
      </c>
      <c r="M5000">
        <v>25657.83</v>
      </c>
      <c r="N5000">
        <v>5477.7</v>
      </c>
      <c r="O5000">
        <v>1519.18</v>
      </c>
      <c r="P5000">
        <v>757.86</v>
      </c>
      <c r="Q5000">
        <v>384.66</v>
      </c>
      <c r="R5000">
        <v>2210.02</v>
      </c>
      <c r="S5000">
        <v>578.91999999999996</v>
      </c>
      <c r="T5000">
        <v>36586.17</v>
      </c>
      <c r="U5000">
        <v>16768.54</v>
      </c>
      <c r="V5000">
        <v>5840.2</v>
      </c>
      <c r="W5000">
        <v>5507.4</v>
      </c>
      <c r="X5000">
        <v>46946.51</v>
      </c>
      <c r="Y5000">
        <v>35876.480000000003</v>
      </c>
    </row>
    <row r="5001" spans="1:25" x14ac:dyDescent="0.25">
      <c r="A5001" t="s">
        <v>5057</v>
      </c>
      <c r="B5001" s="1">
        <v>46295</v>
      </c>
      <c r="C5001">
        <v>2026</v>
      </c>
      <c r="D5001">
        <v>9</v>
      </c>
      <c r="E5001" t="s">
        <v>918</v>
      </c>
      <c r="F5001" t="s">
        <v>691</v>
      </c>
      <c r="G5001" t="s">
        <v>28</v>
      </c>
      <c r="H5001" t="s">
        <v>32</v>
      </c>
      <c r="I5001" t="s">
        <v>37</v>
      </c>
      <c r="J5001">
        <v>49</v>
      </c>
      <c r="K5001">
        <v>1418.64</v>
      </c>
      <c r="L5001">
        <v>69513.53</v>
      </c>
      <c r="M5001">
        <v>38580.68</v>
      </c>
      <c r="N5001">
        <v>7184.69</v>
      </c>
      <c r="O5001">
        <v>5196.1099999999997</v>
      </c>
      <c r="P5001">
        <v>1067.8</v>
      </c>
      <c r="Q5001">
        <v>789.56</v>
      </c>
      <c r="R5001">
        <v>3177.24</v>
      </c>
      <c r="S5001">
        <v>1199.98</v>
      </c>
      <c r="T5001">
        <v>57196.06</v>
      </c>
      <c r="U5001">
        <v>30932.85</v>
      </c>
      <c r="V5001">
        <v>12317.47</v>
      </c>
      <c r="W5001">
        <v>11606.08</v>
      </c>
      <c r="X5001">
        <v>77052.7</v>
      </c>
      <c r="Y5001">
        <v>62818.62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E16"/>
  <sheetViews>
    <sheetView workbookViewId="0">
      <selection activeCell="E20" sqref="E20"/>
    </sheetView>
    <sheetView workbookViewId="1"/>
  </sheetViews>
  <sheetFormatPr defaultRowHeight="15" x14ac:dyDescent="0.25"/>
  <cols>
    <col min="1" max="1" width="11.140625" bestFit="1" customWidth="1"/>
    <col min="2" max="2" width="11" customWidth="1"/>
    <col min="3" max="3" width="19.85546875" customWidth="1"/>
    <col min="4" max="4" width="34.5703125" customWidth="1"/>
    <col min="5" max="5" width="34.7109375" customWidth="1"/>
  </cols>
  <sheetData>
    <row r="1" spans="1:5" x14ac:dyDescent="0.25">
      <c r="A1" t="s">
        <v>3</v>
      </c>
      <c r="B1" t="s">
        <v>11</v>
      </c>
      <c r="C1" t="s">
        <v>5089</v>
      </c>
      <c r="D1" t="s">
        <v>5090</v>
      </c>
      <c r="E1" t="s">
        <v>5091</v>
      </c>
    </row>
    <row r="2" spans="1:5" x14ac:dyDescent="0.25">
      <c r="A2" s="4">
        <v>44927</v>
      </c>
      <c r="B2">
        <v>28918543.189999994</v>
      </c>
    </row>
    <row r="3" spans="1:5" x14ac:dyDescent="0.25">
      <c r="A3" s="4">
        <v>44958</v>
      </c>
      <c r="B3">
        <v>26208769.210000005</v>
      </c>
    </row>
    <row r="4" spans="1:5" x14ac:dyDescent="0.25">
      <c r="A4" s="4">
        <v>44986</v>
      </c>
      <c r="B4">
        <v>26231266.469999976</v>
      </c>
    </row>
    <row r="5" spans="1:5" x14ac:dyDescent="0.25">
      <c r="A5" s="4">
        <v>45017</v>
      </c>
      <c r="B5">
        <v>27385296.059999973</v>
      </c>
    </row>
    <row r="6" spans="1:5" x14ac:dyDescent="0.25">
      <c r="A6" s="4">
        <v>45047</v>
      </c>
      <c r="B6">
        <v>28644481.699999977</v>
      </c>
    </row>
    <row r="7" spans="1:5" x14ac:dyDescent="0.25">
      <c r="A7" s="4">
        <v>45078</v>
      </c>
      <c r="B7">
        <v>27310037.699999981</v>
      </c>
    </row>
    <row r="8" spans="1:5" x14ac:dyDescent="0.25">
      <c r="A8" s="4">
        <v>45108</v>
      </c>
      <c r="B8">
        <v>30236777.709999997</v>
      </c>
    </row>
    <row r="9" spans="1:5" x14ac:dyDescent="0.25">
      <c r="A9" s="4">
        <v>45139</v>
      </c>
      <c r="B9">
        <v>27966458.650000025</v>
      </c>
    </row>
    <row r="10" spans="1:5" x14ac:dyDescent="0.25">
      <c r="A10" s="4">
        <v>45170</v>
      </c>
      <c r="B10">
        <v>25790198.920000002</v>
      </c>
    </row>
    <row r="11" spans="1:5" x14ac:dyDescent="0.25">
      <c r="A11" s="4">
        <v>45200</v>
      </c>
      <c r="B11">
        <v>20271632.520000014</v>
      </c>
    </row>
    <row r="12" spans="1:5" x14ac:dyDescent="0.25">
      <c r="A12" s="4">
        <v>45231</v>
      </c>
      <c r="B12">
        <v>19016548.960000008</v>
      </c>
    </row>
    <row r="13" spans="1:5" x14ac:dyDescent="0.25">
      <c r="A13" s="4">
        <v>45261</v>
      </c>
      <c r="B13">
        <v>21341487.220000003</v>
      </c>
      <c r="C13">
        <v>21341487.220000003</v>
      </c>
      <c r="D13" s="5">
        <v>21341487.220000003</v>
      </c>
      <c r="E13" s="5">
        <v>21341487.220000003</v>
      </c>
    </row>
    <row r="14" spans="1:5" x14ac:dyDescent="0.25">
      <c r="A14" s="4">
        <v>45292</v>
      </c>
      <c r="C14">
        <f>_xlfn.FORECAST.ETS(A14,$B$2:$B$13,$A$2:$A$13,1,1)</f>
        <v>20723164.530858614</v>
      </c>
      <c r="D14" s="5">
        <f>C14-_xlfn.FORECAST.ETS.CONFINT(A14,$B$2:$B$13,$A$2:$A$13,0.95,1,1)</f>
        <v>15615867.333446069</v>
      </c>
      <c r="E14" s="5">
        <f>C14+_xlfn.FORECAST.ETS.CONFINT(A14,$B$2:$B$13,$A$2:$A$13,0.95,1,1)</f>
        <v>25830461.728271157</v>
      </c>
    </row>
    <row r="15" spans="1:5" x14ac:dyDescent="0.25">
      <c r="A15" s="4">
        <v>45323</v>
      </c>
      <c r="C15">
        <f>_xlfn.FORECAST.ETS(A15,$B$2:$B$13,$A$2:$A$13,1,1)</f>
        <v>20042345.691485994</v>
      </c>
      <c r="D15" s="5">
        <f>C15-_xlfn.FORECAST.ETS.CONFINT(A15,$B$2:$B$13,$A$2:$A$13,0.95,1,1)</f>
        <v>14935025.511287771</v>
      </c>
      <c r="E15" s="5">
        <f>C15+_xlfn.FORECAST.ETS.CONFINT(A15,$B$2:$B$13,$A$2:$A$13,0.95,1,1)</f>
        <v>25149665.871684216</v>
      </c>
    </row>
    <row r="16" spans="1:5" x14ac:dyDescent="0.25">
      <c r="A16" s="4">
        <v>45352</v>
      </c>
      <c r="C16">
        <f>_xlfn.FORECAST.ETS(A16,$B$2:$B$13,$A$2:$A$13,1,1)</f>
        <v>19361526.852113374</v>
      </c>
      <c r="D16" s="5">
        <f>C16-_xlfn.FORECAST.ETS.CONFINT(A16,$B$2:$B$13,$A$2:$A$13,0.95,1,1)</f>
        <v>14254165.813884865</v>
      </c>
      <c r="E16" s="5">
        <f>C16+_xlfn.FORECAST.ETS.CONFINT(A16,$B$2:$B$13,$A$2:$A$13,0.95,1,1)</f>
        <v>24468887.890341882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7:P34"/>
  <sheetViews>
    <sheetView topLeftCell="A13" workbookViewId="0">
      <selection activeCell="D29" sqref="D29"/>
    </sheetView>
    <sheetView workbookViewId="1"/>
  </sheetViews>
  <sheetFormatPr defaultRowHeight="15" x14ac:dyDescent="0.25"/>
  <cols>
    <col min="1" max="1" width="25.7109375" customWidth="1"/>
    <col min="2" max="2" width="15" customWidth="1"/>
    <col min="3" max="3" width="21.42578125" customWidth="1"/>
    <col min="4" max="4" width="20.28515625" customWidth="1"/>
    <col min="5" max="5" width="16.7109375" customWidth="1"/>
    <col min="7" max="7" width="23.7109375" customWidth="1"/>
    <col min="8" max="8" width="13.140625" customWidth="1"/>
    <col min="9" max="9" width="19.7109375" customWidth="1"/>
    <col min="11" max="11" width="14.28515625" customWidth="1"/>
    <col min="12" max="12" width="11" customWidth="1"/>
    <col min="13" max="13" width="12" bestFit="1" customWidth="1"/>
    <col min="15" max="15" width="16.28515625" customWidth="1"/>
    <col min="17" max="17" width="12" bestFit="1" customWidth="1"/>
  </cols>
  <sheetData>
    <row r="7" spans="1:16" x14ac:dyDescent="0.25">
      <c r="A7" t="s">
        <v>5062</v>
      </c>
      <c r="C7" t="s">
        <v>5063</v>
      </c>
      <c r="E7" t="s">
        <v>5064</v>
      </c>
      <c r="G7" t="s">
        <v>5065</v>
      </c>
      <c r="I7" t="s">
        <v>5059</v>
      </c>
    </row>
    <row r="8" spans="1:16" x14ac:dyDescent="0.25">
      <c r="A8">
        <f>SUM(DATA!X2:X5001)</f>
        <v>315650626.88999951</v>
      </c>
      <c r="C8">
        <f>B23-A8</f>
        <v>-6329128.5800002217</v>
      </c>
      <c r="E8">
        <f>SUM(DATA!T2:T5001)-SUM(DATA!X2:X5001)</f>
        <v>-58619070.359999686</v>
      </c>
      <c r="G8" s="3">
        <f>SUM(TABLES!B23)/A8</f>
        <v>0.97994894341773053</v>
      </c>
      <c r="I8">
        <f>SUM(DATA!T2:T5001)</f>
        <v>257031556.52999982</v>
      </c>
    </row>
    <row r="13" spans="1:16" x14ac:dyDescent="0.25">
      <c r="A13" t="s">
        <v>5072</v>
      </c>
      <c r="B13" t="s">
        <v>5073</v>
      </c>
      <c r="D13" t="s">
        <v>5076</v>
      </c>
      <c r="E13" t="s">
        <v>5075</v>
      </c>
      <c r="G13" t="s">
        <v>5080</v>
      </c>
      <c r="H13" t="s">
        <v>5081</v>
      </c>
      <c r="K13" t="s">
        <v>3</v>
      </c>
      <c r="L13" t="s">
        <v>11</v>
      </c>
      <c r="O13" t="s">
        <v>3</v>
      </c>
      <c r="P13" t="s">
        <v>11</v>
      </c>
    </row>
    <row r="14" spans="1:16" x14ac:dyDescent="0.25">
      <c r="A14" t="s">
        <v>5068</v>
      </c>
      <c r="B14">
        <f>SUM(DATA!N2:N5001)</f>
        <v>30923376.649999972</v>
      </c>
      <c r="D14" t="s">
        <v>5077</v>
      </c>
      <c r="E14">
        <f>SUM(DATA!U2:U5001)</f>
        <v>130491740.62000012</v>
      </c>
      <c r="G14" t="s">
        <v>5082</v>
      </c>
      <c r="H14" s="2">
        <f>SUM(DATA!W2:W5001)/SUM(DATA!L2:L5001)</f>
        <v>0.16063351739685316</v>
      </c>
      <c r="K14" t="s">
        <v>26</v>
      </c>
      <c r="L14">
        <f>SUMIFS(Table1[Revenue],Table1[Date],"&gt;="&amp;DATE(2026,1,1),Table1[Date],"&lt;"&amp;DATE(2026,2,1))</f>
        <v>7609133.5800000019</v>
      </c>
      <c r="O14" s="4">
        <f>DATE(2023,1,1)</f>
        <v>44927</v>
      </c>
      <c r="P14">
        <v>28918543.189999994</v>
      </c>
    </row>
    <row r="15" spans="1:16" x14ac:dyDescent="0.25">
      <c r="A15" t="s">
        <v>5069</v>
      </c>
      <c r="B15">
        <f>SUM(DATA!O2:O5001)</f>
        <v>15429595.939999981</v>
      </c>
      <c r="D15" t="s">
        <v>5078</v>
      </c>
      <c r="E15">
        <f>SUM(DATA!V2:V5001)</f>
        <v>52289941.49999994</v>
      </c>
      <c r="G15" t="s">
        <v>5083</v>
      </c>
      <c r="H15" s="3">
        <f>TABLES!E14/TABLES!B23</f>
        <v>0.42186443985610872</v>
      </c>
      <c r="K15" t="s">
        <v>161</v>
      </c>
      <c r="L15">
        <f>SUMIFS(Table1[Revenue],Table1[Date],"&gt;="&amp;DATE(2026,2,1),Table1[Date],"&lt;"&amp;DATE(2026,3,1))</f>
        <v>7351136.9300000006</v>
      </c>
      <c r="O15" s="4">
        <f>DATE(2023,2,1)</f>
        <v>44958</v>
      </c>
      <c r="P15">
        <v>26208769.210000005</v>
      </c>
    </row>
    <row r="16" spans="1:16" x14ac:dyDescent="0.25">
      <c r="A16" t="s">
        <v>5070</v>
      </c>
      <c r="B16">
        <f>SUM(DATA!P2:P5001)</f>
        <v>9244369.7799999919</v>
      </c>
      <c r="D16" t="s">
        <v>5079</v>
      </c>
      <c r="E16">
        <f>SUM(DATA!W2:W5001)</f>
        <v>49687400.279999956</v>
      </c>
      <c r="G16" t="s">
        <v>5084</v>
      </c>
      <c r="H16" s="3">
        <f>SUM(DATA!V2:V5001/DATA!L2:L5001)</f>
        <v>0.22962073258798529</v>
      </c>
      <c r="K16" t="s">
        <v>260</v>
      </c>
      <c r="L16">
        <f>SUMIFS(Table1[Revenue],Table1[Date],"&gt;="&amp;DATE(2026,3,1),Table1[Date],"&lt;"&amp;DATE(2026,4,1))</f>
        <v>6856181.6700000027</v>
      </c>
      <c r="O16" s="4">
        <f>DATE(2023,3,1)</f>
        <v>44986</v>
      </c>
      <c r="P16">
        <v>26231266.469999976</v>
      </c>
    </row>
    <row r="17" spans="1:16" x14ac:dyDescent="0.25">
      <c r="A17" t="s">
        <v>5071</v>
      </c>
      <c r="B17">
        <f>SUM(DATA!Q2:Q5001)</f>
        <v>3549790.1000000066</v>
      </c>
      <c r="K17" t="s">
        <v>357</v>
      </c>
      <c r="L17">
        <f>SUMIFS(Table1[Revenue],Table1[Date],"&gt;="&amp;DATE(2026,4,1),Table1[Date],"&lt;"&amp;DATE(2026,5,1))</f>
        <v>6301426.330000001</v>
      </c>
      <c r="O17" s="4">
        <f>DATE(2023,4,1)</f>
        <v>45017</v>
      </c>
      <c r="P17">
        <v>27385296.059999973</v>
      </c>
    </row>
    <row r="18" spans="1:16" x14ac:dyDescent="0.25">
      <c r="A18" t="s">
        <v>5066</v>
      </c>
      <c r="B18">
        <f>SUM(DATA!R2:R5001)</f>
        <v>13936101.450000059</v>
      </c>
      <c r="K18" t="s">
        <v>468</v>
      </c>
      <c r="L18">
        <f>SUMIFS(Table1[Revenue],Table1[Date],"&gt;="&amp;DATE(2026,5,1),Table1[Date],"&lt;"&amp;DATE(2026,6,1))</f>
        <v>6925362.799999997</v>
      </c>
      <c r="O18" s="4">
        <f>DATE(2023,5,1)</f>
        <v>45047</v>
      </c>
      <c r="P18">
        <v>28644481.699999977</v>
      </c>
    </row>
    <row r="19" spans="1:16" x14ac:dyDescent="0.25">
      <c r="A19" t="s">
        <v>5067</v>
      </c>
      <c r="B19">
        <f>SUM(DATA!R2:R5001)</f>
        <v>13936101.450000059</v>
      </c>
      <c r="K19" t="s">
        <v>585</v>
      </c>
      <c r="L19">
        <f>SUMIFS(Table1[Revenue],Table1[Date],"&gt;="&amp;DATE(2026,6,1),Table1[Date],"&lt;"&amp;DATE(2026,7,1))</f>
        <v>7055909.4500000011</v>
      </c>
      <c r="O19" s="4">
        <f>DATE(2023,6,1)</f>
        <v>45078</v>
      </c>
      <c r="P19">
        <v>27310037.699999981</v>
      </c>
    </row>
    <row r="20" spans="1:16" x14ac:dyDescent="0.25">
      <c r="A20" t="s">
        <v>5060</v>
      </c>
      <c r="B20">
        <f>SUM(DATA!M2:M5001)</f>
        <v>178829757.6599994</v>
      </c>
      <c r="K20" t="s">
        <v>690</v>
      </c>
      <c r="L20">
        <f>SUMIFS(Table1[Revenue],Table1[Date],"&gt;="&amp;DATE(2026,7,1),Table1[Date],"&lt;"&amp;DATE(2026,8,1))</f>
        <v>7306484.3599999994</v>
      </c>
      <c r="O20" s="4">
        <f>DATE(2023,7,1)</f>
        <v>45108</v>
      </c>
      <c r="P20">
        <v>30236777.709999997</v>
      </c>
    </row>
    <row r="21" spans="1:16" x14ac:dyDescent="0.25">
      <c r="K21" t="s">
        <v>814</v>
      </c>
      <c r="L21">
        <f>SUMIFS(Table1[Revenue],Table1[Date],"&gt;="&amp;DATE(2026,8,1),Table1[Date],"&lt;"&amp;DATE(2026,9,1))</f>
        <v>7377165.5800000038</v>
      </c>
      <c r="O21" s="4">
        <f>DATE(2023,8,1)</f>
        <v>45139</v>
      </c>
      <c r="P21">
        <v>27966458.650000025</v>
      </c>
    </row>
    <row r="22" spans="1:16" x14ac:dyDescent="0.25">
      <c r="A22" t="s">
        <v>5074</v>
      </c>
      <c r="B22" t="s">
        <v>5075</v>
      </c>
      <c r="D22" t="s">
        <v>5085</v>
      </c>
      <c r="E22" t="s">
        <v>5086</v>
      </c>
      <c r="G22" t="s">
        <v>3</v>
      </c>
      <c r="H22" t="s">
        <v>11</v>
      </c>
      <c r="K22" t="s">
        <v>918</v>
      </c>
      <c r="L22">
        <f>SUMIFS(Table1[Revenue],Table1[Date],"&gt;="&amp;DATE(2026,9,1),Table1[Date],"&lt;"&amp;DATE(2026,10,1))</f>
        <v>6177972.2600000026</v>
      </c>
      <c r="O22" s="4">
        <f>DATE(2023,9,1)</f>
        <v>45170</v>
      </c>
      <c r="P22">
        <v>25790198.920000002</v>
      </c>
    </row>
    <row r="23" spans="1:16" x14ac:dyDescent="0.25">
      <c r="A23" t="s">
        <v>5058</v>
      </c>
      <c r="B23">
        <f>SUM(DATA!L2:L5001)</f>
        <v>309321498.30999929</v>
      </c>
      <c r="D23" t="s">
        <v>5087</v>
      </c>
      <c r="E23">
        <f>SUM(Table1[Total_Expenses])</f>
        <v>257031556.52999982</v>
      </c>
      <c r="G23" t="s">
        <v>26</v>
      </c>
      <c r="H23">
        <f>SUMIF(Table1[Month_Name],TABLES!G23,Table1[Revenue])</f>
        <v>28918543.189999994</v>
      </c>
      <c r="K23" t="s">
        <v>1017</v>
      </c>
      <c r="L23">
        <f>SUMIFS(Table1[Revenue],Table1[Date],"&gt;="&amp;DATE(2026,9,1),Table1[Date],"&lt;"&amp;DATE(2026,10,1))</f>
        <v>6177972.2600000026</v>
      </c>
      <c r="O23" s="4">
        <f>DATE(2023,10,1)</f>
        <v>45200</v>
      </c>
      <c r="P23">
        <v>20271632.520000014</v>
      </c>
    </row>
    <row r="24" spans="1:16" x14ac:dyDescent="0.25">
      <c r="A24" t="s">
        <v>5061</v>
      </c>
      <c r="B24">
        <f>SUM(DATA!Y2:Y5001)</f>
        <v>260970927.5500007</v>
      </c>
      <c r="D24" t="s">
        <v>5088</v>
      </c>
      <c r="E24">
        <f>SUM(Table1[Budget_Expenses])</f>
        <v>260970927.5500007</v>
      </c>
      <c r="G24" t="s">
        <v>161</v>
      </c>
      <c r="H24">
        <f>SUMIF(Table1[Month_Name],TABLES!G24,Table1[Revenue])</f>
        <v>26208769.210000005</v>
      </c>
      <c r="K24" t="s">
        <v>1117</v>
      </c>
      <c r="L24">
        <f>SUMIFS(Table1[Revenue],Table1[Date],"&gt;="&amp;DATE(2026,9,1),Table1[Date],"&lt;"&amp;DATE(2026,10,1))</f>
        <v>6177972.2600000026</v>
      </c>
      <c r="O24" s="4">
        <f>DATE(2023,11,1)</f>
        <v>45231</v>
      </c>
      <c r="P24">
        <v>19016548.960000008</v>
      </c>
    </row>
    <row r="25" spans="1:16" x14ac:dyDescent="0.25">
      <c r="G25" t="s">
        <v>260</v>
      </c>
      <c r="H25">
        <f>SUMIF(Table1[Month_Name],TABLES!G25,Table1[Revenue])</f>
        <v>26231266.469999976</v>
      </c>
      <c r="K25" t="s">
        <v>1217</v>
      </c>
      <c r="L25">
        <f>SUMIFS(Table1[Revenue],Table1[Date],"&gt;="&amp;DATE(2026,9,1),Table1[Date],"&lt;"&amp;DATE(2026,10,1))</f>
        <v>6177972.2600000026</v>
      </c>
      <c r="O25" s="4">
        <f>DATE(2023,12,1)</f>
        <v>45261</v>
      </c>
      <c r="P25">
        <v>21341487.220000003</v>
      </c>
    </row>
    <row r="26" spans="1:16" x14ac:dyDescent="0.25">
      <c r="G26" t="s">
        <v>357</v>
      </c>
      <c r="H26">
        <f>SUMIF(Table1[Month_Name],TABLES!G26,Table1[Revenue])</f>
        <v>27385296.059999973</v>
      </c>
    </row>
    <row r="27" spans="1:16" x14ac:dyDescent="0.25">
      <c r="G27" t="s">
        <v>468</v>
      </c>
      <c r="H27">
        <f>SUMIF(Table1[Month_Name],TABLES!G27,Table1[Revenue])</f>
        <v>28644481.699999977</v>
      </c>
    </row>
    <row r="28" spans="1:16" x14ac:dyDescent="0.25">
      <c r="G28" t="s">
        <v>585</v>
      </c>
      <c r="H28">
        <f>SUMIF(Table1[Month_Name],TABLES!G28,Table1[Revenue])</f>
        <v>27310037.699999981</v>
      </c>
    </row>
    <row r="29" spans="1:16" x14ac:dyDescent="0.25">
      <c r="G29" t="s">
        <v>690</v>
      </c>
      <c r="H29">
        <f>SUMIF(Table1[Month_Name],TABLES!G29,Table1[Revenue])</f>
        <v>30236777.709999997</v>
      </c>
    </row>
    <row r="30" spans="1:16" x14ac:dyDescent="0.25">
      <c r="G30" t="s">
        <v>814</v>
      </c>
      <c r="H30">
        <f>SUMIF(Table1[Month_Name],TABLES!G30,Table1[Revenue])</f>
        <v>27966458.650000025</v>
      </c>
    </row>
    <row r="31" spans="1:16" x14ac:dyDescent="0.25">
      <c r="G31" t="s">
        <v>918</v>
      </c>
      <c r="H31">
        <f>SUMIF(Table1[Month_Name],TABLES!G31,Table1[Revenue])</f>
        <v>25790198.920000002</v>
      </c>
    </row>
    <row r="32" spans="1:16" x14ac:dyDescent="0.25">
      <c r="G32" t="s">
        <v>1017</v>
      </c>
      <c r="H32">
        <f>SUMIF(Table1[Month_Name],TABLES!G32,Table1[Revenue])</f>
        <v>20271632.520000014</v>
      </c>
    </row>
    <row r="33" spans="7:8" x14ac:dyDescent="0.25">
      <c r="G33" t="s">
        <v>1117</v>
      </c>
      <c r="H33">
        <f>SUMIF(Table1[Month_Name],TABLES!G33,Table1[Revenue])</f>
        <v>19016548.960000008</v>
      </c>
    </row>
    <row r="34" spans="7:8" x14ac:dyDescent="0.25">
      <c r="G34" t="s">
        <v>1217</v>
      </c>
      <c r="H34">
        <f>SUMIF(Table1[Month_Name],TABLES!G34,Table1[Revenue])</f>
        <v>21341487.220000003</v>
      </c>
    </row>
  </sheetData>
  <phoneticPr fontId="18" type="noConversion"/>
  <pageMargins left="0.7" right="0.7" top="0.75" bottom="0.75" header="0.3" footer="0.3"/>
  <pageSetup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"/>
  <sheetViews>
    <sheetView showGridLines="0" showRowColHeaders="0" tabSelected="1" zoomScale="50" zoomScaleNormal="50" workbookViewId="0">
      <selection activeCell="AA4" sqref="AA4"/>
    </sheetView>
    <sheetView tabSelected="1" workbookViewId="1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FORECASTING</vt:lpstr>
      <vt:lpstr>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2026-10-01T09:45:59Z</cp:lastPrinted>
  <dcterms:created xsi:type="dcterms:W3CDTF">2026-10-01T18:27:13Z</dcterms:created>
  <dcterms:modified xsi:type="dcterms:W3CDTF">2026-10-01T18:27:14Z</dcterms:modified>
</cp:coreProperties>
</file>